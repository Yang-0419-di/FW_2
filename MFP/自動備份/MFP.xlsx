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A075043-30D1-40AD-802D-6719EBD921B1}"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9" i="8" l="1"/>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B3" i="4" s="1"/>
  <c r="D3" i="4"/>
  <c r="C3" i="4"/>
  <c r="R2" i="4"/>
  <c r="Q2" i="4"/>
  <c r="P2" i="4"/>
  <c r="O2" i="4"/>
  <c r="N2" i="4"/>
  <c r="M2" i="4"/>
  <c r="L2" i="4"/>
  <c r="K2" i="4"/>
  <c r="J2" i="4"/>
  <c r="I2" i="4"/>
  <c r="H2" i="4"/>
  <c r="G2" i="4"/>
  <c r="F2" i="4"/>
  <c r="B2" i="4" s="1"/>
  <c r="E2" i="4"/>
  <c r="D2" i="4"/>
  <c r="C2" i="4"/>
  <c r="P27" i="3"/>
  <c r="N21" i="3"/>
  <c r="H17" i="3"/>
  <c r="G17" i="3"/>
  <c r="B17" i="3"/>
  <c r="H16" i="3"/>
  <c r="G16" i="3"/>
  <c r="H15" i="3"/>
  <c r="G15" i="3"/>
  <c r="B15" i="3"/>
  <c r="E13" i="3"/>
  <c r="D13" i="3"/>
  <c r="B13" i="3"/>
  <c r="C13" i="3" s="1"/>
  <c r="F13" i="3" s="1"/>
  <c r="D12" i="3"/>
  <c r="E12" i="3" s="1"/>
  <c r="B12" i="3"/>
  <c r="C12" i="3" s="1"/>
  <c r="E11" i="3"/>
  <c r="D11" i="3"/>
  <c r="C11" i="3"/>
  <c r="F11" i="3" s="1"/>
  <c r="B11" i="3"/>
  <c r="F8" i="3"/>
  <c r="E17" i="3" s="1"/>
  <c r="E8" i="3"/>
  <c r="C17" i="3" s="1"/>
  <c r="C8" i="3"/>
  <c r="G7" i="3"/>
  <c r="H7" i="3" s="1"/>
  <c r="F7" i="3"/>
  <c r="E16" i="3" s="1"/>
  <c r="E7" i="3"/>
  <c r="C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B4" i="2" s="1"/>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B11" i="4" l="1"/>
  <c r="F12" i="3"/>
  <c r="G11" i="3"/>
  <c r="H11" i="3" s="1"/>
  <c r="D15" i="3"/>
  <c r="D17" i="3"/>
  <c r="G13" i="3"/>
  <c r="H13" i="3" s="1"/>
  <c r="G6" i="3"/>
  <c r="H6" i="3" s="1"/>
  <c r="E15" i="3"/>
  <c r="G8" i="3"/>
  <c r="H8" i="3" s="1"/>
  <c r="B7" i="2"/>
  <c r="B12" i="2" s="1"/>
  <c r="B16" i="3"/>
  <c r="I17" i="3" l="1"/>
  <c r="J17" i="3" s="1"/>
  <c r="K17" i="3" s="1"/>
  <c r="I15" i="3"/>
  <c r="J15" i="3" s="1"/>
  <c r="K15" i="3" s="1"/>
  <c r="F17" i="3"/>
  <c r="G12" i="3"/>
  <c r="H12" i="3" s="1"/>
  <c r="F16" i="3" s="1"/>
  <c r="D16" i="3"/>
  <c r="I16" i="3" s="1"/>
  <c r="J16" i="3" s="1"/>
  <c r="K16" i="3" s="1"/>
  <c r="F15" i="3"/>
</calcChain>
</file>

<file path=xl/sharedStrings.xml><?xml version="1.0" encoding="utf-8"?>
<sst xmlns="http://schemas.openxmlformats.org/spreadsheetml/2006/main" count="59430" uniqueCount="10244">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</sst>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4" width="8.88671875" style="53" customWidth="1"/>
    <col min="35"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2" width="8.88671875" style="7" customWidth="1"/>
    <col min="43"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0" width="8.88671875" style="9" customWidth="1"/>
    <col min="51"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190</v>
      </c>
      <c r="C11" s="12">
        <f>B11/12</f>
        <v>15.833333333333334</v>
      </c>
      <c r="D11" s="9">
        <f>COUNTIFS(IM!S:S,A11,IM!B:B,"維修")</f>
        <v>191</v>
      </c>
      <c r="E11" s="12">
        <f>D11/12</f>
        <v>15.916666666666666</v>
      </c>
      <c r="F11" s="9">
        <f>C11+E11</f>
        <v>31.75</v>
      </c>
      <c r="G11" s="9">
        <f>ROUND(F11/20,2)</f>
        <v>1.59</v>
      </c>
      <c r="H11" s="9">
        <f>ROUND((G11*15),2)</f>
        <v>23.85</v>
      </c>
      <c r="I11" s="12"/>
      <c r="J11" s="12"/>
      <c r="L11" s="12"/>
    </row>
    <row r="12" spans="1:16" ht="21.6" customHeight="1" x14ac:dyDescent="0.3">
      <c r="A12" s="9" t="s">
        <v>25</v>
      </c>
      <c r="B12" s="12">
        <f>COUNTIFS(MFP!E:E,A7,MFP!O:O,"維修")</f>
        <v>21</v>
      </c>
      <c r="C12" s="12">
        <f>B12/12</f>
        <v>1.75</v>
      </c>
      <c r="D12" s="9">
        <f>COUNTIFS(IM!S:S,A12,IM!B:B,"維修")</f>
        <v>330</v>
      </c>
      <c r="E12" s="12">
        <f>D12/12</f>
        <v>27.5</v>
      </c>
      <c r="F12" s="9">
        <f>C12+E12</f>
        <v>29.25</v>
      </c>
      <c r="G12" s="9">
        <f>ROUND(F12/20,2)</f>
        <v>1.46</v>
      </c>
      <c r="H12" s="9">
        <f>ROUND((G12*15),2)</f>
        <v>21.9</v>
      </c>
      <c r="I12" s="12"/>
      <c r="J12" s="12"/>
      <c r="L12" s="12"/>
    </row>
    <row r="13" spans="1:16" ht="21.6" customHeight="1" x14ac:dyDescent="0.3">
      <c r="A13" s="58" t="s">
        <v>549</v>
      </c>
      <c r="B13" s="12">
        <f>COUNTIFS(MFP!E:E,A8,MFP!O:O,"維修")</f>
        <v>3</v>
      </c>
      <c r="C13" s="12">
        <f>B13/12</f>
        <v>0.25</v>
      </c>
      <c r="D13" s="9">
        <f>COUNTIFS(IM!S:S,A13,IM!B:B,"維修")</f>
        <v>41</v>
      </c>
      <c r="E13" s="12">
        <f>D13/12</f>
        <v>3.4166666666666665</v>
      </c>
      <c r="F13" s="9">
        <f>C13+E13</f>
        <v>3.6666666666666665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1428.75</v>
      </c>
      <c r="E15" s="9">
        <f>ROUND(D3*F6,2)</f>
        <v>1081.7</v>
      </c>
      <c r="F15" s="9">
        <f>(H6*20)+(H11*20)+(60*20)</f>
        <v>3300</v>
      </c>
      <c r="G15" s="9">
        <f>1.5*E3</f>
        <v>360</v>
      </c>
      <c r="H15" s="9">
        <f>1.5*F3</f>
        <v>360</v>
      </c>
      <c r="I15" s="9">
        <f>ROUND(SUM(B15:H15),2)</f>
        <v>8293.85</v>
      </c>
      <c r="J15" s="9">
        <f>ROUND(I15/20,2)</f>
        <v>414.69</v>
      </c>
      <c r="K15" s="9">
        <f>ROUND(J15/60,2)</f>
        <v>6.91</v>
      </c>
      <c r="O15" s="9" t="s">
        <v>796</v>
      </c>
      <c r="P15" s="9">
        <v>15</v>
      </c>
    </row>
    <row r="16" spans="1:16" ht="21.6" customHeight="1" x14ac:dyDescent="0.3">
      <c r="A16" s="9" t="s">
        <v>25</v>
      </c>
      <c r="B16" s="9">
        <f>ROUND(A3*E7,2)</f>
        <v>135.85</v>
      </c>
      <c r="C16" s="9">
        <f>B3*E7</f>
        <v>407.55</v>
      </c>
      <c r="D16" s="9">
        <f>F12*C3</f>
        <v>1316.25</v>
      </c>
      <c r="E16" s="9">
        <f>ROUND(D3*F7,2)</f>
        <v>661.7</v>
      </c>
      <c r="F16" s="9">
        <f>(H7*20)+(H12*20)+(120*20)</f>
        <v>3831</v>
      </c>
      <c r="G16" s="9">
        <f>1.5*E3</f>
        <v>360</v>
      </c>
      <c r="H16" s="9">
        <f>1.5*F3</f>
        <v>360</v>
      </c>
      <c r="I16" s="9">
        <f>ROUND(SUM(B16:H16),2)</f>
        <v>7072.35</v>
      </c>
      <c r="J16" s="9">
        <f>ROUND(I16/20,2)</f>
        <v>353.62</v>
      </c>
      <c r="K16" s="9">
        <f>ROUND(J16/60,2)</f>
        <v>5.89</v>
      </c>
      <c r="O16" s="9" t="s">
        <v>797</v>
      </c>
      <c r="P16" s="9">
        <v>60</v>
      </c>
    </row>
    <row r="17" spans="1:16" ht="21.6" customHeight="1" x14ac:dyDescent="0.3">
      <c r="A17" s="58" t="s">
        <v>549</v>
      </c>
      <c r="B17" s="9">
        <f>ROUND(A3*E8,2)</f>
        <v>77.5</v>
      </c>
      <c r="C17" s="9">
        <f>B3*E8</f>
        <v>232.5</v>
      </c>
      <c r="D17" s="9">
        <f>F13*C3</f>
        <v>165</v>
      </c>
      <c r="E17" s="9">
        <f>ROUND(D3*F8,2)</f>
        <v>511.7</v>
      </c>
      <c r="F17" s="9">
        <f>(H8*20)+(H13*20)+(60*20)</f>
        <v>2022</v>
      </c>
      <c r="G17" s="9">
        <f>1.5*E3</f>
        <v>360</v>
      </c>
      <c r="H17" s="9">
        <f>1.5*F3</f>
        <v>360</v>
      </c>
      <c r="I17" s="9">
        <f>ROUND(SUM(B17:H17),2)</f>
        <v>3728.7</v>
      </c>
      <c r="J17" s="9">
        <f>ROUND(I17/20,2)</f>
        <v>186.44</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0" width="13.77734375" style="8" customWidth="1"/>
    <col min="21"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7" width="13.77734375" style="1" customWidth="1"/>
    <col min="38"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94"/>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2" width="8.88671875" style="15" customWidth="1"/>
    <col min="43"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4" width="8.88671875" style="15" customWidth="1"/>
    <col min="65" max="16384" width="8.88671875" style="15"/>
  </cols>
  <sheetData>
    <row r="1" spans="1:39" ht="21.6" customHeight="1" x14ac:dyDescent="0.3">
      <c r="A1" s="14" t="s">
        <v>0</v>
      </c>
      <c r="B1" s="14" t="s">
        <v>2477</v>
      </c>
      <c r="C1" s="14" t="s">
        <v>2478</v>
      </c>
      <c r="D1" s="14" t="s">
        <v>2479</v>
      </c>
      <c r="E1" s="14" t="s">
        <v>2480</v>
      </c>
      <c r="F1" s="14" t="s">
        <v>2481</v>
      </c>
      <c r="G1" s="14" t="s">
        <v>2482</v>
      </c>
      <c r="H1" s="14" t="s">
        <v>2483</v>
      </c>
      <c r="I1" s="14" t="s">
        <v>2484</v>
      </c>
      <c r="J1" s="14" t="s">
        <v>2485</v>
      </c>
      <c r="K1" s="14" t="s">
        <v>2486</v>
      </c>
      <c r="L1" s="14" t="s">
        <v>2487</v>
      </c>
      <c r="M1" s="14" t="s">
        <v>2488</v>
      </c>
      <c r="N1" s="14" t="s">
        <v>2489</v>
      </c>
      <c r="O1" s="14" t="s">
        <v>2490</v>
      </c>
      <c r="P1" s="14" t="s">
        <v>2491</v>
      </c>
      <c r="Q1" s="14" t="s">
        <v>836</v>
      </c>
      <c r="R1" s="14" t="s">
        <v>831</v>
      </c>
      <c r="S1" s="14" t="s">
        <v>832</v>
      </c>
      <c r="T1" s="14" t="s">
        <v>2492</v>
      </c>
      <c r="U1" s="14" t="s">
        <v>2493</v>
      </c>
      <c r="V1" s="14" t="s">
        <v>2494</v>
      </c>
      <c r="W1" s="14" t="s">
        <v>2495</v>
      </c>
      <c r="X1" s="19" t="s">
        <v>2496</v>
      </c>
      <c r="Y1" s="14" t="s">
        <v>2497</v>
      </c>
      <c r="Z1" s="14" t="s">
        <v>2498</v>
      </c>
      <c r="AA1" s="14" t="s">
        <v>2499</v>
      </c>
      <c r="AB1" s="14" t="s">
        <v>2500</v>
      </c>
      <c r="AC1" s="14" t="s">
        <v>2501</v>
      </c>
      <c r="AD1" s="14" t="s">
        <v>757</v>
      </c>
      <c r="AE1" s="14" t="s">
        <v>843</v>
      </c>
      <c r="AF1" s="14" t="s">
        <v>844</v>
      </c>
      <c r="AG1" s="14" t="s">
        <v>845</v>
      </c>
      <c r="AH1" s="14" t="s">
        <v>846</v>
      </c>
      <c r="AI1" s="14" t="s">
        <v>847</v>
      </c>
      <c r="AJ1" s="14" t="s">
        <v>848</v>
      </c>
      <c r="AK1" s="14" t="s">
        <v>850</v>
      </c>
      <c r="AL1" s="20" t="s">
        <v>2502</v>
      </c>
      <c r="AM1" s="18"/>
    </row>
    <row r="2" spans="1:39" ht="21.6" customHeight="1" x14ac:dyDescent="0.3">
      <c r="A2" s="16">
        <v>1</v>
      </c>
      <c r="B2" s="16" t="s">
        <v>758</v>
      </c>
      <c r="C2" s="16">
        <v>2024123630</v>
      </c>
      <c r="D2" s="16" t="s">
        <v>2503</v>
      </c>
      <c r="E2" s="16" t="s">
        <v>2504</v>
      </c>
      <c r="F2" s="16" t="s">
        <v>2505</v>
      </c>
      <c r="G2" s="16" t="s">
        <v>2506</v>
      </c>
      <c r="H2" s="16" t="s">
        <v>2507</v>
      </c>
      <c r="I2" s="16" t="s">
        <v>2508</v>
      </c>
      <c r="J2" s="16" t="s">
        <v>2509</v>
      </c>
      <c r="K2" s="16" t="s">
        <v>2510</v>
      </c>
      <c r="L2" s="16" t="s">
        <v>2511</v>
      </c>
      <c r="M2" s="21" t="s">
        <v>2512</v>
      </c>
      <c r="N2" s="16">
        <v>2304</v>
      </c>
      <c r="O2" s="21" t="s">
        <v>2513</v>
      </c>
      <c r="P2" s="17" t="s">
        <v>2514</v>
      </c>
      <c r="Q2" s="16" t="s">
        <v>2515</v>
      </c>
      <c r="R2" s="16" t="s">
        <v>2516</v>
      </c>
      <c r="S2" s="16" t="s">
        <v>25</v>
      </c>
      <c r="T2" s="16">
        <v>1</v>
      </c>
      <c r="U2" s="16" t="s">
        <v>2517</v>
      </c>
      <c r="V2" s="16" t="s">
        <v>2518</v>
      </c>
      <c r="W2" s="16" t="s">
        <v>2519</v>
      </c>
      <c r="X2" s="22">
        <v>45659.501388888893</v>
      </c>
      <c r="Y2" s="16" t="s">
        <v>2520</v>
      </c>
      <c r="Z2" s="16">
        <v>0.4</v>
      </c>
      <c r="AA2" s="16"/>
      <c r="AB2" s="16" t="s">
        <v>2521</v>
      </c>
      <c r="AC2" s="17" t="s">
        <v>2522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2523</v>
      </c>
      <c r="E3" s="25" t="s">
        <v>2504</v>
      </c>
      <c r="F3" s="25" t="s">
        <v>2505</v>
      </c>
      <c r="G3" s="25" t="s">
        <v>2506</v>
      </c>
      <c r="H3" s="25" t="s">
        <v>2507</v>
      </c>
      <c r="I3" s="25" t="s">
        <v>2524</v>
      </c>
      <c r="J3" s="25" t="s">
        <v>2509</v>
      </c>
      <c r="K3" s="25" t="s">
        <v>2510</v>
      </c>
      <c r="L3" s="25" t="s">
        <v>2525</v>
      </c>
      <c r="M3" s="26" t="s">
        <v>2526</v>
      </c>
      <c r="N3" s="25">
        <v>5801</v>
      </c>
      <c r="O3" s="26" t="s">
        <v>2527</v>
      </c>
      <c r="P3" s="27" t="s">
        <v>2528</v>
      </c>
      <c r="Q3" s="25" t="s">
        <v>2515</v>
      </c>
      <c r="R3" s="25" t="s">
        <v>2516</v>
      </c>
      <c r="S3" s="25" t="s">
        <v>25</v>
      </c>
      <c r="T3" s="25">
        <v>1</v>
      </c>
      <c r="U3" s="25" t="s">
        <v>2517</v>
      </c>
      <c r="V3" s="25" t="s">
        <v>2529</v>
      </c>
      <c r="W3" s="25" t="s">
        <v>2530</v>
      </c>
      <c r="X3" s="28">
        <v>45659.5</v>
      </c>
      <c r="Y3" s="25" t="s">
        <v>2531</v>
      </c>
      <c r="Z3" s="25">
        <v>0.3</v>
      </c>
      <c r="AA3" s="25"/>
      <c r="AB3" s="25" t="s">
        <v>2521</v>
      </c>
      <c r="AC3" s="27" t="s">
        <v>2532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2533</v>
      </c>
      <c r="E4" s="25" t="s">
        <v>2504</v>
      </c>
      <c r="F4" s="25">
        <v>3362</v>
      </c>
      <c r="G4" s="25" t="s">
        <v>2534</v>
      </c>
      <c r="H4" s="25" t="s">
        <v>2507</v>
      </c>
      <c r="I4" s="25" t="s">
        <v>2535</v>
      </c>
      <c r="J4" s="25" t="s">
        <v>2536</v>
      </c>
      <c r="K4" s="25" t="s">
        <v>2510</v>
      </c>
      <c r="L4" s="25" t="s">
        <v>2537</v>
      </c>
      <c r="M4" s="26" t="s">
        <v>2538</v>
      </c>
      <c r="N4" s="25" t="s">
        <v>2539</v>
      </c>
      <c r="O4" s="26" t="s">
        <v>2540</v>
      </c>
      <c r="P4" s="27" t="s">
        <v>2541</v>
      </c>
      <c r="Q4" s="25" t="s">
        <v>2542</v>
      </c>
      <c r="R4" s="25" t="s">
        <v>2516</v>
      </c>
      <c r="S4" s="25" t="s">
        <v>25</v>
      </c>
      <c r="T4" s="25">
        <v>1</v>
      </c>
      <c r="U4" s="25" t="s">
        <v>2517</v>
      </c>
      <c r="V4" s="25" t="s">
        <v>2543</v>
      </c>
      <c r="W4" s="25" t="s">
        <v>2544</v>
      </c>
      <c r="X4" s="59">
        <v>45660.434027777781</v>
      </c>
      <c r="Y4" s="25" t="s">
        <v>2545</v>
      </c>
      <c r="Z4" s="25">
        <v>0.5</v>
      </c>
      <c r="AA4" s="25"/>
      <c r="AB4" s="25" t="s">
        <v>2521</v>
      </c>
      <c r="AC4" s="27" t="s">
        <v>2546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2547</v>
      </c>
      <c r="E5" s="25" t="s">
        <v>2504</v>
      </c>
      <c r="F5" s="25">
        <v>3890</v>
      </c>
      <c r="G5" s="25" t="s">
        <v>2548</v>
      </c>
      <c r="H5" s="25" t="s">
        <v>2507</v>
      </c>
      <c r="I5" s="25" t="s">
        <v>2549</v>
      </c>
      <c r="J5" s="25" t="s">
        <v>2536</v>
      </c>
      <c r="K5" s="25" t="s">
        <v>2510</v>
      </c>
      <c r="L5" s="25" t="s">
        <v>2511</v>
      </c>
      <c r="M5" s="26" t="s">
        <v>2512</v>
      </c>
      <c r="N5" s="25">
        <v>2302</v>
      </c>
      <c r="O5" s="26" t="s">
        <v>2550</v>
      </c>
      <c r="P5" s="27" t="s">
        <v>2551</v>
      </c>
      <c r="Q5" s="25" t="s">
        <v>2552</v>
      </c>
      <c r="R5" s="25" t="s">
        <v>2516</v>
      </c>
      <c r="S5" s="25" t="s">
        <v>25</v>
      </c>
      <c r="T5" s="25">
        <v>1</v>
      </c>
      <c r="U5" s="25" t="s">
        <v>2517</v>
      </c>
      <c r="V5" s="25" t="s">
        <v>2553</v>
      </c>
      <c r="W5" s="25" t="s">
        <v>2554</v>
      </c>
      <c r="X5" s="59">
        <v>45660.462500000001</v>
      </c>
      <c r="Y5" s="25" t="s">
        <v>2545</v>
      </c>
      <c r="Z5" s="25">
        <v>0.5</v>
      </c>
      <c r="AA5" s="25"/>
      <c r="AB5" s="25" t="s">
        <v>2521</v>
      </c>
      <c r="AC5" s="27" t="s">
        <v>2555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2556</v>
      </c>
      <c r="H6" s="25" t="s">
        <v>1604</v>
      </c>
      <c r="I6" s="25"/>
      <c r="J6" s="25"/>
      <c r="K6" s="25"/>
      <c r="L6" s="25"/>
      <c r="M6" s="26"/>
      <c r="N6" s="25"/>
      <c r="O6" s="26"/>
      <c r="P6" s="27"/>
      <c r="Q6" s="25" t="s">
        <v>2557</v>
      </c>
      <c r="R6" s="25" t="s">
        <v>2516</v>
      </c>
      <c r="S6" s="25" t="s">
        <v>25</v>
      </c>
      <c r="T6" s="25">
        <v>1</v>
      </c>
      <c r="U6" s="25" t="s">
        <v>2517</v>
      </c>
      <c r="V6" s="25" t="s">
        <v>2558</v>
      </c>
      <c r="W6" s="25" t="s">
        <v>2559</v>
      </c>
      <c r="X6" s="59">
        <v>45659.458333333343</v>
      </c>
      <c r="Y6" s="25"/>
      <c r="Z6" s="25">
        <v>0.5</v>
      </c>
      <c r="AA6" s="25"/>
      <c r="AB6" s="25" t="s">
        <v>2521</v>
      </c>
      <c r="AC6" s="27" t="s">
        <v>2560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2556</v>
      </c>
      <c r="H7" s="25" t="s">
        <v>1604</v>
      </c>
      <c r="I7" s="25"/>
      <c r="J7" s="25"/>
      <c r="K7" s="25"/>
      <c r="L7" s="25"/>
      <c r="M7" s="26"/>
      <c r="N7" s="25"/>
      <c r="O7" s="26"/>
      <c r="P7" s="27"/>
      <c r="Q7" s="25" t="s">
        <v>2557</v>
      </c>
      <c r="R7" s="25" t="s">
        <v>2516</v>
      </c>
      <c r="S7" s="25" t="s">
        <v>185</v>
      </c>
      <c r="T7" s="25">
        <v>1</v>
      </c>
      <c r="U7" s="25" t="s">
        <v>2517</v>
      </c>
      <c r="V7" s="25" t="s">
        <v>2561</v>
      </c>
      <c r="W7" s="25" t="s">
        <v>2562</v>
      </c>
      <c r="X7" s="59">
        <v>45659.479166666657</v>
      </c>
      <c r="Y7" s="25"/>
      <c r="Z7" s="25">
        <v>2.5</v>
      </c>
      <c r="AA7" s="25"/>
      <c r="AB7" s="25" t="s">
        <v>2521</v>
      </c>
      <c r="AC7" s="27" t="s">
        <v>2563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2564</v>
      </c>
      <c r="E8" s="25" t="s">
        <v>2504</v>
      </c>
      <c r="F8" s="25">
        <v>5245</v>
      </c>
      <c r="G8" s="25" t="s">
        <v>2565</v>
      </c>
      <c r="H8" s="25" t="s">
        <v>2507</v>
      </c>
      <c r="I8" s="25" t="s">
        <v>2566</v>
      </c>
      <c r="J8" s="25" t="s">
        <v>2567</v>
      </c>
      <c r="K8" s="25" t="s">
        <v>2568</v>
      </c>
      <c r="L8" s="25" t="s">
        <v>2569</v>
      </c>
      <c r="M8" s="26" t="s">
        <v>2570</v>
      </c>
      <c r="N8" s="25">
        <v>2501</v>
      </c>
      <c r="O8" s="26" t="s">
        <v>2571</v>
      </c>
      <c r="P8" s="27" t="s">
        <v>2572</v>
      </c>
      <c r="Q8" s="25" t="s">
        <v>2573</v>
      </c>
      <c r="R8" s="25" t="s">
        <v>2516</v>
      </c>
      <c r="S8" s="25" t="s">
        <v>25</v>
      </c>
      <c r="T8" s="25">
        <v>1</v>
      </c>
      <c r="U8" s="25" t="s">
        <v>2517</v>
      </c>
      <c r="V8" s="25" t="s">
        <v>2574</v>
      </c>
      <c r="W8" s="25" t="s">
        <v>2575</v>
      </c>
      <c r="X8" s="59">
        <v>45660.53402777778</v>
      </c>
      <c r="Y8" s="25" t="s">
        <v>2576</v>
      </c>
      <c r="Z8" s="25">
        <v>0.5</v>
      </c>
      <c r="AA8" s="25"/>
      <c r="AB8" s="25" t="s">
        <v>2521</v>
      </c>
      <c r="AC8" s="27" t="s">
        <v>2577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2578</v>
      </c>
      <c r="E9" s="25" t="s">
        <v>2504</v>
      </c>
      <c r="F9" s="25" t="s">
        <v>2579</v>
      </c>
      <c r="G9" s="25" t="s">
        <v>2580</v>
      </c>
      <c r="H9" s="25" t="s">
        <v>1604</v>
      </c>
      <c r="I9" s="25" t="s">
        <v>2581</v>
      </c>
      <c r="J9" s="25" t="s">
        <v>2567</v>
      </c>
      <c r="K9" s="25" t="s">
        <v>2568</v>
      </c>
      <c r="L9" s="25" t="s">
        <v>2525</v>
      </c>
      <c r="M9" s="26" t="s">
        <v>2526</v>
      </c>
      <c r="N9" s="25">
        <v>5804</v>
      </c>
      <c r="O9" s="26" t="s">
        <v>2582</v>
      </c>
      <c r="P9" s="27" t="s">
        <v>2583</v>
      </c>
      <c r="Q9" s="25" t="s">
        <v>2584</v>
      </c>
      <c r="R9" s="25" t="s">
        <v>2516</v>
      </c>
      <c r="S9" s="25" t="s">
        <v>25</v>
      </c>
      <c r="T9" s="25">
        <v>1</v>
      </c>
      <c r="U9" s="25" t="s">
        <v>2517</v>
      </c>
      <c r="V9" s="25" t="s">
        <v>2585</v>
      </c>
      <c r="W9" s="25" t="s">
        <v>2586</v>
      </c>
      <c r="X9" s="59">
        <v>45663.438888888893</v>
      </c>
      <c r="Y9" s="25" t="s">
        <v>2587</v>
      </c>
      <c r="Z9" s="25">
        <v>0.5</v>
      </c>
      <c r="AA9" s="25"/>
      <c r="AB9" s="25" t="s">
        <v>2521</v>
      </c>
      <c r="AC9" s="27" t="s">
        <v>2588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2534</v>
      </c>
      <c r="H10" s="25" t="s">
        <v>2507</v>
      </c>
      <c r="I10" s="25"/>
      <c r="J10" s="25"/>
      <c r="K10" s="25"/>
      <c r="L10" s="25"/>
      <c r="M10" s="26"/>
      <c r="N10" s="25"/>
      <c r="O10" s="26"/>
      <c r="P10" s="27"/>
      <c r="Q10" s="25" t="s">
        <v>2542</v>
      </c>
      <c r="R10" s="25" t="s">
        <v>2516</v>
      </c>
      <c r="S10" s="25" t="s">
        <v>25</v>
      </c>
      <c r="T10" s="25">
        <v>1</v>
      </c>
      <c r="U10" s="25" t="s">
        <v>2517</v>
      </c>
      <c r="V10" s="25" t="s">
        <v>2589</v>
      </c>
      <c r="W10" s="25" t="s">
        <v>2590</v>
      </c>
      <c r="X10" s="59">
        <v>45660.43472222222</v>
      </c>
      <c r="Y10" s="25"/>
      <c r="Z10" s="25">
        <v>0.3</v>
      </c>
      <c r="AA10" s="25"/>
      <c r="AB10" s="25" t="s">
        <v>2521</v>
      </c>
      <c r="AC10" s="27" t="s">
        <v>2591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2592</v>
      </c>
      <c r="E11" s="25" t="s">
        <v>2504</v>
      </c>
      <c r="F11" s="25">
        <v>4191</v>
      </c>
      <c r="G11" s="25" t="s">
        <v>2593</v>
      </c>
      <c r="H11" s="25" t="s">
        <v>2507</v>
      </c>
      <c r="I11" s="25" t="s">
        <v>2594</v>
      </c>
      <c r="J11" s="25" t="s">
        <v>2567</v>
      </c>
      <c r="K11" s="25" t="s">
        <v>2568</v>
      </c>
      <c r="L11" s="25" t="s">
        <v>2595</v>
      </c>
      <c r="M11" s="26" t="s">
        <v>2596</v>
      </c>
      <c r="N11" s="25" t="s">
        <v>2597</v>
      </c>
      <c r="O11" s="26" t="s">
        <v>2598</v>
      </c>
      <c r="P11" s="27" t="s">
        <v>2599</v>
      </c>
      <c r="Q11" s="25" t="s">
        <v>2600</v>
      </c>
      <c r="R11" s="25" t="s">
        <v>2516</v>
      </c>
      <c r="S11" s="25" t="s">
        <v>25</v>
      </c>
      <c r="T11" s="25">
        <v>1</v>
      </c>
      <c r="U11" s="25" t="s">
        <v>2517</v>
      </c>
      <c r="V11" s="25" t="s">
        <v>2601</v>
      </c>
      <c r="W11" s="25" t="s">
        <v>2602</v>
      </c>
      <c r="X11" s="59">
        <v>45660.506249999999</v>
      </c>
      <c r="Y11" s="25" t="s">
        <v>2603</v>
      </c>
      <c r="Z11" s="25">
        <v>0.5</v>
      </c>
      <c r="AA11" s="25"/>
      <c r="AB11" s="25" t="s">
        <v>2521</v>
      </c>
      <c r="AC11" s="27" t="s">
        <v>2604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2548</v>
      </c>
      <c r="H12" s="25" t="s">
        <v>2507</v>
      </c>
      <c r="I12" s="25"/>
      <c r="J12" s="25"/>
      <c r="K12" s="25"/>
      <c r="L12" s="25"/>
      <c r="M12" s="26"/>
      <c r="N12" s="25"/>
      <c r="O12" s="26"/>
      <c r="P12" s="27"/>
      <c r="Q12" s="25" t="s">
        <v>2552</v>
      </c>
      <c r="R12" s="25" t="s">
        <v>2516</v>
      </c>
      <c r="S12" s="25" t="s">
        <v>25</v>
      </c>
      <c r="T12" s="25">
        <v>1</v>
      </c>
      <c r="U12" s="25" t="s">
        <v>2517</v>
      </c>
      <c r="V12" s="25" t="s">
        <v>2605</v>
      </c>
      <c r="W12" s="25" t="s">
        <v>2606</v>
      </c>
      <c r="X12" s="59">
        <v>45660.463888888888</v>
      </c>
      <c r="Y12" s="25"/>
      <c r="Z12" s="25">
        <v>0.3</v>
      </c>
      <c r="AA12" s="25"/>
      <c r="AB12" s="25" t="s">
        <v>2521</v>
      </c>
      <c r="AC12" s="27" t="s">
        <v>2591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2607</v>
      </c>
      <c r="E13" s="25" t="s">
        <v>2504</v>
      </c>
      <c r="F13" s="25">
        <v>4680</v>
      </c>
      <c r="G13" s="25" t="s">
        <v>2608</v>
      </c>
      <c r="H13" s="25" t="s">
        <v>2609</v>
      </c>
      <c r="I13" s="25" t="s">
        <v>2610</v>
      </c>
      <c r="J13" s="25" t="s">
        <v>2567</v>
      </c>
      <c r="K13" s="25" t="s">
        <v>2568</v>
      </c>
      <c r="L13" s="25" t="s">
        <v>2611</v>
      </c>
      <c r="M13" s="26" t="s">
        <v>2612</v>
      </c>
      <c r="N13" s="25" t="s">
        <v>2613</v>
      </c>
      <c r="O13" s="26" t="s">
        <v>2614</v>
      </c>
      <c r="P13" s="27" t="s">
        <v>2615</v>
      </c>
      <c r="Q13" s="25" t="s">
        <v>2616</v>
      </c>
      <c r="R13" s="25" t="s">
        <v>2516</v>
      </c>
      <c r="S13" s="25" t="s">
        <v>173</v>
      </c>
      <c r="T13" s="25">
        <v>1</v>
      </c>
      <c r="U13" s="25" t="s">
        <v>2517</v>
      </c>
      <c r="V13" s="25" t="s">
        <v>2617</v>
      </c>
      <c r="W13" s="25" t="s">
        <v>2618</v>
      </c>
      <c r="X13" s="59">
        <v>45663.569444444453</v>
      </c>
      <c r="Y13" s="25" t="s">
        <v>2619</v>
      </c>
      <c r="Z13" s="25">
        <v>0.5</v>
      </c>
      <c r="AA13" s="25"/>
      <c r="AB13" s="25" t="s">
        <v>2521</v>
      </c>
      <c r="AC13" s="27" t="s">
        <v>2620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2621</v>
      </c>
      <c r="E14" s="25" t="s">
        <v>2504</v>
      </c>
      <c r="F14" s="25">
        <v>4680</v>
      </c>
      <c r="G14" s="25" t="s">
        <v>2608</v>
      </c>
      <c r="H14" s="25" t="s">
        <v>2609</v>
      </c>
      <c r="I14" s="25" t="s">
        <v>2622</v>
      </c>
      <c r="J14" s="25" t="s">
        <v>2567</v>
      </c>
      <c r="K14" s="25" t="s">
        <v>2568</v>
      </c>
      <c r="L14" s="25" t="s">
        <v>2611</v>
      </c>
      <c r="M14" s="26" t="s">
        <v>2612</v>
      </c>
      <c r="N14" s="25" t="s">
        <v>2613</v>
      </c>
      <c r="O14" s="26" t="s">
        <v>2614</v>
      </c>
      <c r="P14" s="27" t="s">
        <v>2623</v>
      </c>
      <c r="Q14" s="25" t="s">
        <v>2616</v>
      </c>
      <c r="R14" s="25" t="s">
        <v>2516</v>
      </c>
      <c r="S14" s="25" t="s">
        <v>173</v>
      </c>
      <c r="T14" s="25">
        <v>1</v>
      </c>
      <c r="U14" s="25" t="s">
        <v>2517</v>
      </c>
      <c r="V14" s="25" t="s">
        <v>2624</v>
      </c>
      <c r="W14" s="25" t="s">
        <v>2618</v>
      </c>
      <c r="X14" s="59">
        <v>45663.569444444453</v>
      </c>
      <c r="Y14" s="25" t="s">
        <v>2625</v>
      </c>
      <c r="Z14" s="25">
        <v>0.5</v>
      </c>
      <c r="AA14" s="25"/>
      <c r="AB14" s="25" t="s">
        <v>2521</v>
      </c>
      <c r="AC14" s="27" t="s">
        <v>2626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2593</v>
      </c>
      <c r="H15" s="25" t="s">
        <v>2507</v>
      </c>
      <c r="I15" s="25"/>
      <c r="J15" s="25"/>
      <c r="K15" s="25"/>
      <c r="L15" s="25"/>
      <c r="M15" s="26"/>
      <c r="N15" s="25"/>
      <c r="O15" s="26"/>
      <c r="P15" s="27"/>
      <c r="Q15" s="25" t="s">
        <v>2600</v>
      </c>
      <c r="R15" s="25" t="s">
        <v>2516</v>
      </c>
      <c r="S15" s="25" t="s">
        <v>25</v>
      </c>
      <c r="T15" s="25">
        <v>1</v>
      </c>
      <c r="U15" s="25" t="s">
        <v>2517</v>
      </c>
      <c r="V15" s="25" t="s">
        <v>2627</v>
      </c>
      <c r="W15" s="25" t="s">
        <v>2628</v>
      </c>
      <c r="X15" s="59">
        <v>45660.51666666667</v>
      </c>
      <c r="Y15" s="25"/>
      <c r="Z15" s="25">
        <v>0.4</v>
      </c>
      <c r="AA15" s="25"/>
      <c r="AB15" s="25" t="s">
        <v>2521</v>
      </c>
      <c r="AC15" s="27" t="s">
        <v>2591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2565</v>
      </c>
      <c r="H16" s="25" t="s">
        <v>2507</v>
      </c>
      <c r="I16" s="25"/>
      <c r="J16" s="25"/>
      <c r="K16" s="25"/>
      <c r="L16" s="25"/>
      <c r="M16" s="26"/>
      <c r="N16" s="25"/>
      <c r="O16" s="26"/>
      <c r="P16" s="27"/>
      <c r="Q16" s="25" t="s">
        <v>2573</v>
      </c>
      <c r="R16" s="25" t="s">
        <v>2516</v>
      </c>
      <c r="S16" s="25" t="s">
        <v>25</v>
      </c>
      <c r="T16" s="25">
        <v>1</v>
      </c>
      <c r="U16" s="25" t="s">
        <v>2517</v>
      </c>
      <c r="V16" s="25" t="s">
        <v>2629</v>
      </c>
      <c r="W16" s="25" t="s">
        <v>2630</v>
      </c>
      <c r="X16" s="59">
        <v>45660.541666666657</v>
      </c>
      <c r="Y16" s="25"/>
      <c r="Z16" s="25">
        <v>0.5</v>
      </c>
      <c r="AA16" s="25"/>
      <c r="AB16" s="25" t="s">
        <v>2521</v>
      </c>
      <c r="AC16" s="27" t="s">
        <v>2591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2631</v>
      </c>
      <c r="H17" s="25" t="s">
        <v>2507</v>
      </c>
      <c r="I17" s="25"/>
      <c r="J17" s="25"/>
      <c r="K17" s="25"/>
      <c r="L17" s="25"/>
      <c r="M17" s="26"/>
      <c r="N17" s="25"/>
      <c r="O17" s="26"/>
      <c r="P17" s="27"/>
      <c r="Q17" s="25" t="s">
        <v>2632</v>
      </c>
      <c r="R17" s="25" t="s">
        <v>2516</v>
      </c>
      <c r="S17" s="25" t="s">
        <v>25</v>
      </c>
      <c r="T17" s="25">
        <v>1</v>
      </c>
      <c r="U17" s="25" t="s">
        <v>2517</v>
      </c>
      <c r="V17" s="25" t="s">
        <v>2633</v>
      </c>
      <c r="W17" s="25" t="s">
        <v>2634</v>
      </c>
      <c r="X17" s="59">
        <v>45660.622916666667</v>
      </c>
      <c r="Y17" s="25"/>
      <c r="Z17" s="25">
        <v>0.5</v>
      </c>
      <c r="AA17" s="25"/>
      <c r="AB17" s="25" t="s">
        <v>2521</v>
      </c>
      <c r="AC17" s="27" t="s">
        <v>2591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2635</v>
      </c>
      <c r="H18" s="25" t="s">
        <v>2507</v>
      </c>
      <c r="I18" s="25"/>
      <c r="J18" s="25"/>
      <c r="K18" s="25"/>
      <c r="L18" s="25"/>
      <c r="M18" s="26"/>
      <c r="N18" s="25"/>
      <c r="O18" s="26"/>
      <c r="P18" s="27"/>
      <c r="Q18" s="25" t="s">
        <v>2636</v>
      </c>
      <c r="R18" s="25" t="s">
        <v>2516</v>
      </c>
      <c r="S18" s="25" t="s">
        <v>25</v>
      </c>
      <c r="T18" s="25">
        <v>1</v>
      </c>
      <c r="U18" s="25" t="s">
        <v>2517</v>
      </c>
      <c r="V18" s="25" t="s">
        <v>2637</v>
      </c>
      <c r="W18" s="25" t="s">
        <v>2638</v>
      </c>
      <c r="X18" s="59">
        <v>45660.659722222219</v>
      </c>
      <c r="Y18" s="25"/>
      <c r="Z18" s="25">
        <v>0.5</v>
      </c>
      <c r="AA18" s="25"/>
      <c r="AB18" s="25" t="s">
        <v>2521</v>
      </c>
      <c r="AC18" s="27" t="s">
        <v>2591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2639</v>
      </c>
      <c r="E19" s="25" t="s">
        <v>2504</v>
      </c>
      <c r="F19" s="25">
        <v>4036</v>
      </c>
      <c r="G19" s="25" t="s">
        <v>2640</v>
      </c>
      <c r="H19" s="25" t="s">
        <v>2641</v>
      </c>
      <c r="I19" s="25" t="s">
        <v>2642</v>
      </c>
      <c r="J19" s="25" t="s">
        <v>2643</v>
      </c>
      <c r="K19" s="25" t="s">
        <v>2510</v>
      </c>
      <c r="L19" s="25" t="s">
        <v>2511</v>
      </c>
      <c r="M19" s="26" t="s">
        <v>2512</v>
      </c>
      <c r="N19" s="25">
        <v>2304</v>
      </c>
      <c r="O19" s="26" t="s">
        <v>2513</v>
      </c>
      <c r="P19" s="27" t="s">
        <v>2644</v>
      </c>
      <c r="Q19" s="25" t="s">
        <v>2645</v>
      </c>
      <c r="R19" s="25" t="s">
        <v>2516</v>
      </c>
      <c r="S19" s="25" t="s">
        <v>25</v>
      </c>
      <c r="T19" s="25">
        <v>1</v>
      </c>
      <c r="U19" s="25" t="s">
        <v>2517</v>
      </c>
      <c r="V19" s="25" t="s">
        <v>2646</v>
      </c>
      <c r="W19" s="25" t="s">
        <v>2647</v>
      </c>
      <c r="X19" s="59">
        <v>45663.601388888892</v>
      </c>
      <c r="Y19" s="25" t="s">
        <v>2648</v>
      </c>
      <c r="Z19" s="25">
        <v>0.5</v>
      </c>
      <c r="AA19" s="25"/>
      <c r="AB19" s="25" t="s">
        <v>2521</v>
      </c>
      <c r="AC19" s="27" t="s">
        <v>2649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2650</v>
      </c>
      <c r="E20" s="25" t="s">
        <v>2504</v>
      </c>
      <c r="F20" s="25">
        <v>4036</v>
      </c>
      <c r="G20" s="25" t="s">
        <v>2640</v>
      </c>
      <c r="H20" s="25" t="s">
        <v>2641</v>
      </c>
      <c r="I20" s="25" t="s">
        <v>2651</v>
      </c>
      <c r="J20" s="25" t="s">
        <v>2643</v>
      </c>
      <c r="K20" s="25" t="s">
        <v>2510</v>
      </c>
      <c r="L20" s="25" t="s">
        <v>2511</v>
      </c>
      <c r="M20" s="26" t="s">
        <v>2512</v>
      </c>
      <c r="N20" s="25">
        <v>2304</v>
      </c>
      <c r="O20" s="26" t="s">
        <v>2513</v>
      </c>
      <c r="P20" s="27" t="s">
        <v>2652</v>
      </c>
      <c r="Q20" s="25" t="s">
        <v>2645</v>
      </c>
      <c r="R20" s="25" t="s">
        <v>2516</v>
      </c>
      <c r="S20" s="25" t="s">
        <v>25</v>
      </c>
      <c r="T20" s="25">
        <v>1</v>
      </c>
      <c r="U20" s="25" t="s">
        <v>2517</v>
      </c>
      <c r="V20" s="25" t="s">
        <v>2653</v>
      </c>
      <c r="W20" s="25" t="s">
        <v>2654</v>
      </c>
      <c r="X20" s="59">
        <v>45663.6</v>
      </c>
      <c r="Y20" s="25" t="s">
        <v>2648</v>
      </c>
      <c r="Z20" s="25">
        <v>0.5</v>
      </c>
      <c r="AA20" s="25"/>
      <c r="AB20" s="25" t="s">
        <v>2521</v>
      </c>
      <c r="AC20" s="27" t="s">
        <v>2655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2656</v>
      </c>
      <c r="E21" s="25" t="s">
        <v>2504</v>
      </c>
      <c r="F21" s="25" t="s">
        <v>2657</v>
      </c>
      <c r="G21" s="25" t="s">
        <v>2658</v>
      </c>
      <c r="H21" s="25" t="s">
        <v>2659</v>
      </c>
      <c r="I21" s="25" t="s">
        <v>2660</v>
      </c>
      <c r="J21" s="25" t="s">
        <v>2661</v>
      </c>
      <c r="K21" s="25" t="s">
        <v>2568</v>
      </c>
      <c r="L21" s="25" t="s">
        <v>2662</v>
      </c>
      <c r="M21" s="26" t="s">
        <v>2663</v>
      </c>
      <c r="N21" s="25">
        <v>2701</v>
      </c>
      <c r="O21" s="26" t="s">
        <v>2664</v>
      </c>
      <c r="P21" s="27" t="s">
        <v>2665</v>
      </c>
      <c r="Q21" s="25" t="s">
        <v>2666</v>
      </c>
      <c r="R21" s="25" t="s">
        <v>2516</v>
      </c>
      <c r="S21" s="25" t="s">
        <v>185</v>
      </c>
      <c r="T21" s="25">
        <v>1</v>
      </c>
      <c r="U21" s="25" t="s">
        <v>2517</v>
      </c>
      <c r="V21" s="25" t="s">
        <v>2667</v>
      </c>
      <c r="W21" s="25" t="s">
        <v>2668</v>
      </c>
      <c r="X21" s="59">
        <v>45663.538194444453</v>
      </c>
      <c r="Y21" s="25" t="s">
        <v>2669</v>
      </c>
      <c r="Z21" s="25">
        <v>1.4</v>
      </c>
      <c r="AA21" s="25"/>
      <c r="AB21" s="25" t="s">
        <v>2521</v>
      </c>
      <c r="AC21" s="27" t="s">
        <v>2670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2579</v>
      </c>
      <c r="G22" s="25" t="s">
        <v>2580</v>
      </c>
      <c r="H22" s="25" t="s">
        <v>1604</v>
      </c>
      <c r="I22" s="25"/>
      <c r="J22" s="25"/>
      <c r="K22" s="25"/>
      <c r="L22" s="25"/>
      <c r="M22" s="26"/>
      <c r="N22" s="25"/>
      <c r="O22" s="26"/>
      <c r="P22" s="27"/>
      <c r="Q22" s="25" t="s">
        <v>2584</v>
      </c>
      <c r="R22" s="25" t="s">
        <v>2516</v>
      </c>
      <c r="S22" s="25" t="s">
        <v>25</v>
      </c>
      <c r="T22" s="25">
        <v>1</v>
      </c>
      <c r="U22" s="25" t="s">
        <v>2517</v>
      </c>
      <c r="V22" s="25" t="s">
        <v>2671</v>
      </c>
      <c r="W22" s="25" t="s">
        <v>2672</v>
      </c>
      <c r="X22" s="59">
        <v>45663.465277777781</v>
      </c>
      <c r="Y22" s="25"/>
      <c r="Z22" s="25">
        <v>0.7</v>
      </c>
      <c r="AA22" s="25"/>
      <c r="AB22" s="25" t="s">
        <v>2521</v>
      </c>
      <c r="AC22" s="27" t="s">
        <v>2591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2657</v>
      </c>
      <c r="G23" s="25" t="s">
        <v>2658</v>
      </c>
      <c r="H23" s="25" t="s">
        <v>2659</v>
      </c>
      <c r="I23" s="25"/>
      <c r="J23" s="25"/>
      <c r="K23" s="25"/>
      <c r="L23" s="25"/>
      <c r="M23" s="26"/>
      <c r="N23" s="25"/>
      <c r="O23" s="26"/>
      <c r="P23" s="27"/>
      <c r="Q23" s="25" t="s">
        <v>2666</v>
      </c>
      <c r="R23" s="25" t="s">
        <v>2516</v>
      </c>
      <c r="S23" s="25" t="s">
        <v>185</v>
      </c>
      <c r="T23" s="25">
        <v>1</v>
      </c>
      <c r="U23" s="25" t="s">
        <v>2517</v>
      </c>
      <c r="V23" s="25" t="s">
        <v>2673</v>
      </c>
      <c r="W23" s="25" t="s">
        <v>2674</v>
      </c>
      <c r="X23" s="59">
        <v>45663.548611111109</v>
      </c>
      <c r="Y23" s="25"/>
      <c r="Z23" s="25">
        <v>0.3</v>
      </c>
      <c r="AA23" s="25"/>
      <c r="AB23" s="25" t="s">
        <v>2521</v>
      </c>
      <c r="AC23" s="27" t="s">
        <v>2591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2675</v>
      </c>
      <c r="E24" s="25" t="s">
        <v>2504</v>
      </c>
      <c r="F24" s="25">
        <v>4145</v>
      </c>
      <c r="G24" s="25" t="s">
        <v>2676</v>
      </c>
      <c r="H24" s="25" t="s">
        <v>2609</v>
      </c>
      <c r="I24" s="25" t="s">
        <v>2677</v>
      </c>
      <c r="J24" s="25" t="s">
        <v>2661</v>
      </c>
      <c r="K24" s="25" t="s">
        <v>2510</v>
      </c>
      <c r="L24" s="25" t="s">
        <v>2511</v>
      </c>
      <c r="M24" s="26" t="s">
        <v>2512</v>
      </c>
      <c r="N24" s="25">
        <v>2307</v>
      </c>
      <c r="O24" s="26" t="s">
        <v>2678</v>
      </c>
      <c r="P24" s="27" t="s">
        <v>2679</v>
      </c>
      <c r="Q24" s="25" t="s">
        <v>2680</v>
      </c>
      <c r="R24" s="25" t="s">
        <v>2516</v>
      </c>
      <c r="S24" s="25" t="s">
        <v>173</v>
      </c>
      <c r="T24" s="25">
        <v>1</v>
      </c>
      <c r="U24" s="25" t="s">
        <v>2517</v>
      </c>
      <c r="V24" s="25" t="s">
        <v>2681</v>
      </c>
      <c r="W24" s="25" t="s">
        <v>2682</v>
      </c>
      <c r="X24" s="59">
        <v>45663.619444444441</v>
      </c>
      <c r="Y24" s="25" t="s">
        <v>2683</v>
      </c>
      <c r="Z24" s="25">
        <v>0.5</v>
      </c>
      <c r="AA24" s="25"/>
      <c r="AB24" s="25"/>
      <c r="AC24" s="27" t="s">
        <v>2684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2685</v>
      </c>
      <c r="G25" s="25" t="s">
        <v>2686</v>
      </c>
      <c r="H25" s="25" t="s">
        <v>2609</v>
      </c>
      <c r="I25" s="25"/>
      <c r="J25" s="25"/>
      <c r="K25" s="25"/>
      <c r="L25" s="25"/>
      <c r="M25" s="26"/>
      <c r="N25" s="25"/>
      <c r="O25" s="26"/>
      <c r="P25" s="27"/>
      <c r="Q25" s="25" t="s">
        <v>2687</v>
      </c>
      <c r="R25" s="25" t="s">
        <v>2516</v>
      </c>
      <c r="S25" s="25" t="s">
        <v>173</v>
      </c>
      <c r="T25" s="25">
        <v>1</v>
      </c>
      <c r="U25" s="25" t="s">
        <v>2517</v>
      </c>
      <c r="V25" s="25" t="s">
        <v>2688</v>
      </c>
      <c r="W25" s="25" t="s">
        <v>2689</v>
      </c>
      <c r="X25" s="59">
        <v>45663.586805555547</v>
      </c>
      <c r="Y25" s="25"/>
      <c r="Z25" s="25">
        <v>0.3</v>
      </c>
      <c r="AA25" s="25"/>
      <c r="AB25" s="25" t="s">
        <v>2521</v>
      </c>
      <c r="AC25" s="27" t="s">
        <v>2591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2640</v>
      </c>
      <c r="H26" s="25" t="s">
        <v>2641</v>
      </c>
      <c r="I26" s="25"/>
      <c r="J26" s="25"/>
      <c r="K26" s="25"/>
      <c r="L26" s="25"/>
      <c r="M26" s="26"/>
      <c r="N26" s="25"/>
      <c r="O26" s="26"/>
      <c r="P26" s="27"/>
      <c r="Q26" s="25" t="s">
        <v>2645</v>
      </c>
      <c r="R26" s="25" t="s">
        <v>2516</v>
      </c>
      <c r="S26" s="25" t="s">
        <v>25</v>
      </c>
      <c r="T26" s="25">
        <v>1</v>
      </c>
      <c r="U26" s="25" t="s">
        <v>2517</v>
      </c>
      <c r="V26" s="25" t="s">
        <v>2690</v>
      </c>
      <c r="W26" s="25" t="s">
        <v>2691</v>
      </c>
      <c r="X26" s="59">
        <v>45663.603472222218</v>
      </c>
      <c r="Y26" s="25"/>
      <c r="Z26" s="25">
        <v>0.7</v>
      </c>
      <c r="AA26" s="25"/>
      <c r="AB26" s="25" t="s">
        <v>2521</v>
      </c>
      <c r="AC26" s="27" t="s">
        <v>2591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2692</v>
      </c>
      <c r="H27" s="25" t="s">
        <v>2659</v>
      </c>
      <c r="I27" s="25"/>
      <c r="J27" s="25"/>
      <c r="K27" s="25"/>
      <c r="L27" s="25"/>
      <c r="M27" s="26"/>
      <c r="N27" s="25"/>
      <c r="O27" s="26"/>
      <c r="P27" s="27"/>
      <c r="Q27" s="25" t="s">
        <v>2693</v>
      </c>
      <c r="R27" s="25" t="s">
        <v>2516</v>
      </c>
      <c r="S27" s="25" t="s">
        <v>185</v>
      </c>
      <c r="T27" s="25">
        <v>1</v>
      </c>
      <c r="U27" s="25" t="s">
        <v>2517</v>
      </c>
      <c r="V27" s="25" t="s">
        <v>2694</v>
      </c>
      <c r="W27" s="25" t="s">
        <v>2695</v>
      </c>
      <c r="X27" s="59">
        <v>45663.635416666657</v>
      </c>
      <c r="Y27" s="25"/>
      <c r="Z27" s="25">
        <v>0.3</v>
      </c>
      <c r="AA27" s="25"/>
      <c r="AB27" s="25" t="s">
        <v>2521</v>
      </c>
      <c r="AC27" s="27" t="s">
        <v>2591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2696</v>
      </c>
      <c r="E28" s="25" t="s">
        <v>2504</v>
      </c>
      <c r="F28" s="25">
        <v>3977</v>
      </c>
      <c r="G28" s="25" t="s">
        <v>2697</v>
      </c>
      <c r="H28" s="25" t="s">
        <v>2609</v>
      </c>
      <c r="I28" s="25" t="s">
        <v>2698</v>
      </c>
      <c r="J28" s="25" t="s">
        <v>2661</v>
      </c>
      <c r="K28" s="25" t="s">
        <v>2510</v>
      </c>
      <c r="L28" s="25" t="s">
        <v>2611</v>
      </c>
      <c r="M28" s="26" t="s">
        <v>2612</v>
      </c>
      <c r="N28" s="25" t="s">
        <v>2613</v>
      </c>
      <c r="O28" s="26" t="s">
        <v>2614</v>
      </c>
      <c r="P28" s="27" t="s">
        <v>2699</v>
      </c>
      <c r="Q28" s="25" t="s">
        <v>2700</v>
      </c>
      <c r="R28" s="25" t="s">
        <v>2516</v>
      </c>
      <c r="S28" s="25" t="s">
        <v>173</v>
      </c>
      <c r="T28" s="25">
        <v>1</v>
      </c>
      <c r="U28" s="25" t="s">
        <v>2517</v>
      </c>
      <c r="V28" s="25" t="s">
        <v>2701</v>
      </c>
      <c r="W28" s="25" t="s">
        <v>2702</v>
      </c>
      <c r="X28" s="59">
        <v>45664.623611111107</v>
      </c>
      <c r="Y28" s="25" t="s">
        <v>2703</v>
      </c>
      <c r="Z28" s="25">
        <v>0.4</v>
      </c>
      <c r="AA28" s="25"/>
      <c r="AB28" s="25" t="s">
        <v>2521</v>
      </c>
      <c r="AC28" s="27" t="s">
        <v>2704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2705</v>
      </c>
      <c r="E29" s="25" t="s">
        <v>2504</v>
      </c>
      <c r="F29" s="25">
        <v>3977</v>
      </c>
      <c r="G29" s="25" t="s">
        <v>2697</v>
      </c>
      <c r="H29" s="25" t="s">
        <v>2609</v>
      </c>
      <c r="I29" s="25" t="s">
        <v>2706</v>
      </c>
      <c r="J29" s="25" t="s">
        <v>2661</v>
      </c>
      <c r="K29" s="25" t="s">
        <v>2510</v>
      </c>
      <c r="L29" s="25" t="s">
        <v>2611</v>
      </c>
      <c r="M29" s="26" t="s">
        <v>2612</v>
      </c>
      <c r="N29" s="25" t="s">
        <v>2613</v>
      </c>
      <c r="O29" s="26" t="s">
        <v>2614</v>
      </c>
      <c r="P29" s="27" t="s">
        <v>2707</v>
      </c>
      <c r="Q29" s="25" t="s">
        <v>2700</v>
      </c>
      <c r="R29" s="25" t="s">
        <v>2516</v>
      </c>
      <c r="S29" s="25" t="s">
        <v>173</v>
      </c>
      <c r="T29" s="25">
        <v>1</v>
      </c>
      <c r="U29" s="25" t="s">
        <v>2517</v>
      </c>
      <c r="V29" s="25" t="s">
        <v>2708</v>
      </c>
      <c r="W29" s="25" t="s">
        <v>2702</v>
      </c>
      <c r="X29" s="59">
        <v>45664.623611111107</v>
      </c>
      <c r="Y29" s="25" t="s">
        <v>2703</v>
      </c>
      <c r="Z29" s="25">
        <v>0.4</v>
      </c>
      <c r="AA29" s="25"/>
      <c r="AB29" s="25" t="s">
        <v>2521</v>
      </c>
      <c r="AC29" s="27" t="s">
        <v>2709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2710</v>
      </c>
      <c r="H30" s="25" t="s">
        <v>2659</v>
      </c>
      <c r="I30" s="25"/>
      <c r="J30" s="25"/>
      <c r="K30" s="25"/>
      <c r="L30" s="25"/>
      <c r="M30" s="26"/>
      <c r="N30" s="25"/>
      <c r="O30" s="26"/>
      <c r="P30" s="27"/>
      <c r="Q30" s="25" t="s">
        <v>2711</v>
      </c>
      <c r="R30" s="25" t="s">
        <v>2516</v>
      </c>
      <c r="S30" s="25" t="s">
        <v>185</v>
      </c>
      <c r="T30" s="25">
        <v>1</v>
      </c>
      <c r="U30" s="25" t="s">
        <v>2517</v>
      </c>
      <c r="V30" s="25" t="s">
        <v>2712</v>
      </c>
      <c r="W30" s="25" t="s">
        <v>2713</v>
      </c>
      <c r="X30" s="59">
        <v>45663.673611111109</v>
      </c>
      <c r="Y30" s="25"/>
      <c r="Z30" s="25">
        <v>0.3</v>
      </c>
      <c r="AA30" s="25"/>
      <c r="AB30" s="25" t="s">
        <v>2521</v>
      </c>
      <c r="AC30" s="27" t="s">
        <v>2591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2714</v>
      </c>
      <c r="E31" s="25" t="s">
        <v>2504</v>
      </c>
      <c r="F31" s="25">
        <v>4184</v>
      </c>
      <c r="G31" s="25" t="s">
        <v>2715</v>
      </c>
      <c r="H31" s="25" t="s">
        <v>2507</v>
      </c>
      <c r="I31" s="25" t="s">
        <v>2716</v>
      </c>
      <c r="J31" s="25" t="s">
        <v>2661</v>
      </c>
      <c r="K31" s="25" t="s">
        <v>2717</v>
      </c>
      <c r="L31" s="25" t="s">
        <v>2569</v>
      </c>
      <c r="M31" s="26" t="s">
        <v>2570</v>
      </c>
      <c r="N31" s="25">
        <v>2501</v>
      </c>
      <c r="O31" s="26" t="s">
        <v>2571</v>
      </c>
      <c r="P31" s="27" t="s">
        <v>2718</v>
      </c>
      <c r="Q31" s="25" t="s">
        <v>2719</v>
      </c>
      <c r="R31" s="25" t="s">
        <v>2516</v>
      </c>
      <c r="S31" s="25" t="s">
        <v>25</v>
      </c>
      <c r="T31" s="25">
        <v>1</v>
      </c>
      <c r="U31" s="25" t="s">
        <v>2517</v>
      </c>
      <c r="V31" s="25" t="s">
        <v>2720</v>
      </c>
      <c r="W31" s="25" t="s">
        <v>2721</v>
      </c>
      <c r="X31" s="59">
        <v>45664.410416666673</v>
      </c>
      <c r="Y31" s="25" t="s">
        <v>2722</v>
      </c>
      <c r="Z31" s="25">
        <v>0.5</v>
      </c>
      <c r="AA31" s="25"/>
      <c r="AB31" s="25" t="s">
        <v>2521</v>
      </c>
      <c r="AC31" s="27" t="s">
        <v>2723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2724</v>
      </c>
      <c r="G32" s="25" t="s">
        <v>2725</v>
      </c>
      <c r="H32" s="25" t="s">
        <v>2641</v>
      </c>
      <c r="I32" s="25"/>
      <c r="J32" s="25"/>
      <c r="K32" s="25"/>
      <c r="L32" s="25"/>
      <c r="M32" s="26"/>
      <c r="N32" s="25"/>
      <c r="O32" s="26"/>
      <c r="P32" s="27"/>
      <c r="Q32" s="25" t="s">
        <v>2726</v>
      </c>
      <c r="R32" s="25" t="s">
        <v>2516</v>
      </c>
      <c r="S32" s="25" t="s">
        <v>25</v>
      </c>
      <c r="T32" s="25">
        <v>1</v>
      </c>
      <c r="U32" s="25" t="s">
        <v>2517</v>
      </c>
      <c r="V32" s="25" t="s">
        <v>2727</v>
      </c>
      <c r="W32" s="25" t="s">
        <v>2728</v>
      </c>
      <c r="X32" s="59">
        <v>45664.484027777777</v>
      </c>
      <c r="Y32" s="25"/>
      <c r="Z32" s="25">
        <v>0.3</v>
      </c>
      <c r="AA32" s="25"/>
      <c r="AB32" s="25" t="s">
        <v>2521</v>
      </c>
      <c r="AC32" s="27" t="s">
        <v>2591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2729</v>
      </c>
      <c r="H33" s="25" t="s">
        <v>2641</v>
      </c>
      <c r="I33" s="25"/>
      <c r="J33" s="25"/>
      <c r="K33" s="25"/>
      <c r="L33" s="25"/>
      <c r="M33" s="26"/>
      <c r="N33" s="25"/>
      <c r="O33" s="26"/>
      <c r="P33" s="27"/>
      <c r="Q33" s="25" t="s">
        <v>2730</v>
      </c>
      <c r="R33" s="25" t="s">
        <v>2516</v>
      </c>
      <c r="S33" s="25" t="s">
        <v>25</v>
      </c>
      <c r="T33" s="25">
        <v>1</v>
      </c>
      <c r="U33" s="25" t="s">
        <v>2517</v>
      </c>
      <c r="V33" s="25" t="s">
        <v>2731</v>
      </c>
      <c r="W33" s="25" t="s">
        <v>2732</v>
      </c>
      <c r="X33" s="59">
        <v>45664.530555555553</v>
      </c>
      <c r="Y33" s="25"/>
      <c r="Z33" s="25">
        <v>0.3</v>
      </c>
      <c r="AA33" s="25"/>
      <c r="AB33" s="25" t="s">
        <v>2521</v>
      </c>
      <c r="AC33" s="27" t="s">
        <v>2591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2733</v>
      </c>
      <c r="H34" s="25" t="s">
        <v>2641</v>
      </c>
      <c r="I34" s="25"/>
      <c r="J34" s="25"/>
      <c r="K34" s="25"/>
      <c r="L34" s="25"/>
      <c r="M34" s="26"/>
      <c r="N34" s="25"/>
      <c r="O34" s="26"/>
      <c r="P34" s="27"/>
      <c r="Q34" s="25" t="s">
        <v>2734</v>
      </c>
      <c r="R34" s="25" t="s">
        <v>2516</v>
      </c>
      <c r="S34" s="25" t="s">
        <v>25</v>
      </c>
      <c r="T34" s="25">
        <v>1</v>
      </c>
      <c r="U34" s="25" t="s">
        <v>2517</v>
      </c>
      <c r="V34" s="25" t="s">
        <v>2735</v>
      </c>
      <c r="W34" s="25" t="s">
        <v>2736</v>
      </c>
      <c r="X34" s="59">
        <v>45664.546527777777</v>
      </c>
      <c r="Y34" s="25"/>
      <c r="Z34" s="25">
        <v>0.3</v>
      </c>
      <c r="AA34" s="25"/>
      <c r="AB34" s="25" t="s">
        <v>2521</v>
      </c>
      <c r="AC34" s="27" t="s">
        <v>2591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2737</v>
      </c>
      <c r="H35" s="25" t="s">
        <v>2507</v>
      </c>
      <c r="I35" s="25"/>
      <c r="J35" s="25"/>
      <c r="K35" s="25"/>
      <c r="L35" s="25"/>
      <c r="M35" s="26"/>
      <c r="N35" s="25"/>
      <c r="O35" s="26"/>
      <c r="P35" s="27"/>
      <c r="Q35" s="25" t="s">
        <v>2738</v>
      </c>
      <c r="R35" s="25" t="s">
        <v>2516</v>
      </c>
      <c r="S35" s="25" t="s">
        <v>25</v>
      </c>
      <c r="T35" s="25">
        <v>1</v>
      </c>
      <c r="U35" s="25" t="s">
        <v>2517</v>
      </c>
      <c r="V35" s="25" t="s">
        <v>2739</v>
      </c>
      <c r="W35" s="25" t="s">
        <v>2740</v>
      </c>
      <c r="X35" s="59">
        <v>45664.611111111109</v>
      </c>
      <c r="Y35" s="25"/>
      <c r="Z35" s="25">
        <v>12.3</v>
      </c>
      <c r="AA35" s="25"/>
      <c r="AB35" s="25" t="s">
        <v>2521</v>
      </c>
      <c r="AC35" s="27" t="s">
        <v>2591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2741</v>
      </c>
      <c r="E36" s="25" t="s">
        <v>2504</v>
      </c>
      <c r="F36" s="25">
        <v>3977</v>
      </c>
      <c r="G36" s="25" t="s">
        <v>2697</v>
      </c>
      <c r="H36" s="25" t="s">
        <v>2609</v>
      </c>
      <c r="I36" s="25" t="s">
        <v>2742</v>
      </c>
      <c r="J36" s="25" t="s">
        <v>2509</v>
      </c>
      <c r="K36" s="25" t="s">
        <v>2510</v>
      </c>
      <c r="L36" s="25" t="s">
        <v>2537</v>
      </c>
      <c r="M36" s="26" t="s">
        <v>2538</v>
      </c>
      <c r="N36" s="25" t="s">
        <v>2539</v>
      </c>
      <c r="O36" s="26" t="s">
        <v>2540</v>
      </c>
      <c r="P36" s="27" t="s">
        <v>2743</v>
      </c>
      <c r="Q36" s="25" t="s">
        <v>2700</v>
      </c>
      <c r="R36" s="25" t="s">
        <v>2516</v>
      </c>
      <c r="S36" s="25" t="s">
        <v>173</v>
      </c>
      <c r="T36" s="25">
        <v>1</v>
      </c>
      <c r="U36" s="25" t="s">
        <v>2517</v>
      </c>
      <c r="V36" s="25" t="s">
        <v>2744</v>
      </c>
      <c r="W36" s="25" t="s">
        <v>2702</v>
      </c>
      <c r="X36" s="59">
        <v>45664.631944444453</v>
      </c>
      <c r="Y36" s="25" t="s">
        <v>2745</v>
      </c>
      <c r="Z36" s="25">
        <v>0.6</v>
      </c>
      <c r="AA36" s="25"/>
      <c r="AB36" s="25" t="s">
        <v>2521</v>
      </c>
      <c r="AC36" s="27" t="s">
        <v>2746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2747</v>
      </c>
      <c r="G37" s="25" t="s">
        <v>2748</v>
      </c>
      <c r="H37" s="25" t="s">
        <v>2507</v>
      </c>
      <c r="I37" s="25"/>
      <c r="J37" s="25"/>
      <c r="K37" s="25"/>
      <c r="L37" s="25"/>
      <c r="M37" s="26"/>
      <c r="N37" s="25"/>
      <c r="O37" s="26"/>
      <c r="P37" s="27"/>
      <c r="Q37" s="25" t="s">
        <v>2749</v>
      </c>
      <c r="R37" s="25" t="s">
        <v>2516</v>
      </c>
      <c r="S37" s="25" t="s">
        <v>25</v>
      </c>
      <c r="T37" s="25">
        <v>1</v>
      </c>
      <c r="U37" s="25" t="s">
        <v>2517</v>
      </c>
      <c r="V37" s="25" t="s">
        <v>2750</v>
      </c>
      <c r="W37" s="25" t="s">
        <v>2751</v>
      </c>
      <c r="X37" s="59">
        <v>45664.631944444453</v>
      </c>
      <c r="Y37" s="25"/>
      <c r="Z37" s="25">
        <v>0.3</v>
      </c>
      <c r="AA37" s="25"/>
      <c r="AB37" s="25" t="s">
        <v>2521</v>
      </c>
      <c r="AC37" s="27" t="s">
        <v>2591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2697</v>
      </c>
      <c r="H38" s="25" t="s">
        <v>2609</v>
      </c>
      <c r="I38" s="25"/>
      <c r="J38" s="25"/>
      <c r="K38" s="25"/>
      <c r="L38" s="25"/>
      <c r="M38" s="26"/>
      <c r="N38" s="25"/>
      <c r="O38" s="26"/>
      <c r="P38" s="27"/>
      <c r="Q38" s="25" t="s">
        <v>2700</v>
      </c>
      <c r="R38" s="25" t="s">
        <v>2516</v>
      </c>
      <c r="S38" s="25" t="s">
        <v>173</v>
      </c>
      <c r="T38" s="25">
        <v>1</v>
      </c>
      <c r="U38" s="25" t="s">
        <v>2517</v>
      </c>
      <c r="V38" s="25" t="s">
        <v>2752</v>
      </c>
      <c r="W38" s="25" t="s">
        <v>2753</v>
      </c>
      <c r="X38" s="59">
        <v>45664.631944444453</v>
      </c>
      <c r="Y38" s="25"/>
      <c r="Z38" s="25">
        <v>0.3</v>
      </c>
      <c r="AA38" s="25"/>
      <c r="AB38" s="25" t="s">
        <v>2521</v>
      </c>
      <c r="AC38" s="27" t="s">
        <v>2591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2754</v>
      </c>
      <c r="H39" s="25" t="s">
        <v>2507</v>
      </c>
      <c r="I39" s="25"/>
      <c r="J39" s="25"/>
      <c r="K39" s="25"/>
      <c r="L39" s="25"/>
      <c r="M39" s="26"/>
      <c r="N39" s="25"/>
      <c r="O39" s="26"/>
      <c r="P39" s="27"/>
      <c r="Q39" s="25" t="s">
        <v>2755</v>
      </c>
      <c r="R39" s="25" t="s">
        <v>2516</v>
      </c>
      <c r="S39" s="25" t="s">
        <v>25</v>
      </c>
      <c r="T39" s="25">
        <v>1</v>
      </c>
      <c r="U39" s="25" t="s">
        <v>2517</v>
      </c>
      <c r="V39" s="25" t="s">
        <v>2756</v>
      </c>
      <c r="W39" s="25" t="s">
        <v>2757</v>
      </c>
      <c r="X39" s="59">
        <v>45664.662499999999</v>
      </c>
      <c r="Y39" s="25"/>
      <c r="Z39" s="25">
        <v>0.4</v>
      </c>
      <c r="AA39" s="25"/>
      <c r="AB39" s="25" t="s">
        <v>2521</v>
      </c>
      <c r="AC39" s="27" t="s">
        <v>2591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2758</v>
      </c>
      <c r="H40" s="25" t="s">
        <v>2507</v>
      </c>
      <c r="I40" s="25"/>
      <c r="J40" s="25"/>
      <c r="K40" s="25"/>
      <c r="L40" s="25"/>
      <c r="M40" s="26"/>
      <c r="N40" s="25"/>
      <c r="O40" s="26"/>
      <c r="P40" s="27"/>
      <c r="Q40" s="25" t="s">
        <v>2759</v>
      </c>
      <c r="R40" s="25" t="s">
        <v>2516</v>
      </c>
      <c r="S40" s="25" t="s">
        <v>25</v>
      </c>
      <c r="T40" s="25">
        <v>1</v>
      </c>
      <c r="U40" s="25" t="s">
        <v>2517</v>
      </c>
      <c r="V40" s="25" t="s">
        <v>2760</v>
      </c>
      <c r="W40" s="25" t="s">
        <v>2761</v>
      </c>
      <c r="X40" s="59">
        <v>45664.704861111109</v>
      </c>
      <c r="Y40" s="25"/>
      <c r="Z40" s="25">
        <v>0.4</v>
      </c>
      <c r="AA40" s="25"/>
      <c r="AB40" s="25" t="s">
        <v>2521</v>
      </c>
      <c r="AC40" s="27" t="s">
        <v>2591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2762</v>
      </c>
      <c r="E41" s="25" t="s">
        <v>2504</v>
      </c>
      <c r="F41" s="25">
        <v>4856</v>
      </c>
      <c r="G41" s="25" t="s">
        <v>2763</v>
      </c>
      <c r="H41" s="25" t="s">
        <v>2659</v>
      </c>
      <c r="I41" s="25" t="s">
        <v>2764</v>
      </c>
      <c r="J41" s="25" t="s">
        <v>2536</v>
      </c>
      <c r="K41" s="25" t="s">
        <v>2765</v>
      </c>
      <c r="L41" s="25" t="s">
        <v>2537</v>
      </c>
      <c r="M41" s="26" t="s">
        <v>2538</v>
      </c>
      <c r="N41" s="25" t="s">
        <v>2539</v>
      </c>
      <c r="O41" s="26" t="s">
        <v>2540</v>
      </c>
      <c r="P41" s="27" t="s">
        <v>2766</v>
      </c>
      <c r="Q41" s="25" t="s">
        <v>2767</v>
      </c>
      <c r="R41" s="25" t="s">
        <v>2516</v>
      </c>
      <c r="S41" s="25" t="s">
        <v>185</v>
      </c>
      <c r="T41" s="25">
        <v>1</v>
      </c>
      <c r="U41" s="25" t="s">
        <v>2517</v>
      </c>
      <c r="V41" s="25" t="s">
        <v>2768</v>
      </c>
      <c r="W41" s="25" t="s">
        <v>2769</v>
      </c>
      <c r="X41" s="59">
        <v>45665.4375</v>
      </c>
      <c r="Y41" s="25" t="s">
        <v>2770</v>
      </c>
      <c r="Z41" s="25">
        <v>0.5</v>
      </c>
      <c r="AA41" s="25"/>
      <c r="AB41" s="25" t="s">
        <v>2521</v>
      </c>
      <c r="AC41" s="27" t="s">
        <v>2771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2763</v>
      </c>
      <c r="H42" s="25" t="s">
        <v>2659</v>
      </c>
      <c r="I42" s="25"/>
      <c r="J42" s="25"/>
      <c r="K42" s="25"/>
      <c r="L42" s="25"/>
      <c r="M42" s="26"/>
      <c r="N42" s="25"/>
      <c r="O42" s="26"/>
      <c r="P42" s="27"/>
      <c r="Q42" s="25" t="s">
        <v>2767</v>
      </c>
      <c r="R42" s="25" t="s">
        <v>2516</v>
      </c>
      <c r="S42" s="25" t="s">
        <v>185</v>
      </c>
      <c r="T42" s="25">
        <v>1</v>
      </c>
      <c r="U42" s="25" t="s">
        <v>2517</v>
      </c>
      <c r="V42" s="25" t="s">
        <v>2772</v>
      </c>
      <c r="W42" s="25" t="s">
        <v>2773</v>
      </c>
      <c r="X42" s="59">
        <v>45665.444444444453</v>
      </c>
      <c r="Y42" s="25"/>
      <c r="Z42" s="25">
        <v>0.2</v>
      </c>
      <c r="AA42" s="25"/>
      <c r="AB42" s="25" t="s">
        <v>2521</v>
      </c>
      <c r="AC42" s="27" t="s">
        <v>2591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2774</v>
      </c>
      <c r="H43" s="25" t="s">
        <v>2507</v>
      </c>
      <c r="I43" s="25"/>
      <c r="J43" s="25"/>
      <c r="K43" s="25"/>
      <c r="L43" s="25"/>
      <c r="M43" s="26"/>
      <c r="N43" s="25"/>
      <c r="O43" s="26"/>
      <c r="P43" s="27"/>
      <c r="Q43" s="25" t="s">
        <v>2775</v>
      </c>
      <c r="R43" s="25" t="s">
        <v>2516</v>
      </c>
      <c r="S43" s="25" t="s">
        <v>25</v>
      </c>
      <c r="T43" s="25">
        <v>1</v>
      </c>
      <c r="U43" s="25" t="s">
        <v>2517</v>
      </c>
      <c r="V43" s="25" t="s">
        <v>2776</v>
      </c>
      <c r="W43" s="25" t="s">
        <v>2777</v>
      </c>
      <c r="X43" s="59">
        <v>45665.462500000001</v>
      </c>
      <c r="Y43" s="25"/>
      <c r="Z43" s="25">
        <v>0.3</v>
      </c>
      <c r="AA43" s="25"/>
      <c r="AB43" s="25" t="s">
        <v>2521</v>
      </c>
      <c r="AC43" s="27" t="s">
        <v>2591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2778</v>
      </c>
      <c r="G44" s="25" t="s">
        <v>2779</v>
      </c>
      <c r="H44" s="25" t="s">
        <v>2507</v>
      </c>
      <c r="I44" s="25"/>
      <c r="J44" s="25"/>
      <c r="K44" s="25"/>
      <c r="L44" s="25"/>
      <c r="M44" s="26"/>
      <c r="N44" s="25"/>
      <c r="O44" s="26"/>
      <c r="P44" s="27"/>
      <c r="Q44" s="25" t="s">
        <v>2780</v>
      </c>
      <c r="R44" s="25" t="s">
        <v>2516</v>
      </c>
      <c r="S44" s="25" t="s">
        <v>25</v>
      </c>
      <c r="T44" s="25">
        <v>1</v>
      </c>
      <c r="U44" s="25" t="s">
        <v>2517</v>
      </c>
      <c r="V44" s="25" t="s">
        <v>2781</v>
      </c>
      <c r="W44" s="25" t="s">
        <v>2782</v>
      </c>
      <c r="X44" s="59">
        <v>45665.479166666657</v>
      </c>
      <c r="Y44" s="25"/>
      <c r="Z44" s="25">
        <v>0.3</v>
      </c>
      <c r="AA44" s="25"/>
      <c r="AB44" s="25" t="s">
        <v>2521</v>
      </c>
      <c r="AC44" s="27" t="s">
        <v>2591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2783</v>
      </c>
      <c r="H45" s="25" t="s">
        <v>2507</v>
      </c>
      <c r="I45" s="25"/>
      <c r="J45" s="25"/>
      <c r="K45" s="25"/>
      <c r="L45" s="25"/>
      <c r="M45" s="26"/>
      <c r="N45" s="25"/>
      <c r="O45" s="26"/>
      <c r="P45" s="27"/>
      <c r="Q45" s="25" t="s">
        <v>2784</v>
      </c>
      <c r="R45" s="25" t="s">
        <v>2516</v>
      </c>
      <c r="S45" s="25" t="s">
        <v>25</v>
      </c>
      <c r="T45" s="25">
        <v>1</v>
      </c>
      <c r="U45" s="25" t="s">
        <v>2517</v>
      </c>
      <c r="V45" s="25" t="s">
        <v>2785</v>
      </c>
      <c r="W45" s="25" t="s">
        <v>2786</v>
      </c>
      <c r="X45" s="59">
        <v>45665.5</v>
      </c>
      <c r="Y45" s="25"/>
      <c r="Z45" s="25">
        <v>0.3</v>
      </c>
      <c r="AA45" s="25"/>
      <c r="AB45" s="25" t="s">
        <v>2521</v>
      </c>
      <c r="AC45" s="27" t="s">
        <v>2591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2787</v>
      </c>
      <c r="H46" s="25" t="s">
        <v>2507</v>
      </c>
      <c r="I46" s="25"/>
      <c r="J46" s="25"/>
      <c r="K46" s="25"/>
      <c r="L46" s="25"/>
      <c r="M46" s="26"/>
      <c r="N46" s="25"/>
      <c r="O46" s="26"/>
      <c r="P46" s="27"/>
      <c r="Q46" s="25" t="s">
        <v>2788</v>
      </c>
      <c r="R46" s="25" t="s">
        <v>2516</v>
      </c>
      <c r="S46" s="25" t="s">
        <v>25</v>
      </c>
      <c r="T46" s="25">
        <v>1</v>
      </c>
      <c r="U46" s="25" t="s">
        <v>2517</v>
      </c>
      <c r="V46" s="25" t="s">
        <v>2789</v>
      </c>
      <c r="W46" s="25" t="s">
        <v>2790</v>
      </c>
      <c r="X46" s="59">
        <v>45665.534722222219</v>
      </c>
      <c r="Y46" s="25"/>
      <c r="Z46" s="25">
        <v>0.3</v>
      </c>
      <c r="AA46" s="25"/>
      <c r="AB46" s="25" t="s">
        <v>2521</v>
      </c>
      <c r="AC46" s="27" t="s">
        <v>2591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2791</v>
      </c>
      <c r="H47" s="25" t="s">
        <v>2507</v>
      </c>
      <c r="I47" s="25"/>
      <c r="J47" s="25"/>
      <c r="K47" s="25"/>
      <c r="L47" s="25"/>
      <c r="M47" s="26"/>
      <c r="N47" s="25"/>
      <c r="O47" s="26"/>
      <c r="P47" s="27"/>
      <c r="Q47" s="25" t="s">
        <v>2792</v>
      </c>
      <c r="R47" s="25" t="s">
        <v>2516</v>
      </c>
      <c r="S47" s="25" t="s">
        <v>25</v>
      </c>
      <c r="T47" s="25">
        <v>1</v>
      </c>
      <c r="U47" s="25" t="s">
        <v>2517</v>
      </c>
      <c r="V47" s="25" t="s">
        <v>2793</v>
      </c>
      <c r="W47" s="25" t="s">
        <v>2794</v>
      </c>
      <c r="X47" s="59">
        <v>45665.590277777781</v>
      </c>
      <c r="Y47" s="25"/>
      <c r="Z47" s="25">
        <v>0.3</v>
      </c>
      <c r="AA47" s="25"/>
      <c r="AB47" s="25" t="s">
        <v>2521</v>
      </c>
      <c r="AC47" s="27" t="s">
        <v>2591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2795</v>
      </c>
      <c r="H48" s="25" t="s">
        <v>2507</v>
      </c>
      <c r="I48" s="25"/>
      <c r="J48" s="25"/>
      <c r="K48" s="25"/>
      <c r="L48" s="25"/>
      <c r="M48" s="26"/>
      <c r="N48" s="25"/>
      <c r="O48" s="26"/>
      <c r="P48" s="27"/>
      <c r="Q48" s="25" t="s">
        <v>2796</v>
      </c>
      <c r="R48" s="25" t="s">
        <v>2516</v>
      </c>
      <c r="S48" s="25" t="s">
        <v>25</v>
      </c>
      <c r="T48" s="25">
        <v>1</v>
      </c>
      <c r="U48" s="25" t="s">
        <v>2517</v>
      </c>
      <c r="V48" s="25" t="s">
        <v>2797</v>
      </c>
      <c r="W48" s="25" t="s">
        <v>2798</v>
      </c>
      <c r="X48" s="59">
        <v>45665.615277777782</v>
      </c>
      <c r="Y48" s="25"/>
      <c r="Z48" s="25">
        <v>0.4</v>
      </c>
      <c r="AA48" s="25"/>
      <c r="AB48" s="25" t="s">
        <v>2521</v>
      </c>
      <c r="AC48" s="27" t="s">
        <v>2591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2799</v>
      </c>
      <c r="H49" s="25" t="s">
        <v>2507</v>
      </c>
      <c r="I49" s="25"/>
      <c r="J49" s="25"/>
      <c r="K49" s="25"/>
      <c r="L49" s="25"/>
      <c r="M49" s="26"/>
      <c r="N49" s="25"/>
      <c r="O49" s="26"/>
      <c r="P49" s="27"/>
      <c r="Q49" s="25" t="s">
        <v>2800</v>
      </c>
      <c r="R49" s="25" t="s">
        <v>2516</v>
      </c>
      <c r="S49" s="25" t="s">
        <v>25</v>
      </c>
      <c r="T49" s="25">
        <v>1</v>
      </c>
      <c r="U49" s="25" t="s">
        <v>2517</v>
      </c>
      <c r="V49" s="25" t="s">
        <v>2801</v>
      </c>
      <c r="W49" s="25" t="s">
        <v>2802</v>
      </c>
      <c r="X49" s="59">
        <v>45665.635416666657</v>
      </c>
      <c r="Y49" s="25"/>
      <c r="Z49" s="25">
        <v>0.3</v>
      </c>
      <c r="AA49" s="25"/>
      <c r="AB49" s="25" t="s">
        <v>2521</v>
      </c>
      <c r="AC49" s="27" t="s">
        <v>2591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2803</v>
      </c>
      <c r="G50" s="25" t="s">
        <v>2804</v>
      </c>
      <c r="H50" s="25" t="s">
        <v>2659</v>
      </c>
      <c r="I50" s="25"/>
      <c r="J50" s="25"/>
      <c r="K50" s="25"/>
      <c r="L50" s="25"/>
      <c r="M50" s="26"/>
      <c r="N50" s="25"/>
      <c r="O50" s="26"/>
      <c r="P50" s="27"/>
      <c r="Q50" s="25" t="s">
        <v>2805</v>
      </c>
      <c r="R50" s="25" t="s">
        <v>2516</v>
      </c>
      <c r="S50" s="25" t="s">
        <v>185</v>
      </c>
      <c r="T50" s="25">
        <v>1</v>
      </c>
      <c r="U50" s="25" t="s">
        <v>2517</v>
      </c>
      <c r="V50" s="25" t="s">
        <v>2806</v>
      </c>
      <c r="W50" s="25" t="s">
        <v>2807</v>
      </c>
      <c r="X50" s="59">
        <v>45665.645833333343</v>
      </c>
      <c r="Y50" s="25"/>
      <c r="Z50" s="25">
        <v>0.5</v>
      </c>
      <c r="AA50" s="25"/>
      <c r="AB50" s="25" t="s">
        <v>2521</v>
      </c>
      <c r="AC50" s="27" t="s">
        <v>2591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2808</v>
      </c>
      <c r="H51" s="25" t="s">
        <v>2507</v>
      </c>
      <c r="I51" s="25"/>
      <c r="J51" s="25"/>
      <c r="K51" s="25"/>
      <c r="L51" s="25"/>
      <c r="M51" s="26"/>
      <c r="N51" s="25"/>
      <c r="O51" s="26"/>
      <c r="P51" s="27"/>
      <c r="Q51" s="25" t="s">
        <v>2809</v>
      </c>
      <c r="R51" s="25" t="s">
        <v>2516</v>
      </c>
      <c r="S51" s="25" t="s">
        <v>25</v>
      </c>
      <c r="T51" s="25">
        <v>1</v>
      </c>
      <c r="U51" s="25" t="s">
        <v>2517</v>
      </c>
      <c r="V51" s="25" t="s">
        <v>2810</v>
      </c>
      <c r="W51" s="25" t="s">
        <v>2811</v>
      </c>
      <c r="X51" s="59">
        <v>45665.656944444447</v>
      </c>
      <c r="Y51" s="25"/>
      <c r="Z51" s="25">
        <v>0.4</v>
      </c>
      <c r="AA51" s="25"/>
      <c r="AB51" s="25" t="s">
        <v>2521</v>
      </c>
      <c r="AC51" s="27" t="s">
        <v>2591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2812</v>
      </c>
      <c r="G52" s="25" t="s">
        <v>2813</v>
      </c>
      <c r="H52" s="25" t="s">
        <v>2659</v>
      </c>
      <c r="I52" s="25"/>
      <c r="J52" s="25"/>
      <c r="K52" s="25"/>
      <c r="L52" s="25"/>
      <c r="M52" s="26"/>
      <c r="N52" s="25"/>
      <c r="O52" s="26"/>
      <c r="P52" s="27"/>
      <c r="Q52" s="25" t="s">
        <v>2814</v>
      </c>
      <c r="R52" s="25" t="s">
        <v>2516</v>
      </c>
      <c r="S52" s="25" t="s">
        <v>185</v>
      </c>
      <c r="T52" s="25">
        <v>1</v>
      </c>
      <c r="U52" s="25" t="s">
        <v>2517</v>
      </c>
      <c r="V52" s="25" t="s">
        <v>2815</v>
      </c>
      <c r="W52" s="25" t="s">
        <v>2816</v>
      </c>
      <c r="X52" s="59">
        <v>45665.65625</v>
      </c>
      <c r="Y52" s="25"/>
      <c r="Z52" s="25">
        <v>0.2</v>
      </c>
      <c r="AA52" s="25"/>
      <c r="AB52" s="25" t="s">
        <v>2521</v>
      </c>
      <c r="AC52" s="27" t="s">
        <v>2591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2817</v>
      </c>
      <c r="G53" s="25" t="s">
        <v>2818</v>
      </c>
      <c r="H53" s="25" t="s">
        <v>2507</v>
      </c>
      <c r="I53" s="25"/>
      <c r="J53" s="25"/>
      <c r="K53" s="25"/>
      <c r="L53" s="25"/>
      <c r="M53" s="26"/>
      <c r="N53" s="25"/>
      <c r="O53" s="26"/>
      <c r="P53" s="27"/>
      <c r="Q53" s="25" t="s">
        <v>2819</v>
      </c>
      <c r="R53" s="25" t="s">
        <v>2516</v>
      </c>
      <c r="S53" s="25" t="s">
        <v>25</v>
      </c>
      <c r="T53" s="25">
        <v>1</v>
      </c>
      <c r="U53" s="25" t="s">
        <v>2517</v>
      </c>
      <c r="V53" s="25" t="s">
        <v>2820</v>
      </c>
      <c r="W53" s="25" t="s">
        <v>2821</v>
      </c>
      <c r="X53" s="59">
        <v>45665.673611111109</v>
      </c>
      <c r="Y53" s="25"/>
      <c r="Z53" s="25">
        <v>0.3</v>
      </c>
      <c r="AA53" s="25"/>
      <c r="AB53" s="25" t="s">
        <v>2521</v>
      </c>
      <c r="AC53" s="27" t="s">
        <v>2591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2822</v>
      </c>
      <c r="H54" s="25" t="s">
        <v>2507</v>
      </c>
      <c r="I54" s="25"/>
      <c r="J54" s="25"/>
      <c r="K54" s="25"/>
      <c r="L54" s="25"/>
      <c r="M54" s="26"/>
      <c r="N54" s="25"/>
      <c r="O54" s="26"/>
      <c r="P54" s="27"/>
      <c r="Q54" s="25" t="s">
        <v>2823</v>
      </c>
      <c r="R54" s="25" t="s">
        <v>2516</v>
      </c>
      <c r="S54" s="25" t="s">
        <v>25</v>
      </c>
      <c r="T54" s="25">
        <v>1</v>
      </c>
      <c r="U54" s="25" t="s">
        <v>2517</v>
      </c>
      <c r="V54" s="25" t="s">
        <v>2824</v>
      </c>
      <c r="W54" s="25" t="s">
        <v>2825</v>
      </c>
      <c r="X54" s="59">
        <v>45666.450694444437</v>
      </c>
      <c r="Y54" s="25"/>
      <c r="Z54" s="25">
        <v>0.4</v>
      </c>
      <c r="AA54" s="25"/>
      <c r="AB54" s="25" t="s">
        <v>2521</v>
      </c>
      <c r="AC54" s="27" t="s">
        <v>2591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2715</v>
      </c>
      <c r="H55" s="25" t="s">
        <v>2507</v>
      </c>
      <c r="I55" s="25"/>
      <c r="J55" s="25"/>
      <c r="K55" s="25"/>
      <c r="L55" s="25"/>
      <c r="M55" s="26"/>
      <c r="N55" s="25"/>
      <c r="O55" s="26"/>
      <c r="P55" s="27"/>
      <c r="Q55" s="25" t="s">
        <v>2719</v>
      </c>
      <c r="R55" s="25" t="s">
        <v>2516</v>
      </c>
      <c r="S55" s="25" t="s">
        <v>25</v>
      </c>
      <c r="T55" s="25">
        <v>1</v>
      </c>
      <c r="U55" s="25" t="s">
        <v>2517</v>
      </c>
      <c r="V55" s="25" t="s">
        <v>2826</v>
      </c>
      <c r="W55" s="25" t="s">
        <v>2827</v>
      </c>
      <c r="X55" s="59">
        <v>45666.468055555553</v>
      </c>
      <c r="Y55" s="25"/>
      <c r="Z55" s="25">
        <v>0.3</v>
      </c>
      <c r="AA55" s="25"/>
      <c r="AB55" s="25" t="s">
        <v>2521</v>
      </c>
      <c r="AC55" s="27" t="s">
        <v>2591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2828</v>
      </c>
      <c r="H56" s="25" t="s">
        <v>2507</v>
      </c>
      <c r="I56" s="25"/>
      <c r="J56" s="25"/>
      <c r="K56" s="25"/>
      <c r="L56" s="25"/>
      <c r="M56" s="26"/>
      <c r="N56" s="25"/>
      <c r="O56" s="26"/>
      <c r="P56" s="27"/>
      <c r="Q56" s="25" t="s">
        <v>2829</v>
      </c>
      <c r="R56" s="25" t="s">
        <v>2516</v>
      </c>
      <c r="S56" s="25" t="s">
        <v>25</v>
      </c>
      <c r="T56" s="25">
        <v>1</v>
      </c>
      <c r="U56" s="25" t="s">
        <v>2517</v>
      </c>
      <c r="V56" s="25" t="s">
        <v>2830</v>
      </c>
      <c r="W56" s="25" t="s">
        <v>2831</v>
      </c>
      <c r="X56" s="59">
        <v>45666.495138888888</v>
      </c>
      <c r="Y56" s="25"/>
      <c r="Z56" s="25">
        <v>0.4</v>
      </c>
      <c r="AA56" s="25"/>
      <c r="AB56" s="25" t="s">
        <v>2521</v>
      </c>
      <c r="AC56" s="27" t="s">
        <v>2591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2832</v>
      </c>
      <c r="E57" s="25" t="s">
        <v>2504</v>
      </c>
      <c r="F57" s="25">
        <v>4163</v>
      </c>
      <c r="G57" s="25" t="s">
        <v>2833</v>
      </c>
      <c r="H57" s="25" t="s">
        <v>2659</v>
      </c>
      <c r="I57" s="25" t="s">
        <v>2834</v>
      </c>
      <c r="J57" s="25" t="s">
        <v>2835</v>
      </c>
      <c r="K57" s="25" t="s">
        <v>2510</v>
      </c>
      <c r="L57" s="25" t="s">
        <v>2511</v>
      </c>
      <c r="M57" s="26" t="s">
        <v>2512</v>
      </c>
      <c r="N57" s="25">
        <v>2307</v>
      </c>
      <c r="O57" s="26" t="s">
        <v>2678</v>
      </c>
      <c r="P57" s="27" t="s">
        <v>2836</v>
      </c>
      <c r="Q57" s="25" t="s">
        <v>2837</v>
      </c>
      <c r="R57" s="25" t="s">
        <v>2516</v>
      </c>
      <c r="S57" s="25" t="s">
        <v>185</v>
      </c>
      <c r="T57" s="25">
        <v>1</v>
      </c>
      <c r="U57" s="25" t="s">
        <v>2517</v>
      </c>
      <c r="V57" s="25" t="s">
        <v>2838</v>
      </c>
      <c r="W57" s="25" t="s">
        <v>2839</v>
      </c>
      <c r="X57" s="59">
        <v>45666.645833333343</v>
      </c>
      <c r="Y57" s="25" t="s">
        <v>2840</v>
      </c>
      <c r="Z57" s="25">
        <v>1</v>
      </c>
      <c r="AA57" s="25"/>
      <c r="AB57" s="25" t="s">
        <v>2521</v>
      </c>
      <c r="AC57" s="27" t="s">
        <v>2841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2842</v>
      </c>
      <c r="E58" s="25" t="s">
        <v>2843</v>
      </c>
      <c r="F58" s="25">
        <v>2995</v>
      </c>
      <c r="G58" s="25" t="s">
        <v>2844</v>
      </c>
      <c r="H58" s="25" t="s">
        <v>2609</v>
      </c>
      <c r="I58" s="25" t="s">
        <v>2845</v>
      </c>
      <c r="J58" s="25" t="s">
        <v>2835</v>
      </c>
      <c r="K58" s="25" t="s">
        <v>2510</v>
      </c>
      <c r="L58" s="25" t="s">
        <v>2846</v>
      </c>
      <c r="M58" s="26" t="s">
        <v>2847</v>
      </c>
      <c r="N58" s="25">
        <v>2401</v>
      </c>
      <c r="O58" s="26" t="s">
        <v>2848</v>
      </c>
      <c r="P58" s="27" t="s">
        <v>2849</v>
      </c>
      <c r="Q58" s="25" t="s">
        <v>2850</v>
      </c>
      <c r="R58" s="25" t="s">
        <v>2516</v>
      </c>
      <c r="S58" s="25" t="s">
        <v>173</v>
      </c>
      <c r="T58" s="25">
        <v>1</v>
      </c>
      <c r="U58" s="25" t="s">
        <v>2517</v>
      </c>
      <c r="V58" s="25" t="s">
        <v>2851</v>
      </c>
      <c r="W58" s="25" t="s">
        <v>2852</v>
      </c>
      <c r="X58" s="59">
        <v>45666.712500000001</v>
      </c>
      <c r="Y58" s="25" t="s">
        <v>2853</v>
      </c>
      <c r="Z58" s="25">
        <v>0.5</v>
      </c>
      <c r="AA58" s="25"/>
      <c r="AB58" s="25" t="s">
        <v>2521</v>
      </c>
      <c r="AC58" s="27" t="s">
        <v>2854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2855</v>
      </c>
      <c r="H59" s="25" t="s">
        <v>2507</v>
      </c>
      <c r="I59" s="25"/>
      <c r="J59" s="25"/>
      <c r="K59" s="25"/>
      <c r="L59" s="25"/>
      <c r="M59" s="26"/>
      <c r="N59" s="25"/>
      <c r="O59" s="26"/>
      <c r="P59" s="27"/>
      <c r="Q59" s="25" t="s">
        <v>2856</v>
      </c>
      <c r="R59" s="25" t="s">
        <v>2516</v>
      </c>
      <c r="S59" s="25" t="s">
        <v>25</v>
      </c>
      <c r="T59" s="25">
        <v>1</v>
      </c>
      <c r="U59" s="25" t="s">
        <v>2517</v>
      </c>
      <c r="V59" s="25" t="s">
        <v>2857</v>
      </c>
      <c r="W59" s="25" t="s">
        <v>2858</v>
      </c>
      <c r="X59" s="59">
        <v>45666.625694444447</v>
      </c>
      <c r="Y59" s="25"/>
      <c r="Z59" s="25">
        <v>0.4</v>
      </c>
      <c r="AA59" s="25"/>
      <c r="AB59" s="25" t="s">
        <v>2521</v>
      </c>
      <c r="AC59" s="27" t="s">
        <v>2591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2859</v>
      </c>
      <c r="H60" s="25" t="s">
        <v>2507</v>
      </c>
      <c r="I60" s="25"/>
      <c r="J60" s="25"/>
      <c r="K60" s="25"/>
      <c r="L60" s="25"/>
      <c r="M60" s="26"/>
      <c r="N60" s="25"/>
      <c r="O60" s="26"/>
      <c r="P60" s="27"/>
      <c r="Q60" s="25" t="s">
        <v>2860</v>
      </c>
      <c r="R60" s="25" t="s">
        <v>2516</v>
      </c>
      <c r="S60" s="25" t="s">
        <v>25</v>
      </c>
      <c r="T60" s="25">
        <v>1</v>
      </c>
      <c r="U60" s="25" t="s">
        <v>2517</v>
      </c>
      <c r="V60" s="25" t="s">
        <v>2861</v>
      </c>
      <c r="W60" s="25" t="s">
        <v>2862</v>
      </c>
      <c r="X60" s="59">
        <v>45666.644444444442</v>
      </c>
      <c r="Y60" s="25"/>
      <c r="Z60" s="25">
        <v>0.3</v>
      </c>
      <c r="AA60" s="25"/>
      <c r="AB60" s="25" t="s">
        <v>2521</v>
      </c>
      <c r="AC60" s="27" t="s">
        <v>2591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2833</v>
      </c>
      <c r="H61" s="25" t="s">
        <v>2659</v>
      </c>
      <c r="I61" s="25"/>
      <c r="J61" s="25"/>
      <c r="K61" s="25"/>
      <c r="L61" s="25"/>
      <c r="M61" s="26"/>
      <c r="N61" s="25"/>
      <c r="O61" s="26"/>
      <c r="P61" s="27"/>
      <c r="Q61" s="25" t="s">
        <v>2837</v>
      </c>
      <c r="R61" s="25" t="s">
        <v>2516</v>
      </c>
      <c r="S61" s="25" t="s">
        <v>185</v>
      </c>
      <c r="T61" s="25">
        <v>1</v>
      </c>
      <c r="U61" s="25" t="s">
        <v>2517</v>
      </c>
      <c r="V61" s="25" t="s">
        <v>2863</v>
      </c>
      <c r="W61" s="25" t="s">
        <v>2864</v>
      </c>
      <c r="X61" s="59">
        <v>45666.65625</v>
      </c>
      <c r="Y61" s="25"/>
      <c r="Z61" s="25">
        <v>0.3</v>
      </c>
      <c r="AA61" s="25"/>
      <c r="AB61" s="25" t="s">
        <v>2521</v>
      </c>
      <c r="AC61" s="27" t="s">
        <v>2591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2865</v>
      </c>
      <c r="G62" s="25" t="s">
        <v>2866</v>
      </c>
      <c r="H62" s="25" t="s">
        <v>2507</v>
      </c>
      <c r="I62" s="25"/>
      <c r="J62" s="25"/>
      <c r="K62" s="25"/>
      <c r="L62" s="25"/>
      <c r="M62" s="26"/>
      <c r="N62" s="25"/>
      <c r="O62" s="26"/>
      <c r="P62" s="27"/>
      <c r="Q62" s="25" t="s">
        <v>2867</v>
      </c>
      <c r="R62" s="25" t="s">
        <v>2516</v>
      </c>
      <c r="S62" s="25" t="s">
        <v>25</v>
      </c>
      <c r="T62" s="25">
        <v>1</v>
      </c>
      <c r="U62" s="25" t="s">
        <v>2517</v>
      </c>
      <c r="V62" s="25" t="s">
        <v>2868</v>
      </c>
      <c r="W62" s="25" t="s">
        <v>2869</v>
      </c>
      <c r="X62" s="59">
        <v>45666.690972222219</v>
      </c>
      <c r="Y62" s="25"/>
      <c r="Z62" s="25">
        <v>0.3</v>
      </c>
      <c r="AA62" s="25"/>
      <c r="AB62" s="25" t="s">
        <v>2521</v>
      </c>
      <c r="AC62" s="27" t="s">
        <v>2591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2870</v>
      </c>
      <c r="H63" s="25" t="s">
        <v>2507</v>
      </c>
      <c r="I63" s="25"/>
      <c r="J63" s="25"/>
      <c r="K63" s="25"/>
      <c r="L63" s="25"/>
      <c r="M63" s="26"/>
      <c r="N63" s="25"/>
      <c r="O63" s="26"/>
      <c r="P63" s="27"/>
      <c r="Q63" s="25" t="s">
        <v>2871</v>
      </c>
      <c r="R63" s="25" t="s">
        <v>2516</v>
      </c>
      <c r="S63" s="25" t="s">
        <v>25</v>
      </c>
      <c r="T63" s="25">
        <v>1</v>
      </c>
      <c r="U63" s="25" t="s">
        <v>2517</v>
      </c>
      <c r="V63" s="25" t="s">
        <v>2872</v>
      </c>
      <c r="W63" s="25" t="s">
        <v>2873</v>
      </c>
      <c r="X63" s="59">
        <v>45666.707638888889</v>
      </c>
      <c r="Y63" s="25"/>
      <c r="Z63" s="25">
        <v>0.3</v>
      </c>
      <c r="AA63" s="25"/>
      <c r="AB63" s="25" t="s">
        <v>2521</v>
      </c>
      <c r="AC63" s="27" t="s">
        <v>2591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2874</v>
      </c>
      <c r="E64" s="25" t="s">
        <v>2504</v>
      </c>
      <c r="F64" s="25">
        <v>3818</v>
      </c>
      <c r="G64" s="25" t="s">
        <v>2875</v>
      </c>
      <c r="H64" s="25" t="s">
        <v>2609</v>
      </c>
      <c r="I64" s="25" t="s">
        <v>2876</v>
      </c>
      <c r="J64" s="25" t="s">
        <v>2567</v>
      </c>
      <c r="K64" s="25" t="s">
        <v>2568</v>
      </c>
      <c r="L64" s="25" t="s">
        <v>2537</v>
      </c>
      <c r="M64" s="26" t="s">
        <v>2538</v>
      </c>
      <c r="N64" s="25" t="s">
        <v>2539</v>
      </c>
      <c r="O64" s="26" t="s">
        <v>2540</v>
      </c>
      <c r="P64" s="27" t="s">
        <v>2877</v>
      </c>
      <c r="Q64" s="25" t="s">
        <v>2878</v>
      </c>
      <c r="R64" s="25" t="s">
        <v>2516</v>
      </c>
      <c r="S64" s="25" t="s">
        <v>173</v>
      </c>
      <c r="T64" s="25">
        <v>1</v>
      </c>
      <c r="U64" s="25" t="s">
        <v>2517</v>
      </c>
      <c r="V64" s="25" t="s">
        <v>2879</v>
      </c>
      <c r="W64" s="25" t="s">
        <v>2880</v>
      </c>
      <c r="X64" s="59">
        <v>45667.75</v>
      </c>
      <c r="Y64" s="25" t="s">
        <v>2881</v>
      </c>
      <c r="Z64" s="25">
        <v>1.3</v>
      </c>
      <c r="AA64" s="25"/>
      <c r="AB64" s="25" t="s">
        <v>2521</v>
      </c>
      <c r="AC64" s="27" t="s">
        <v>2882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2883</v>
      </c>
      <c r="E65" s="25" t="s">
        <v>2504</v>
      </c>
      <c r="F65" s="25">
        <v>3818</v>
      </c>
      <c r="G65" s="25" t="s">
        <v>2875</v>
      </c>
      <c r="H65" s="25" t="s">
        <v>2609</v>
      </c>
      <c r="I65" s="25" t="s">
        <v>2884</v>
      </c>
      <c r="J65" s="25" t="s">
        <v>2567</v>
      </c>
      <c r="K65" s="25" t="s">
        <v>2568</v>
      </c>
      <c r="L65" s="25" t="s">
        <v>2537</v>
      </c>
      <c r="M65" s="26" t="s">
        <v>2538</v>
      </c>
      <c r="N65" s="25" t="s">
        <v>2539</v>
      </c>
      <c r="O65" s="26" t="s">
        <v>2540</v>
      </c>
      <c r="P65" s="27" t="s">
        <v>2885</v>
      </c>
      <c r="Q65" s="25" t="s">
        <v>2878</v>
      </c>
      <c r="R65" s="25" t="s">
        <v>2516</v>
      </c>
      <c r="S65" s="25" t="s">
        <v>173</v>
      </c>
      <c r="T65" s="25">
        <v>1</v>
      </c>
      <c r="U65" s="25" t="s">
        <v>2517</v>
      </c>
      <c r="V65" s="25" t="s">
        <v>2886</v>
      </c>
      <c r="W65" s="25" t="s">
        <v>2880</v>
      </c>
      <c r="X65" s="59">
        <v>45667.75</v>
      </c>
      <c r="Y65" s="25" t="s">
        <v>2887</v>
      </c>
      <c r="Z65" s="25">
        <v>1.3</v>
      </c>
      <c r="AA65" s="25"/>
      <c r="AB65" s="25" t="s">
        <v>2521</v>
      </c>
      <c r="AC65" s="27" t="s">
        <v>2888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2889</v>
      </c>
      <c r="E66" s="25" t="s">
        <v>2504</v>
      </c>
      <c r="F66" s="25">
        <v>3399</v>
      </c>
      <c r="G66" s="25" t="s">
        <v>2890</v>
      </c>
      <c r="H66" s="25" t="s">
        <v>2609</v>
      </c>
      <c r="I66" s="25" t="s">
        <v>2891</v>
      </c>
      <c r="J66" s="25" t="s">
        <v>2567</v>
      </c>
      <c r="K66" s="25" t="s">
        <v>2568</v>
      </c>
      <c r="L66" s="25" t="s">
        <v>2611</v>
      </c>
      <c r="M66" s="26" t="s">
        <v>2612</v>
      </c>
      <c r="N66" s="25" t="s">
        <v>2892</v>
      </c>
      <c r="O66" s="26" t="s">
        <v>2893</v>
      </c>
      <c r="P66" s="27" t="s">
        <v>2894</v>
      </c>
      <c r="Q66" s="25" t="s">
        <v>2895</v>
      </c>
      <c r="R66" s="25" t="s">
        <v>2516</v>
      </c>
      <c r="S66" s="25" t="s">
        <v>173</v>
      </c>
      <c r="T66" s="25">
        <v>1</v>
      </c>
      <c r="U66" s="25" t="s">
        <v>2517</v>
      </c>
      <c r="V66" s="25" t="s">
        <v>2896</v>
      </c>
      <c r="W66" s="25" t="s">
        <v>2897</v>
      </c>
      <c r="X66" s="59">
        <v>45667.765972222223</v>
      </c>
      <c r="Y66" s="25" t="s">
        <v>2898</v>
      </c>
      <c r="Z66" s="25">
        <v>0.1</v>
      </c>
      <c r="AA66" s="25"/>
      <c r="AB66" s="25" t="s">
        <v>2521</v>
      </c>
      <c r="AC66" s="27" t="s">
        <v>2899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2900</v>
      </c>
      <c r="E67" s="25" t="s">
        <v>2504</v>
      </c>
      <c r="F67" s="25">
        <v>3818</v>
      </c>
      <c r="G67" s="25" t="s">
        <v>2875</v>
      </c>
      <c r="H67" s="25" t="s">
        <v>2609</v>
      </c>
      <c r="I67" s="25" t="s">
        <v>2901</v>
      </c>
      <c r="J67" s="25" t="s">
        <v>2567</v>
      </c>
      <c r="K67" s="25" t="s">
        <v>2568</v>
      </c>
      <c r="L67" s="25" t="s">
        <v>2611</v>
      </c>
      <c r="M67" s="26" t="s">
        <v>2612</v>
      </c>
      <c r="N67" s="25" t="s">
        <v>2613</v>
      </c>
      <c r="O67" s="26" t="s">
        <v>2614</v>
      </c>
      <c r="P67" s="27" t="s">
        <v>2902</v>
      </c>
      <c r="Q67" s="25" t="s">
        <v>2878</v>
      </c>
      <c r="R67" s="25" t="s">
        <v>2516</v>
      </c>
      <c r="S67" s="25" t="s">
        <v>173</v>
      </c>
      <c r="T67" s="25">
        <v>1</v>
      </c>
      <c r="U67" s="25" t="s">
        <v>2517</v>
      </c>
      <c r="V67" s="25" t="s">
        <v>2903</v>
      </c>
      <c r="W67" s="25" t="s">
        <v>2880</v>
      </c>
      <c r="X67" s="59">
        <v>45667.75</v>
      </c>
      <c r="Y67" s="25" t="s">
        <v>2898</v>
      </c>
      <c r="Z67" s="25">
        <v>1.3</v>
      </c>
      <c r="AA67" s="25"/>
      <c r="AB67" s="25" t="s">
        <v>2521</v>
      </c>
      <c r="AC67" s="27" t="s">
        <v>2904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2905</v>
      </c>
      <c r="H68" s="25" t="s">
        <v>2507</v>
      </c>
      <c r="I68" s="25"/>
      <c r="J68" s="25"/>
      <c r="K68" s="25"/>
      <c r="L68" s="25"/>
      <c r="M68" s="26"/>
      <c r="N68" s="25"/>
      <c r="O68" s="26"/>
      <c r="P68" s="27"/>
      <c r="Q68" s="25" t="s">
        <v>2906</v>
      </c>
      <c r="R68" s="25" t="s">
        <v>2516</v>
      </c>
      <c r="S68" s="25" t="s">
        <v>25</v>
      </c>
      <c r="T68" s="25">
        <v>1</v>
      </c>
      <c r="U68" s="25" t="s">
        <v>2517</v>
      </c>
      <c r="V68" s="25" t="s">
        <v>2907</v>
      </c>
      <c r="W68" s="25" t="s">
        <v>2908</v>
      </c>
      <c r="X68" s="59">
        <v>45667.591666666667</v>
      </c>
      <c r="Y68" s="25"/>
      <c r="Z68" s="25">
        <v>0.3</v>
      </c>
      <c r="AA68" s="25"/>
      <c r="AB68" s="25" t="s">
        <v>2521</v>
      </c>
      <c r="AC68" s="27" t="s">
        <v>2591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2909</v>
      </c>
      <c r="E69" s="25" t="s">
        <v>2504</v>
      </c>
      <c r="F69" s="25">
        <v>4036</v>
      </c>
      <c r="G69" s="25" t="s">
        <v>2640</v>
      </c>
      <c r="H69" s="25" t="s">
        <v>2641</v>
      </c>
      <c r="I69" s="25" t="s">
        <v>2910</v>
      </c>
      <c r="J69" s="25" t="s">
        <v>2567</v>
      </c>
      <c r="K69" s="25" t="s">
        <v>2510</v>
      </c>
      <c r="L69" s="25" t="s">
        <v>2569</v>
      </c>
      <c r="M69" s="26" t="s">
        <v>2570</v>
      </c>
      <c r="N69" s="25">
        <v>2501</v>
      </c>
      <c r="O69" s="26" t="s">
        <v>2571</v>
      </c>
      <c r="P69" s="27" t="s">
        <v>2911</v>
      </c>
      <c r="Q69" s="25" t="s">
        <v>2645</v>
      </c>
      <c r="R69" s="25" t="s">
        <v>2516</v>
      </c>
      <c r="S69" s="25" t="s">
        <v>25</v>
      </c>
      <c r="T69" s="25">
        <v>1</v>
      </c>
      <c r="U69" s="25" t="s">
        <v>2517</v>
      </c>
      <c r="V69" s="25" t="s">
        <v>2912</v>
      </c>
      <c r="W69" s="25" t="s">
        <v>2913</v>
      </c>
      <c r="X69" s="59">
        <v>45667.669444444437</v>
      </c>
      <c r="Y69" s="25" t="s">
        <v>2914</v>
      </c>
      <c r="Z69" s="25">
        <v>0.5</v>
      </c>
      <c r="AA69" s="25"/>
      <c r="AB69" s="25" t="s">
        <v>2915</v>
      </c>
      <c r="AC69" s="27" t="s">
        <v>2916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2917</v>
      </c>
      <c r="H70" s="25" t="s">
        <v>2507</v>
      </c>
      <c r="I70" s="25"/>
      <c r="J70" s="25"/>
      <c r="K70" s="25"/>
      <c r="L70" s="25"/>
      <c r="M70" s="26"/>
      <c r="N70" s="25"/>
      <c r="O70" s="26"/>
      <c r="P70" s="27"/>
      <c r="Q70" s="25" t="s">
        <v>2918</v>
      </c>
      <c r="R70" s="25" t="s">
        <v>2516</v>
      </c>
      <c r="S70" s="25" t="s">
        <v>25</v>
      </c>
      <c r="T70" s="25">
        <v>1</v>
      </c>
      <c r="U70" s="25" t="s">
        <v>2517</v>
      </c>
      <c r="V70" s="25" t="s">
        <v>2919</v>
      </c>
      <c r="W70" s="25" t="s">
        <v>2920</v>
      </c>
      <c r="X70" s="59">
        <v>45667.625694444447</v>
      </c>
      <c r="Y70" s="25"/>
      <c r="Z70" s="25">
        <v>0.4</v>
      </c>
      <c r="AA70" s="25"/>
      <c r="AB70" s="25" t="s">
        <v>2521</v>
      </c>
      <c r="AC70" s="27" t="s">
        <v>2591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2921</v>
      </c>
      <c r="H71" s="25" t="s">
        <v>2507</v>
      </c>
      <c r="I71" s="25"/>
      <c r="J71" s="25"/>
      <c r="K71" s="25"/>
      <c r="L71" s="25"/>
      <c r="M71" s="26"/>
      <c r="N71" s="25"/>
      <c r="O71" s="26"/>
      <c r="P71" s="27"/>
      <c r="Q71" s="25" t="s">
        <v>2922</v>
      </c>
      <c r="R71" s="25" t="s">
        <v>2516</v>
      </c>
      <c r="S71" s="25" t="s">
        <v>25</v>
      </c>
      <c r="T71" s="25">
        <v>1</v>
      </c>
      <c r="U71" s="25" t="s">
        <v>2517</v>
      </c>
      <c r="V71" s="25" t="s">
        <v>2923</v>
      </c>
      <c r="W71" s="25" t="s">
        <v>2924</v>
      </c>
      <c r="X71" s="59">
        <v>45667.649305555547</v>
      </c>
      <c r="Y71" s="25"/>
      <c r="Z71" s="25">
        <v>0.4</v>
      </c>
      <c r="AA71" s="25"/>
      <c r="AB71" s="25" t="s">
        <v>2521</v>
      </c>
      <c r="AC71" s="27" t="s">
        <v>2591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2875</v>
      </c>
      <c r="H72" s="25" t="s">
        <v>2609</v>
      </c>
      <c r="I72" s="25"/>
      <c r="J72" s="25"/>
      <c r="K72" s="25"/>
      <c r="L72" s="25"/>
      <c r="M72" s="26"/>
      <c r="N72" s="25"/>
      <c r="O72" s="26"/>
      <c r="P72" s="27"/>
      <c r="Q72" s="25" t="s">
        <v>2878</v>
      </c>
      <c r="R72" s="25" t="s">
        <v>2516</v>
      </c>
      <c r="S72" s="25" t="s">
        <v>173</v>
      </c>
      <c r="T72" s="25">
        <v>1</v>
      </c>
      <c r="U72" s="25" t="s">
        <v>2517</v>
      </c>
      <c r="V72" s="25" t="s">
        <v>2925</v>
      </c>
      <c r="W72" s="25" t="s">
        <v>2926</v>
      </c>
      <c r="X72" s="59">
        <v>45667.75</v>
      </c>
      <c r="Y72" s="25"/>
      <c r="Z72" s="25">
        <v>1.2</v>
      </c>
      <c r="AA72" s="25"/>
      <c r="AB72" s="25" t="s">
        <v>2521</v>
      </c>
      <c r="AC72" s="27" t="s">
        <v>2927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2928</v>
      </c>
      <c r="E73" s="25" t="s">
        <v>2504</v>
      </c>
      <c r="F73" s="25">
        <v>4260</v>
      </c>
      <c r="G73" s="25" t="s">
        <v>2787</v>
      </c>
      <c r="H73" s="25" t="s">
        <v>2507</v>
      </c>
      <c r="I73" s="25" t="s">
        <v>2929</v>
      </c>
      <c r="J73" s="25" t="s">
        <v>2930</v>
      </c>
      <c r="K73" s="25" t="s">
        <v>2765</v>
      </c>
      <c r="L73" s="25" t="s">
        <v>2537</v>
      </c>
      <c r="M73" s="26" t="s">
        <v>2538</v>
      </c>
      <c r="N73" s="25" t="s">
        <v>2539</v>
      </c>
      <c r="O73" s="26" t="s">
        <v>2540</v>
      </c>
      <c r="P73" s="27" t="s">
        <v>2931</v>
      </c>
      <c r="Q73" s="25" t="s">
        <v>2788</v>
      </c>
      <c r="R73" s="25" t="s">
        <v>2516</v>
      </c>
      <c r="S73" s="25" t="s">
        <v>25</v>
      </c>
      <c r="T73" s="25">
        <v>1</v>
      </c>
      <c r="U73" s="25" t="s">
        <v>2517</v>
      </c>
      <c r="V73" s="25" t="s">
        <v>2932</v>
      </c>
      <c r="W73" s="25" t="s">
        <v>2933</v>
      </c>
      <c r="X73" s="59">
        <v>45670.438888888893</v>
      </c>
      <c r="Y73" s="25" t="s">
        <v>2934</v>
      </c>
      <c r="Z73" s="25">
        <v>0.5</v>
      </c>
      <c r="AA73" s="25"/>
      <c r="AB73" s="25" t="s">
        <v>2521</v>
      </c>
      <c r="AC73" s="27" t="s">
        <v>2935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2936</v>
      </c>
      <c r="E74" s="25" t="s">
        <v>2504</v>
      </c>
      <c r="F74" s="25">
        <v>4260</v>
      </c>
      <c r="G74" s="25" t="s">
        <v>2787</v>
      </c>
      <c r="H74" s="25" t="s">
        <v>2507</v>
      </c>
      <c r="I74" s="25" t="s">
        <v>2937</v>
      </c>
      <c r="J74" s="25" t="s">
        <v>2930</v>
      </c>
      <c r="K74" s="25" t="s">
        <v>2568</v>
      </c>
      <c r="L74" s="25" t="s">
        <v>2537</v>
      </c>
      <c r="M74" s="26" t="s">
        <v>2538</v>
      </c>
      <c r="N74" s="25" t="s">
        <v>2539</v>
      </c>
      <c r="O74" s="26" t="s">
        <v>2540</v>
      </c>
      <c r="P74" s="27" t="s">
        <v>2938</v>
      </c>
      <c r="Q74" s="25" t="s">
        <v>2788</v>
      </c>
      <c r="R74" s="25" t="s">
        <v>2516</v>
      </c>
      <c r="S74" s="25" t="s">
        <v>25</v>
      </c>
      <c r="T74" s="25">
        <v>1</v>
      </c>
      <c r="U74" s="25" t="s">
        <v>2517</v>
      </c>
      <c r="V74" s="25" t="s">
        <v>2939</v>
      </c>
      <c r="W74" s="25" t="s">
        <v>2940</v>
      </c>
      <c r="X74" s="59">
        <v>45670.438194444447</v>
      </c>
      <c r="Y74" s="25" t="s">
        <v>2934</v>
      </c>
      <c r="Z74" s="25">
        <v>0.5</v>
      </c>
      <c r="AA74" s="25"/>
      <c r="AB74" s="25" t="s">
        <v>2521</v>
      </c>
      <c r="AC74" s="27" t="s">
        <v>2941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2942</v>
      </c>
      <c r="E75" s="25" t="s">
        <v>2504</v>
      </c>
      <c r="F75" s="25">
        <v>4397</v>
      </c>
      <c r="G75" s="25" t="s">
        <v>2943</v>
      </c>
      <c r="H75" s="25" t="s">
        <v>2507</v>
      </c>
      <c r="I75" s="25" t="s">
        <v>2944</v>
      </c>
      <c r="J75" s="25" t="s">
        <v>2643</v>
      </c>
      <c r="K75" s="25" t="s">
        <v>2765</v>
      </c>
      <c r="L75" s="25" t="s">
        <v>2945</v>
      </c>
      <c r="M75" s="26" t="s">
        <v>2946</v>
      </c>
      <c r="N75" s="25" t="s">
        <v>2947</v>
      </c>
      <c r="O75" s="26" t="s">
        <v>2948</v>
      </c>
      <c r="P75" s="27" t="s">
        <v>2949</v>
      </c>
      <c r="Q75" s="25" t="s">
        <v>2950</v>
      </c>
      <c r="R75" s="25" t="s">
        <v>2516</v>
      </c>
      <c r="S75" s="25" t="s">
        <v>25</v>
      </c>
      <c r="T75" s="25">
        <v>1</v>
      </c>
      <c r="U75" s="25" t="s">
        <v>2517</v>
      </c>
      <c r="V75" s="25" t="s">
        <v>2951</v>
      </c>
      <c r="W75" s="25" t="s">
        <v>2952</v>
      </c>
      <c r="X75" s="59">
        <v>45670.481249999997</v>
      </c>
      <c r="Y75" s="25" t="s">
        <v>2934</v>
      </c>
      <c r="Z75" s="25">
        <v>0.5</v>
      </c>
      <c r="AA75" s="25"/>
      <c r="AB75" s="25" t="s">
        <v>2521</v>
      </c>
      <c r="AC75" s="27" t="s">
        <v>2953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2954</v>
      </c>
      <c r="E76" s="25" t="s">
        <v>2504</v>
      </c>
      <c r="F76" s="25">
        <v>4680</v>
      </c>
      <c r="G76" s="25" t="s">
        <v>2608</v>
      </c>
      <c r="H76" s="25" t="s">
        <v>2609</v>
      </c>
      <c r="I76" s="25" t="s">
        <v>2955</v>
      </c>
      <c r="J76" s="25" t="s">
        <v>2643</v>
      </c>
      <c r="K76" s="25" t="s">
        <v>2568</v>
      </c>
      <c r="L76" s="25" t="s">
        <v>2611</v>
      </c>
      <c r="M76" s="26" t="s">
        <v>2612</v>
      </c>
      <c r="N76" s="25" t="s">
        <v>2613</v>
      </c>
      <c r="O76" s="26" t="s">
        <v>2614</v>
      </c>
      <c r="P76" s="27" t="s">
        <v>2956</v>
      </c>
      <c r="Q76" s="25" t="s">
        <v>2616</v>
      </c>
      <c r="R76" s="25" t="s">
        <v>2516</v>
      </c>
      <c r="S76" s="25" t="s">
        <v>173</v>
      </c>
      <c r="T76" s="25">
        <v>1</v>
      </c>
      <c r="U76" s="25" t="s">
        <v>2517</v>
      </c>
      <c r="V76" s="25" t="s">
        <v>2957</v>
      </c>
      <c r="W76" s="25" t="s">
        <v>2958</v>
      </c>
      <c r="X76" s="59">
        <v>45670.697916666657</v>
      </c>
      <c r="Y76" s="25" t="s">
        <v>2934</v>
      </c>
      <c r="Z76" s="25">
        <v>0.3</v>
      </c>
      <c r="AA76" s="25"/>
      <c r="AB76" s="25" t="s">
        <v>2521</v>
      </c>
      <c r="AC76" s="27" t="s">
        <v>2959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2960</v>
      </c>
      <c r="E77" s="25" t="s">
        <v>2504</v>
      </c>
      <c r="F77" s="25">
        <v>4983</v>
      </c>
      <c r="G77" s="25" t="s">
        <v>2961</v>
      </c>
      <c r="H77" s="25" t="s">
        <v>2609</v>
      </c>
      <c r="I77" s="25" t="s">
        <v>2962</v>
      </c>
      <c r="J77" s="25" t="s">
        <v>2661</v>
      </c>
      <c r="K77" s="25" t="s">
        <v>2568</v>
      </c>
      <c r="L77" s="25" t="s">
        <v>2525</v>
      </c>
      <c r="M77" s="26" t="s">
        <v>2526</v>
      </c>
      <c r="N77" s="25">
        <v>5803</v>
      </c>
      <c r="O77" s="26" t="s">
        <v>2963</v>
      </c>
      <c r="P77" s="27" t="s">
        <v>2964</v>
      </c>
      <c r="Q77" s="25" t="s">
        <v>2965</v>
      </c>
      <c r="R77" s="25" t="s">
        <v>2516</v>
      </c>
      <c r="S77" s="25" t="s">
        <v>173</v>
      </c>
      <c r="T77" s="25">
        <v>1</v>
      </c>
      <c r="U77" s="25" t="s">
        <v>2517</v>
      </c>
      <c r="V77" s="25" t="s">
        <v>2966</v>
      </c>
      <c r="W77" s="25" t="s">
        <v>2967</v>
      </c>
      <c r="X77" s="59">
        <v>45670.677083333343</v>
      </c>
      <c r="Y77" s="25" t="s">
        <v>2968</v>
      </c>
      <c r="Z77" s="25">
        <v>0.7</v>
      </c>
      <c r="AA77" s="25"/>
      <c r="AB77" s="25" t="s">
        <v>2521</v>
      </c>
      <c r="AC77" s="27" t="s">
        <v>2969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2970</v>
      </c>
      <c r="E78" s="25" t="s">
        <v>2504</v>
      </c>
      <c r="F78" s="25">
        <v>2995</v>
      </c>
      <c r="G78" s="25" t="s">
        <v>2844</v>
      </c>
      <c r="H78" s="25" t="s">
        <v>2609</v>
      </c>
      <c r="I78" s="25" t="s">
        <v>2971</v>
      </c>
      <c r="J78" s="25" t="s">
        <v>2661</v>
      </c>
      <c r="K78" s="25" t="s">
        <v>2765</v>
      </c>
      <c r="L78" s="25" t="s">
        <v>2611</v>
      </c>
      <c r="M78" s="26" t="s">
        <v>2612</v>
      </c>
      <c r="N78" s="25" t="s">
        <v>2972</v>
      </c>
      <c r="O78" s="26" t="s">
        <v>2973</v>
      </c>
      <c r="P78" s="27" t="s">
        <v>2974</v>
      </c>
      <c r="Q78" s="25" t="s">
        <v>2850</v>
      </c>
      <c r="R78" s="25" t="s">
        <v>2516</v>
      </c>
      <c r="S78" s="25" t="s">
        <v>173</v>
      </c>
      <c r="T78" s="25">
        <v>1</v>
      </c>
      <c r="U78" s="25" t="s">
        <v>2517</v>
      </c>
      <c r="V78" s="25" t="s">
        <v>2975</v>
      </c>
      <c r="W78" s="25" t="s">
        <v>2976</v>
      </c>
      <c r="X78" s="59">
        <v>45670.643750000003</v>
      </c>
      <c r="Y78" s="25" t="s">
        <v>2977</v>
      </c>
      <c r="Z78" s="25">
        <v>0.6</v>
      </c>
      <c r="AA78" s="25"/>
      <c r="AB78" s="25" t="s">
        <v>2521</v>
      </c>
      <c r="AC78" s="27" t="s">
        <v>2978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2979</v>
      </c>
      <c r="E79" s="25" t="s">
        <v>2504</v>
      </c>
      <c r="F79" s="25">
        <v>2995</v>
      </c>
      <c r="G79" s="25" t="s">
        <v>2844</v>
      </c>
      <c r="H79" s="25" t="s">
        <v>2609</v>
      </c>
      <c r="I79" s="25" t="s">
        <v>2980</v>
      </c>
      <c r="J79" s="25" t="s">
        <v>2661</v>
      </c>
      <c r="K79" s="25" t="s">
        <v>2568</v>
      </c>
      <c r="L79" s="25" t="s">
        <v>2611</v>
      </c>
      <c r="M79" s="26" t="s">
        <v>2612</v>
      </c>
      <c r="N79" s="25" t="s">
        <v>2613</v>
      </c>
      <c r="O79" s="26" t="s">
        <v>2614</v>
      </c>
      <c r="P79" s="27" t="s">
        <v>2981</v>
      </c>
      <c r="Q79" s="25" t="s">
        <v>2850</v>
      </c>
      <c r="R79" s="25" t="s">
        <v>2516</v>
      </c>
      <c r="S79" s="25" t="s">
        <v>173</v>
      </c>
      <c r="T79" s="25">
        <v>1</v>
      </c>
      <c r="U79" s="25" t="s">
        <v>2517</v>
      </c>
      <c r="V79" s="25" t="s">
        <v>2982</v>
      </c>
      <c r="W79" s="25" t="s">
        <v>2976</v>
      </c>
      <c r="X79" s="59">
        <v>45670.643750000003</v>
      </c>
      <c r="Y79" s="25" t="s">
        <v>2983</v>
      </c>
      <c r="Z79" s="25">
        <v>0.6</v>
      </c>
      <c r="AA79" s="25"/>
      <c r="AB79" s="25" t="s">
        <v>2521</v>
      </c>
      <c r="AC79" s="27" t="s">
        <v>2984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2985</v>
      </c>
      <c r="E80" s="25" t="s">
        <v>2504</v>
      </c>
      <c r="F80" s="25">
        <v>4528</v>
      </c>
      <c r="G80" s="25" t="s">
        <v>2986</v>
      </c>
      <c r="H80" s="25" t="s">
        <v>2987</v>
      </c>
      <c r="I80" s="25" t="s">
        <v>2988</v>
      </c>
      <c r="J80" s="25" t="s">
        <v>2661</v>
      </c>
      <c r="K80" s="25" t="s">
        <v>2568</v>
      </c>
      <c r="L80" s="25" t="s">
        <v>2611</v>
      </c>
      <c r="M80" s="26" t="s">
        <v>2612</v>
      </c>
      <c r="N80" s="25" t="s">
        <v>2613</v>
      </c>
      <c r="O80" s="26" t="s">
        <v>2614</v>
      </c>
      <c r="P80" s="27" t="s">
        <v>2989</v>
      </c>
      <c r="Q80" s="25" t="s">
        <v>2990</v>
      </c>
      <c r="R80" s="25" t="s">
        <v>2516</v>
      </c>
      <c r="S80" s="25" t="s">
        <v>25</v>
      </c>
      <c r="T80" s="25">
        <v>1</v>
      </c>
      <c r="U80" s="25" t="s">
        <v>2517</v>
      </c>
      <c r="V80" s="25" t="s">
        <v>2991</v>
      </c>
      <c r="W80" s="25" t="s">
        <v>2992</v>
      </c>
      <c r="X80" s="59">
        <v>45671.456250000003</v>
      </c>
      <c r="Y80" s="25" t="s">
        <v>2993</v>
      </c>
      <c r="Z80" s="25">
        <v>0.5</v>
      </c>
      <c r="AA80" s="25"/>
      <c r="AB80" s="25" t="s">
        <v>2521</v>
      </c>
      <c r="AC80" s="27" t="s">
        <v>2994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2995</v>
      </c>
      <c r="H81" s="25" t="s">
        <v>2996</v>
      </c>
      <c r="I81" s="25"/>
      <c r="J81" s="25"/>
      <c r="K81" s="25"/>
      <c r="L81" s="25"/>
      <c r="M81" s="26"/>
      <c r="N81" s="25"/>
      <c r="O81" s="26"/>
      <c r="P81" s="27"/>
      <c r="Q81" s="25" t="s">
        <v>2997</v>
      </c>
      <c r="R81" s="25" t="s">
        <v>2516</v>
      </c>
      <c r="S81" s="25" t="s">
        <v>185</v>
      </c>
      <c r="T81" s="25">
        <v>1</v>
      </c>
      <c r="U81" s="25" t="s">
        <v>2517</v>
      </c>
      <c r="V81" s="25" t="s">
        <v>2998</v>
      </c>
      <c r="W81" s="25" t="s">
        <v>2999</v>
      </c>
      <c r="X81" s="59">
        <v>45670.430555555547</v>
      </c>
      <c r="Y81" s="25"/>
      <c r="Z81" s="25">
        <v>0.3</v>
      </c>
      <c r="AA81" s="25"/>
      <c r="AB81" s="25" t="s">
        <v>2521</v>
      </c>
      <c r="AC81" s="27" t="s">
        <v>2591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3000</v>
      </c>
      <c r="H82" s="25" t="s">
        <v>2996</v>
      </c>
      <c r="I82" s="25"/>
      <c r="J82" s="25"/>
      <c r="K82" s="25"/>
      <c r="L82" s="25"/>
      <c r="M82" s="26"/>
      <c r="N82" s="25"/>
      <c r="O82" s="26"/>
      <c r="P82" s="27"/>
      <c r="Q82" s="25" t="s">
        <v>3001</v>
      </c>
      <c r="R82" s="25" t="s">
        <v>2516</v>
      </c>
      <c r="S82" s="25" t="s">
        <v>185</v>
      </c>
      <c r="T82" s="25">
        <v>1</v>
      </c>
      <c r="U82" s="25" t="s">
        <v>2517</v>
      </c>
      <c r="V82" s="25" t="s">
        <v>3002</v>
      </c>
      <c r="W82" s="25" t="s">
        <v>3003</v>
      </c>
      <c r="X82" s="59">
        <v>45670.444444444453</v>
      </c>
      <c r="Y82" s="25"/>
      <c r="Z82" s="25">
        <v>0.3</v>
      </c>
      <c r="AA82" s="25"/>
      <c r="AB82" s="25" t="s">
        <v>2521</v>
      </c>
      <c r="AC82" s="27" t="s">
        <v>2591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3004</v>
      </c>
      <c r="H83" s="25" t="s">
        <v>2996</v>
      </c>
      <c r="I83" s="25"/>
      <c r="J83" s="25"/>
      <c r="K83" s="25"/>
      <c r="L83" s="25"/>
      <c r="M83" s="26"/>
      <c r="N83" s="25"/>
      <c r="O83" s="26"/>
      <c r="P83" s="27"/>
      <c r="Q83" s="25" t="s">
        <v>3005</v>
      </c>
      <c r="R83" s="25" t="s">
        <v>2516</v>
      </c>
      <c r="S83" s="25" t="s">
        <v>185</v>
      </c>
      <c r="T83" s="25">
        <v>1</v>
      </c>
      <c r="U83" s="25" t="s">
        <v>2517</v>
      </c>
      <c r="V83" s="25" t="s">
        <v>3006</v>
      </c>
      <c r="W83" s="25" t="s">
        <v>3007</v>
      </c>
      <c r="X83" s="59">
        <v>45670.482638888891</v>
      </c>
      <c r="Y83" s="25"/>
      <c r="Z83" s="25">
        <v>0.3</v>
      </c>
      <c r="AA83" s="25"/>
      <c r="AB83" s="25" t="s">
        <v>2521</v>
      </c>
      <c r="AC83" s="27" t="s">
        <v>2591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3008</v>
      </c>
      <c r="H84" s="25" t="s">
        <v>2996</v>
      </c>
      <c r="I84" s="25"/>
      <c r="J84" s="25"/>
      <c r="K84" s="25"/>
      <c r="L84" s="25"/>
      <c r="M84" s="26"/>
      <c r="N84" s="25"/>
      <c r="O84" s="26"/>
      <c r="P84" s="27"/>
      <c r="Q84" s="25" t="s">
        <v>3009</v>
      </c>
      <c r="R84" s="25" t="s">
        <v>2516</v>
      </c>
      <c r="S84" s="25" t="s">
        <v>185</v>
      </c>
      <c r="T84" s="25">
        <v>1</v>
      </c>
      <c r="U84" s="25" t="s">
        <v>2517</v>
      </c>
      <c r="V84" s="25" t="s">
        <v>3010</v>
      </c>
      <c r="W84" s="25" t="s">
        <v>3011</v>
      </c>
      <c r="X84" s="59">
        <v>45670.493055555547</v>
      </c>
      <c r="Y84" s="25"/>
      <c r="Z84" s="25">
        <v>0.3</v>
      </c>
      <c r="AA84" s="25"/>
      <c r="AB84" s="25" t="s">
        <v>2521</v>
      </c>
      <c r="AC84" s="27" t="s">
        <v>2591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2943</v>
      </c>
      <c r="H85" s="25" t="s">
        <v>2507</v>
      </c>
      <c r="I85" s="25"/>
      <c r="J85" s="25"/>
      <c r="K85" s="25"/>
      <c r="L85" s="25"/>
      <c r="M85" s="26"/>
      <c r="N85" s="25"/>
      <c r="O85" s="26"/>
      <c r="P85" s="27"/>
      <c r="Q85" s="25" t="s">
        <v>2950</v>
      </c>
      <c r="R85" s="25" t="s">
        <v>2516</v>
      </c>
      <c r="S85" s="25" t="s">
        <v>25</v>
      </c>
      <c r="T85" s="25">
        <v>1</v>
      </c>
      <c r="U85" s="25" t="s">
        <v>2517</v>
      </c>
      <c r="V85" s="25" t="s">
        <v>3012</v>
      </c>
      <c r="W85" s="25" t="s">
        <v>3013</v>
      </c>
      <c r="X85" s="59">
        <v>45670.512499999997</v>
      </c>
      <c r="Y85" s="25"/>
      <c r="Z85" s="25">
        <v>0.4</v>
      </c>
      <c r="AA85" s="25"/>
      <c r="AB85" s="25" t="s">
        <v>2521</v>
      </c>
      <c r="AC85" s="27" t="s">
        <v>2591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3014</v>
      </c>
      <c r="H86" s="25" t="s">
        <v>2996</v>
      </c>
      <c r="I86" s="25"/>
      <c r="J86" s="25"/>
      <c r="K86" s="25"/>
      <c r="L86" s="25"/>
      <c r="M86" s="26"/>
      <c r="N86" s="25"/>
      <c r="O86" s="26"/>
      <c r="P86" s="27"/>
      <c r="Q86" s="25" t="s">
        <v>3015</v>
      </c>
      <c r="R86" s="25" t="s">
        <v>2516</v>
      </c>
      <c r="S86" s="25" t="s">
        <v>185</v>
      </c>
      <c r="T86" s="25">
        <v>1</v>
      </c>
      <c r="U86" s="25" t="s">
        <v>2517</v>
      </c>
      <c r="V86" s="25" t="s">
        <v>3016</v>
      </c>
      <c r="W86" s="25" t="s">
        <v>3017</v>
      </c>
      <c r="X86" s="59">
        <v>45670.5625</v>
      </c>
      <c r="Y86" s="25"/>
      <c r="Z86" s="25">
        <v>0.3</v>
      </c>
      <c r="AA86" s="25"/>
      <c r="AB86" s="25" t="s">
        <v>2521</v>
      </c>
      <c r="AC86" s="27" t="s">
        <v>2591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3018</v>
      </c>
      <c r="H87" s="25" t="s">
        <v>2996</v>
      </c>
      <c r="I87" s="25"/>
      <c r="J87" s="25"/>
      <c r="K87" s="25"/>
      <c r="L87" s="25"/>
      <c r="M87" s="26"/>
      <c r="N87" s="25"/>
      <c r="O87" s="26"/>
      <c r="P87" s="27"/>
      <c r="Q87" s="25" t="s">
        <v>3019</v>
      </c>
      <c r="R87" s="25" t="s">
        <v>2516</v>
      </c>
      <c r="S87" s="25" t="s">
        <v>185</v>
      </c>
      <c r="T87" s="25">
        <v>1</v>
      </c>
      <c r="U87" s="25" t="s">
        <v>2517</v>
      </c>
      <c r="V87" s="25" t="s">
        <v>3020</v>
      </c>
      <c r="W87" s="25" t="s">
        <v>3021</v>
      </c>
      <c r="X87" s="59">
        <v>45670.576388888891</v>
      </c>
      <c r="Y87" s="25"/>
      <c r="Z87" s="25">
        <v>0.3</v>
      </c>
      <c r="AA87" s="25"/>
      <c r="AB87" s="25" t="s">
        <v>2521</v>
      </c>
      <c r="AC87" s="27" t="s">
        <v>2591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2961</v>
      </c>
      <c r="H88" s="25" t="s">
        <v>2609</v>
      </c>
      <c r="I88" s="25"/>
      <c r="J88" s="25"/>
      <c r="K88" s="25"/>
      <c r="L88" s="25"/>
      <c r="M88" s="26"/>
      <c r="N88" s="25"/>
      <c r="O88" s="26"/>
      <c r="P88" s="27"/>
      <c r="Q88" s="25" t="s">
        <v>2965</v>
      </c>
      <c r="R88" s="25" t="s">
        <v>2516</v>
      </c>
      <c r="S88" s="25" t="s">
        <v>173</v>
      </c>
      <c r="T88" s="25">
        <v>1</v>
      </c>
      <c r="U88" s="25" t="s">
        <v>2517</v>
      </c>
      <c r="V88" s="25" t="s">
        <v>3022</v>
      </c>
      <c r="W88" s="25" t="s">
        <v>2967</v>
      </c>
      <c r="X88" s="59">
        <v>45670.677083333343</v>
      </c>
      <c r="Y88" s="25"/>
      <c r="Z88" s="25">
        <v>0.7</v>
      </c>
      <c r="AA88" s="25"/>
      <c r="AB88" s="25" t="s">
        <v>2521</v>
      </c>
      <c r="AC88" s="27" t="s">
        <v>2591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2608</v>
      </c>
      <c r="H89" s="25" t="s">
        <v>2609</v>
      </c>
      <c r="I89" s="25"/>
      <c r="J89" s="25"/>
      <c r="K89" s="25"/>
      <c r="L89" s="25"/>
      <c r="M89" s="26"/>
      <c r="N89" s="25"/>
      <c r="O89" s="26"/>
      <c r="P89" s="27"/>
      <c r="Q89" s="25" t="s">
        <v>2616</v>
      </c>
      <c r="R89" s="25" t="s">
        <v>2516</v>
      </c>
      <c r="S89" s="25" t="s">
        <v>173</v>
      </c>
      <c r="T89" s="25">
        <v>1</v>
      </c>
      <c r="U89" s="25" t="s">
        <v>2517</v>
      </c>
      <c r="V89" s="25" t="s">
        <v>3023</v>
      </c>
      <c r="W89" s="25" t="s">
        <v>2958</v>
      </c>
      <c r="X89" s="59">
        <v>45670.697916666657</v>
      </c>
      <c r="Y89" s="25"/>
      <c r="Z89" s="25">
        <v>0.3</v>
      </c>
      <c r="AA89" s="25"/>
      <c r="AB89" s="25" t="s">
        <v>2521</v>
      </c>
      <c r="AC89" s="27" t="s">
        <v>2591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3024</v>
      </c>
      <c r="E90" s="25" t="s">
        <v>2504</v>
      </c>
      <c r="F90" s="25" t="s">
        <v>2812</v>
      </c>
      <c r="G90" s="25" t="s">
        <v>2813</v>
      </c>
      <c r="H90" s="25" t="s">
        <v>2659</v>
      </c>
      <c r="I90" s="25" t="s">
        <v>3025</v>
      </c>
      <c r="J90" s="25" t="s">
        <v>2661</v>
      </c>
      <c r="K90" s="25" t="s">
        <v>2510</v>
      </c>
      <c r="L90" s="25" t="s">
        <v>2595</v>
      </c>
      <c r="M90" s="26" t="s">
        <v>2596</v>
      </c>
      <c r="N90" s="25" t="s">
        <v>2597</v>
      </c>
      <c r="O90" s="26" t="s">
        <v>2598</v>
      </c>
      <c r="P90" s="27" t="s">
        <v>3026</v>
      </c>
      <c r="Q90" s="25" t="s">
        <v>2814</v>
      </c>
      <c r="R90" s="25" t="s">
        <v>2516</v>
      </c>
      <c r="S90" s="25" t="s">
        <v>185</v>
      </c>
      <c r="T90" s="25">
        <v>1</v>
      </c>
      <c r="U90" s="25" t="s">
        <v>2517</v>
      </c>
      <c r="V90" s="25" t="s">
        <v>3027</v>
      </c>
      <c r="W90" s="25" t="s">
        <v>2934</v>
      </c>
      <c r="X90" s="59">
        <v>45671.5625</v>
      </c>
      <c r="Y90" s="25" t="s">
        <v>3028</v>
      </c>
      <c r="Z90" s="25">
        <v>0.5</v>
      </c>
      <c r="AA90" s="25"/>
      <c r="AB90" s="25" t="s">
        <v>2521</v>
      </c>
      <c r="AC90" s="27" t="s">
        <v>3029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2986</v>
      </c>
      <c r="H91" s="25" t="s">
        <v>2987</v>
      </c>
      <c r="I91" s="25"/>
      <c r="J91" s="25"/>
      <c r="K91" s="25"/>
      <c r="L91" s="25"/>
      <c r="M91" s="26"/>
      <c r="N91" s="25"/>
      <c r="O91" s="26"/>
      <c r="P91" s="27"/>
      <c r="Q91" s="25" t="s">
        <v>2990</v>
      </c>
      <c r="R91" s="25" t="s">
        <v>2516</v>
      </c>
      <c r="S91" s="25" t="s">
        <v>25</v>
      </c>
      <c r="T91" s="25">
        <v>1</v>
      </c>
      <c r="U91" s="25" t="s">
        <v>2517</v>
      </c>
      <c r="V91" s="25" t="s">
        <v>3030</v>
      </c>
      <c r="W91" s="25" t="s">
        <v>3031</v>
      </c>
      <c r="X91" s="59">
        <v>45671.463888888888</v>
      </c>
      <c r="Y91" s="25"/>
      <c r="Z91" s="25">
        <v>0.6</v>
      </c>
      <c r="AA91" s="25"/>
      <c r="AB91" s="25" t="s">
        <v>2521</v>
      </c>
      <c r="AC91" s="27" t="s">
        <v>2591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3032</v>
      </c>
      <c r="E92" s="25" t="s">
        <v>2504</v>
      </c>
      <c r="F92" s="25">
        <v>4241</v>
      </c>
      <c r="G92" s="25" t="s">
        <v>3033</v>
      </c>
      <c r="H92" s="25" t="s">
        <v>2507</v>
      </c>
      <c r="I92" s="25" t="s">
        <v>3034</v>
      </c>
      <c r="J92" s="25" t="s">
        <v>2509</v>
      </c>
      <c r="K92" s="25" t="s">
        <v>2568</v>
      </c>
      <c r="L92" s="25" t="s">
        <v>2511</v>
      </c>
      <c r="M92" s="26" t="s">
        <v>2512</v>
      </c>
      <c r="N92" s="25">
        <v>2305</v>
      </c>
      <c r="O92" s="26" t="s">
        <v>3035</v>
      </c>
      <c r="P92" s="27" t="s">
        <v>3036</v>
      </c>
      <c r="Q92" s="25" t="s">
        <v>3037</v>
      </c>
      <c r="R92" s="25" t="s">
        <v>2516</v>
      </c>
      <c r="S92" s="25" t="s">
        <v>25</v>
      </c>
      <c r="T92" s="25">
        <v>1</v>
      </c>
      <c r="U92" s="25" t="s">
        <v>2517</v>
      </c>
      <c r="V92" s="25" t="s">
        <v>3038</v>
      </c>
      <c r="W92" s="25" t="s">
        <v>3039</v>
      </c>
      <c r="X92" s="59">
        <v>45672.590277777781</v>
      </c>
      <c r="Y92" s="25" t="s">
        <v>3040</v>
      </c>
      <c r="Z92" s="25">
        <v>0.5</v>
      </c>
      <c r="AA92" s="25"/>
      <c r="AB92" s="25" t="s">
        <v>2521</v>
      </c>
      <c r="AC92" s="27" t="s">
        <v>3041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3042</v>
      </c>
      <c r="H93" s="25" t="s">
        <v>2987</v>
      </c>
      <c r="I93" s="25"/>
      <c r="J93" s="25"/>
      <c r="K93" s="25"/>
      <c r="L93" s="25"/>
      <c r="M93" s="26"/>
      <c r="N93" s="25"/>
      <c r="O93" s="26"/>
      <c r="P93" s="27"/>
      <c r="Q93" s="25" t="s">
        <v>3043</v>
      </c>
      <c r="R93" s="25" t="s">
        <v>2516</v>
      </c>
      <c r="S93" s="25" t="s">
        <v>25</v>
      </c>
      <c r="T93" s="25">
        <v>1</v>
      </c>
      <c r="U93" s="25" t="s">
        <v>2517</v>
      </c>
      <c r="V93" s="25" t="s">
        <v>3044</v>
      </c>
      <c r="W93" s="25" t="s">
        <v>3045</v>
      </c>
      <c r="X93" s="59">
        <v>45671.511805555558</v>
      </c>
      <c r="Y93" s="25"/>
      <c r="Z93" s="25">
        <v>0.4</v>
      </c>
      <c r="AA93" s="25"/>
      <c r="AB93" s="25" t="s">
        <v>2521</v>
      </c>
      <c r="AC93" s="27" t="s">
        <v>2591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3046</v>
      </c>
      <c r="H94" s="25" t="s">
        <v>2987</v>
      </c>
      <c r="I94" s="25"/>
      <c r="J94" s="25"/>
      <c r="K94" s="25"/>
      <c r="L94" s="25"/>
      <c r="M94" s="26"/>
      <c r="N94" s="25"/>
      <c r="O94" s="26"/>
      <c r="P94" s="27"/>
      <c r="Q94" s="25" t="s">
        <v>3047</v>
      </c>
      <c r="R94" s="25" t="s">
        <v>2516</v>
      </c>
      <c r="S94" s="25" t="s">
        <v>25</v>
      </c>
      <c r="T94" s="25">
        <v>1</v>
      </c>
      <c r="U94" s="25" t="s">
        <v>2517</v>
      </c>
      <c r="V94" s="25" t="s">
        <v>3048</v>
      </c>
      <c r="W94" s="25" t="s">
        <v>3049</v>
      </c>
      <c r="X94" s="59">
        <v>45671.572222222218</v>
      </c>
      <c r="Y94" s="25"/>
      <c r="Z94" s="25">
        <v>0.4</v>
      </c>
      <c r="AA94" s="25"/>
      <c r="AB94" s="25" t="s">
        <v>2521</v>
      </c>
      <c r="AC94" s="27" t="s">
        <v>3050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3051</v>
      </c>
      <c r="H95" s="25" t="s">
        <v>2987</v>
      </c>
      <c r="I95" s="25"/>
      <c r="J95" s="25"/>
      <c r="K95" s="25"/>
      <c r="L95" s="25"/>
      <c r="M95" s="26"/>
      <c r="N95" s="25"/>
      <c r="O95" s="26"/>
      <c r="P95" s="27"/>
      <c r="Q95" s="25" t="s">
        <v>3052</v>
      </c>
      <c r="R95" s="25" t="s">
        <v>2516</v>
      </c>
      <c r="S95" s="25" t="s">
        <v>25</v>
      </c>
      <c r="T95" s="25">
        <v>1</v>
      </c>
      <c r="U95" s="25" t="s">
        <v>2517</v>
      </c>
      <c r="V95" s="25" t="s">
        <v>3053</v>
      </c>
      <c r="W95" s="25" t="s">
        <v>3054</v>
      </c>
      <c r="X95" s="59">
        <v>45671.634722222218</v>
      </c>
      <c r="Y95" s="25"/>
      <c r="Z95" s="25">
        <v>0.4</v>
      </c>
      <c r="AA95" s="25"/>
      <c r="AB95" s="25" t="s">
        <v>2521</v>
      </c>
      <c r="AC95" s="27" t="s">
        <v>2591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3055</v>
      </c>
      <c r="H96" s="25" t="s">
        <v>2987</v>
      </c>
      <c r="I96" s="25"/>
      <c r="J96" s="25"/>
      <c r="K96" s="25"/>
      <c r="L96" s="25"/>
      <c r="M96" s="26"/>
      <c r="N96" s="25"/>
      <c r="O96" s="26"/>
      <c r="P96" s="27"/>
      <c r="Q96" s="25" t="s">
        <v>3056</v>
      </c>
      <c r="R96" s="25" t="s">
        <v>2516</v>
      </c>
      <c r="S96" s="25" t="s">
        <v>25</v>
      </c>
      <c r="T96" s="25">
        <v>1</v>
      </c>
      <c r="U96" s="25" t="s">
        <v>2517</v>
      </c>
      <c r="V96" s="25" t="s">
        <v>3057</v>
      </c>
      <c r="W96" s="25" t="s">
        <v>3058</v>
      </c>
      <c r="X96" s="59">
        <v>45671.541666666657</v>
      </c>
      <c r="Y96" s="25"/>
      <c r="Z96" s="25">
        <v>0.3</v>
      </c>
      <c r="AA96" s="25"/>
      <c r="AB96" s="25" t="s">
        <v>2521</v>
      </c>
      <c r="AC96" s="27" t="s">
        <v>2591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3059</v>
      </c>
      <c r="H97" s="25" t="s">
        <v>2987</v>
      </c>
      <c r="I97" s="25"/>
      <c r="J97" s="25"/>
      <c r="K97" s="25"/>
      <c r="L97" s="25"/>
      <c r="M97" s="26"/>
      <c r="N97" s="25"/>
      <c r="O97" s="26"/>
      <c r="P97" s="27"/>
      <c r="Q97" s="25" t="s">
        <v>3060</v>
      </c>
      <c r="R97" s="25" t="s">
        <v>2516</v>
      </c>
      <c r="S97" s="25" t="s">
        <v>25</v>
      </c>
      <c r="T97" s="25">
        <v>1</v>
      </c>
      <c r="U97" s="25" t="s">
        <v>2517</v>
      </c>
      <c r="V97" s="25" t="s">
        <v>3061</v>
      </c>
      <c r="W97" s="25" t="s">
        <v>3062</v>
      </c>
      <c r="X97" s="59">
        <v>45671.590277777781</v>
      </c>
      <c r="Y97" s="25"/>
      <c r="Z97" s="25">
        <v>0.3</v>
      </c>
      <c r="AA97" s="25"/>
      <c r="AB97" s="25" t="s">
        <v>2521</v>
      </c>
      <c r="AC97" s="27" t="s">
        <v>2591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3063</v>
      </c>
      <c r="E98" s="25" t="s">
        <v>2504</v>
      </c>
      <c r="F98" s="25" t="s">
        <v>2778</v>
      </c>
      <c r="G98" s="25" t="s">
        <v>2779</v>
      </c>
      <c r="H98" s="25" t="s">
        <v>2507</v>
      </c>
      <c r="I98" s="25" t="s">
        <v>3064</v>
      </c>
      <c r="J98" s="25" t="s">
        <v>2536</v>
      </c>
      <c r="K98" s="25" t="s">
        <v>2510</v>
      </c>
      <c r="L98" s="25" t="s">
        <v>2662</v>
      </c>
      <c r="M98" s="26" t="s">
        <v>2663</v>
      </c>
      <c r="N98" s="25">
        <v>2702</v>
      </c>
      <c r="O98" s="26" t="s">
        <v>3065</v>
      </c>
      <c r="P98" s="27" t="s">
        <v>3066</v>
      </c>
      <c r="Q98" s="25" t="s">
        <v>2780</v>
      </c>
      <c r="R98" s="25" t="s">
        <v>2516</v>
      </c>
      <c r="S98" s="25" t="s">
        <v>25</v>
      </c>
      <c r="T98" s="25">
        <v>1</v>
      </c>
      <c r="U98" s="25" t="s">
        <v>2517</v>
      </c>
      <c r="V98" s="25" t="s">
        <v>3067</v>
      </c>
      <c r="W98" s="25" t="s">
        <v>3068</v>
      </c>
      <c r="X98" s="59">
        <v>45672.59375</v>
      </c>
      <c r="Y98" s="25" t="s">
        <v>3069</v>
      </c>
      <c r="Z98" s="25">
        <v>0.5</v>
      </c>
      <c r="AA98" s="25"/>
      <c r="AB98" s="25" t="s">
        <v>2521</v>
      </c>
      <c r="AC98" s="27" t="s">
        <v>3070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3071</v>
      </c>
      <c r="E99" s="25" t="s">
        <v>2504</v>
      </c>
      <c r="F99" s="25">
        <v>3772</v>
      </c>
      <c r="G99" s="25" t="s">
        <v>3072</v>
      </c>
      <c r="H99" s="25" t="s">
        <v>2507</v>
      </c>
      <c r="I99" s="25" t="s">
        <v>3073</v>
      </c>
      <c r="J99" s="25" t="s">
        <v>2835</v>
      </c>
      <c r="K99" s="25" t="s">
        <v>2568</v>
      </c>
      <c r="L99" s="25" t="s">
        <v>2945</v>
      </c>
      <c r="M99" s="26" t="s">
        <v>2946</v>
      </c>
      <c r="N99" s="25" t="s">
        <v>2947</v>
      </c>
      <c r="O99" s="26" t="s">
        <v>2948</v>
      </c>
      <c r="P99" s="27" t="s">
        <v>3074</v>
      </c>
      <c r="Q99" s="25" t="s">
        <v>3075</v>
      </c>
      <c r="R99" s="25" t="s">
        <v>2516</v>
      </c>
      <c r="S99" s="25" t="s">
        <v>25</v>
      </c>
      <c r="T99" s="25">
        <v>1</v>
      </c>
      <c r="U99" s="25" t="s">
        <v>2517</v>
      </c>
      <c r="V99" s="25" t="s">
        <v>3076</v>
      </c>
      <c r="W99" s="25" t="s">
        <v>3077</v>
      </c>
      <c r="X99" s="59">
        <v>45673.45</v>
      </c>
      <c r="Y99" s="25" t="s">
        <v>3078</v>
      </c>
      <c r="Z99" s="25">
        <v>0.5</v>
      </c>
      <c r="AA99" s="25"/>
      <c r="AB99" s="25" t="s">
        <v>2521</v>
      </c>
      <c r="AC99" s="27" t="s">
        <v>3079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3080</v>
      </c>
      <c r="H100" s="25" t="s">
        <v>2996</v>
      </c>
      <c r="I100" s="25"/>
      <c r="J100" s="25"/>
      <c r="K100" s="25"/>
      <c r="L100" s="25"/>
      <c r="M100" s="26"/>
      <c r="N100" s="25"/>
      <c r="O100" s="26"/>
      <c r="P100" s="27"/>
      <c r="Q100" s="25" t="s">
        <v>3081</v>
      </c>
      <c r="R100" s="25" t="s">
        <v>2516</v>
      </c>
      <c r="S100" s="25" t="s">
        <v>185</v>
      </c>
      <c r="T100" s="25">
        <v>1</v>
      </c>
      <c r="U100" s="25" t="s">
        <v>2517</v>
      </c>
      <c r="V100" s="25" t="s">
        <v>3082</v>
      </c>
      <c r="W100" s="25" t="s">
        <v>3083</v>
      </c>
      <c r="X100" s="59">
        <v>45673.472222222219</v>
      </c>
      <c r="Y100" s="25"/>
      <c r="Z100" s="25">
        <v>0.3</v>
      </c>
      <c r="AA100" s="25"/>
      <c r="AB100" s="25" t="s">
        <v>2521</v>
      </c>
      <c r="AC100" s="27" t="s">
        <v>2591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3084</v>
      </c>
      <c r="H101" s="25" t="s">
        <v>2996</v>
      </c>
      <c r="I101" s="25"/>
      <c r="J101" s="25"/>
      <c r="K101" s="25"/>
      <c r="L101" s="25"/>
      <c r="M101" s="26"/>
      <c r="N101" s="25"/>
      <c r="O101" s="26"/>
      <c r="P101" s="27"/>
      <c r="Q101" s="25" t="s">
        <v>3085</v>
      </c>
      <c r="R101" s="25" t="s">
        <v>2516</v>
      </c>
      <c r="S101" s="25" t="s">
        <v>185</v>
      </c>
      <c r="T101" s="25">
        <v>1</v>
      </c>
      <c r="U101" s="25" t="s">
        <v>2517</v>
      </c>
      <c r="V101" s="25" t="s">
        <v>3086</v>
      </c>
      <c r="W101" s="25" t="s">
        <v>3087</v>
      </c>
      <c r="X101" s="59">
        <v>45673.486111111109</v>
      </c>
      <c r="Y101" s="25"/>
      <c r="Z101" s="25">
        <v>0.3</v>
      </c>
      <c r="AA101" s="25"/>
      <c r="AB101" s="25" t="s">
        <v>2521</v>
      </c>
      <c r="AC101" s="27" t="s">
        <v>2591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3088</v>
      </c>
      <c r="H102" s="25" t="s">
        <v>2507</v>
      </c>
      <c r="I102" s="25"/>
      <c r="J102" s="25"/>
      <c r="K102" s="25"/>
      <c r="L102" s="25"/>
      <c r="M102" s="26"/>
      <c r="N102" s="25"/>
      <c r="O102" s="26"/>
      <c r="P102" s="27"/>
      <c r="Q102" s="25" t="s">
        <v>3089</v>
      </c>
      <c r="R102" s="25" t="s">
        <v>2516</v>
      </c>
      <c r="S102" s="25" t="s">
        <v>25</v>
      </c>
      <c r="T102" s="25">
        <v>1</v>
      </c>
      <c r="U102" s="25" t="s">
        <v>2517</v>
      </c>
      <c r="V102" s="25" t="s">
        <v>3090</v>
      </c>
      <c r="W102" s="25" t="s">
        <v>3091</v>
      </c>
      <c r="X102" s="59">
        <v>45673.659722222219</v>
      </c>
      <c r="Y102" s="25"/>
      <c r="Z102" s="25">
        <v>0.3</v>
      </c>
      <c r="AA102" s="25"/>
      <c r="AB102" s="25" t="s">
        <v>2521</v>
      </c>
      <c r="AC102" s="27" t="s">
        <v>2591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3092</v>
      </c>
      <c r="H103" s="25" t="s">
        <v>2641</v>
      </c>
      <c r="I103" s="25"/>
      <c r="J103" s="25"/>
      <c r="K103" s="25"/>
      <c r="L103" s="25"/>
      <c r="M103" s="26"/>
      <c r="N103" s="25"/>
      <c r="O103" s="26"/>
      <c r="P103" s="27"/>
      <c r="Q103" s="25" t="s">
        <v>3093</v>
      </c>
      <c r="R103" s="25" t="s">
        <v>2516</v>
      </c>
      <c r="S103" s="25" t="s">
        <v>25</v>
      </c>
      <c r="T103" s="25">
        <v>1</v>
      </c>
      <c r="U103" s="25" t="s">
        <v>2517</v>
      </c>
      <c r="V103" s="25" t="s">
        <v>3094</v>
      </c>
      <c r="W103" s="25" t="s">
        <v>3095</v>
      </c>
      <c r="X103" s="59">
        <v>45673.673611111109</v>
      </c>
      <c r="Y103" s="25"/>
      <c r="Z103" s="25">
        <v>0.3</v>
      </c>
      <c r="AA103" s="25"/>
      <c r="AB103" s="25" t="s">
        <v>2521</v>
      </c>
      <c r="AC103" s="27" t="s">
        <v>2591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3096</v>
      </c>
      <c r="H104" s="25" t="s">
        <v>2507</v>
      </c>
      <c r="I104" s="25"/>
      <c r="J104" s="25"/>
      <c r="K104" s="25"/>
      <c r="L104" s="25"/>
      <c r="M104" s="26"/>
      <c r="N104" s="25"/>
      <c r="O104" s="26"/>
      <c r="P104" s="27"/>
      <c r="Q104" s="25" t="s">
        <v>3097</v>
      </c>
      <c r="R104" s="25" t="s">
        <v>2516</v>
      </c>
      <c r="S104" s="25" t="s">
        <v>25</v>
      </c>
      <c r="T104" s="25">
        <v>1</v>
      </c>
      <c r="U104" s="25" t="s">
        <v>2517</v>
      </c>
      <c r="V104" s="25" t="s">
        <v>3098</v>
      </c>
      <c r="W104" s="25" t="s">
        <v>3099</v>
      </c>
      <c r="X104" s="59">
        <v>45673.697916666657</v>
      </c>
      <c r="Y104" s="25"/>
      <c r="Z104" s="25">
        <v>0.3</v>
      </c>
      <c r="AA104" s="25"/>
      <c r="AB104" s="25" t="s">
        <v>2521</v>
      </c>
      <c r="AC104" s="27" t="s">
        <v>2591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3100</v>
      </c>
      <c r="E105" s="25" t="s">
        <v>2504</v>
      </c>
      <c r="F105" s="25">
        <v>4397</v>
      </c>
      <c r="G105" s="25" t="s">
        <v>2943</v>
      </c>
      <c r="H105" s="25" t="s">
        <v>2507</v>
      </c>
      <c r="I105" s="25" t="s">
        <v>3101</v>
      </c>
      <c r="J105" s="25" t="s">
        <v>2661</v>
      </c>
      <c r="K105" s="25" t="s">
        <v>2568</v>
      </c>
      <c r="L105" s="25" t="s">
        <v>2511</v>
      </c>
      <c r="M105" s="26" t="s">
        <v>2512</v>
      </c>
      <c r="N105" s="25">
        <v>2304</v>
      </c>
      <c r="O105" s="26" t="s">
        <v>2513</v>
      </c>
      <c r="P105" s="27" t="s">
        <v>3102</v>
      </c>
      <c r="Q105" s="25" t="s">
        <v>2950</v>
      </c>
      <c r="R105" s="25" t="s">
        <v>2516</v>
      </c>
      <c r="S105" s="25" t="s">
        <v>25</v>
      </c>
      <c r="T105" s="25">
        <v>1</v>
      </c>
      <c r="U105" s="25" t="s">
        <v>2517</v>
      </c>
      <c r="V105" s="25" t="s">
        <v>3103</v>
      </c>
      <c r="W105" s="25" t="s">
        <v>3104</v>
      </c>
      <c r="X105" s="59">
        <v>45678.450694444437</v>
      </c>
      <c r="Y105" s="25" t="s">
        <v>3105</v>
      </c>
      <c r="Z105" s="25">
        <v>0.5</v>
      </c>
      <c r="AA105" s="25"/>
      <c r="AB105" s="25" t="s">
        <v>2521</v>
      </c>
      <c r="AC105" s="27" t="s">
        <v>3106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3107</v>
      </c>
      <c r="E106" s="25" t="s">
        <v>2504</v>
      </c>
      <c r="F106" s="25">
        <v>3853</v>
      </c>
      <c r="G106" s="25" t="s">
        <v>3108</v>
      </c>
      <c r="H106" s="25" t="s">
        <v>2609</v>
      </c>
      <c r="I106" s="25" t="s">
        <v>3109</v>
      </c>
      <c r="J106" s="25" t="s">
        <v>2661</v>
      </c>
      <c r="K106" s="25" t="s">
        <v>2510</v>
      </c>
      <c r="L106" s="25" t="s">
        <v>2611</v>
      </c>
      <c r="M106" s="26" t="s">
        <v>2612</v>
      </c>
      <c r="N106" s="25" t="s">
        <v>3110</v>
      </c>
      <c r="O106" s="26" t="s">
        <v>3111</v>
      </c>
      <c r="P106" s="27" t="s">
        <v>3112</v>
      </c>
      <c r="Q106" s="25" t="s">
        <v>3113</v>
      </c>
      <c r="R106" s="25" t="s">
        <v>2516</v>
      </c>
      <c r="S106" s="25" t="s">
        <v>173</v>
      </c>
      <c r="T106" s="25">
        <v>1</v>
      </c>
      <c r="U106" s="25" t="s">
        <v>2517</v>
      </c>
      <c r="V106" s="25" t="s">
        <v>3114</v>
      </c>
      <c r="W106" s="25" t="s">
        <v>3115</v>
      </c>
      <c r="X106" s="59">
        <v>45677.679166666669</v>
      </c>
      <c r="Y106" s="25" t="s">
        <v>3116</v>
      </c>
      <c r="Z106" s="25">
        <v>0.6</v>
      </c>
      <c r="AA106" s="25"/>
      <c r="AB106" s="25" t="s">
        <v>2521</v>
      </c>
      <c r="AC106" s="27" t="s">
        <v>3117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3118</v>
      </c>
      <c r="E107" s="25" t="s">
        <v>2504</v>
      </c>
      <c r="F107" s="25">
        <v>4764</v>
      </c>
      <c r="G107" s="25" t="s">
        <v>3046</v>
      </c>
      <c r="H107" s="25" t="s">
        <v>2987</v>
      </c>
      <c r="I107" s="25" t="s">
        <v>3119</v>
      </c>
      <c r="J107" s="25" t="s">
        <v>2661</v>
      </c>
      <c r="K107" s="25" t="s">
        <v>2510</v>
      </c>
      <c r="L107" s="25" t="s">
        <v>2611</v>
      </c>
      <c r="M107" s="26" t="s">
        <v>2612</v>
      </c>
      <c r="N107" s="25" t="s">
        <v>2613</v>
      </c>
      <c r="O107" s="26" t="s">
        <v>2614</v>
      </c>
      <c r="P107" s="27" t="s">
        <v>3120</v>
      </c>
      <c r="Q107" s="25" t="s">
        <v>3047</v>
      </c>
      <c r="R107" s="25" t="s">
        <v>2516</v>
      </c>
      <c r="S107" s="25" t="s">
        <v>25</v>
      </c>
      <c r="T107" s="25">
        <v>1</v>
      </c>
      <c r="U107" s="25" t="s">
        <v>2517</v>
      </c>
      <c r="V107" s="25" t="s">
        <v>3121</v>
      </c>
      <c r="W107" s="25" t="s">
        <v>3122</v>
      </c>
      <c r="X107" s="59">
        <v>45678.591666666667</v>
      </c>
      <c r="Y107" s="25" t="s">
        <v>3123</v>
      </c>
      <c r="Z107" s="25">
        <v>0.5</v>
      </c>
      <c r="AA107" s="25"/>
      <c r="AB107" s="25" t="s">
        <v>2521</v>
      </c>
      <c r="AC107" s="27" t="s">
        <v>3124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3108</v>
      </c>
      <c r="H108" s="25" t="s">
        <v>2609</v>
      </c>
      <c r="I108" s="25"/>
      <c r="J108" s="25"/>
      <c r="K108" s="25"/>
      <c r="L108" s="25"/>
      <c r="M108" s="26"/>
      <c r="N108" s="25"/>
      <c r="O108" s="26"/>
      <c r="P108" s="27"/>
      <c r="Q108" s="25" t="s">
        <v>3113</v>
      </c>
      <c r="R108" s="25" t="s">
        <v>2516</v>
      </c>
      <c r="S108" s="25" t="s">
        <v>173</v>
      </c>
      <c r="T108" s="25">
        <v>1</v>
      </c>
      <c r="U108" s="25" t="s">
        <v>2517</v>
      </c>
      <c r="V108" s="25" t="s">
        <v>3125</v>
      </c>
      <c r="W108" s="25" t="s">
        <v>3115</v>
      </c>
      <c r="X108" s="59">
        <v>45677.679166666669</v>
      </c>
      <c r="Y108" s="25"/>
      <c r="Z108" s="25">
        <v>0.6</v>
      </c>
      <c r="AA108" s="25"/>
      <c r="AB108" s="25" t="s">
        <v>2521</v>
      </c>
      <c r="AC108" s="27" t="s">
        <v>2591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3126</v>
      </c>
      <c r="E109" s="25" t="s">
        <v>2504</v>
      </c>
      <c r="F109" s="25">
        <v>3772</v>
      </c>
      <c r="G109" s="25" t="s">
        <v>3072</v>
      </c>
      <c r="H109" s="25" t="s">
        <v>2507</v>
      </c>
      <c r="I109" s="25" t="s">
        <v>3127</v>
      </c>
      <c r="J109" s="25" t="s">
        <v>2509</v>
      </c>
      <c r="K109" s="25" t="s">
        <v>2568</v>
      </c>
      <c r="L109" s="25" t="s">
        <v>2945</v>
      </c>
      <c r="M109" s="26" t="s">
        <v>2946</v>
      </c>
      <c r="N109" s="25" t="s">
        <v>2947</v>
      </c>
      <c r="O109" s="26" t="s">
        <v>2948</v>
      </c>
      <c r="P109" s="27" t="s">
        <v>3128</v>
      </c>
      <c r="Q109" s="25" t="s">
        <v>3075</v>
      </c>
      <c r="R109" s="25" t="s">
        <v>2516</v>
      </c>
      <c r="S109" s="25" t="s">
        <v>25</v>
      </c>
      <c r="T109" s="25">
        <v>1</v>
      </c>
      <c r="U109" s="25" t="s">
        <v>2517</v>
      </c>
      <c r="V109" s="25" t="s">
        <v>3129</v>
      </c>
      <c r="W109" s="25" t="s">
        <v>3130</v>
      </c>
      <c r="X109" s="59">
        <v>45678.465277777781</v>
      </c>
      <c r="Y109" s="25" t="s">
        <v>3131</v>
      </c>
      <c r="Z109" s="25">
        <v>0.5</v>
      </c>
      <c r="AA109" s="25"/>
      <c r="AB109" s="25" t="s">
        <v>2521</v>
      </c>
      <c r="AC109" s="27" t="s">
        <v>3132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3133</v>
      </c>
      <c r="H110" s="25" t="s">
        <v>2659</v>
      </c>
      <c r="I110" s="25"/>
      <c r="J110" s="25"/>
      <c r="K110" s="25"/>
      <c r="L110" s="25"/>
      <c r="M110" s="26"/>
      <c r="N110" s="25"/>
      <c r="O110" s="26"/>
      <c r="P110" s="27"/>
      <c r="Q110" s="25" t="s">
        <v>3134</v>
      </c>
      <c r="R110" s="25" t="s">
        <v>2516</v>
      </c>
      <c r="S110" s="25" t="s">
        <v>185</v>
      </c>
      <c r="T110" s="25">
        <v>1</v>
      </c>
      <c r="U110" s="25" t="s">
        <v>2517</v>
      </c>
      <c r="V110" s="25" t="s">
        <v>3135</v>
      </c>
      <c r="W110" s="25" t="s">
        <v>3136</v>
      </c>
      <c r="X110" s="59">
        <v>45678.5625</v>
      </c>
      <c r="Y110" s="25"/>
      <c r="Z110" s="25">
        <v>0.3</v>
      </c>
      <c r="AA110" s="25"/>
      <c r="AB110" s="25" t="s">
        <v>2521</v>
      </c>
      <c r="AC110" s="27" t="s">
        <v>2591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3137</v>
      </c>
      <c r="H111" s="25" t="s">
        <v>3138</v>
      </c>
      <c r="I111" s="25"/>
      <c r="J111" s="25"/>
      <c r="K111" s="25"/>
      <c r="L111" s="25"/>
      <c r="M111" s="26"/>
      <c r="N111" s="25"/>
      <c r="O111" s="26"/>
      <c r="P111" s="27"/>
      <c r="Q111" s="25" t="s">
        <v>3139</v>
      </c>
      <c r="R111" s="25" t="s">
        <v>2516</v>
      </c>
      <c r="S111" s="25" t="s">
        <v>185</v>
      </c>
      <c r="T111" s="25">
        <v>1</v>
      </c>
      <c r="U111" s="25" t="s">
        <v>2517</v>
      </c>
      <c r="V111" s="25" t="s">
        <v>3140</v>
      </c>
      <c r="W111" s="25" t="s">
        <v>3141</v>
      </c>
      <c r="X111" s="59">
        <v>45678.583333333343</v>
      </c>
      <c r="Y111" s="25"/>
      <c r="Z111" s="25">
        <v>0.3</v>
      </c>
      <c r="AA111" s="25"/>
      <c r="AB111" s="25" t="s">
        <v>2521</v>
      </c>
      <c r="AC111" s="27" t="s">
        <v>2591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3142</v>
      </c>
      <c r="H112" s="25" t="s">
        <v>3138</v>
      </c>
      <c r="I112" s="25"/>
      <c r="J112" s="25"/>
      <c r="K112" s="25"/>
      <c r="L112" s="25"/>
      <c r="M112" s="26"/>
      <c r="N112" s="25"/>
      <c r="O112" s="26"/>
      <c r="P112" s="27"/>
      <c r="Q112" s="25" t="s">
        <v>3143</v>
      </c>
      <c r="R112" s="25" t="s">
        <v>2516</v>
      </c>
      <c r="S112" s="25" t="s">
        <v>185</v>
      </c>
      <c r="T112" s="25">
        <v>1</v>
      </c>
      <c r="U112" s="25" t="s">
        <v>2517</v>
      </c>
      <c r="V112" s="25" t="s">
        <v>3144</v>
      </c>
      <c r="W112" s="25" t="s">
        <v>3145</v>
      </c>
      <c r="X112" s="59">
        <v>45678.604166666657</v>
      </c>
      <c r="Y112" s="25"/>
      <c r="Z112" s="25">
        <v>0.3</v>
      </c>
      <c r="AA112" s="25"/>
      <c r="AB112" s="25" t="s">
        <v>2521</v>
      </c>
      <c r="AC112" s="27" t="s">
        <v>2591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3146</v>
      </c>
      <c r="E113" s="25" t="s">
        <v>2504</v>
      </c>
      <c r="F113" s="25">
        <v>4057</v>
      </c>
      <c r="G113" s="25" t="s">
        <v>3147</v>
      </c>
      <c r="H113" s="25" t="s">
        <v>3148</v>
      </c>
      <c r="I113" s="25" t="s">
        <v>3149</v>
      </c>
      <c r="J113" s="25" t="s">
        <v>2536</v>
      </c>
      <c r="K113" s="25" t="s">
        <v>2568</v>
      </c>
      <c r="L113" s="25" t="s">
        <v>3150</v>
      </c>
      <c r="M113" s="26" t="s">
        <v>3151</v>
      </c>
      <c r="N113" s="25">
        <v>5903</v>
      </c>
      <c r="O113" s="26" t="s">
        <v>3152</v>
      </c>
      <c r="P113" s="27" t="s">
        <v>3153</v>
      </c>
      <c r="Q113" s="25" t="s">
        <v>3154</v>
      </c>
      <c r="R113" s="25" t="s">
        <v>2516</v>
      </c>
      <c r="S113" s="25" t="s">
        <v>185</v>
      </c>
      <c r="T113" s="25">
        <v>1</v>
      </c>
      <c r="U113" s="25" t="s">
        <v>2517</v>
      </c>
      <c r="V113" s="25" t="s">
        <v>3155</v>
      </c>
      <c r="W113" s="25" t="s">
        <v>3156</v>
      </c>
      <c r="X113" s="59">
        <v>45679.451388888891</v>
      </c>
      <c r="Y113" s="25" t="s">
        <v>3157</v>
      </c>
      <c r="Z113" s="25">
        <v>0.7</v>
      </c>
      <c r="AA113" s="25"/>
      <c r="AB113" s="25" t="s">
        <v>2521</v>
      </c>
      <c r="AC113" s="27" t="s">
        <v>3158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3159</v>
      </c>
      <c r="E114" s="25" t="s">
        <v>2504</v>
      </c>
      <c r="F114" s="25">
        <v>3929</v>
      </c>
      <c r="G114" s="25" t="s">
        <v>3160</v>
      </c>
      <c r="H114" s="25" t="s">
        <v>2641</v>
      </c>
      <c r="I114" s="25" t="s">
        <v>3161</v>
      </c>
      <c r="J114" s="25" t="s">
        <v>2536</v>
      </c>
      <c r="K114" s="25" t="s">
        <v>2568</v>
      </c>
      <c r="L114" s="25" t="s">
        <v>2511</v>
      </c>
      <c r="M114" s="26" t="s">
        <v>2512</v>
      </c>
      <c r="N114" s="25">
        <v>2304</v>
      </c>
      <c r="O114" s="26" t="s">
        <v>2513</v>
      </c>
      <c r="P114" s="27" t="s">
        <v>3162</v>
      </c>
      <c r="Q114" s="25" t="s">
        <v>3163</v>
      </c>
      <c r="R114" s="25" t="s">
        <v>2516</v>
      </c>
      <c r="S114" s="25" t="s">
        <v>25</v>
      </c>
      <c r="T114" s="25">
        <v>1</v>
      </c>
      <c r="U114" s="25" t="s">
        <v>2517</v>
      </c>
      <c r="V114" s="25" t="s">
        <v>3164</v>
      </c>
      <c r="W114" s="25" t="s">
        <v>3165</v>
      </c>
      <c r="X114" s="59">
        <v>45680.444444444453</v>
      </c>
      <c r="Y114" s="25" t="s">
        <v>3166</v>
      </c>
      <c r="Z114" s="25">
        <v>0.5</v>
      </c>
      <c r="AA114" s="25"/>
      <c r="AB114" s="25" t="s">
        <v>2521</v>
      </c>
      <c r="AC114" s="27" t="s">
        <v>3167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3147</v>
      </c>
      <c r="H115" s="25" t="s">
        <v>3148</v>
      </c>
      <c r="I115" s="25"/>
      <c r="J115" s="25"/>
      <c r="K115" s="25"/>
      <c r="L115" s="25"/>
      <c r="M115" s="26"/>
      <c r="N115" s="25"/>
      <c r="O115" s="26"/>
      <c r="P115" s="27"/>
      <c r="Q115" s="25" t="s">
        <v>3154</v>
      </c>
      <c r="R115" s="25" t="s">
        <v>2516</v>
      </c>
      <c r="S115" s="25" t="s">
        <v>185</v>
      </c>
      <c r="T115" s="25">
        <v>1</v>
      </c>
      <c r="U115" s="25" t="s">
        <v>2517</v>
      </c>
      <c r="V115" s="25" t="s">
        <v>3168</v>
      </c>
      <c r="W115" s="25" t="s">
        <v>3169</v>
      </c>
      <c r="X115" s="59">
        <v>45679.465277777781</v>
      </c>
      <c r="Y115" s="25"/>
      <c r="Z115" s="25">
        <v>0.3</v>
      </c>
      <c r="AA115" s="25"/>
      <c r="AB115" s="25" t="s">
        <v>2521</v>
      </c>
      <c r="AC115" s="27" t="s">
        <v>2591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3170</v>
      </c>
      <c r="H116" s="25" t="s">
        <v>3171</v>
      </c>
      <c r="I116" s="25"/>
      <c r="J116" s="25"/>
      <c r="K116" s="25"/>
      <c r="L116" s="25"/>
      <c r="M116" s="26"/>
      <c r="N116" s="25"/>
      <c r="O116" s="26"/>
      <c r="P116" s="27"/>
      <c r="Q116" s="25" t="s">
        <v>3172</v>
      </c>
      <c r="R116" s="25" t="s">
        <v>2516</v>
      </c>
      <c r="S116" s="25" t="s">
        <v>25</v>
      </c>
      <c r="T116" s="25">
        <v>1</v>
      </c>
      <c r="U116" s="25" t="s">
        <v>2517</v>
      </c>
      <c r="V116" s="25" t="s">
        <v>3173</v>
      </c>
      <c r="W116" s="25" t="s">
        <v>3174</v>
      </c>
      <c r="X116" s="59">
        <v>45679.558333333327</v>
      </c>
      <c r="Y116" s="25"/>
      <c r="Z116" s="25">
        <v>0.3</v>
      </c>
      <c r="AA116" s="25"/>
      <c r="AB116" s="25" t="s">
        <v>2521</v>
      </c>
      <c r="AC116" s="27" t="s">
        <v>2591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3175</v>
      </c>
      <c r="H117" s="25" t="s">
        <v>3171</v>
      </c>
      <c r="I117" s="25"/>
      <c r="J117" s="25"/>
      <c r="K117" s="25"/>
      <c r="L117" s="25"/>
      <c r="M117" s="26"/>
      <c r="N117" s="25"/>
      <c r="O117" s="26"/>
      <c r="P117" s="27"/>
      <c r="Q117" s="25" t="s">
        <v>3176</v>
      </c>
      <c r="R117" s="25" t="s">
        <v>2516</v>
      </c>
      <c r="S117" s="25" t="s">
        <v>25</v>
      </c>
      <c r="T117" s="25">
        <v>1</v>
      </c>
      <c r="U117" s="25" t="s">
        <v>2517</v>
      </c>
      <c r="V117" s="25" t="s">
        <v>3177</v>
      </c>
      <c r="W117" s="25" t="s">
        <v>3178</v>
      </c>
      <c r="X117" s="59">
        <v>45679.57708333333</v>
      </c>
      <c r="Y117" s="25"/>
      <c r="Z117" s="25">
        <v>0.3</v>
      </c>
      <c r="AA117" s="25"/>
      <c r="AB117" s="25" t="s">
        <v>2521</v>
      </c>
      <c r="AC117" s="27" t="s">
        <v>2591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3179</v>
      </c>
      <c r="H118" s="25" t="s">
        <v>3180</v>
      </c>
      <c r="I118" s="25"/>
      <c r="J118" s="25"/>
      <c r="K118" s="25"/>
      <c r="L118" s="25"/>
      <c r="M118" s="26"/>
      <c r="N118" s="25"/>
      <c r="O118" s="26"/>
      <c r="P118" s="27"/>
      <c r="Q118" s="25" t="s">
        <v>3181</v>
      </c>
      <c r="R118" s="25" t="s">
        <v>2516</v>
      </c>
      <c r="S118" s="25" t="s">
        <v>25</v>
      </c>
      <c r="T118" s="25">
        <v>1</v>
      </c>
      <c r="U118" s="25" t="s">
        <v>2517</v>
      </c>
      <c r="V118" s="25" t="s">
        <v>3182</v>
      </c>
      <c r="W118" s="25" t="s">
        <v>3183</v>
      </c>
      <c r="X118" s="59">
        <v>45679.604861111111</v>
      </c>
      <c r="Y118" s="25"/>
      <c r="Z118" s="25">
        <v>0.3</v>
      </c>
      <c r="AA118" s="25"/>
      <c r="AB118" s="25" t="s">
        <v>2521</v>
      </c>
      <c r="AC118" s="27" t="s">
        <v>2591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3184</v>
      </c>
      <c r="E119" s="25" t="s">
        <v>2504</v>
      </c>
      <c r="F119" s="25">
        <v>3818</v>
      </c>
      <c r="G119" s="25" t="s">
        <v>2875</v>
      </c>
      <c r="H119" s="25" t="s">
        <v>2609</v>
      </c>
      <c r="I119" s="25" t="s">
        <v>3185</v>
      </c>
      <c r="J119" s="25" t="s">
        <v>2536</v>
      </c>
      <c r="K119" s="25" t="s">
        <v>2510</v>
      </c>
      <c r="L119" s="25" t="s">
        <v>2611</v>
      </c>
      <c r="M119" s="26" t="s">
        <v>2612</v>
      </c>
      <c r="N119" s="25" t="s">
        <v>2613</v>
      </c>
      <c r="O119" s="26" t="s">
        <v>2614</v>
      </c>
      <c r="P119" s="27" t="s">
        <v>3186</v>
      </c>
      <c r="Q119" s="25" t="s">
        <v>2878</v>
      </c>
      <c r="R119" s="25" t="s">
        <v>2516</v>
      </c>
      <c r="S119" s="25" t="s">
        <v>173</v>
      </c>
      <c r="T119" s="25">
        <v>1</v>
      </c>
      <c r="U119" s="25" t="s">
        <v>2517</v>
      </c>
      <c r="V119" s="25" t="s">
        <v>3187</v>
      </c>
      <c r="W119" s="25" t="s">
        <v>3188</v>
      </c>
      <c r="X119" s="59">
        <v>45680.678472222222</v>
      </c>
      <c r="Y119" s="25" t="s">
        <v>3189</v>
      </c>
      <c r="Z119" s="25">
        <v>0.2</v>
      </c>
      <c r="AA119" s="25"/>
      <c r="AB119" s="25" t="s">
        <v>2521</v>
      </c>
      <c r="AC119" s="27" t="s">
        <v>2959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3190</v>
      </c>
      <c r="E120" s="25" t="s">
        <v>2504</v>
      </c>
      <c r="F120" s="25">
        <v>4541</v>
      </c>
      <c r="G120" s="25" t="s">
        <v>3191</v>
      </c>
      <c r="H120" s="25" t="s">
        <v>1604</v>
      </c>
      <c r="I120" s="25" t="s">
        <v>3192</v>
      </c>
      <c r="J120" s="25" t="s">
        <v>2536</v>
      </c>
      <c r="K120" s="25" t="s">
        <v>2510</v>
      </c>
      <c r="L120" s="25" t="s">
        <v>2611</v>
      </c>
      <c r="M120" s="26" t="s">
        <v>2612</v>
      </c>
      <c r="N120" s="25" t="s">
        <v>3110</v>
      </c>
      <c r="O120" s="26" t="s">
        <v>3111</v>
      </c>
      <c r="P120" s="27" t="s">
        <v>3193</v>
      </c>
      <c r="Q120" s="25" t="s">
        <v>3194</v>
      </c>
      <c r="R120" s="25" t="s">
        <v>2516</v>
      </c>
      <c r="S120" s="25" t="s">
        <v>25</v>
      </c>
      <c r="T120" s="25">
        <v>1</v>
      </c>
      <c r="U120" s="25" t="s">
        <v>2517</v>
      </c>
      <c r="V120" s="25" t="s">
        <v>3195</v>
      </c>
      <c r="W120" s="25" t="s">
        <v>3196</v>
      </c>
      <c r="X120" s="59">
        <v>45680.689583333333</v>
      </c>
      <c r="Y120" s="25" t="s">
        <v>3197</v>
      </c>
      <c r="Z120" s="25">
        <v>0.9</v>
      </c>
      <c r="AA120" s="25"/>
      <c r="AB120" s="25" t="s">
        <v>2521</v>
      </c>
      <c r="AC120" s="27" t="s">
        <v>3198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3199</v>
      </c>
      <c r="E121" s="25" t="s">
        <v>2504</v>
      </c>
      <c r="F121" s="25">
        <v>4218</v>
      </c>
      <c r="G121" s="25" t="s">
        <v>3200</v>
      </c>
      <c r="H121" s="25" t="s">
        <v>2641</v>
      </c>
      <c r="I121" s="25" t="s">
        <v>3201</v>
      </c>
      <c r="J121" s="25" t="s">
        <v>2835</v>
      </c>
      <c r="K121" s="25" t="s">
        <v>2510</v>
      </c>
      <c r="L121" s="25" t="s">
        <v>2511</v>
      </c>
      <c r="M121" s="26" t="s">
        <v>2512</v>
      </c>
      <c r="N121" s="25">
        <v>2307</v>
      </c>
      <c r="O121" s="26" t="s">
        <v>2678</v>
      </c>
      <c r="P121" s="27" t="s">
        <v>3202</v>
      </c>
      <c r="Q121" s="25" t="s">
        <v>3203</v>
      </c>
      <c r="R121" s="25" t="s">
        <v>2516</v>
      </c>
      <c r="S121" s="25" t="s">
        <v>25</v>
      </c>
      <c r="T121" s="25">
        <v>1</v>
      </c>
      <c r="U121" s="25" t="s">
        <v>2517</v>
      </c>
      <c r="V121" s="25" t="s">
        <v>3204</v>
      </c>
      <c r="W121" s="25" t="s">
        <v>3205</v>
      </c>
      <c r="X121" s="59">
        <v>45680.791666666657</v>
      </c>
      <c r="Y121" s="25" t="s">
        <v>3206</v>
      </c>
      <c r="Z121" s="25">
        <v>1</v>
      </c>
      <c r="AA121" s="25"/>
      <c r="AB121" s="25" t="s">
        <v>2521</v>
      </c>
      <c r="AC121" s="27" t="s">
        <v>3207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3208</v>
      </c>
      <c r="E122" s="25" t="s">
        <v>2843</v>
      </c>
      <c r="F122" s="25">
        <v>4218</v>
      </c>
      <c r="G122" s="25" t="s">
        <v>3200</v>
      </c>
      <c r="H122" s="25" t="s">
        <v>2641</v>
      </c>
      <c r="I122" s="25" t="s">
        <v>3209</v>
      </c>
      <c r="J122" s="25" t="s">
        <v>2835</v>
      </c>
      <c r="K122" s="25" t="s">
        <v>2510</v>
      </c>
      <c r="L122" s="25" t="s">
        <v>2511</v>
      </c>
      <c r="M122" s="26" t="s">
        <v>2512</v>
      </c>
      <c r="N122" s="25">
        <v>2307</v>
      </c>
      <c r="O122" s="26" t="s">
        <v>2678</v>
      </c>
      <c r="P122" s="27" t="s">
        <v>3210</v>
      </c>
      <c r="Q122" s="25" t="s">
        <v>3203</v>
      </c>
      <c r="R122" s="25" t="s">
        <v>2516</v>
      </c>
      <c r="S122" s="25" t="s">
        <v>25</v>
      </c>
      <c r="T122" s="25">
        <v>1</v>
      </c>
      <c r="U122" s="25" t="s">
        <v>2517</v>
      </c>
      <c r="V122" s="25" t="s">
        <v>3211</v>
      </c>
      <c r="W122" s="25" t="s">
        <v>3205</v>
      </c>
      <c r="X122" s="59">
        <v>45680.791666666657</v>
      </c>
      <c r="Y122" s="25" t="s">
        <v>3212</v>
      </c>
      <c r="Z122" s="25">
        <v>1</v>
      </c>
      <c r="AA122" s="25"/>
      <c r="AB122" s="25" t="s">
        <v>2521</v>
      </c>
      <c r="AC122" s="27" t="s">
        <v>3207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3213</v>
      </c>
      <c r="E123" s="25" t="s">
        <v>2504</v>
      </c>
      <c r="F123" s="25">
        <v>4406</v>
      </c>
      <c r="G123" s="25" t="s">
        <v>3214</v>
      </c>
      <c r="H123" s="25" t="s">
        <v>2609</v>
      </c>
      <c r="I123" s="25" t="s">
        <v>3215</v>
      </c>
      <c r="J123" s="25" t="s">
        <v>2567</v>
      </c>
      <c r="K123" s="25" t="s">
        <v>2568</v>
      </c>
      <c r="L123" s="25" t="s">
        <v>2511</v>
      </c>
      <c r="M123" s="26" t="s">
        <v>2512</v>
      </c>
      <c r="N123" s="25">
        <v>2307</v>
      </c>
      <c r="O123" s="26" t="s">
        <v>2678</v>
      </c>
      <c r="P123" s="27" t="s">
        <v>3216</v>
      </c>
      <c r="Q123" s="25" t="s">
        <v>3217</v>
      </c>
      <c r="R123" s="25" t="s">
        <v>2516</v>
      </c>
      <c r="S123" s="25" t="s">
        <v>173</v>
      </c>
      <c r="T123" s="25">
        <v>1</v>
      </c>
      <c r="U123" s="25" t="s">
        <v>2517</v>
      </c>
      <c r="V123" s="25" t="s">
        <v>3218</v>
      </c>
      <c r="W123" s="25" t="s">
        <v>3219</v>
      </c>
      <c r="X123" s="59">
        <v>45681.663194444453</v>
      </c>
      <c r="Y123" s="25" t="s">
        <v>3220</v>
      </c>
      <c r="Z123" s="25">
        <v>0.6</v>
      </c>
      <c r="AA123" s="25"/>
      <c r="AB123" s="25" t="s">
        <v>2521</v>
      </c>
      <c r="AC123" s="27" t="s">
        <v>3221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3222</v>
      </c>
      <c r="E124" s="25" t="s">
        <v>2504</v>
      </c>
      <c r="F124" s="25">
        <v>4406</v>
      </c>
      <c r="G124" s="25" t="s">
        <v>3214</v>
      </c>
      <c r="H124" s="25" t="s">
        <v>2609</v>
      </c>
      <c r="I124" s="25" t="s">
        <v>3223</v>
      </c>
      <c r="J124" s="25" t="s">
        <v>2567</v>
      </c>
      <c r="K124" s="25" t="s">
        <v>2510</v>
      </c>
      <c r="L124" s="25" t="s">
        <v>2511</v>
      </c>
      <c r="M124" s="26" t="s">
        <v>2512</v>
      </c>
      <c r="N124" s="25">
        <v>2307</v>
      </c>
      <c r="O124" s="26" t="s">
        <v>2678</v>
      </c>
      <c r="P124" s="27" t="s">
        <v>3224</v>
      </c>
      <c r="Q124" s="25" t="s">
        <v>3217</v>
      </c>
      <c r="R124" s="25" t="s">
        <v>2516</v>
      </c>
      <c r="S124" s="25" t="s">
        <v>173</v>
      </c>
      <c r="T124" s="25">
        <v>1</v>
      </c>
      <c r="U124" s="25" t="s">
        <v>2517</v>
      </c>
      <c r="V124" s="25" t="s">
        <v>3225</v>
      </c>
      <c r="W124" s="25" t="s">
        <v>3219</v>
      </c>
      <c r="X124" s="59">
        <v>45681.663194444453</v>
      </c>
      <c r="Y124" s="25" t="s">
        <v>3226</v>
      </c>
      <c r="Z124" s="25">
        <v>0.6</v>
      </c>
      <c r="AA124" s="25"/>
      <c r="AB124" s="25" t="s">
        <v>2521</v>
      </c>
      <c r="AC124" s="27" t="s">
        <v>3221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3214</v>
      </c>
      <c r="H125" s="25" t="s">
        <v>2609</v>
      </c>
      <c r="I125" s="25"/>
      <c r="J125" s="25"/>
      <c r="K125" s="25"/>
      <c r="L125" s="25"/>
      <c r="M125" s="26"/>
      <c r="N125" s="25"/>
      <c r="O125" s="26"/>
      <c r="P125" s="27"/>
      <c r="Q125" s="25" t="s">
        <v>3217</v>
      </c>
      <c r="R125" s="25" t="s">
        <v>2516</v>
      </c>
      <c r="S125" s="25" t="s">
        <v>173</v>
      </c>
      <c r="T125" s="25">
        <v>1</v>
      </c>
      <c r="U125" s="25" t="s">
        <v>2517</v>
      </c>
      <c r="V125" s="25" t="s">
        <v>3227</v>
      </c>
      <c r="W125" s="25" t="s">
        <v>3219</v>
      </c>
      <c r="X125" s="59">
        <v>45681.663194444453</v>
      </c>
      <c r="Y125" s="25"/>
      <c r="Z125" s="25">
        <v>0.6</v>
      </c>
      <c r="AA125" s="25"/>
      <c r="AB125" s="25" t="s">
        <v>2521</v>
      </c>
      <c r="AC125" s="27" t="s">
        <v>2591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3228</v>
      </c>
      <c r="E126" s="25" t="s">
        <v>2504</v>
      </c>
      <c r="F126" s="25">
        <v>4101</v>
      </c>
      <c r="G126" s="25" t="s">
        <v>3229</v>
      </c>
      <c r="H126" s="25" t="s">
        <v>2507</v>
      </c>
      <c r="I126" s="25" t="s">
        <v>3230</v>
      </c>
      <c r="J126" s="25" t="s">
        <v>2643</v>
      </c>
      <c r="K126" s="25" t="s">
        <v>2717</v>
      </c>
      <c r="L126" s="25" t="s">
        <v>2569</v>
      </c>
      <c r="M126" s="26" t="s">
        <v>2570</v>
      </c>
      <c r="N126" s="25">
        <v>2501</v>
      </c>
      <c r="O126" s="26" t="s">
        <v>2571</v>
      </c>
      <c r="P126" s="27" t="s">
        <v>3231</v>
      </c>
      <c r="Q126" s="25" t="s">
        <v>3232</v>
      </c>
      <c r="R126" s="25" t="s">
        <v>2516</v>
      </c>
      <c r="S126" s="25" t="s">
        <v>25</v>
      </c>
      <c r="T126" s="25">
        <v>1</v>
      </c>
      <c r="U126" s="25" t="s">
        <v>2517</v>
      </c>
      <c r="V126" s="25" t="s">
        <v>3233</v>
      </c>
      <c r="W126" s="25" t="s">
        <v>3234</v>
      </c>
      <c r="X126" s="59">
        <v>45691.45416666667</v>
      </c>
      <c r="Y126" s="25" t="s">
        <v>3235</v>
      </c>
      <c r="Z126" s="25">
        <v>0.5</v>
      </c>
      <c r="AA126" s="25"/>
      <c r="AB126" s="25" t="s">
        <v>2521</v>
      </c>
      <c r="AC126" s="27" t="s">
        <v>3236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3237</v>
      </c>
      <c r="E127" s="25" t="s">
        <v>2504</v>
      </c>
      <c r="F127" s="25">
        <v>3147</v>
      </c>
      <c r="G127" s="25" t="s">
        <v>3238</v>
      </c>
      <c r="H127" s="25" t="s">
        <v>2609</v>
      </c>
      <c r="I127" s="25" t="s">
        <v>3239</v>
      </c>
      <c r="J127" s="25" t="s">
        <v>2536</v>
      </c>
      <c r="K127" s="25" t="s">
        <v>2510</v>
      </c>
      <c r="L127" s="25" t="s">
        <v>2662</v>
      </c>
      <c r="M127" s="26" t="s">
        <v>2663</v>
      </c>
      <c r="N127" s="25">
        <v>2705</v>
      </c>
      <c r="O127" s="26" t="s">
        <v>3240</v>
      </c>
      <c r="P127" s="27" t="s">
        <v>3241</v>
      </c>
      <c r="Q127" s="25" t="s">
        <v>3242</v>
      </c>
      <c r="R127" s="25" t="s">
        <v>2516</v>
      </c>
      <c r="S127" s="25" t="s">
        <v>173</v>
      </c>
      <c r="T127" s="25">
        <v>1</v>
      </c>
      <c r="U127" s="25" t="s">
        <v>2517</v>
      </c>
      <c r="V127" s="25" t="s">
        <v>3243</v>
      </c>
      <c r="W127" s="25" t="s">
        <v>3244</v>
      </c>
      <c r="X127" s="59">
        <v>45692.482638888891</v>
      </c>
      <c r="Y127" s="25" t="s">
        <v>3235</v>
      </c>
      <c r="Z127" s="25">
        <v>0.8</v>
      </c>
      <c r="AA127" s="25"/>
      <c r="AB127" s="25" t="s">
        <v>2521</v>
      </c>
      <c r="AC127" s="27" t="s">
        <v>3245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3246</v>
      </c>
      <c r="E128" s="25" t="s">
        <v>2843</v>
      </c>
      <c r="F128" s="25">
        <v>5080</v>
      </c>
      <c r="G128" s="25" t="s">
        <v>3247</v>
      </c>
      <c r="H128" s="25" t="s">
        <v>3248</v>
      </c>
      <c r="I128" s="25" t="s">
        <v>3249</v>
      </c>
      <c r="J128" s="25" t="s">
        <v>2930</v>
      </c>
      <c r="K128" s="25" t="s">
        <v>2765</v>
      </c>
      <c r="L128" s="25" t="s">
        <v>2846</v>
      </c>
      <c r="M128" s="26" t="s">
        <v>2847</v>
      </c>
      <c r="N128" s="25">
        <v>2405</v>
      </c>
      <c r="O128" s="26" t="s">
        <v>2963</v>
      </c>
      <c r="P128" s="27" t="s">
        <v>3250</v>
      </c>
      <c r="Q128" s="25" t="s">
        <v>3251</v>
      </c>
      <c r="R128" s="25" t="s">
        <v>2516</v>
      </c>
      <c r="S128" s="25" t="s">
        <v>185</v>
      </c>
      <c r="T128" s="25">
        <v>1</v>
      </c>
      <c r="U128" s="25" t="s">
        <v>2517</v>
      </c>
      <c r="V128" s="25" t="s">
        <v>3252</v>
      </c>
      <c r="W128" s="25" t="s">
        <v>3253</v>
      </c>
      <c r="X128" s="59">
        <v>45689.541666666657</v>
      </c>
      <c r="Y128" s="25" t="s">
        <v>3254</v>
      </c>
      <c r="Z128" s="25">
        <v>1.2</v>
      </c>
      <c r="AA128" s="25"/>
      <c r="AB128" s="25" t="s">
        <v>2521</v>
      </c>
      <c r="AC128" s="27" t="s">
        <v>3255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3256</v>
      </c>
      <c r="E129" s="25" t="s">
        <v>2504</v>
      </c>
      <c r="F129" s="25" t="s">
        <v>2505</v>
      </c>
      <c r="G129" s="25" t="s">
        <v>2506</v>
      </c>
      <c r="H129" s="25" t="s">
        <v>2507</v>
      </c>
      <c r="I129" s="25" t="s">
        <v>3257</v>
      </c>
      <c r="J129" s="25" t="s">
        <v>2930</v>
      </c>
      <c r="K129" s="25" t="s">
        <v>2765</v>
      </c>
      <c r="L129" s="25" t="s">
        <v>2611</v>
      </c>
      <c r="M129" s="26" t="s">
        <v>2612</v>
      </c>
      <c r="N129" s="25" t="s">
        <v>2613</v>
      </c>
      <c r="O129" s="26" t="s">
        <v>2614</v>
      </c>
      <c r="P129" s="27" t="s">
        <v>3258</v>
      </c>
      <c r="Q129" s="25" t="s">
        <v>2515</v>
      </c>
      <c r="R129" s="25" t="s">
        <v>2516</v>
      </c>
      <c r="S129" s="25" t="s">
        <v>25</v>
      </c>
      <c r="T129" s="25">
        <v>1</v>
      </c>
      <c r="U129" s="25" t="s">
        <v>2517</v>
      </c>
      <c r="V129" s="25" t="s">
        <v>3259</v>
      </c>
      <c r="W129" s="25" t="s">
        <v>3260</v>
      </c>
      <c r="X129" s="59">
        <v>45691.5</v>
      </c>
      <c r="Y129" s="25" t="s">
        <v>3235</v>
      </c>
      <c r="Z129" s="25">
        <v>0.5</v>
      </c>
      <c r="AA129" s="25"/>
      <c r="AB129" s="25" t="s">
        <v>2521</v>
      </c>
      <c r="AC129" s="27" t="s">
        <v>3261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3262</v>
      </c>
      <c r="E130" s="25" t="s">
        <v>2504</v>
      </c>
      <c r="F130" s="25">
        <v>3227</v>
      </c>
      <c r="G130" s="25" t="s">
        <v>3080</v>
      </c>
      <c r="H130" s="25" t="s">
        <v>2996</v>
      </c>
      <c r="I130" s="25" t="s">
        <v>3263</v>
      </c>
      <c r="J130" s="25" t="s">
        <v>2930</v>
      </c>
      <c r="K130" s="25" t="s">
        <v>2568</v>
      </c>
      <c r="L130" s="25" t="s">
        <v>2611</v>
      </c>
      <c r="M130" s="26" t="s">
        <v>2612</v>
      </c>
      <c r="N130" s="25" t="s">
        <v>2613</v>
      </c>
      <c r="O130" s="26" t="s">
        <v>2614</v>
      </c>
      <c r="P130" s="27" t="s">
        <v>3264</v>
      </c>
      <c r="Q130" s="25" t="s">
        <v>3081</v>
      </c>
      <c r="R130" s="25" t="s">
        <v>2516</v>
      </c>
      <c r="S130" s="25" t="s">
        <v>185</v>
      </c>
      <c r="T130" s="25">
        <v>1</v>
      </c>
      <c r="U130" s="25" t="s">
        <v>2517</v>
      </c>
      <c r="V130" s="25" t="s">
        <v>3265</v>
      </c>
      <c r="W130" s="25" t="s">
        <v>3266</v>
      </c>
      <c r="X130" s="59">
        <v>45691.457638888889</v>
      </c>
      <c r="Y130" s="25" t="s">
        <v>3235</v>
      </c>
      <c r="Z130" s="25">
        <v>1</v>
      </c>
      <c r="AA130" s="25"/>
      <c r="AB130" s="25" t="s">
        <v>2521</v>
      </c>
      <c r="AC130" s="27" t="s">
        <v>3267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3268</v>
      </c>
      <c r="E131" s="25" t="s">
        <v>2504</v>
      </c>
      <c r="F131" s="25">
        <v>4529</v>
      </c>
      <c r="G131" s="25" t="s">
        <v>3269</v>
      </c>
      <c r="H131" s="25" t="s">
        <v>1604</v>
      </c>
      <c r="I131" s="25" t="s">
        <v>3270</v>
      </c>
      <c r="J131" s="25" t="s">
        <v>2643</v>
      </c>
      <c r="K131" s="25" t="s">
        <v>2510</v>
      </c>
      <c r="L131" s="25" t="s">
        <v>3271</v>
      </c>
      <c r="M131" s="26" t="s">
        <v>3272</v>
      </c>
      <c r="N131" s="25" t="s">
        <v>3273</v>
      </c>
      <c r="O131" s="26" t="s">
        <v>3274</v>
      </c>
      <c r="P131" s="27" t="s">
        <v>3275</v>
      </c>
      <c r="Q131" s="25" t="s">
        <v>3276</v>
      </c>
      <c r="R131" s="25" t="s">
        <v>2516</v>
      </c>
      <c r="S131" s="25" t="s">
        <v>25</v>
      </c>
      <c r="T131" s="25">
        <v>1</v>
      </c>
      <c r="U131" s="25" t="s">
        <v>2517</v>
      </c>
      <c r="V131" s="25" t="s">
        <v>3277</v>
      </c>
      <c r="W131" s="25" t="s">
        <v>3278</v>
      </c>
      <c r="X131" s="59">
        <v>45692.493750000001</v>
      </c>
      <c r="Y131" s="25" t="s">
        <v>3235</v>
      </c>
      <c r="Z131" s="25">
        <v>0.5</v>
      </c>
      <c r="AA131" s="25"/>
      <c r="AB131" s="25" t="s">
        <v>2521</v>
      </c>
      <c r="AC131" s="27" t="s">
        <v>3279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3280</v>
      </c>
      <c r="E132" s="25" t="s">
        <v>2504</v>
      </c>
      <c r="F132" s="25">
        <v>4144</v>
      </c>
      <c r="G132" s="25" t="s">
        <v>3281</v>
      </c>
      <c r="H132" s="25" t="s">
        <v>2659</v>
      </c>
      <c r="I132" s="25" t="s">
        <v>3282</v>
      </c>
      <c r="J132" s="25" t="s">
        <v>2643</v>
      </c>
      <c r="K132" s="25" t="s">
        <v>2510</v>
      </c>
      <c r="L132" s="25" t="s">
        <v>2511</v>
      </c>
      <c r="M132" s="26" t="s">
        <v>2512</v>
      </c>
      <c r="N132" s="25">
        <v>2307</v>
      </c>
      <c r="O132" s="26" t="s">
        <v>2678</v>
      </c>
      <c r="P132" s="27" t="s">
        <v>3283</v>
      </c>
      <c r="Q132" s="25" t="s">
        <v>3284</v>
      </c>
      <c r="R132" s="25" t="s">
        <v>2516</v>
      </c>
      <c r="S132" s="25" t="s">
        <v>185</v>
      </c>
      <c r="T132" s="25">
        <v>1</v>
      </c>
      <c r="U132" s="25" t="s">
        <v>2517</v>
      </c>
      <c r="V132" s="25" t="s">
        <v>3285</v>
      </c>
      <c r="W132" s="25" t="s">
        <v>3286</v>
      </c>
      <c r="X132" s="59">
        <v>45691.486111111109</v>
      </c>
      <c r="Y132" s="25" t="s">
        <v>3235</v>
      </c>
      <c r="Z132" s="25">
        <v>0.5</v>
      </c>
      <c r="AA132" s="25"/>
      <c r="AB132" s="25" t="s">
        <v>2521</v>
      </c>
      <c r="AC132" s="27" t="s">
        <v>3287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3229</v>
      </c>
      <c r="H133" s="25" t="s">
        <v>2507</v>
      </c>
      <c r="I133" s="25"/>
      <c r="J133" s="25"/>
      <c r="K133" s="25"/>
      <c r="L133" s="25"/>
      <c r="M133" s="26"/>
      <c r="N133" s="25"/>
      <c r="O133" s="26"/>
      <c r="P133" s="27"/>
      <c r="Q133" s="25" t="s">
        <v>3232</v>
      </c>
      <c r="R133" s="25" t="s">
        <v>2516</v>
      </c>
      <c r="S133" s="25" t="s">
        <v>25</v>
      </c>
      <c r="T133" s="25">
        <v>1</v>
      </c>
      <c r="U133" s="25" t="s">
        <v>2517</v>
      </c>
      <c r="V133" s="25" t="s">
        <v>3288</v>
      </c>
      <c r="W133" s="25" t="s">
        <v>3289</v>
      </c>
      <c r="X133" s="59">
        <v>45691.489583333343</v>
      </c>
      <c r="Y133" s="25"/>
      <c r="Z133" s="25">
        <v>1</v>
      </c>
      <c r="AA133" s="25"/>
      <c r="AB133" s="25" t="s">
        <v>2521</v>
      </c>
      <c r="AC133" s="27" t="s">
        <v>2591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2505</v>
      </c>
      <c r="G134" s="25" t="s">
        <v>2506</v>
      </c>
      <c r="H134" s="25" t="s">
        <v>2507</v>
      </c>
      <c r="I134" s="25"/>
      <c r="J134" s="25"/>
      <c r="K134" s="25"/>
      <c r="L134" s="25"/>
      <c r="M134" s="26"/>
      <c r="N134" s="25"/>
      <c r="O134" s="26"/>
      <c r="P134" s="27"/>
      <c r="Q134" s="25" t="s">
        <v>2515</v>
      </c>
      <c r="R134" s="25" t="s">
        <v>2516</v>
      </c>
      <c r="S134" s="25" t="s">
        <v>25</v>
      </c>
      <c r="T134" s="25">
        <v>1</v>
      </c>
      <c r="U134" s="25" t="s">
        <v>2517</v>
      </c>
      <c r="V134" s="25" t="s">
        <v>3290</v>
      </c>
      <c r="W134" s="25" t="s">
        <v>3291</v>
      </c>
      <c r="X134" s="59">
        <v>45691.513888888891</v>
      </c>
      <c r="Y134" s="25"/>
      <c r="Z134" s="25">
        <v>0.3</v>
      </c>
      <c r="AA134" s="25"/>
      <c r="AB134" s="25" t="s">
        <v>2521</v>
      </c>
      <c r="AC134" s="27" t="s">
        <v>2591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3281</v>
      </c>
      <c r="H135" s="25" t="s">
        <v>2659</v>
      </c>
      <c r="I135" s="25"/>
      <c r="J135" s="25"/>
      <c r="K135" s="25"/>
      <c r="L135" s="25"/>
      <c r="M135" s="26"/>
      <c r="N135" s="25"/>
      <c r="O135" s="26"/>
      <c r="P135" s="27"/>
      <c r="Q135" s="25" t="s">
        <v>3284</v>
      </c>
      <c r="R135" s="25" t="s">
        <v>2516</v>
      </c>
      <c r="S135" s="25" t="s">
        <v>185</v>
      </c>
      <c r="T135" s="25">
        <v>1</v>
      </c>
      <c r="U135" s="25" t="s">
        <v>2517</v>
      </c>
      <c r="V135" s="25" t="s">
        <v>3292</v>
      </c>
      <c r="W135" s="25" t="s">
        <v>3293</v>
      </c>
      <c r="X135" s="59">
        <v>45691.5625</v>
      </c>
      <c r="Y135" s="25"/>
      <c r="Z135" s="25">
        <v>0.5</v>
      </c>
      <c r="AA135" s="25"/>
      <c r="AB135" s="25" t="s">
        <v>2521</v>
      </c>
      <c r="AC135" s="27" t="s">
        <v>2591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3294</v>
      </c>
      <c r="H136" s="25" t="s">
        <v>2507</v>
      </c>
      <c r="I136" s="25"/>
      <c r="J136" s="25"/>
      <c r="K136" s="25"/>
      <c r="L136" s="25"/>
      <c r="M136" s="26"/>
      <c r="N136" s="25"/>
      <c r="O136" s="26"/>
      <c r="P136" s="27"/>
      <c r="Q136" s="25" t="s">
        <v>3295</v>
      </c>
      <c r="R136" s="25" t="s">
        <v>2516</v>
      </c>
      <c r="S136" s="25" t="s">
        <v>25</v>
      </c>
      <c r="T136" s="25">
        <v>1</v>
      </c>
      <c r="U136" s="25" t="s">
        <v>2517</v>
      </c>
      <c r="V136" s="25" t="s">
        <v>3296</v>
      </c>
      <c r="W136" s="25" t="s">
        <v>3297</v>
      </c>
      <c r="X136" s="59">
        <v>45691.614583333343</v>
      </c>
      <c r="Y136" s="25"/>
      <c r="Z136" s="25">
        <v>0.3</v>
      </c>
      <c r="AA136" s="25"/>
      <c r="AB136" s="25" t="s">
        <v>2521</v>
      </c>
      <c r="AC136" s="27" t="s">
        <v>2591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3298</v>
      </c>
      <c r="G137" s="25" t="s">
        <v>3299</v>
      </c>
      <c r="H137" s="25" t="s">
        <v>2507</v>
      </c>
      <c r="I137" s="25"/>
      <c r="J137" s="25"/>
      <c r="K137" s="25"/>
      <c r="L137" s="25"/>
      <c r="M137" s="26"/>
      <c r="N137" s="25"/>
      <c r="O137" s="26"/>
      <c r="P137" s="27"/>
      <c r="Q137" s="25" t="s">
        <v>3300</v>
      </c>
      <c r="R137" s="25" t="s">
        <v>2516</v>
      </c>
      <c r="S137" s="25" t="s">
        <v>25</v>
      </c>
      <c r="T137" s="25">
        <v>1</v>
      </c>
      <c r="U137" s="25" t="s">
        <v>2517</v>
      </c>
      <c r="V137" s="25" t="s">
        <v>3301</v>
      </c>
      <c r="W137" s="25" t="s">
        <v>3302</v>
      </c>
      <c r="X137" s="59">
        <v>45691.65</v>
      </c>
      <c r="Y137" s="25"/>
      <c r="Z137" s="25">
        <v>0.4</v>
      </c>
      <c r="AA137" s="25"/>
      <c r="AB137" s="25" t="s">
        <v>2521</v>
      </c>
      <c r="AC137" s="27" t="s">
        <v>2591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3303</v>
      </c>
      <c r="H138" s="25" t="s">
        <v>2507</v>
      </c>
      <c r="I138" s="25"/>
      <c r="J138" s="25"/>
      <c r="K138" s="25"/>
      <c r="L138" s="25"/>
      <c r="M138" s="26"/>
      <c r="N138" s="25"/>
      <c r="O138" s="26"/>
      <c r="P138" s="27"/>
      <c r="Q138" s="25" t="s">
        <v>3304</v>
      </c>
      <c r="R138" s="25" t="s">
        <v>2516</v>
      </c>
      <c r="S138" s="25" t="s">
        <v>25</v>
      </c>
      <c r="T138" s="25">
        <v>1</v>
      </c>
      <c r="U138" s="25" t="s">
        <v>2517</v>
      </c>
      <c r="V138" s="25" t="s">
        <v>3305</v>
      </c>
      <c r="W138" s="25" t="s">
        <v>3306</v>
      </c>
      <c r="X138" s="59">
        <v>45691.67083333333</v>
      </c>
      <c r="Y138" s="25"/>
      <c r="Z138" s="25">
        <v>12.4</v>
      </c>
      <c r="AA138" s="25"/>
      <c r="AB138" s="25" t="s">
        <v>2521</v>
      </c>
      <c r="AC138" s="27" t="s">
        <v>2591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3238</v>
      </c>
      <c r="H139" s="25" t="s">
        <v>2609</v>
      </c>
      <c r="I139" s="25"/>
      <c r="J139" s="25"/>
      <c r="K139" s="25"/>
      <c r="L139" s="25"/>
      <c r="M139" s="26"/>
      <c r="N139" s="25"/>
      <c r="O139" s="26"/>
      <c r="P139" s="27"/>
      <c r="Q139" s="25" t="s">
        <v>3242</v>
      </c>
      <c r="R139" s="25" t="s">
        <v>2516</v>
      </c>
      <c r="S139" s="25" t="s">
        <v>173</v>
      </c>
      <c r="T139" s="25">
        <v>1</v>
      </c>
      <c r="U139" s="25" t="s">
        <v>2517</v>
      </c>
      <c r="V139" s="25" t="s">
        <v>3307</v>
      </c>
      <c r="W139" s="25" t="s">
        <v>3244</v>
      </c>
      <c r="X139" s="59">
        <v>45692.482638888891</v>
      </c>
      <c r="Y139" s="25"/>
      <c r="Z139" s="25">
        <v>0.8</v>
      </c>
      <c r="AA139" s="25"/>
      <c r="AB139" s="25" t="s">
        <v>2521</v>
      </c>
      <c r="AC139" s="27" t="s">
        <v>2591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3269</v>
      </c>
      <c r="H140" s="25" t="s">
        <v>1604</v>
      </c>
      <c r="I140" s="25"/>
      <c r="J140" s="25"/>
      <c r="K140" s="25"/>
      <c r="L140" s="25"/>
      <c r="M140" s="26"/>
      <c r="N140" s="25"/>
      <c r="O140" s="26"/>
      <c r="P140" s="27"/>
      <c r="Q140" s="25" t="s">
        <v>3276</v>
      </c>
      <c r="R140" s="25" t="s">
        <v>2516</v>
      </c>
      <c r="S140" s="25" t="s">
        <v>25</v>
      </c>
      <c r="T140" s="25">
        <v>1</v>
      </c>
      <c r="U140" s="25" t="s">
        <v>2517</v>
      </c>
      <c r="V140" s="25" t="s">
        <v>3308</v>
      </c>
      <c r="W140" s="25" t="s">
        <v>3309</v>
      </c>
      <c r="X140" s="59">
        <v>45692.496527777781</v>
      </c>
      <c r="Y140" s="25"/>
      <c r="Z140" s="25">
        <v>0.4</v>
      </c>
      <c r="AA140" s="25"/>
      <c r="AB140" s="25" t="s">
        <v>2521</v>
      </c>
      <c r="AC140" s="27" t="s">
        <v>2591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3310</v>
      </c>
      <c r="H141" s="25" t="s">
        <v>1604</v>
      </c>
      <c r="I141" s="25"/>
      <c r="J141" s="25"/>
      <c r="K141" s="25"/>
      <c r="L141" s="25"/>
      <c r="M141" s="26"/>
      <c r="N141" s="25"/>
      <c r="O141" s="26"/>
      <c r="P141" s="27"/>
      <c r="Q141" s="25" t="s">
        <v>3311</v>
      </c>
      <c r="R141" s="25" t="s">
        <v>2516</v>
      </c>
      <c r="S141" s="25" t="s">
        <v>25</v>
      </c>
      <c r="T141" s="25">
        <v>1</v>
      </c>
      <c r="U141" s="25" t="s">
        <v>2517</v>
      </c>
      <c r="V141" s="25" t="s">
        <v>3312</v>
      </c>
      <c r="W141" s="25" t="s">
        <v>3313</v>
      </c>
      <c r="X141" s="59">
        <v>45692.55</v>
      </c>
      <c r="Y141" s="25"/>
      <c r="Z141" s="25">
        <v>0.4</v>
      </c>
      <c r="AA141" s="25"/>
      <c r="AB141" s="25" t="s">
        <v>2521</v>
      </c>
      <c r="AC141" s="27" t="s">
        <v>2591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3314</v>
      </c>
      <c r="H142" s="25" t="s">
        <v>1604</v>
      </c>
      <c r="I142" s="25"/>
      <c r="J142" s="25"/>
      <c r="K142" s="25"/>
      <c r="L142" s="25"/>
      <c r="M142" s="26"/>
      <c r="N142" s="25"/>
      <c r="O142" s="26"/>
      <c r="P142" s="27"/>
      <c r="Q142" s="25" t="s">
        <v>3315</v>
      </c>
      <c r="R142" s="25" t="s">
        <v>2516</v>
      </c>
      <c r="S142" s="25" t="s">
        <v>25</v>
      </c>
      <c r="T142" s="25">
        <v>1</v>
      </c>
      <c r="U142" s="25" t="s">
        <v>2517</v>
      </c>
      <c r="V142" s="25" t="s">
        <v>3316</v>
      </c>
      <c r="W142" s="25" t="s">
        <v>3317</v>
      </c>
      <c r="X142" s="59">
        <v>45692.577777777777</v>
      </c>
      <c r="Y142" s="25"/>
      <c r="Z142" s="25">
        <v>0.4</v>
      </c>
      <c r="AA142" s="25"/>
      <c r="AB142" s="25" t="s">
        <v>2521</v>
      </c>
      <c r="AC142" s="27" t="s">
        <v>2591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3318</v>
      </c>
      <c r="E143" s="25" t="s">
        <v>2504</v>
      </c>
      <c r="F143" s="25">
        <v>4406</v>
      </c>
      <c r="G143" s="25" t="s">
        <v>3214</v>
      </c>
      <c r="H143" s="25" t="s">
        <v>2609</v>
      </c>
      <c r="I143" s="25" t="s">
        <v>3319</v>
      </c>
      <c r="J143" s="25" t="s">
        <v>2509</v>
      </c>
      <c r="K143" s="25" t="s">
        <v>2510</v>
      </c>
      <c r="L143" s="25" t="s">
        <v>2511</v>
      </c>
      <c r="M143" s="26" t="s">
        <v>2512</v>
      </c>
      <c r="N143" s="25">
        <v>2307</v>
      </c>
      <c r="O143" s="26" t="s">
        <v>2678</v>
      </c>
      <c r="P143" s="27" t="s">
        <v>3320</v>
      </c>
      <c r="Q143" s="25" t="s">
        <v>3217</v>
      </c>
      <c r="R143" s="25" t="s">
        <v>2516</v>
      </c>
      <c r="S143" s="25" t="s">
        <v>173</v>
      </c>
      <c r="T143" s="25">
        <v>1</v>
      </c>
      <c r="U143" s="25" t="s">
        <v>2517</v>
      </c>
      <c r="V143" s="25" t="s">
        <v>3321</v>
      </c>
      <c r="W143" s="25" t="s">
        <v>3322</v>
      </c>
      <c r="X143" s="59">
        <v>45692.702777777777</v>
      </c>
      <c r="Y143" s="25" t="s">
        <v>3323</v>
      </c>
      <c r="Z143" s="25">
        <v>0.5</v>
      </c>
      <c r="AA143" s="25"/>
      <c r="AB143" s="25" t="s">
        <v>2521</v>
      </c>
      <c r="AC143" s="27" t="s">
        <v>3324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3325</v>
      </c>
      <c r="E144" s="25" t="s">
        <v>2504</v>
      </c>
      <c r="F144" s="25">
        <v>4406</v>
      </c>
      <c r="G144" s="25" t="s">
        <v>3214</v>
      </c>
      <c r="H144" s="25" t="s">
        <v>2609</v>
      </c>
      <c r="I144" s="25" t="s">
        <v>3326</v>
      </c>
      <c r="J144" s="25" t="s">
        <v>2509</v>
      </c>
      <c r="K144" s="25" t="s">
        <v>2510</v>
      </c>
      <c r="L144" s="25" t="s">
        <v>2511</v>
      </c>
      <c r="M144" s="26" t="s">
        <v>2512</v>
      </c>
      <c r="N144" s="25">
        <v>2307</v>
      </c>
      <c r="O144" s="26" t="s">
        <v>2678</v>
      </c>
      <c r="P144" s="27" t="s">
        <v>3327</v>
      </c>
      <c r="Q144" s="25" t="s">
        <v>3217</v>
      </c>
      <c r="R144" s="25" t="s">
        <v>2516</v>
      </c>
      <c r="S144" s="25" t="s">
        <v>173</v>
      </c>
      <c r="T144" s="25">
        <v>1</v>
      </c>
      <c r="U144" s="25" t="s">
        <v>2517</v>
      </c>
      <c r="V144" s="25" t="s">
        <v>3328</v>
      </c>
      <c r="W144" s="25" t="s">
        <v>3322</v>
      </c>
      <c r="X144" s="59">
        <v>45692.702777777777</v>
      </c>
      <c r="Y144" s="25" t="s">
        <v>3329</v>
      </c>
      <c r="Z144" s="25">
        <v>0.5</v>
      </c>
      <c r="AA144" s="25"/>
      <c r="AB144" s="25" t="s">
        <v>2521</v>
      </c>
      <c r="AC144" s="27" t="s">
        <v>3324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3330</v>
      </c>
      <c r="H145" s="25" t="s">
        <v>3248</v>
      </c>
      <c r="I145" s="25"/>
      <c r="J145" s="25"/>
      <c r="K145" s="25"/>
      <c r="L145" s="25"/>
      <c r="M145" s="26"/>
      <c r="N145" s="25"/>
      <c r="O145" s="26"/>
      <c r="P145" s="27"/>
      <c r="Q145" s="25" t="s">
        <v>3331</v>
      </c>
      <c r="R145" s="25" t="s">
        <v>2516</v>
      </c>
      <c r="S145" s="25" t="s">
        <v>25</v>
      </c>
      <c r="T145" s="25">
        <v>1</v>
      </c>
      <c r="U145" s="25" t="s">
        <v>2517</v>
      </c>
      <c r="V145" s="25" t="s">
        <v>3332</v>
      </c>
      <c r="W145" s="25" t="s">
        <v>3333</v>
      </c>
      <c r="X145" s="59">
        <v>45692.638194444437</v>
      </c>
      <c r="Y145" s="25"/>
      <c r="Z145" s="25">
        <v>0.3</v>
      </c>
      <c r="AA145" s="25"/>
      <c r="AB145" s="25" t="s">
        <v>2521</v>
      </c>
      <c r="AC145" s="27" t="s">
        <v>2591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3334</v>
      </c>
      <c r="H146" s="25" t="s">
        <v>2996</v>
      </c>
      <c r="I146" s="25"/>
      <c r="J146" s="25"/>
      <c r="K146" s="25"/>
      <c r="L146" s="25"/>
      <c r="M146" s="26"/>
      <c r="N146" s="25"/>
      <c r="O146" s="26"/>
      <c r="P146" s="27"/>
      <c r="Q146" s="25" t="s">
        <v>3335</v>
      </c>
      <c r="R146" s="25" t="s">
        <v>2516</v>
      </c>
      <c r="S146" s="25" t="s">
        <v>185</v>
      </c>
      <c r="T146" s="25">
        <v>1</v>
      </c>
      <c r="U146" s="25" t="s">
        <v>2517</v>
      </c>
      <c r="V146" s="25" t="s">
        <v>3336</v>
      </c>
      <c r="W146" s="25" t="s">
        <v>3337</v>
      </c>
      <c r="X146" s="59">
        <v>45692.645833333343</v>
      </c>
      <c r="Y146" s="25"/>
      <c r="Z146" s="25">
        <v>0.3</v>
      </c>
      <c r="AA146" s="25"/>
      <c r="AB146" s="25" t="s">
        <v>2521</v>
      </c>
      <c r="AC146" s="27" t="s">
        <v>2591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3338</v>
      </c>
      <c r="H147" s="25" t="s">
        <v>2996</v>
      </c>
      <c r="I147" s="25"/>
      <c r="J147" s="25"/>
      <c r="K147" s="25"/>
      <c r="L147" s="25"/>
      <c r="M147" s="26"/>
      <c r="N147" s="25"/>
      <c r="O147" s="26"/>
      <c r="P147" s="27"/>
      <c r="Q147" s="25" t="s">
        <v>3339</v>
      </c>
      <c r="R147" s="25" t="s">
        <v>2516</v>
      </c>
      <c r="S147" s="25" t="s">
        <v>185</v>
      </c>
      <c r="T147" s="25">
        <v>1</v>
      </c>
      <c r="U147" s="25" t="s">
        <v>2517</v>
      </c>
      <c r="V147" s="25" t="s">
        <v>3340</v>
      </c>
      <c r="W147" s="25" t="s">
        <v>3341</v>
      </c>
      <c r="X147" s="59">
        <v>45692.666666666657</v>
      </c>
      <c r="Y147" s="25"/>
      <c r="Z147" s="25">
        <v>0.3</v>
      </c>
      <c r="AA147" s="25"/>
      <c r="AB147" s="25" t="s">
        <v>2521</v>
      </c>
      <c r="AC147" s="27" t="s">
        <v>2591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3342</v>
      </c>
      <c r="H148" s="25" t="s">
        <v>3248</v>
      </c>
      <c r="I148" s="25"/>
      <c r="J148" s="25"/>
      <c r="K148" s="25"/>
      <c r="L148" s="25"/>
      <c r="M148" s="26"/>
      <c r="N148" s="25"/>
      <c r="O148" s="26"/>
      <c r="P148" s="27"/>
      <c r="Q148" s="25" t="s">
        <v>3343</v>
      </c>
      <c r="R148" s="25" t="s">
        <v>2516</v>
      </c>
      <c r="S148" s="25" t="s">
        <v>25</v>
      </c>
      <c r="T148" s="25">
        <v>1</v>
      </c>
      <c r="U148" s="25" t="s">
        <v>2517</v>
      </c>
      <c r="V148" s="25" t="s">
        <v>3344</v>
      </c>
      <c r="W148" s="25" t="s">
        <v>3341</v>
      </c>
      <c r="X148" s="59">
        <v>45692.668749999997</v>
      </c>
      <c r="Y148" s="25"/>
      <c r="Z148" s="25">
        <v>0.4</v>
      </c>
      <c r="AA148" s="25"/>
      <c r="AB148" s="25" t="s">
        <v>2521</v>
      </c>
      <c r="AC148" s="27" t="s">
        <v>2591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3345</v>
      </c>
      <c r="E149" s="25" t="s">
        <v>2504</v>
      </c>
      <c r="F149" s="25">
        <v>4511</v>
      </c>
      <c r="G149" s="25" t="s">
        <v>3314</v>
      </c>
      <c r="H149" s="25" t="s">
        <v>1604</v>
      </c>
      <c r="I149" s="25" t="s">
        <v>3346</v>
      </c>
      <c r="J149" s="25" t="s">
        <v>2509</v>
      </c>
      <c r="K149" s="25" t="s">
        <v>2717</v>
      </c>
      <c r="L149" s="25" t="s">
        <v>3150</v>
      </c>
      <c r="M149" s="26" t="s">
        <v>3151</v>
      </c>
      <c r="N149" s="25">
        <v>5901</v>
      </c>
      <c r="O149" s="26" t="s">
        <v>2598</v>
      </c>
      <c r="P149" s="27" t="s">
        <v>3347</v>
      </c>
      <c r="Q149" s="25" t="s">
        <v>3315</v>
      </c>
      <c r="R149" s="25" t="s">
        <v>2516</v>
      </c>
      <c r="S149" s="25" t="s">
        <v>25</v>
      </c>
      <c r="T149" s="25">
        <v>1</v>
      </c>
      <c r="U149" s="25" t="s">
        <v>2517</v>
      </c>
      <c r="V149" s="25" t="s">
        <v>3348</v>
      </c>
      <c r="W149" s="25" t="s">
        <v>3349</v>
      </c>
      <c r="X149" s="59">
        <v>45693.484027777777</v>
      </c>
      <c r="Y149" s="25" t="s">
        <v>3350</v>
      </c>
      <c r="Z149" s="25">
        <v>0.5</v>
      </c>
      <c r="AA149" s="25"/>
      <c r="AB149" s="25" t="s">
        <v>2521</v>
      </c>
      <c r="AC149" s="27" t="s">
        <v>3351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3352</v>
      </c>
      <c r="E150" s="25" t="s">
        <v>2504</v>
      </c>
      <c r="F150" s="25" t="s">
        <v>3353</v>
      </c>
      <c r="G150" s="25" t="s">
        <v>3354</v>
      </c>
      <c r="H150" s="25" t="s">
        <v>2507</v>
      </c>
      <c r="I150" s="25" t="s">
        <v>3355</v>
      </c>
      <c r="J150" s="25" t="s">
        <v>2509</v>
      </c>
      <c r="K150" s="25" t="s">
        <v>2717</v>
      </c>
      <c r="L150" s="25" t="s">
        <v>2537</v>
      </c>
      <c r="M150" s="26" t="s">
        <v>2538</v>
      </c>
      <c r="N150" s="25" t="s">
        <v>2539</v>
      </c>
      <c r="O150" s="26" t="s">
        <v>2540</v>
      </c>
      <c r="P150" s="27" t="s">
        <v>3356</v>
      </c>
      <c r="Q150" s="25" t="s">
        <v>3357</v>
      </c>
      <c r="R150" s="25" t="s">
        <v>2516</v>
      </c>
      <c r="S150" s="25" t="s">
        <v>25</v>
      </c>
      <c r="T150" s="25">
        <v>1</v>
      </c>
      <c r="U150" s="25" t="s">
        <v>2517</v>
      </c>
      <c r="V150" s="25" t="s">
        <v>3358</v>
      </c>
      <c r="W150" s="25" t="s">
        <v>3359</v>
      </c>
      <c r="X150" s="59">
        <v>45693.625</v>
      </c>
      <c r="Y150" s="25" t="s">
        <v>3360</v>
      </c>
      <c r="Z150" s="25">
        <v>0.5</v>
      </c>
      <c r="AA150" s="25"/>
      <c r="AB150" s="25" t="s">
        <v>2521</v>
      </c>
      <c r="AC150" s="27" t="s">
        <v>3361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3362</v>
      </c>
      <c r="H151" s="25" t="s">
        <v>3148</v>
      </c>
      <c r="I151" s="25"/>
      <c r="J151" s="25"/>
      <c r="K151" s="25"/>
      <c r="L151" s="25"/>
      <c r="M151" s="26"/>
      <c r="N151" s="25"/>
      <c r="O151" s="26"/>
      <c r="P151" s="27"/>
      <c r="Q151" s="25" t="s">
        <v>3363</v>
      </c>
      <c r="R151" s="25" t="s">
        <v>2516</v>
      </c>
      <c r="S151" s="25" t="s">
        <v>185</v>
      </c>
      <c r="T151" s="25">
        <v>1</v>
      </c>
      <c r="U151" s="25" t="s">
        <v>2517</v>
      </c>
      <c r="V151" s="25" t="s">
        <v>3364</v>
      </c>
      <c r="W151" s="25" t="s">
        <v>3365</v>
      </c>
      <c r="X151" s="59">
        <v>45693.479166666657</v>
      </c>
      <c r="Y151" s="25"/>
      <c r="Z151" s="25">
        <v>0.5</v>
      </c>
      <c r="AA151" s="25"/>
      <c r="AB151" s="25" t="s">
        <v>2521</v>
      </c>
      <c r="AC151" s="27" t="s">
        <v>2591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3366</v>
      </c>
      <c r="H152" s="25" t="s">
        <v>3148</v>
      </c>
      <c r="I152" s="25"/>
      <c r="J152" s="25"/>
      <c r="K152" s="25"/>
      <c r="L152" s="25"/>
      <c r="M152" s="26"/>
      <c r="N152" s="25"/>
      <c r="O152" s="26"/>
      <c r="P152" s="27"/>
      <c r="Q152" s="25" t="s">
        <v>3367</v>
      </c>
      <c r="R152" s="25" t="s">
        <v>2516</v>
      </c>
      <c r="S152" s="25" t="s">
        <v>185</v>
      </c>
      <c r="T152" s="25">
        <v>1</v>
      </c>
      <c r="U152" s="25" t="s">
        <v>2517</v>
      </c>
      <c r="V152" s="25" t="s">
        <v>3368</v>
      </c>
      <c r="W152" s="25" t="s">
        <v>3369</v>
      </c>
      <c r="X152" s="59">
        <v>45693.496527777781</v>
      </c>
      <c r="Y152" s="25"/>
      <c r="Z152" s="25">
        <v>0.3</v>
      </c>
      <c r="AA152" s="25"/>
      <c r="AB152" s="25" t="s">
        <v>2521</v>
      </c>
      <c r="AC152" s="27" t="s">
        <v>2591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3370</v>
      </c>
      <c r="H153" s="25" t="s">
        <v>3148</v>
      </c>
      <c r="I153" s="25"/>
      <c r="J153" s="25"/>
      <c r="K153" s="25"/>
      <c r="L153" s="25"/>
      <c r="M153" s="26"/>
      <c r="N153" s="25"/>
      <c r="O153" s="26"/>
      <c r="P153" s="27"/>
      <c r="Q153" s="25" t="s">
        <v>3371</v>
      </c>
      <c r="R153" s="25" t="s">
        <v>2516</v>
      </c>
      <c r="S153" s="25" t="s">
        <v>185</v>
      </c>
      <c r="T153" s="25">
        <v>1</v>
      </c>
      <c r="U153" s="25" t="s">
        <v>2517</v>
      </c>
      <c r="V153" s="25" t="s">
        <v>3372</v>
      </c>
      <c r="W153" s="25" t="s">
        <v>3373</v>
      </c>
      <c r="X153" s="59">
        <v>45693.548611111109</v>
      </c>
      <c r="Y153" s="25"/>
      <c r="Z153" s="25">
        <v>12.3</v>
      </c>
      <c r="AA153" s="25"/>
      <c r="AB153" s="25" t="s">
        <v>2521</v>
      </c>
      <c r="AC153" s="27" t="s">
        <v>2591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3374</v>
      </c>
      <c r="H154" s="25" t="s">
        <v>2507</v>
      </c>
      <c r="I154" s="25"/>
      <c r="J154" s="25"/>
      <c r="K154" s="25"/>
      <c r="L154" s="25"/>
      <c r="M154" s="26"/>
      <c r="N154" s="25"/>
      <c r="O154" s="26"/>
      <c r="P154" s="27"/>
      <c r="Q154" s="25" t="s">
        <v>3375</v>
      </c>
      <c r="R154" s="25" t="s">
        <v>2516</v>
      </c>
      <c r="S154" s="25" t="s">
        <v>25</v>
      </c>
      <c r="T154" s="25">
        <v>1</v>
      </c>
      <c r="U154" s="25" t="s">
        <v>2517</v>
      </c>
      <c r="V154" s="25" t="s">
        <v>3376</v>
      </c>
      <c r="W154" s="25" t="s">
        <v>3377</v>
      </c>
      <c r="X154" s="59">
        <v>45694.472222222219</v>
      </c>
      <c r="Y154" s="25"/>
      <c r="Z154" s="25">
        <v>0.4</v>
      </c>
      <c r="AA154" s="25"/>
      <c r="AB154" s="25" t="s">
        <v>2521</v>
      </c>
      <c r="AC154" s="27" t="s">
        <v>2591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3378</v>
      </c>
      <c r="E155" s="25" t="s">
        <v>2504</v>
      </c>
      <c r="F155" s="25">
        <v>4977</v>
      </c>
      <c r="G155" s="25" t="s">
        <v>3303</v>
      </c>
      <c r="H155" s="25" t="s">
        <v>2507</v>
      </c>
      <c r="I155" s="25" t="s">
        <v>3379</v>
      </c>
      <c r="J155" s="25" t="s">
        <v>2835</v>
      </c>
      <c r="K155" s="25" t="s">
        <v>2510</v>
      </c>
      <c r="L155" s="25" t="s">
        <v>3380</v>
      </c>
      <c r="M155" s="26" t="s">
        <v>3381</v>
      </c>
      <c r="N155" s="25" t="s">
        <v>3382</v>
      </c>
      <c r="O155" s="26" t="s">
        <v>3383</v>
      </c>
      <c r="P155" s="27" t="s">
        <v>3384</v>
      </c>
      <c r="Q155" s="25" t="s">
        <v>3304</v>
      </c>
      <c r="R155" s="25" t="s">
        <v>2516</v>
      </c>
      <c r="S155" s="25" t="s">
        <v>25</v>
      </c>
      <c r="T155" s="25">
        <v>1</v>
      </c>
      <c r="U155" s="25" t="s">
        <v>2517</v>
      </c>
      <c r="V155" s="25" t="s">
        <v>3385</v>
      </c>
      <c r="W155" s="25" t="s">
        <v>3386</v>
      </c>
      <c r="X155" s="59">
        <v>45695.496527777781</v>
      </c>
      <c r="Y155" s="25" t="s">
        <v>3387</v>
      </c>
      <c r="Z155" s="25">
        <v>0.9</v>
      </c>
      <c r="AA155" s="25"/>
      <c r="AB155" s="25" t="s">
        <v>2521</v>
      </c>
      <c r="AC155" s="27" t="s">
        <v>3388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3389</v>
      </c>
      <c r="G156" s="25" t="s">
        <v>3390</v>
      </c>
      <c r="H156" s="25" t="s">
        <v>2659</v>
      </c>
      <c r="I156" s="25"/>
      <c r="J156" s="25"/>
      <c r="K156" s="25"/>
      <c r="L156" s="25"/>
      <c r="M156" s="26"/>
      <c r="N156" s="25"/>
      <c r="O156" s="26"/>
      <c r="P156" s="27"/>
      <c r="Q156" s="25" t="s">
        <v>3391</v>
      </c>
      <c r="R156" s="25" t="s">
        <v>2516</v>
      </c>
      <c r="S156" s="25" t="s">
        <v>185</v>
      </c>
      <c r="T156" s="25">
        <v>1</v>
      </c>
      <c r="U156" s="25" t="s">
        <v>2517</v>
      </c>
      <c r="V156" s="25" t="s">
        <v>3392</v>
      </c>
      <c r="W156" s="25" t="s">
        <v>3393</v>
      </c>
      <c r="X156" s="59">
        <v>45695.583333333343</v>
      </c>
      <c r="Y156" s="25"/>
      <c r="Z156" s="25">
        <v>0.5</v>
      </c>
      <c r="AA156" s="25"/>
      <c r="AB156" s="25" t="s">
        <v>2521</v>
      </c>
      <c r="AC156" s="27" t="s">
        <v>2591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3394</v>
      </c>
      <c r="H157" s="25" t="s">
        <v>2659</v>
      </c>
      <c r="I157" s="25"/>
      <c r="J157" s="25"/>
      <c r="K157" s="25"/>
      <c r="L157" s="25"/>
      <c r="M157" s="26"/>
      <c r="N157" s="25"/>
      <c r="O157" s="26"/>
      <c r="P157" s="27"/>
      <c r="Q157" s="25" t="s">
        <v>3395</v>
      </c>
      <c r="R157" s="25" t="s">
        <v>2516</v>
      </c>
      <c r="S157" s="25" t="s">
        <v>185</v>
      </c>
      <c r="T157" s="25">
        <v>1</v>
      </c>
      <c r="U157" s="25" t="s">
        <v>2517</v>
      </c>
      <c r="V157" s="25" t="s">
        <v>3396</v>
      </c>
      <c r="W157" s="25" t="s">
        <v>3397</v>
      </c>
      <c r="X157" s="59">
        <v>45695.604166666657</v>
      </c>
      <c r="Y157" s="25"/>
      <c r="Z157" s="25">
        <v>0.3</v>
      </c>
      <c r="AA157" s="25"/>
      <c r="AB157" s="25" t="s">
        <v>2521</v>
      </c>
      <c r="AC157" s="27" t="s">
        <v>2591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3353</v>
      </c>
      <c r="G158" s="25" t="s">
        <v>3354</v>
      </c>
      <c r="H158" s="25" t="s">
        <v>2507</v>
      </c>
      <c r="I158" s="25"/>
      <c r="J158" s="25"/>
      <c r="K158" s="25"/>
      <c r="L158" s="25"/>
      <c r="M158" s="26"/>
      <c r="N158" s="25"/>
      <c r="O158" s="26"/>
      <c r="P158" s="27"/>
      <c r="Q158" s="25" t="s">
        <v>3357</v>
      </c>
      <c r="R158" s="25" t="s">
        <v>2516</v>
      </c>
      <c r="S158" s="25" t="s">
        <v>25</v>
      </c>
      <c r="T158" s="25">
        <v>1</v>
      </c>
      <c r="U158" s="25" t="s">
        <v>2517</v>
      </c>
      <c r="V158" s="25" t="s">
        <v>3398</v>
      </c>
      <c r="W158" s="25" t="s">
        <v>3399</v>
      </c>
      <c r="X158" s="59">
        <v>45695.611805555563</v>
      </c>
      <c r="Y158" s="25"/>
      <c r="Z158" s="25">
        <v>0.4</v>
      </c>
      <c r="AA158" s="25"/>
      <c r="AB158" s="25" t="s">
        <v>2521</v>
      </c>
      <c r="AC158" s="27" t="s">
        <v>2591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3400</v>
      </c>
      <c r="H159" s="25" t="s">
        <v>2659</v>
      </c>
      <c r="I159" s="25"/>
      <c r="J159" s="25"/>
      <c r="K159" s="25"/>
      <c r="L159" s="25"/>
      <c r="M159" s="26"/>
      <c r="N159" s="25"/>
      <c r="O159" s="26"/>
      <c r="P159" s="27"/>
      <c r="Q159" s="25" t="s">
        <v>3401</v>
      </c>
      <c r="R159" s="25" t="s">
        <v>2516</v>
      </c>
      <c r="S159" s="25" t="s">
        <v>185</v>
      </c>
      <c r="T159" s="25">
        <v>1</v>
      </c>
      <c r="U159" s="25" t="s">
        <v>2517</v>
      </c>
      <c r="V159" s="25" t="s">
        <v>3402</v>
      </c>
      <c r="W159" s="25" t="s">
        <v>3403</v>
      </c>
      <c r="X159" s="59">
        <v>45695.618055555547</v>
      </c>
      <c r="Y159" s="25"/>
      <c r="Z159" s="25">
        <v>0.3</v>
      </c>
      <c r="AA159" s="25"/>
      <c r="AB159" s="25" t="s">
        <v>2521</v>
      </c>
      <c r="AC159" s="27" t="s">
        <v>2591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3404</v>
      </c>
      <c r="G160" s="25" t="s">
        <v>3405</v>
      </c>
      <c r="H160" s="25" t="s">
        <v>2507</v>
      </c>
      <c r="I160" s="25"/>
      <c r="J160" s="25"/>
      <c r="K160" s="25"/>
      <c r="L160" s="25"/>
      <c r="M160" s="26"/>
      <c r="N160" s="25"/>
      <c r="O160" s="26"/>
      <c r="P160" s="27"/>
      <c r="Q160" s="25" t="s">
        <v>3406</v>
      </c>
      <c r="R160" s="25" t="s">
        <v>2516</v>
      </c>
      <c r="S160" s="25" t="s">
        <v>25</v>
      </c>
      <c r="T160" s="25">
        <v>1</v>
      </c>
      <c r="U160" s="25" t="s">
        <v>2517</v>
      </c>
      <c r="V160" s="25" t="s">
        <v>3407</v>
      </c>
      <c r="W160" s="25" t="s">
        <v>3408</v>
      </c>
      <c r="X160" s="59">
        <v>45695.630555555559</v>
      </c>
      <c r="Y160" s="25"/>
      <c r="Z160" s="25">
        <v>0.3</v>
      </c>
      <c r="AA160" s="25"/>
      <c r="AB160" s="25" t="s">
        <v>2521</v>
      </c>
      <c r="AC160" s="27" t="s">
        <v>2591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3409</v>
      </c>
      <c r="H161" s="25" t="s">
        <v>2659</v>
      </c>
      <c r="I161" s="25"/>
      <c r="J161" s="25"/>
      <c r="K161" s="25"/>
      <c r="L161" s="25"/>
      <c r="M161" s="26"/>
      <c r="N161" s="25"/>
      <c r="O161" s="26"/>
      <c r="P161" s="27"/>
      <c r="Q161" s="25" t="s">
        <v>3410</v>
      </c>
      <c r="R161" s="25" t="s">
        <v>2516</v>
      </c>
      <c r="S161" s="25" t="s">
        <v>185</v>
      </c>
      <c r="T161" s="25">
        <v>1</v>
      </c>
      <c r="U161" s="25" t="s">
        <v>2517</v>
      </c>
      <c r="V161" s="25" t="s">
        <v>3411</v>
      </c>
      <c r="W161" s="25" t="s">
        <v>3412</v>
      </c>
      <c r="X161" s="59">
        <v>45695.635416666657</v>
      </c>
      <c r="Y161" s="25"/>
      <c r="Z161" s="25">
        <v>0.3</v>
      </c>
      <c r="AA161" s="25"/>
      <c r="AB161" s="25" t="s">
        <v>2521</v>
      </c>
      <c r="AC161" s="27" t="s">
        <v>2591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3413</v>
      </c>
      <c r="H162" s="25" t="s">
        <v>2659</v>
      </c>
      <c r="I162" s="25"/>
      <c r="J162" s="25"/>
      <c r="K162" s="25"/>
      <c r="L162" s="25"/>
      <c r="M162" s="26"/>
      <c r="N162" s="25"/>
      <c r="O162" s="26"/>
      <c r="P162" s="27"/>
      <c r="Q162" s="25" t="s">
        <v>3414</v>
      </c>
      <c r="R162" s="25" t="s">
        <v>2516</v>
      </c>
      <c r="S162" s="25" t="s">
        <v>185</v>
      </c>
      <c r="T162" s="25">
        <v>1</v>
      </c>
      <c r="U162" s="25" t="s">
        <v>2517</v>
      </c>
      <c r="V162" s="25" t="s">
        <v>3415</v>
      </c>
      <c r="W162" s="25" t="s">
        <v>3416</v>
      </c>
      <c r="X162" s="59">
        <v>45695.652777777781</v>
      </c>
      <c r="Y162" s="25"/>
      <c r="Z162" s="25">
        <v>0.3</v>
      </c>
      <c r="AA162" s="25"/>
      <c r="AB162" s="25" t="s">
        <v>2521</v>
      </c>
      <c r="AC162" s="27" t="s">
        <v>2591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3417</v>
      </c>
      <c r="H163" s="25" t="s">
        <v>2507</v>
      </c>
      <c r="I163" s="25"/>
      <c r="J163" s="25"/>
      <c r="K163" s="25"/>
      <c r="L163" s="25"/>
      <c r="M163" s="26"/>
      <c r="N163" s="25"/>
      <c r="O163" s="26"/>
      <c r="P163" s="27"/>
      <c r="Q163" s="25" t="s">
        <v>3418</v>
      </c>
      <c r="R163" s="25" t="s">
        <v>2516</v>
      </c>
      <c r="S163" s="25" t="s">
        <v>25</v>
      </c>
      <c r="T163" s="25">
        <v>1</v>
      </c>
      <c r="U163" s="25" t="s">
        <v>2517</v>
      </c>
      <c r="V163" s="25" t="s">
        <v>3419</v>
      </c>
      <c r="W163" s="25" t="s">
        <v>3420</v>
      </c>
      <c r="X163" s="59">
        <v>45695.669444444437</v>
      </c>
      <c r="Y163" s="25"/>
      <c r="Z163" s="25">
        <v>0.3</v>
      </c>
      <c r="AA163" s="25"/>
      <c r="AB163" s="25" t="s">
        <v>2521</v>
      </c>
      <c r="AC163" s="27" t="s">
        <v>2591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3421</v>
      </c>
      <c r="E164" s="25" t="s">
        <v>2504</v>
      </c>
      <c r="F164" s="25">
        <v>3921</v>
      </c>
      <c r="G164" s="25" t="s">
        <v>3334</v>
      </c>
      <c r="H164" s="25" t="s">
        <v>2996</v>
      </c>
      <c r="I164" s="25" t="s">
        <v>3422</v>
      </c>
      <c r="J164" s="25" t="s">
        <v>2567</v>
      </c>
      <c r="K164" s="25" t="s">
        <v>2717</v>
      </c>
      <c r="L164" s="25" t="s">
        <v>3150</v>
      </c>
      <c r="M164" s="26" t="s">
        <v>3151</v>
      </c>
      <c r="N164" s="25">
        <v>5903</v>
      </c>
      <c r="O164" s="26" t="s">
        <v>3152</v>
      </c>
      <c r="P164" s="27" t="s">
        <v>3423</v>
      </c>
      <c r="Q164" s="25" t="s">
        <v>3335</v>
      </c>
      <c r="R164" s="25" t="s">
        <v>2516</v>
      </c>
      <c r="S164" s="25" t="s">
        <v>185</v>
      </c>
      <c r="T164" s="25">
        <v>1</v>
      </c>
      <c r="U164" s="25" t="s">
        <v>2517</v>
      </c>
      <c r="V164" s="25" t="s">
        <v>3424</v>
      </c>
      <c r="W164" s="25" t="s">
        <v>3425</v>
      </c>
      <c r="X164" s="59">
        <v>45696.498611111107</v>
      </c>
      <c r="Y164" s="25" t="s">
        <v>3426</v>
      </c>
      <c r="Z164" s="25">
        <v>1</v>
      </c>
      <c r="AA164" s="25"/>
      <c r="AB164" s="25" t="s">
        <v>2521</v>
      </c>
      <c r="AC164" s="27" t="s">
        <v>3427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3428</v>
      </c>
      <c r="E165" s="25" t="s">
        <v>2504</v>
      </c>
      <c r="F165" s="25">
        <v>4005</v>
      </c>
      <c r="G165" s="25" t="s">
        <v>3133</v>
      </c>
      <c r="H165" s="25" t="s">
        <v>2659</v>
      </c>
      <c r="I165" s="25" t="s">
        <v>3429</v>
      </c>
      <c r="J165" s="25" t="s">
        <v>2930</v>
      </c>
      <c r="K165" s="25" t="s">
        <v>2568</v>
      </c>
      <c r="L165" s="25" t="s">
        <v>3150</v>
      </c>
      <c r="M165" s="26" t="s">
        <v>3151</v>
      </c>
      <c r="N165" s="25">
        <v>5901</v>
      </c>
      <c r="O165" s="26" t="s">
        <v>2598</v>
      </c>
      <c r="P165" s="27" t="s">
        <v>3430</v>
      </c>
      <c r="Q165" s="25" t="s">
        <v>3134</v>
      </c>
      <c r="R165" s="25" t="s">
        <v>2516</v>
      </c>
      <c r="S165" s="25" t="s">
        <v>185</v>
      </c>
      <c r="T165" s="25">
        <v>1</v>
      </c>
      <c r="U165" s="25" t="s">
        <v>2517</v>
      </c>
      <c r="V165" s="25" t="s">
        <v>3431</v>
      </c>
      <c r="W165" s="25" t="s">
        <v>3432</v>
      </c>
      <c r="X165" s="59">
        <v>45696.635416666657</v>
      </c>
      <c r="Y165" s="25" t="s">
        <v>3433</v>
      </c>
      <c r="Z165" s="25">
        <v>0.8</v>
      </c>
      <c r="AA165" s="25"/>
      <c r="AB165" s="25" t="s">
        <v>2521</v>
      </c>
      <c r="AC165" s="27" t="s">
        <v>3434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3435</v>
      </c>
      <c r="E166" s="25" t="s">
        <v>2504</v>
      </c>
      <c r="F166" s="25">
        <v>4167</v>
      </c>
      <c r="G166" s="25" t="s">
        <v>3436</v>
      </c>
      <c r="H166" s="25" t="s">
        <v>2609</v>
      </c>
      <c r="I166" s="25" t="s">
        <v>3437</v>
      </c>
      <c r="J166" s="25" t="s">
        <v>2930</v>
      </c>
      <c r="K166" s="25" t="s">
        <v>2510</v>
      </c>
      <c r="L166" s="25" t="s">
        <v>2511</v>
      </c>
      <c r="M166" s="26" t="s">
        <v>2512</v>
      </c>
      <c r="N166" s="25">
        <v>2307</v>
      </c>
      <c r="O166" s="26" t="s">
        <v>2678</v>
      </c>
      <c r="P166" s="27" t="s">
        <v>3438</v>
      </c>
      <c r="Q166" s="25" t="s">
        <v>3439</v>
      </c>
      <c r="R166" s="25" t="s">
        <v>2516</v>
      </c>
      <c r="S166" s="25" t="s">
        <v>173</v>
      </c>
      <c r="T166" s="25">
        <v>1</v>
      </c>
      <c r="U166" s="25" t="s">
        <v>2517</v>
      </c>
      <c r="V166" s="25" t="s">
        <v>3440</v>
      </c>
      <c r="W166" s="25" t="s">
        <v>3441</v>
      </c>
      <c r="X166" s="59">
        <v>45698.701388888891</v>
      </c>
      <c r="Y166" s="25" t="s">
        <v>3442</v>
      </c>
      <c r="Z166" s="25">
        <v>2.2000000000000002</v>
      </c>
      <c r="AA166" s="25"/>
      <c r="AB166" s="25" t="s">
        <v>2521</v>
      </c>
      <c r="AC166" s="27" t="s">
        <v>3443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3444</v>
      </c>
      <c r="E167" s="25" t="s">
        <v>2504</v>
      </c>
      <c r="F167" s="25">
        <v>4856</v>
      </c>
      <c r="G167" s="25" t="s">
        <v>2763</v>
      </c>
      <c r="H167" s="25" t="s">
        <v>2659</v>
      </c>
      <c r="I167" s="25" t="s">
        <v>3445</v>
      </c>
      <c r="J167" s="25" t="s">
        <v>2643</v>
      </c>
      <c r="K167" s="25" t="s">
        <v>2765</v>
      </c>
      <c r="L167" s="25" t="s">
        <v>2611</v>
      </c>
      <c r="M167" s="26" t="s">
        <v>2612</v>
      </c>
      <c r="N167" s="25" t="s">
        <v>2892</v>
      </c>
      <c r="O167" s="26" t="s">
        <v>2893</v>
      </c>
      <c r="P167" s="27" t="s">
        <v>3446</v>
      </c>
      <c r="Q167" s="25" t="s">
        <v>2767</v>
      </c>
      <c r="R167" s="25" t="s">
        <v>2516</v>
      </c>
      <c r="S167" s="25" t="s">
        <v>185</v>
      </c>
      <c r="T167" s="25">
        <v>1</v>
      </c>
      <c r="U167" s="25" t="s">
        <v>2517</v>
      </c>
      <c r="V167" s="25" t="s">
        <v>3447</v>
      </c>
      <c r="W167" s="25" t="s">
        <v>3448</v>
      </c>
      <c r="X167" s="59">
        <v>45698.524305555547</v>
      </c>
      <c r="Y167" s="25" t="s">
        <v>3449</v>
      </c>
      <c r="Z167" s="25">
        <v>1.1000000000000001</v>
      </c>
      <c r="AA167" s="25"/>
      <c r="AB167" s="25" t="s">
        <v>2521</v>
      </c>
      <c r="AC167" s="27" t="s">
        <v>3450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3451</v>
      </c>
      <c r="E168" s="25" t="s">
        <v>2843</v>
      </c>
      <c r="F168" s="25">
        <v>3183</v>
      </c>
      <c r="G168" s="25" t="s">
        <v>3452</v>
      </c>
      <c r="H168" s="25" t="s">
        <v>2609</v>
      </c>
      <c r="I168" s="25" t="s">
        <v>3453</v>
      </c>
      <c r="J168" s="25" t="s">
        <v>2661</v>
      </c>
      <c r="K168" s="25" t="s">
        <v>2568</v>
      </c>
      <c r="L168" s="25" t="s">
        <v>2846</v>
      </c>
      <c r="M168" s="26" t="s">
        <v>2847</v>
      </c>
      <c r="N168" s="25">
        <v>2405</v>
      </c>
      <c r="O168" s="26" t="s">
        <v>2963</v>
      </c>
      <c r="P168" s="27" t="s">
        <v>3454</v>
      </c>
      <c r="Q168" s="25" t="s">
        <v>3455</v>
      </c>
      <c r="R168" s="25" t="s">
        <v>2516</v>
      </c>
      <c r="S168" s="25" t="s">
        <v>173</v>
      </c>
      <c r="T168" s="25">
        <v>1</v>
      </c>
      <c r="U168" s="25" t="s">
        <v>2517</v>
      </c>
      <c r="V168" s="25" t="s">
        <v>3456</v>
      </c>
      <c r="W168" s="25" t="s">
        <v>3457</v>
      </c>
      <c r="X168" s="59">
        <v>45698.604166666657</v>
      </c>
      <c r="Y168" s="25" t="s">
        <v>3458</v>
      </c>
      <c r="Z168" s="25">
        <v>1.5</v>
      </c>
      <c r="AA168" s="25"/>
      <c r="AB168" s="25" t="s">
        <v>2521</v>
      </c>
      <c r="AC168" s="27" t="s">
        <v>3459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3452</v>
      </c>
      <c r="H169" s="25" t="s">
        <v>2609</v>
      </c>
      <c r="I169" s="25"/>
      <c r="J169" s="25"/>
      <c r="K169" s="25"/>
      <c r="L169" s="25"/>
      <c r="M169" s="26"/>
      <c r="N169" s="25"/>
      <c r="O169" s="26"/>
      <c r="P169" s="27"/>
      <c r="Q169" s="25" t="s">
        <v>3455</v>
      </c>
      <c r="R169" s="25" t="s">
        <v>2516</v>
      </c>
      <c r="S169" s="25" t="s">
        <v>173</v>
      </c>
      <c r="T169" s="25">
        <v>1</v>
      </c>
      <c r="U169" s="25" t="s">
        <v>2517</v>
      </c>
      <c r="V169" s="25" t="s">
        <v>3460</v>
      </c>
      <c r="W169" s="25" t="s">
        <v>3461</v>
      </c>
      <c r="X169" s="59">
        <v>45698.604166666657</v>
      </c>
      <c r="Y169" s="25"/>
      <c r="Z169" s="25">
        <v>0.3</v>
      </c>
      <c r="AA169" s="25"/>
      <c r="AB169" s="25" t="s">
        <v>2521</v>
      </c>
      <c r="AC169" s="27" t="s">
        <v>2591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3436</v>
      </c>
      <c r="H170" s="25" t="s">
        <v>2609</v>
      </c>
      <c r="I170" s="25"/>
      <c r="J170" s="25"/>
      <c r="K170" s="25"/>
      <c r="L170" s="25"/>
      <c r="M170" s="26"/>
      <c r="N170" s="25"/>
      <c r="O170" s="26"/>
      <c r="P170" s="27"/>
      <c r="Q170" s="25" t="s">
        <v>3439</v>
      </c>
      <c r="R170" s="25" t="s">
        <v>2516</v>
      </c>
      <c r="S170" s="25" t="s">
        <v>173</v>
      </c>
      <c r="T170" s="25">
        <v>1</v>
      </c>
      <c r="U170" s="25" t="s">
        <v>2517</v>
      </c>
      <c r="V170" s="25" t="s">
        <v>3462</v>
      </c>
      <c r="W170" s="25" t="s">
        <v>3441</v>
      </c>
      <c r="X170" s="59">
        <v>45698.701388888891</v>
      </c>
      <c r="Y170" s="25"/>
      <c r="Z170" s="25">
        <v>2.2000000000000002</v>
      </c>
      <c r="AA170" s="25"/>
      <c r="AB170" s="25" t="s">
        <v>2521</v>
      </c>
      <c r="AC170" s="27" t="s">
        <v>2591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3463</v>
      </c>
      <c r="E171" s="25" t="s">
        <v>2504</v>
      </c>
      <c r="F171" s="25">
        <v>2318</v>
      </c>
      <c r="G171" s="25" t="s">
        <v>3464</v>
      </c>
      <c r="H171" s="25" t="s">
        <v>1604</v>
      </c>
      <c r="I171" s="25" t="s">
        <v>3465</v>
      </c>
      <c r="J171" s="25" t="s">
        <v>2509</v>
      </c>
      <c r="K171" s="25" t="s">
        <v>2510</v>
      </c>
      <c r="L171" s="25" t="s">
        <v>2569</v>
      </c>
      <c r="M171" s="26" t="s">
        <v>2570</v>
      </c>
      <c r="N171" s="25">
        <v>2501</v>
      </c>
      <c r="O171" s="26" t="s">
        <v>2571</v>
      </c>
      <c r="P171" s="27" t="s">
        <v>3466</v>
      </c>
      <c r="Q171" s="25" t="s">
        <v>3467</v>
      </c>
      <c r="R171" s="25" t="s">
        <v>2516</v>
      </c>
      <c r="S171" s="25" t="s">
        <v>25</v>
      </c>
      <c r="T171" s="25">
        <v>1</v>
      </c>
      <c r="U171" s="25" t="s">
        <v>2517</v>
      </c>
      <c r="V171" s="25" t="s">
        <v>3468</v>
      </c>
      <c r="W171" s="25" t="s">
        <v>3469</v>
      </c>
      <c r="X171" s="59">
        <v>45700.520833333343</v>
      </c>
      <c r="Y171" s="25" t="s">
        <v>3470</v>
      </c>
      <c r="Z171" s="25">
        <v>1</v>
      </c>
      <c r="AA171" s="25"/>
      <c r="AB171" s="25" t="s">
        <v>2521</v>
      </c>
      <c r="AC171" s="27" t="s">
        <v>3471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3472</v>
      </c>
      <c r="H172" s="25" t="s">
        <v>2987</v>
      </c>
      <c r="I172" s="25"/>
      <c r="J172" s="25"/>
      <c r="K172" s="25"/>
      <c r="L172" s="25"/>
      <c r="M172" s="26"/>
      <c r="N172" s="25"/>
      <c r="O172" s="26"/>
      <c r="P172" s="27"/>
      <c r="Q172" s="25" t="s">
        <v>3473</v>
      </c>
      <c r="R172" s="25" t="s">
        <v>2516</v>
      </c>
      <c r="S172" s="25" t="s">
        <v>25</v>
      </c>
      <c r="T172" s="25">
        <v>1</v>
      </c>
      <c r="U172" s="25" t="s">
        <v>2517</v>
      </c>
      <c r="V172" s="25" t="s">
        <v>3474</v>
      </c>
      <c r="W172" s="25" t="s">
        <v>3475</v>
      </c>
      <c r="X172" s="59">
        <v>45699.638194444437</v>
      </c>
      <c r="Y172" s="25"/>
      <c r="Z172" s="25">
        <v>0.4</v>
      </c>
      <c r="AA172" s="25"/>
      <c r="AB172" s="25" t="s">
        <v>2521</v>
      </c>
      <c r="AC172" s="27" t="s">
        <v>2591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3476</v>
      </c>
      <c r="H173" s="25" t="s">
        <v>2987</v>
      </c>
      <c r="I173" s="25"/>
      <c r="J173" s="25"/>
      <c r="K173" s="25"/>
      <c r="L173" s="25"/>
      <c r="M173" s="26"/>
      <c r="N173" s="25"/>
      <c r="O173" s="26"/>
      <c r="P173" s="27"/>
      <c r="Q173" s="25" t="s">
        <v>3477</v>
      </c>
      <c r="R173" s="25" t="s">
        <v>2516</v>
      </c>
      <c r="S173" s="25" t="s">
        <v>25</v>
      </c>
      <c r="T173" s="25">
        <v>1</v>
      </c>
      <c r="U173" s="25" t="s">
        <v>2517</v>
      </c>
      <c r="V173" s="25" t="s">
        <v>3478</v>
      </c>
      <c r="W173" s="25" t="s">
        <v>3479</v>
      </c>
      <c r="X173" s="59">
        <v>45699.676388888889</v>
      </c>
      <c r="Y173" s="25"/>
      <c r="Z173" s="25">
        <v>0.3</v>
      </c>
      <c r="AA173" s="25"/>
      <c r="AB173" s="25" t="s">
        <v>2521</v>
      </c>
      <c r="AC173" s="27" t="s">
        <v>2591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3480</v>
      </c>
      <c r="E174" s="25" t="s">
        <v>2504</v>
      </c>
      <c r="F174" s="25">
        <v>4194</v>
      </c>
      <c r="G174" s="25" t="s">
        <v>3481</v>
      </c>
      <c r="H174" s="25" t="s">
        <v>2659</v>
      </c>
      <c r="I174" s="25" t="s">
        <v>3482</v>
      </c>
      <c r="J174" s="25" t="s">
        <v>2509</v>
      </c>
      <c r="K174" s="25" t="s">
        <v>2510</v>
      </c>
      <c r="L174" s="25" t="s">
        <v>3483</v>
      </c>
      <c r="M174" s="26" t="s">
        <v>3484</v>
      </c>
      <c r="N174" s="25">
        <v>6003</v>
      </c>
      <c r="O174" s="26" t="s">
        <v>3152</v>
      </c>
      <c r="P174" s="27" t="s">
        <v>3485</v>
      </c>
      <c r="Q174" s="25" t="s">
        <v>3486</v>
      </c>
      <c r="R174" s="25" t="s">
        <v>2516</v>
      </c>
      <c r="S174" s="25" t="s">
        <v>185</v>
      </c>
      <c r="T174" s="25">
        <v>1</v>
      </c>
      <c r="U174" s="25" t="s">
        <v>2517</v>
      </c>
      <c r="V174" s="25" t="s">
        <v>3487</v>
      </c>
      <c r="W174" s="25" t="s">
        <v>3488</v>
      </c>
      <c r="X174" s="59">
        <v>45700.583333333343</v>
      </c>
      <c r="Y174" s="25" t="s">
        <v>3489</v>
      </c>
      <c r="Z174" s="25">
        <v>0.5</v>
      </c>
      <c r="AA174" s="25"/>
      <c r="AB174" s="25" t="s">
        <v>2521</v>
      </c>
      <c r="AC174" s="27" t="s">
        <v>3490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3464</v>
      </c>
      <c r="H175" s="25" t="s">
        <v>1604</v>
      </c>
      <c r="I175" s="25"/>
      <c r="J175" s="25"/>
      <c r="K175" s="25"/>
      <c r="L175" s="25"/>
      <c r="M175" s="26"/>
      <c r="N175" s="25"/>
      <c r="O175" s="26"/>
      <c r="P175" s="27"/>
      <c r="Q175" s="25" t="s">
        <v>3467</v>
      </c>
      <c r="R175" s="25" t="s">
        <v>2516</v>
      </c>
      <c r="S175" s="25" t="s">
        <v>25</v>
      </c>
      <c r="T175" s="25">
        <v>1</v>
      </c>
      <c r="U175" s="25" t="s">
        <v>2517</v>
      </c>
      <c r="V175" s="25" t="s">
        <v>3491</v>
      </c>
      <c r="W175" s="25" t="s">
        <v>3492</v>
      </c>
      <c r="X175" s="59">
        <v>45700.472916666673</v>
      </c>
      <c r="Y175" s="25"/>
      <c r="Z175" s="25">
        <v>0.4</v>
      </c>
      <c r="AA175" s="25"/>
      <c r="AB175" s="25" t="s">
        <v>2521</v>
      </c>
      <c r="AC175" s="27" t="s">
        <v>2591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3481</v>
      </c>
      <c r="H176" s="25" t="s">
        <v>2659</v>
      </c>
      <c r="I176" s="25"/>
      <c r="J176" s="25"/>
      <c r="K176" s="25"/>
      <c r="L176" s="25"/>
      <c r="M176" s="26"/>
      <c r="N176" s="25"/>
      <c r="O176" s="26"/>
      <c r="P176" s="27"/>
      <c r="Q176" s="25" t="s">
        <v>3486</v>
      </c>
      <c r="R176" s="25" t="s">
        <v>2516</v>
      </c>
      <c r="S176" s="25" t="s">
        <v>185</v>
      </c>
      <c r="T176" s="25">
        <v>1</v>
      </c>
      <c r="U176" s="25" t="s">
        <v>2517</v>
      </c>
      <c r="V176" s="25" t="s">
        <v>3493</v>
      </c>
      <c r="W176" s="25" t="s">
        <v>3494</v>
      </c>
      <c r="X176" s="59">
        <v>45700.604166666657</v>
      </c>
      <c r="Y176" s="25"/>
      <c r="Z176" s="25">
        <v>0.5</v>
      </c>
      <c r="AA176" s="25"/>
      <c r="AB176" s="25" t="s">
        <v>2521</v>
      </c>
      <c r="AC176" s="27" t="s">
        <v>2591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3495</v>
      </c>
      <c r="E177" s="25" t="s">
        <v>2504</v>
      </c>
      <c r="F177" s="25">
        <v>4844</v>
      </c>
      <c r="G177" s="25" t="s">
        <v>3342</v>
      </c>
      <c r="H177" s="25" t="s">
        <v>3248</v>
      </c>
      <c r="I177" s="25" t="s">
        <v>3496</v>
      </c>
      <c r="J177" s="25" t="s">
        <v>2536</v>
      </c>
      <c r="K177" s="25" t="s">
        <v>2510</v>
      </c>
      <c r="L177" s="25" t="s">
        <v>3497</v>
      </c>
      <c r="M177" s="26" t="s">
        <v>3498</v>
      </c>
      <c r="N177" s="25">
        <v>3404</v>
      </c>
      <c r="O177" s="26" t="s">
        <v>3499</v>
      </c>
      <c r="P177" s="27" t="s">
        <v>3500</v>
      </c>
      <c r="Q177" s="25" t="s">
        <v>3343</v>
      </c>
      <c r="R177" s="25" t="s">
        <v>2516</v>
      </c>
      <c r="S177" s="25" t="s">
        <v>25</v>
      </c>
      <c r="T177" s="25">
        <v>1</v>
      </c>
      <c r="U177" s="25" t="s">
        <v>2517</v>
      </c>
      <c r="V177" s="25" t="s">
        <v>3501</v>
      </c>
      <c r="W177" s="25" t="s">
        <v>3502</v>
      </c>
      <c r="X177" s="59">
        <v>45700.64166666667</v>
      </c>
      <c r="Y177" s="25" t="s">
        <v>3503</v>
      </c>
      <c r="Z177" s="25">
        <v>0.5</v>
      </c>
      <c r="AA177" s="25"/>
      <c r="AB177" s="25" t="s">
        <v>2521</v>
      </c>
      <c r="AC177" s="27" t="s">
        <v>3504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3505</v>
      </c>
      <c r="E178" s="25" t="s">
        <v>2504</v>
      </c>
      <c r="F178" s="25">
        <v>2221</v>
      </c>
      <c r="G178" s="25" t="s">
        <v>3506</v>
      </c>
      <c r="H178" s="25" t="s">
        <v>2609</v>
      </c>
      <c r="I178" s="25" t="s">
        <v>3507</v>
      </c>
      <c r="J178" s="25" t="s">
        <v>2835</v>
      </c>
      <c r="K178" s="25" t="s">
        <v>2568</v>
      </c>
      <c r="L178" s="25" t="s">
        <v>3150</v>
      </c>
      <c r="M178" s="26" t="s">
        <v>3151</v>
      </c>
      <c r="N178" s="25">
        <v>5902</v>
      </c>
      <c r="O178" s="26" t="s">
        <v>3508</v>
      </c>
      <c r="P178" s="27" t="s">
        <v>3509</v>
      </c>
      <c r="Q178" s="25" t="s">
        <v>3510</v>
      </c>
      <c r="R178" s="25" t="s">
        <v>2516</v>
      </c>
      <c r="S178" s="25" t="s">
        <v>173</v>
      </c>
      <c r="T178" s="25">
        <v>1</v>
      </c>
      <c r="U178" s="25" t="s">
        <v>2517</v>
      </c>
      <c r="V178" s="25" t="s">
        <v>3511</v>
      </c>
      <c r="W178" s="25" t="s">
        <v>3512</v>
      </c>
      <c r="X178" s="59">
        <v>45702.470833333333</v>
      </c>
      <c r="Y178" s="25" t="s">
        <v>3513</v>
      </c>
      <c r="Z178" s="25">
        <v>0.4</v>
      </c>
      <c r="AA178" s="25"/>
      <c r="AB178" s="25" t="s">
        <v>2521</v>
      </c>
      <c r="AC178" s="27" t="s">
        <v>3514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3515</v>
      </c>
      <c r="E179" s="25" t="s">
        <v>2504</v>
      </c>
      <c r="F179" s="25">
        <v>3741</v>
      </c>
      <c r="G179" s="25" t="s">
        <v>3516</v>
      </c>
      <c r="H179" s="25" t="s">
        <v>2507</v>
      </c>
      <c r="I179" s="25" t="s">
        <v>3517</v>
      </c>
      <c r="J179" s="25" t="s">
        <v>2835</v>
      </c>
      <c r="K179" s="25" t="s">
        <v>2568</v>
      </c>
      <c r="L179" s="25" t="s">
        <v>3380</v>
      </c>
      <c r="M179" s="26" t="s">
        <v>3381</v>
      </c>
      <c r="N179" s="25" t="s">
        <v>3382</v>
      </c>
      <c r="O179" s="26" t="s">
        <v>3383</v>
      </c>
      <c r="P179" s="27" t="s">
        <v>3518</v>
      </c>
      <c r="Q179" s="25" t="s">
        <v>3519</v>
      </c>
      <c r="R179" s="25" t="s">
        <v>2516</v>
      </c>
      <c r="S179" s="25" t="s">
        <v>25</v>
      </c>
      <c r="T179" s="25">
        <v>1</v>
      </c>
      <c r="U179" s="25" t="s">
        <v>2517</v>
      </c>
      <c r="V179" s="25" t="s">
        <v>3520</v>
      </c>
      <c r="W179" s="25" t="s">
        <v>3521</v>
      </c>
      <c r="X179" s="59">
        <v>45701.510416666657</v>
      </c>
      <c r="Y179" s="25" t="s">
        <v>3522</v>
      </c>
      <c r="Z179" s="25">
        <v>0.3</v>
      </c>
      <c r="AA179" s="25"/>
      <c r="AB179" s="25" t="s">
        <v>2521</v>
      </c>
      <c r="AC179" s="27" t="s">
        <v>3523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3524</v>
      </c>
      <c r="E180" s="25" t="s">
        <v>2504</v>
      </c>
      <c r="F180" s="25">
        <v>3362</v>
      </c>
      <c r="G180" s="25" t="s">
        <v>2534</v>
      </c>
      <c r="H180" s="25" t="s">
        <v>2507</v>
      </c>
      <c r="I180" s="25" t="s">
        <v>3525</v>
      </c>
      <c r="J180" s="25" t="s">
        <v>2835</v>
      </c>
      <c r="K180" s="25" t="s">
        <v>2568</v>
      </c>
      <c r="L180" s="25" t="s">
        <v>2611</v>
      </c>
      <c r="M180" s="26" t="s">
        <v>2612</v>
      </c>
      <c r="N180" s="25" t="s">
        <v>3526</v>
      </c>
      <c r="O180" s="26" t="s">
        <v>3152</v>
      </c>
      <c r="P180" s="27" t="s">
        <v>3527</v>
      </c>
      <c r="Q180" s="25" t="s">
        <v>2542</v>
      </c>
      <c r="R180" s="25" t="s">
        <v>2516</v>
      </c>
      <c r="S180" s="25" t="s">
        <v>25</v>
      </c>
      <c r="T180" s="25">
        <v>1</v>
      </c>
      <c r="U180" s="25" t="s">
        <v>2517</v>
      </c>
      <c r="V180" s="25" t="s">
        <v>3528</v>
      </c>
      <c r="W180" s="25" t="s">
        <v>3529</v>
      </c>
      <c r="X180" s="59">
        <v>45702.456944444442</v>
      </c>
      <c r="Y180" s="25" t="s">
        <v>3530</v>
      </c>
      <c r="Z180" s="25">
        <v>0.5</v>
      </c>
      <c r="AA180" s="25"/>
      <c r="AB180" s="25" t="s">
        <v>2521</v>
      </c>
      <c r="AC180" s="27" t="s">
        <v>3531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3532</v>
      </c>
      <c r="H181" s="25" t="s">
        <v>2507</v>
      </c>
      <c r="I181" s="25"/>
      <c r="J181" s="25"/>
      <c r="K181" s="25"/>
      <c r="L181" s="25"/>
      <c r="M181" s="26"/>
      <c r="N181" s="25"/>
      <c r="O181" s="26"/>
      <c r="P181" s="27"/>
      <c r="Q181" s="25" t="s">
        <v>3533</v>
      </c>
      <c r="R181" s="25" t="s">
        <v>2516</v>
      </c>
      <c r="S181" s="25" t="s">
        <v>25</v>
      </c>
      <c r="T181" s="25">
        <v>1</v>
      </c>
      <c r="U181" s="25" t="s">
        <v>2517</v>
      </c>
      <c r="V181" s="25" t="s">
        <v>3534</v>
      </c>
      <c r="W181" s="25" t="s">
        <v>3535</v>
      </c>
      <c r="X181" s="59">
        <v>45701.501388888893</v>
      </c>
      <c r="Y181" s="25"/>
      <c r="Z181" s="25">
        <v>0.5</v>
      </c>
      <c r="AA181" s="25"/>
      <c r="AB181" s="25" t="s">
        <v>2521</v>
      </c>
      <c r="AC181" s="27" t="s">
        <v>2591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3516</v>
      </c>
      <c r="H182" s="25" t="s">
        <v>2507</v>
      </c>
      <c r="I182" s="25"/>
      <c r="J182" s="25"/>
      <c r="K182" s="25"/>
      <c r="L182" s="25"/>
      <c r="M182" s="26"/>
      <c r="N182" s="25"/>
      <c r="O182" s="26"/>
      <c r="P182" s="27"/>
      <c r="Q182" s="25" t="s">
        <v>3519</v>
      </c>
      <c r="R182" s="25" t="s">
        <v>2516</v>
      </c>
      <c r="S182" s="25" t="s">
        <v>25</v>
      </c>
      <c r="T182" s="25">
        <v>1</v>
      </c>
      <c r="U182" s="25" t="s">
        <v>2517</v>
      </c>
      <c r="V182" s="25" t="s">
        <v>3536</v>
      </c>
      <c r="W182" s="25" t="s">
        <v>3537</v>
      </c>
      <c r="X182" s="59">
        <v>45701.539583333331</v>
      </c>
      <c r="Y182" s="25"/>
      <c r="Z182" s="25">
        <v>0.5</v>
      </c>
      <c r="AA182" s="25"/>
      <c r="AB182" s="25" t="s">
        <v>2521</v>
      </c>
      <c r="AC182" s="27" t="s">
        <v>2591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3538</v>
      </c>
      <c r="E183" s="25" t="s">
        <v>2504</v>
      </c>
      <c r="F183" s="25">
        <v>5003</v>
      </c>
      <c r="G183" s="25" t="s">
        <v>3084</v>
      </c>
      <c r="H183" s="25" t="s">
        <v>2996</v>
      </c>
      <c r="I183" s="25" t="s">
        <v>3539</v>
      </c>
      <c r="J183" s="25" t="s">
        <v>2835</v>
      </c>
      <c r="K183" s="25" t="s">
        <v>2510</v>
      </c>
      <c r="L183" s="25" t="s">
        <v>2525</v>
      </c>
      <c r="M183" s="26" t="s">
        <v>2526</v>
      </c>
      <c r="N183" s="25">
        <v>5804</v>
      </c>
      <c r="O183" s="26" t="s">
        <v>2582</v>
      </c>
      <c r="P183" s="27" t="s">
        <v>3540</v>
      </c>
      <c r="Q183" s="25" t="s">
        <v>3085</v>
      </c>
      <c r="R183" s="25" t="s">
        <v>2516</v>
      </c>
      <c r="S183" s="25" t="s">
        <v>185</v>
      </c>
      <c r="T183" s="25">
        <v>1</v>
      </c>
      <c r="U183" s="25" t="s">
        <v>2517</v>
      </c>
      <c r="V183" s="25" t="s">
        <v>3541</v>
      </c>
      <c r="W183" s="25" t="s">
        <v>3542</v>
      </c>
      <c r="X183" s="59">
        <v>45701.634722222218</v>
      </c>
      <c r="Y183" s="25" t="s">
        <v>3543</v>
      </c>
      <c r="Z183" s="25">
        <v>0.5</v>
      </c>
      <c r="AA183" s="25"/>
      <c r="AB183" s="25" t="s">
        <v>2521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3544</v>
      </c>
      <c r="H184" s="25" t="s">
        <v>2507</v>
      </c>
      <c r="I184" s="25"/>
      <c r="J184" s="25"/>
      <c r="K184" s="25"/>
      <c r="L184" s="25"/>
      <c r="M184" s="26"/>
      <c r="N184" s="25"/>
      <c r="O184" s="26"/>
      <c r="P184" s="27"/>
      <c r="Q184" s="25" t="s">
        <v>3545</v>
      </c>
      <c r="R184" s="25" t="s">
        <v>2516</v>
      </c>
      <c r="S184" s="25" t="s">
        <v>25</v>
      </c>
      <c r="T184" s="25">
        <v>1</v>
      </c>
      <c r="U184" s="25" t="s">
        <v>2517</v>
      </c>
      <c r="V184" s="25" t="s">
        <v>3546</v>
      </c>
      <c r="W184" s="25" t="s">
        <v>3547</v>
      </c>
      <c r="X184" s="59">
        <v>45701.588194444441</v>
      </c>
      <c r="Y184" s="25"/>
      <c r="Z184" s="25">
        <v>0.3</v>
      </c>
      <c r="AA184" s="25"/>
      <c r="AB184" s="25" t="s">
        <v>2521</v>
      </c>
      <c r="AC184" s="27" t="s">
        <v>2591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3548</v>
      </c>
      <c r="E185" s="25" t="s">
        <v>2504</v>
      </c>
      <c r="F185" s="25">
        <v>4552</v>
      </c>
      <c r="G185" s="25" t="s">
        <v>3549</v>
      </c>
      <c r="H185" s="25" t="s">
        <v>2659</v>
      </c>
      <c r="I185" s="25" t="s">
        <v>3550</v>
      </c>
      <c r="J185" s="25" t="s">
        <v>2835</v>
      </c>
      <c r="K185" s="25" t="s">
        <v>2510</v>
      </c>
      <c r="L185" s="25" t="s">
        <v>2537</v>
      </c>
      <c r="M185" s="26" t="s">
        <v>2538</v>
      </c>
      <c r="N185" s="25" t="s">
        <v>2539</v>
      </c>
      <c r="O185" s="26" t="s">
        <v>2540</v>
      </c>
      <c r="P185" s="27" t="s">
        <v>3551</v>
      </c>
      <c r="Q185" s="25" t="s">
        <v>3552</v>
      </c>
      <c r="R185" s="25" t="s">
        <v>2516</v>
      </c>
      <c r="S185" s="25" t="s">
        <v>185</v>
      </c>
      <c r="T185" s="25">
        <v>1</v>
      </c>
      <c r="U185" s="25" t="s">
        <v>2517</v>
      </c>
      <c r="V185" s="25" t="s">
        <v>3553</v>
      </c>
      <c r="W185" s="25" t="s">
        <v>3554</v>
      </c>
      <c r="X185" s="59">
        <v>45701.65625</v>
      </c>
      <c r="Y185" s="25" t="s">
        <v>3555</v>
      </c>
      <c r="Z185" s="25">
        <v>0.5</v>
      </c>
      <c r="AA185" s="25"/>
      <c r="AB185" s="25" t="s">
        <v>2521</v>
      </c>
      <c r="AC185" s="27" t="s">
        <v>3556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3557</v>
      </c>
      <c r="E186" s="25" t="s">
        <v>2504</v>
      </c>
      <c r="F186" s="25">
        <v>4552</v>
      </c>
      <c r="G186" s="25" t="s">
        <v>3549</v>
      </c>
      <c r="H186" s="25" t="s">
        <v>2659</v>
      </c>
      <c r="I186" s="25" t="s">
        <v>3558</v>
      </c>
      <c r="J186" s="25" t="s">
        <v>2835</v>
      </c>
      <c r="K186" s="25" t="s">
        <v>2510</v>
      </c>
      <c r="L186" s="25" t="s">
        <v>2537</v>
      </c>
      <c r="M186" s="26" t="s">
        <v>2538</v>
      </c>
      <c r="N186" s="25" t="s">
        <v>2539</v>
      </c>
      <c r="O186" s="26" t="s">
        <v>2540</v>
      </c>
      <c r="P186" s="27" t="s">
        <v>3559</v>
      </c>
      <c r="Q186" s="25" t="s">
        <v>3552</v>
      </c>
      <c r="R186" s="25" t="s">
        <v>2516</v>
      </c>
      <c r="S186" s="25" t="s">
        <v>185</v>
      </c>
      <c r="T186" s="25">
        <v>1</v>
      </c>
      <c r="U186" s="25" t="s">
        <v>2517</v>
      </c>
      <c r="V186" s="25" t="s">
        <v>3560</v>
      </c>
      <c r="W186" s="25" t="s">
        <v>3561</v>
      </c>
      <c r="X186" s="59">
        <v>45701.677777777782</v>
      </c>
      <c r="Y186" s="25" t="s">
        <v>3555</v>
      </c>
      <c r="Z186" s="25">
        <v>0.5</v>
      </c>
      <c r="AA186" s="25"/>
      <c r="AB186" s="25" t="s">
        <v>2521</v>
      </c>
      <c r="AC186" s="27" t="s">
        <v>3562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3563</v>
      </c>
      <c r="G187" s="25" t="s">
        <v>3564</v>
      </c>
      <c r="H187" s="25" t="s">
        <v>2507</v>
      </c>
      <c r="I187" s="25"/>
      <c r="J187" s="25"/>
      <c r="K187" s="25"/>
      <c r="L187" s="25"/>
      <c r="M187" s="26"/>
      <c r="N187" s="25"/>
      <c r="O187" s="26"/>
      <c r="P187" s="27"/>
      <c r="Q187" s="25" t="s">
        <v>3565</v>
      </c>
      <c r="R187" s="25" t="s">
        <v>2516</v>
      </c>
      <c r="S187" s="25" t="s">
        <v>25</v>
      </c>
      <c r="T187" s="25">
        <v>1</v>
      </c>
      <c r="U187" s="25" t="s">
        <v>2517</v>
      </c>
      <c r="V187" s="25" t="s">
        <v>3566</v>
      </c>
      <c r="W187" s="25" t="s">
        <v>3567</v>
      </c>
      <c r="X187" s="59">
        <v>45702.479861111111</v>
      </c>
      <c r="Y187" s="25"/>
      <c r="Z187" s="25">
        <v>0.3</v>
      </c>
      <c r="AA187" s="25"/>
      <c r="AB187" s="25" t="s">
        <v>2521</v>
      </c>
      <c r="AC187" s="27" t="s">
        <v>2591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3568</v>
      </c>
      <c r="H188" s="25" t="s">
        <v>2507</v>
      </c>
      <c r="I188" s="25"/>
      <c r="J188" s="25"/>
      <c r="K188" s="25"/>
      <c r="L188" s="25"/>
      <c r="M188" s="26"/>
      <c r="N188" s="25"/>
      <c r="O188" s="26"/>
      <c r="P188" s="27"/>
      <c r="Q188" s="25" t="s">
        <v>3569</v>
      </c>
      <c r="R188" s="25" t="s">
        <v>2516</v>
      </c>
      <c r="S188" s="25" t="s">
        <v>25</v>
      </c>
      <c r="T188" s="25">
        <v>1</v>
      </c>
      <c r="U188" s="25" t="s">
        <v>2517</v>
      </c>
      <c r="V188" s="25" t="s">
        <v>3570</v>
      </c>
      <c r="W188" s="25" t="s">
        <v>3571</v>
      </c>
      <c r="X188" s="59">
        <v>45702.5</v>
      </c>
      <c r="Y188" s="25"/>
      <c r="Z188" s="25">
        <v>0.3</v>
      </c>
      <c r="AA188" s="25"/>
      <c r="AB188" s="25" t="s">
        <v>2521</v>
      </c>
      <c r="AC188" s="27" t="s">
        <v>2591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3572</v>
      </c>
      <c r="E189" s="25" t="s">
        <v>2504</v>
      </c>
      <c r="F189" s="25">
        <v>3878</v>
      </c>
      <c r="G189" s="25" t="s">
        <v>3366</v>
      </c>
      <c r="H189" s="25" t="s">
        <v>3148</v>
      </c>
      <c r="I189" s="25" t="s">
        <v>3573</v>
      </c>
      <c r="J189" s="25" t="s">
        <v>2567</v>
      </c>
      <c r="K189" s="25" t="s">
        <v>2510</v>
      </c>
      <c r="L189" s="25" t="s">
        <v>2525</v>
      </c>
      <c r="M189" s="26" t="s">
        <v>2526</v>
      </c>
      <c r="N189" s="25">
        <v>5801</v>
      </c>
      <c r="O189" s="26" t="s">
        <v>2527</v>
      </c>
      <c r="P189" s="27" t="s">
        <v>3574</v>
      </c>
      <c r="Q189" s="25" t="s">
        <v>3367</v>
      </c>
      <c r="R189" s="25" t="s">
        <v>2516</v>
      </c>
      <c r="S189" s="25" t="s">
        <v>185</v>
      </c>
      <c r="T189" s="25">
        <v>1</v>
      </c>
      <c r="U189" s="25" t="s">
        <v>2517</v>
      </c>
      <c r="V189" s="25" t="s">
        <v>3575</v>
      </c>
      <c r="W189" s="25" t="s">
        <v>3576</v>
      </c>
      <c r="X189" s="59">
        <v>45705.415972222218</v>
      </c>
      <c r="Y189" s="25" t="s">
        <v>3577</v>
      </c>
      <c r="Z189" s="25">
        <v>1</v>
      </c>
      <c r="AA189" s="25"/>
      <c r="AB189" s="25" t="s">
        <v>2521</v>
      </c>
      <c r="AC189" s="27" t="s">
        <v>3578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3579</v>
      </c>
      <c r="E190" s="25" t="s">
        <v>2504</v>
      </c>
      <c r="F190" s="25">
        <v>4680</v>
      </c>
      <c r="G190" s="25" t="s">
        <v>2608</v>
      </c>
      <c r="H190" s="25" t="s">
        <v>2609</v>
      </c>
      <c r="I190" s="25" t="s">
        <v>3580</v>
      </c>
      <c r="J190" s="25" t="s">
        <v>2567</v>
      </c>
      <c r="K190" s="25" t="s">
        <v>2510</v>
      </c>
      <c r="L190" s="25" t="s">
        <v>2537</v>
      </c>
      <c r="M190" s="26" t="s">
        <v>2538</v>
      </c>
      <c r="N190" s="25" t="s">
        <v>2539</v>
      </c>
      <c r="O190" s="26" t="s">
        <v>2540</v>
      </c>
      <c r="P190" s="27" t="s">
        <v>3581</v>
      </c>
      <c r="Q190" s="25" t="s">
        <v>2616</v>
      </c>
      <c r="R190" s="25" t="s">
        <v>2516</v>
      </c>
      <c r="S190" s="25" t="s">
        <v>25</v>
      </c>
      <c r="T190" s="25">
        <v>1</v>
      </c>
      <c r="U190" s="25" t="s">
        <v>2517</v>
      </c>
      <c r="V190" s="25" t="s">
        <v>3582</v>
      </c>
      <c r="W190" s="25" t="s">
        <v>3583</v>
      </c>
      <c r="X190" s="59">
        <v>45705.474305555559</v>
      </c>
      <c r="Y190" s="25" t="s">
        <v>3584</v>
      </c>
      <c r="Z190" s="25">
        <v>0.5</v>
      </c>
      <c r="AA190" s="25"/>
      <c r="AB190" s="25" t="s">
        <v>2521</v>
      </c>
      <c r="AC190" s="27" t="s">
        <v>3585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3586</v>
      </c>
      <c r="E191" s="25" t="s">
        <v>2504</v>
      </c>
      <c r="F191" s="25">
        <v>5245</v>
      </c>
      <c r="G191" s="25" t="s">
        <v>2565</v>
      </c>
      <c r="H191" s="25" t="s">
        <v>2507</v>
      </c>
      <c r="I191" s="25" t="s">
        <v>3587</v>
      </c>
      <c r="J191" s="25" t="s">
        <v>2567</v>
      </c>
      <c r="K191" s="25" t="s">
        <v>2510</v>
      </c>
      <c r="L191" s="25" t="s">
        <v>2511</v>
      </c>
      <c r="M191" s="26" t="s">
        <v>2512</v>
      </c>
      <c r="N191" s="25">
        <v>2307</v>
      </c>
      <c r="O191" s="26" t="s">
        <v>2678</v>
      </c>
      <c r="P191" s="27" t="s">
        <v>3588</v>
      </c>
      <c r="Q191" s="25" t="s">
        <v>2573</v>
      </c>
      <c r="R191" s="25" t="s">
        <v>2516</v>
      </c>
      <c r="S191" s="25" t="s">
        <v>25</v>
      </c>
      <c r="T191" s="25">
        <v>1</v>
      </c>
      <c r="U191" s="25" t="s">
        <v>2517</v>
      </c>
      <c r="V191" s="25" t="s">
        <v>3589</v>
      </c>
      <c r="W191" s="25" t="s">
        <v>3590</v>
      </c>
      <c r="X191" s="59">
        <v>45702.620138888888</v>
      </c>
      <c r="Y191" s="25" t="s">
        <v>3591</v>
      </c>
      <c r="Z191" s="25">
        <v>0.6</v>
      </c>
      <c r="AA191" s="25"/>
      <c r="AB191" s="25" t="s">
        <v>2521</v>
      </c>
      <c r="AC191" s="27" t="s">
        <v>3592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3593</v>
      </c>
      <c r="H192" s="25" t="s">
        <v>2507</v>
      </c>
      <c r="I192" s="25"/>
      <c r="J192" s="25"/>
      <c r="K192" s="25"/>
      <c r="L192" s="25"/>
      <c r="M192" s="26"/>
      <c r="N192" s="25"/>
      <c r="O192" s="26"/>
      <c r="P192" s="27"/>
      <c r="Q192" s="25" t="s">
        <v>3594</v>
      </c>
      <c r="R192" s="25" t="s">
        <v>2516</v>
      </c>
      <c r="S192" s="25" t="s">
        <v>25</v>
      </c>
      <c r="T192" s="25">
        <v>1</v>
      </c>
      <c r="U192" s="25" t="s">
        <v>2517</v>
      </c>
      <c r="V192" s="25" t="s">
        <v>3595</v>
      </c>
      <c r="W192" s="25" t="s">
        <v>3596</v>
      </c>
      <c r="X192" s="59">
        <v>45702.59375</v>
      </c>
      <c r="Y192" s="25"/>
      <c r="Z192" s="25">
        <v>0.3</v>
      </c>
      <c r="AA192" s="25"/>
      <c r="AB192" s="25" t="s">
        <v>2521</v>
      </c>
      <c r="AC192" s="27" t="s">
        <v>2591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3597</v>
      </c>
      <c r="H193" s="25" t="s">
        <v>2507</v>
      </c>
      <c r="I193" s="25"/>
      <c r="J193" s="25"/>
      <c r="K193" s="25"/>
      <c r="L193" s="25"/>
      <c r="M193" s="26"/>
      <c r="N193" s="25"/>
      <c r="O193" s="26"/>
      <c r="P193" s="27"/>
      <c r="Q193" s="25" t="s">
        <v>3598</v>
      </c>
      <c r="R193" s="25" t="s">
        <v>2516</v>
      </c>
      <c r="S193" s="25" t="s">
        <v>25</v>
      </c>
      <c r="T193" s="25">
        <v>1</v>
      </c>
      <c r="U193" s="25" t="s">
        <v>2517</v>
      </c>
      <c r="V193" s="25" t="s">
        <v>3599</v>
      </c>
      <c r="W193" s="25" t="s">
        <v>3600</v>
      </c>
      <c r="X193" s="59">
        <v>45702.64166666667</v>
      </c>
      <c r="Y193" s="25"/>
      <c r="Z193" s="25">
        <v>0.3</v>
      </c>
      <c r="AA193" s="25"/>
      <c r="AB193" s="25" t="s">
        <v>2521</v>
      </c>
      <c r="AC193" s="27" t="s">
        <v>2591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3601</v>
      </c>
      <c r="H194" s="25" t="s">
        <v>2507</v>
      </c>
      <c r="I194" s="25"/>
      <c r="J194" s="25"/>
      <c r="K194" s="25"/>
      <c r="L194" s="25"/>
      <c r="M194" s="26"/>
      <c r="N194" s="25"/>
      <c r="O194" s="26"/>
      <c r="P194" s="27"/>
      <c r="Q194" s="25" t="s">
        <v>3602</v>
      </c>
      <c r="R194" s="25" t="s">
        <v>2516</v>
      </c>
      <c r="S194" s="25" t="s">
        <v>25</v>
      </c>
      <c r="T194" s="25">
        <v>1</v>
      </c>
      <c r="U194" s="25" t="s">
        <v>2517</v>
      </c>
      <c r="V194" s="25" t="s">
        <v>3603</v>
      </c>
      <c r="W194" s="25" t="s">
        <v>3604</v>
      </c>
      <c r="X194" s="59">
        <v>45702.684027777781</v>
      </c>
      <c r="Y194" s="25"/>
      <c r="Z194" s="25">
        <v>0.4</v>
      </c>
      <c r="AA194" s="25"/>
      <c r="AB194" s="25" t="s">
        <v>2521</v>
      </c>
      <c r="AC194" s="27" t="s">
        <v>2591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3605</v>
      </c>
      <c r="E195" s="25" t="s">
        <v>2504</v>
      </c>
      <c r="F195" s="25">
        <v>4167</v>
      </c>
      <c r="G195" s="25" t="s">
        <v>3436</v>
      </c>
      <c r="H195" s="25" t="s">
        <v>2609</v>
      </c>
      <c r="I195" s="25" t="s">
        <v>3606</v>
      </c>
      <c r="J195" s="25" t="s">
        <v>2930</v>
      </c>
      <c r="K195" s="25" t="s">
        <v>2510</v>
      </c>
      <c r="L195" s="25" t="s">
        <v>2511</v>
      </c>
      <c r="M195" s="26" t="s">
        <v>2512</v>
      </c>
      <c r="N195" s="25">
        <v>2307</v>
      </c>
      <c r="O195" s="26" t="s">
        <v>2678</v>
      </c>
      <c r="P195" s="27" t="s">
        <v>3607</v>
      </c>
      <c r="Q195" s="25" t="s">
        <v>3439</v>
      </c>
      <c r="R195" s="25" t="s">
        <v>2516</v>
      </c>
      <c r="S195" s="25" t="s">
        <v>173</v>
      </c>
      <c r="T195" s="25">
        <v>1</v>
      </c>
      <c r="U195" s="25" t="s">
        <v>2517</v>
      </c>
      <c r="V195" s="25" t="s">
        <v>3608</v>
      </c>
      <c r="W195" s="25" t="s">
        <v>3609</v>
      </c>
      <c r="X195" s="59">
        <v>45705.638888888891</v>
      </c>
      <c r="Y195" s="25" t="s">
        <v>3610</v>
      </c>
      <c r="Z195" s="25">
        <v>1.2</v>
      </c>
      <c r="AA195" s="25"/>
      <c r="AB195" s="25" t="s">
        <v>2521</v>
      </c>
      <c r="AC195" s="27" t="s">
        <v>3611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3612</v>
      </c>
      <c r="E196" s="25" t="s">
        <v>2504</v>
      </c>
      <c r="F196" s="25">
        <v>2890</v>
      </c>
      <c r="G196" s="25" t="s">
        <v>3613</v>
      </c>
      <c r="H196" s="25" t="s">
        <v>2641</v>
      </c>
      <c r="I196" s="25" t="s">
        <v>3614</v>
      </c>
      <c r="J196" s="25" t="s">
        <v>2661</v>
      </c>
      <c r="K196" s="25" t="s">
        <v>2568</v>
      </c>
      <c r="L196" s="25" t="s">
        <v>3483</v>
      </c>
      <c r="M196" s="26" t="s">
        <v>3484</v>
      </c>
      <c r="N196" s="25">
        <v>6003</v>
      </c>
      <c r="O196" s="26" t="s">
        <v>3152</v>
      </c>
      <c r="P196" s="27" t="s">
        <v>3615</v>
      </c>
      <c r="Q196" s="25" t="s">
        <v>3616</v>
      </c>
      <c r="R196" s="25" t="s">
        <v>2516</v>
      </c>
      <c r="S196" s="25" t="s">
        <v>25</v>
      </c>
      <c r="T196" s="25">
        <v>1</v>
      </c>
      <c r="U196" s="25" t="s">
        <v>2517</v>
      </c>
      <c r="V196" s="25" t="s">
        <v>3617</v>
      </c>
      <c r="W196" s="25" t="s">
        <v>3618</v>
      </c>
      <c r="X196" s="59">
        <v>45705.506944444453</v>
      </c>
      <c r="Y196" s="25" t="s">
        <v>3619</v>
      </c>
      <c r="Z196" s="25">
        <v>0.2</v>
      </c>
      <c r="AA196" s="25"/>
      <c r="AB196" s="25" t="s">
        <v>2521</v>
      </c>
      <c r="AC196" s="27" t="s">
        <v>3620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3621</v>
      </c>
      <c r="H197" s="25" t="s">
        <v>3148</v>
      </c>
      <c r="I197" s="25"/>
      <c r="J197" s="25"/>
      <c r="K197" s="25"/>
      <c r="L197" s="25"/>
      <c r="M197" s="26"/>
      <c r="N197" s="25"/>
      <c r="O197" s="26"/>
      <c r="P197" s="27"/>
      <c r="Q197" s="25" t="s">
        <v>3622</v>
      </c>
      <c r="R197" s="25" t="s">
        <v>2516</v>
      </c>
      <c r="S197" s="25" t="s">
        <v>185</v>
      </c>
      <c r="T197" s="25">
        <v>1</v>
      </c>
      <c r="U197" s="25" t="s">
        <v>2517</v>
      </c>
      <c r="V197" s="25" t="s">
        <v>3623</v>
      </c>
      <c r="W197" s="25" t="s">
        <v>3624</v>
      </c>
      <c r="X197" s="59">
        <v>45705.4375</v>
      </c>
      <c r="Y197" s="25"/>
      <c r="Z197" s="25">
        <v>0.3</v>
      </c>
      <c r="AA197" s="25"/>
      <c r="AB197" s="25" t="s">
        <v>2521</v>
      </c>
      <c r="AC197" s="27" t="s">
        <v>2591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3625</v>
      </c>
      <c r="H198" s="25" t="s">
        <v>3148</v>
      </c>
      <c r="I198" s="25"/>
      <c r="J198" s="25"/>
      <c r="K198" s="25"/>
      <c r="L198" s="25"/>
      <c r="M198" s="26"/>
      <c r="N198" s="25"/>
      <c r="O198" s="26"/>
      <c r="P198" s="27"/>
      <c r="Q198" s="25" t="s">
        <v>3626</v>
      </c>
      <c r="R198" s="25" t="s">
        <v>2516</v>
      </c>
      <c r="S198" s="25" t="s">
        <v>185</v>
      </c>
      <c r="T198" s="25">
        <v>1</v>
      </c>
      <c r="U198" s="25" t="s">
        <v>2517</v>
      </c>
      <c r="V198" s="25" t="s">
        <v>3627</v>
      </c>
      <c r="W198" s="25" t="s">
        <v>3628</v>
      </c>
      <c r="X198" s="59">
        <v>45705.458333333343</v>
      </c>
      <c r="Y198" s="25"/>
      <c r="Z198" s="25">
        <v>0.3</v>
      </c>
      <c r="AA198" s="25"/>
      <c r="AB198" s="25" t="s">
        <v>2521</v>
      </c>
      <c r="AC198" s="27" t="s">
        <v>2591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3629</v>
      </c>
      <c r="H199" s="25" t="s">
        <v>3148</v>
      </c>
      <c r="I199" s="25"/>
      <c r="J199" s="25"/>
      <c r="K199" s="25"/>
      <c r="L199" s="25"/>
      <c r="M199" s="26"/>
      <c r="N199" s="25"/>
      <c r="O199" s="26"/>
      <c r="P199" s="27"/>
      <c r="Q199" s="25" t="s">
        <v>3630</v>
      </c>
      <c r="R199" s="25" t="s">
        <v>2516</v>
      </c>
      <c r="S199" s="25" t="s">
        <v>185</v>
      </c>
      <c r="T199" s="25">
        <v>1</v>
      </c>
      <c r="U199" s="25" t="s">
        <v>2517</v>
      </c>
      <c r="V199" s="25" t="s">
        <v>3631</v>
      </c>
      <c r="W199" s="25" t="s">
        <v>3632</v>
      </c>
      <c r="X199" s="59">
        <v>45705.472222222219</v>
      </c>
      <c r="Y199" s="25"/>
      <c r="Z199" s="25">
        <v>0.3</v>
      </c>
      <c r="AA199" s="25"/>
      <c r="AB199" s="25" t="s">
        <v>2521</v>
      </c>
      <c r="AC199" s="27" t="s">
        <v>2591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3613</v>
      </c>
      <c r="H200" s="25" t="s">
        <v>2641</v>
      </c>
      <c r="I200" s="25"/>
      <c r="J200" s="25"/>
      <c r="K200" s="25"/>
      <c r="L200" s="25"/>
      <c r="M200" s="26"/>
      <c r="N200" s="25"/>
      <c r="O200" s="26"/>
      <c r="P200" s="27"/>
      <c r="Q200" s="25" t="s">
        <v>3616</v>
      </c>
      <c r="R200" s="25" t="s">
        <v>2516</v>
      </c>
      <c r="S200" s="25" t="s">
        <v>25</v>
      </c>
      <c r="T200" s="25">
        <v>1</v>
      </c>
      <c r="U200" s="25" t="s">
        <v>2517</v>
      </c>
      <c r="V200" s="25" t="s">
        <v>3633</v>
      </c>
      <c r="W200" s="25" t="s">
        <v>3634</v>
      </c>
      <c r="X200" s="59">
        <v>45705.520833333343</v>
      </c>
      <c r="Y200" s="25"/>
      <c r="Z200" s="25">
        <v>0.3</v>
      </c>
      <c r="AA200" s="25"/>
      <c r="AB200" s="25" t="s">
        <v>2521</v>
      </c>
      <c r="AC200" s="27" t="s">
        <v>2591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3635</v>
      </c>
      <c r="H201" s="25" t="s">
        <v>3148</v>
      </c>
      <c r="I201" s="25"/>
      <c r="J201" s="25"/>
      <c r="K201" s="25"/>
      <c r="L201" s="25"/>
      <c r="M201" s="26"/>
      <c r="N201" s="25"/>
      <c r="O201" s="26"/>
      <c r="P201" s="27"/>
      <c r="Q201" s="25" t="s">
        <v>3636</v>
      </c>
      <c r="R201" s="25" t="s">
        <v>2516</v>
      </c>
      <c r="S201" s="25" t="s">
        <v>185</v>
      </c>
      <c r="T201" s="25">
        <v>1</v>
      </c>
      <c r="U201" s="25" t="s">
        <v>2517</v>
      </c>
      <c r="V201" s="25" t="s">
        <v>3637</v>
      </c>
      <c r="W201" s="25" t="s">
        <v>3638</v>
      </c>
      <c r="X201" s="59">
        <v>45705.548611111109</v>
      </c>
      <c r="Y201" s="25"/>
      <c r="Z201" s="25">
        <v>0.3</v>
      </c>
      <c r="AA201" s="25"/>
      <c r="AB201" s="25" t="s">
        <v>2521</v>
      </c>
      <c r="AC201" s="27" t="s">
        <v>2591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3639</v>
      </c>
      <c r="E202" s="25" t="s">
        <v>2504</v>
      </c>
      <c r="F202" s="25">
        <v>4167</v>
      </c>
      <c r="G202" s="25" t="s">
        <v>3436</v>
      </c>
      <c r="H202" s="25" t="s">
        <v>2609</v>
      </c>
      <c r="I202" s="25" t="s">
        <v>3640</v>
      </c>
      <c r="J202" s="25" t="s">
        <v>2509</v>
      </c>
      <c r="K202" s="25" t="s">
        <v>2568</v>
      </c>
      <c r="L202" s="25" t="s">
        <v>2537</v>
      </c>
      <c r="M202" s="26" t="s">
        <v>2538</v>
      </c>
      <c r="N202" s="25" t="s">
        <v>2539</v>
      </c>
      <c r="O202" s="26" t="s">
        <v>2540</v>
      </c>
      <c r="P202" s="27" t="s">
        <v>3641</v>
      </c>
      <c r="Q202" s="25" t="s">
        <v>3439</v>
      </c>
      <c r="R202" s="25" t="s">
        <v>2516</v>
      </c>
      <c r="S202" s="25" t="s">
        <v>173</v>
      </c>
      <c r="T202" s="25">
        <v>1</v>
      </c>
      <c r="U202" s="25" t="s">
        <v>2517</v>
      </c>
      <c r="V202" s="25" t="s">
        <v>3642</v>
      </c>
      <c r="W202" s="25" t="s">
        <v>3643</v>
      </c>
      <c r="X202" s="59">
        <v>45706.510416666657</v>
      </c>
      <c r="Y202" s="25" t="s">
        <v>3644</v>
      </c>
      <c r="Z202" s="25">
        <v>0.4</v>
      </c>
      <c r="AA202" s="25"/>
      <c r="AB202" s="25" t="s">
        <v>2521</v>
      </c>
      <c r="AC202" s="27" t="s">
        <v>3645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3646</v>
      </c>
      <c r="E203" s="25" t="s">
        <v>2504</v>
      </c>
      <c r="F203" s="25">
        <v>4352</v>
      </c>
      <c r="G203" s="25" t="s">
        <v>3647</v>
      </c>
      <c r="H203" s="25" t="s">
        <v>2507</v>
      </c>
      <c r="I203" s="25" t="s">
        <v>3648</v>
      </c>
      <c r="J203" s="25" t="s">
        <v>2509</v>
      </c>
      <c r="K203" s="25" t="s">
        <v>2765</v>
      </c>
      <c r="L203" s="25" t="s">
        <v>2611</v>
      </c>
      <c r="M203" s="26" t="s">
        <v>2612</v>
      </c>
      <c r="N203" s="25" t="s">
        <v>2892</v>
      </c>
      <c r="O203" s="26" t="s">
        <v>2893</v>
      </c>
      <c r="P203" s="27" t="s">
        <v>3649</v>
      </c>
      <c r="Q203" s="25" t="s">
        <v>3650</v>
      </c>
      <c r="R203" s="25" t="s">
        <v>2516</v>
      </c>
      <c r="S203" s="25" t="s">
        <v>25</v>
      </c>
      <c r="T203" s="25">
        <v>1</v>
      </c>
      <c r="U203" s="25" t="s">
        <v>2517</v>
      </c>
      <c r="V203" s="25" t="s">
        <v>3651</v>
      </c>
      <c r="W203" s="25" t="s">
        <v>3652</v>
      </c>
      <c r="X203" s="59">
        <v>45706.445138888892</v>
      </c>
      <c r="Y203" s="25" t="s">
        <v>3653</v>
      </c>
      <c r="Z203" s="25">
        <v>0.2</v>
      </c>
      <c r="AA203" s="25"/>
      <c r="AB203" s="25" t="s">
        <v>2521</v>
      </c>
      <c r="AC203" s="27" t="s">
        <v>3654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3655</v>
      </c>
      <c r="E204" s="25" t="s">
        <v>2504</v>
      </c>
      <c r="F204" s="25">
        <v>4923</v>
      </c>
      <c r="G204" s="25" t="s">
        <v>3656</v>
      </c>
      <c r="H204" s="25" t="s">
        <v>2641</v>
      </c>
      <c r="I204" s="25" t="s">
        <v>3657</v>
      </c>
      <c r="J204" s="25" t="s">
        <v>2509</v>
      </c>
      <c r="K204" s="25" t="s">
        <v>2568</v>
      </c>
      <c r="L204" s="25" t="s">
        <v>2511</v>
      </c>
      <c r="M204" s="26" t="s">
        <v>2512</v>
      </c>
      <c r="N204" s="25">
        <v>2307</v>
      </c>
      <c r="O204" s="26" t="s">
        <v>2678</v>
      </c>
      <c r="P204" s="27" t="s">
        <v>3658</v>
      </c>
      <c r="Q204" s="25" t="s">
        <v>3659</v>
      </c>
      <c r="R204" s="25" t="s">
        <v>2516</v>
      </c>
      <c r="S204" s="25" t="s">
        <v>25</v>
      </c>
      <c r="T204" s="25">
        <v>1</v>
      </c>
      <c r="U204" s="25" t="s">
        <v>2517</v>
      </c>
      <c r="V204" s="25" t="s">
        <v>3660</v>
      </c>
      <c r="W204" s="25" t="s">
        <v>3661</v>
      </c>
      <c r="X204" s="59">
        <v>45706.715277777781</v>
      </c>
      <c r="Y204" s="25" t="s">
        <v>3662</v>
      </c>
      <c r="Z204" s="25">
        <v>0.5</v>
      </c>
      <c r="AA204" s="25"/>
      <c r="AB204" s="25" t="s">
        <v>2521</v>
      </c>
      <c r="AC204" s="27" t="s">
        <v>3663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3656</v>
      </c>
      <c r="H205" s="25" t="s">
        <v>2641</v>
      </c>
      <c r="I205" s="25"/>
      <c r="J205" s="25"/>
      <c r="K205" s="25"/>
      <c r="L205" s="25"/>
      <c r="M205" s="26"/>
      <c r="N205" s="25"/>
      <c r="O205" s="26"/>
      <c r="P205" s="27"/>
      <c r="Q205" s="25" t="s">
        <v>3659</v>
      </c>
      <c r="R205" s="25" t="s">
        <v>2516</v>
      </c>
      <c r="S205" s="25" t="s">
        <v>25</v>
      </c>
      <c r="T205" s="25">
        <v>1</v>
      </c>
      <c r="U205" s="25" t="s">
        <v>2517</v>
      </c>
      <c r="V205" s="25" t="s">
        <v>3664</v>
      </c>
      <c r="W205" s="25" t="s">
        <v>3665</v>
      </c>
      <c r="X205" s="59">
        <v>45706.719444444447</v>
      </c>
      <c r="Y205" s="25"/>
      <c r="Z205" s="25">
        <v>0.3</v>
      </c>
      <c r="AA205" s="25"/>
      <c r="AB205" s="25" t="s">
        <v>2521</v>
      </c>
      <c r="AC205" s="27" t="s">
        <v>2591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3666</v>
      </c>
      <c r="E206" s="25" t="s">
        <v>2504</v>
      </c>
      <c r="F206" s="25">
        <v>2349</v>
      </c>
      <c r="G206" s="25" t="s">
        <v>3667</v>
      </c>
      <c r="H206" s="25" t="s">
        <v>2507</v>
      </c>
      <c r="I206" s="25" t="s">
        <v>3668</v>
      </c>
      <c r="J206" s="25" t="s">
        <v>2536</v>
      </c>
      <c r="K206" s="25" t="s">
        <v>2510</v>
      </c>
      <c r="L206" s="25" t="s">
        <v>3483</v>
      </c>
      <c r="M206" s="26" t="s">
        <v>3484</v>
      </c>
      <c r="N206" s="25">
        <v>6004</v>
      </c>
      <c r="O206" s="26" t="s">
        <v>2893</v>
      </c>
      <c r="P206" s="27" t="s">
        <v>3669</v>
      </c>
      <c r="Q206" s="25" t="s">
        <v>3670</v>
      </c>
      <c r="R206" s="25" t="s">
        <v>2516</v>
      </c>
      <c r="S206" s="25" t="s">
        <v>25</v>
      </c>
      <c r="T206" s="25">
        <v>1</v>
      </c>
      <c r="U206" s="25" t="s">
        <v>2517</v>
      </c>
      <c r="V206" s="25" t="s">
        <v>3671</v>
      </c>
      <c r="W206" s="25" t="s">
        <v>3672</v>
      </c>
      <c r="X206" s="59">
        <v>45708.456250000003</v>
      </c>
      <c r="Y206" s="25" t="s">
        <v>3673</v>
      </c>
      <c r="Z206" s="25">
        <v>0.5</v>
      </c>
      <c r="AA206" s="25"/>
      <c r="AB206" s="25" t="s">
        <v>2521</v>
      </c>
      <c r="AC206" s="27" t="s">
        <v>3674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3675</v>
      </c>
      <c r="E207" s="25" t="s">
        <v>2843</v>
      </c>
      <c r="F207" s="25">
        <v>4083</v>
      </c>
      <c r="G207" s="25" t="s">
        <v>3374</v>
      </c>
      <c r="H207" s="25" t="s">
        <v>2507</v>
      </c>
      <c r="I207" s="25" t="s">
        <v>3676</v>
      </c>
      <c r="J207" s="25" t="s">
        <v>2536</v>
      </c>
      <c r="K207" s="25" t="s">
        <v>2510</v>
      </c>
      <c r="L207" s="25" t="s">
        <v>3150</v>
      </c>
      <c r="M207" s="26" t="s">
        <v>3151</v>
      </c>
      <c r="N207" s="25">
        <v>5903</v>
      </c>
      <c r="O207" s="26" t="s">
        <v>3152</v>
      </c>
      <c r="P207" s="27" t="s">
        <v>3677</v>
      </c>
      <c r="Q207" s="25" t="s">
        <v>3375</v>
      </c>
      <c r="R207" s="25" t="s">
        <v>2516</v>
      </c>
      <c r="S207" s="25" t="s">
        <v>25</v>
      </c>
      <c r="T207" s="25">
        <v>1</v>
      </c>
      <c r="U207" s="25" t="s">
        <v>2517</v>
      </c>
      <c r="V207" s="25" t="s">
        <v>3678</v>
      </c>
      <c r="W207" s="25" t="s">
        <v>3679</v>
      </c>
      <c r="X207" s="59">
        <v>45707.770833333343</v>
      </c>
      <c r="Y207" s="25" t="s">
        <v>3680</v>
      </c>
      <c r="Z207" s="25">
        <v>0.6</v>
      </c>
      <c r="AA207" s="25"/>
      <c r="AB207" s="25" t="s">
        <v>2521</v>
      </c>
      <c r="AC207" s="27" t="s">
        <v>3681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3667</v>
      </c>
      <c r="H208" s="25" t="s">
        <v>2507</v>
      </c>
      <c r="I208" s="25"/>
      <c r="J208" s="25"/>
      <c r="K208" s="25"/>
      <c r="L208" s="25"/>
      <c r="M208" s="26"/>
      <c r="N208" s="25"/>
      <c r="O208" s="26"/>
      <c r="P208" s="27"/>
      <c r="Q208" s="25" t="s">
        <v>3670</v>
      </c>
      <c r="R208" s="25" t="s">
        <v>2516</v>
      </c>
      <c r="S208" s="25" t="s">
        <v>25</v>
      </c>
      <c r="T208" s="25">
        <v>1</v>
      </c>
      <c r="U208" s="25" t="s">
        <v>2517</v>
      </c>
      <c r="V208" s="25" t="s">
        <v>3682</v>
      </c>
      <c r="W208" s="25" t="s">
        <v>3683</v>
      </c>
      <c r="X208" s="59">
        <v>45708.47152777778</v>
      </c>
      <c r="Y208" s="25"/>
      <c r="Z208" s="25">
        <v>0.3</v>
      </c>
      <c r="AA208" s="25"/>
      <c r="AB208" s="25" t="s">
        <v>2521</v>
      </c>
      <c r="AC208" s="27" t="s">
        <v>2591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3684</v>
      </c>
      <c r="G209" s="25" t="s">
        <v>3685</v>
      </c>
      <c r="H209" s="25" t="s">
        <v>2507</v>
      </c>
      <c r="I209" s="25"/>
      <c r="J209" s="25"/>
      <c r="K209" s="25"/>
      <c r="L209" s="25"/>
      <c r="M209" s="26"/>
      <c r="N209" s="25"/>
      <c r="O209" s="26"/>
      <c r="P209" s="27"/>
      <c r="Q209" s="25" t="s">
        <v>3686</v>
      </c>
      <c r="R209" s="25" t="s">
        <v>2516</v>
      </c>
      <c r="S209" s="25" t="s">
        <v>25</v>
      </c>
      <c r="T209" s="25">
        <v>1</v>
      </c>
      <c r="U209" s="25" t="s">
        <v>2517</v>
      </c>
      <c r="V209" s="25" t="s">
        <v>3687</v>
      </c>
      <c r="W209" s="25" t="s">
        <v>3688</v>
      </c>
      <c r="X209" s="59">
        <v>45708.584722222222</v>
      </c>
      <c r="Y209" s="25"/>
      <c r="Z209" s="25">
        <v>0.3</v>
      </c>
      <c r="AA209" s="25"/>
      <c r="AB209" s="25" t="s">
        <v>2521</v>
      </c>
      <c r="AC209" s="27" t="s">
        <v>2591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3689</v>
      </c>
      <c r="H210" s="25" t="s">
        <v>2507</v>
      </c>
      <c r="I210" s="25"/>
      <c r="J210" s="25"/>
      <c r="K210" s="25"/>
      <c r="L210" s="25"/>
      <c r="M210" s="26"/>
      <c r="N210" s="25"/>
      <c r="O210" s="26"/>
      <c r="P210" s="27"/>
      <c r="Q210" s="25" t="s">
        <v>3690</v>
      </c>
      <c r="R210" s="25" t="s">
        <v>2516</v>
      </c>
      <c r="S210" s="25" t="s">
        <v>25</v>
      </c>
      <c r="T210" s="25">
        <v>1</v>
      </c>
      <c r="U210" s="25" t="s">
        <v>2517</v>
      </c>
      <c r="V210" s="25" t="s">
        <v>3691</v>
      </c>
      <c r="W210" s="25" t="s">
        <v>3692</v>
      </c>
      <c r="X210" s="59">
        <v>45708.611805555563</v>
      </c>
      <c r="Y210" s="25"/>
      <c r="Z210" s="25">
        <v>12.4</v>
      </c>
      <c r="AA210" s="25"/>
      <c r="AB210" s="25" t="s">
        <v>2521</v>
      </c>
      <c r="AC210" s="27" t="s">
        <v>2591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3693</v>
      </c>
      <c r="H211" s="25" t="s">
        <v>2507</v>
      </c>
      <c r="I211" s="25"/>
      <c r="J211" s="25"/>
      <c r="K211" s="25"/>
      <c r="L211" s="25"/>
      <c r="M211" s="26"/>
      <c r="N211" s="25"/>
      <c r="O211" s="26"/>
      <c r="P211" s="27"/>
      <c r="Q211" s="25" t="s">
        <v>3694</v>
      </c>
      <c r="R211" s="25" t="s">
        <v>2516</v>
      </c>
      <c r="S211" s="25" t="s">
        <v>25</v>
      </c>
      <c r="T211" s="25">
        <v>1</v>
      </c>
      <c r="U211" s="25" t="s">
        <v>2517</v>
      </c>
      <c r="V211" s="25" t="s">
        <v>3695</v>
      </c>
      <c r="W211" s="25" t="s">
        <v>3696</v>
      </c>
      <c r="X211" s="59">
        <v>45708.633333333331</v>
      </c>
      <c r="Y211" s="25"/>
      <c r="Z211" s="25">
        <v>0.4</v>
      </c>
      <c r="AA211" s="25"/>
      <c r="AB211" s="25" t="s">
        <v>2521</v>
      </c>
      <c r="AC211" s="27" t="s">
        <v>2591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3697</v>
      </c>
      <c r="G212" s="25" t="s">
        <v>3698</v>
      </c>
      <c r="H212" s="25" t="s">
        <v>2507</v>
      </c>
      <c r="I212" s="25"/>
      <c r="J212" s="25"/>
      <c r="K212" s="25"/>
      <c r="L212" s="25"/>
      <c r="M212" s="26"/>
      <c r="N212" s="25"/>
      <c r="O212" s="26"/>
      <c r="P212" s="27"/>
      <c r="Q212" s="25" t="s">
        <v>3699</v>
      </c>
      <c r="R212" s="25" t="s">
        <v>2516</v>
      </c>
      <c r="S212" s="25" t="s">
        <v>25</v>
      </c>
      <c r="T212" s="25">
        <v>1</v>
      </c>
      <c r="U212" s="25" t="s">
        <v>2517</v>
      </c>
      <c r="V212" s="25" t="s">
        <v>3700</v>
      </c>
      <c r="W212" s="25" t="s">
        <v>3701</v>
      </c>
      <c r="X212" s="59">
        <v>45708.65902777778</v>
      </c>
      <c r="Y212" s="25"/>
      <c r="Z212" s="25">
        <v>0.3</v>
      </c>
      <c r="AA212" s="25"/>
      <c r="AB212" s="25" t="s">
        <v>2521</v>
      </c>
      <c r="AC212" s="27" t="s">
        <v>2591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3702</v>
      </c>
      <c r="E213" s="25" t="s">
        <v>2843</v>
      </c>
      <c r="F213" s="25">
        <v>4906</v>
      </c>
      <c r="G213" s="25" t="s">
        <v>3175</v>
      </c>
      <c r="H213" s="25" t="s">
        <v>3171</v>
      </c>
      <c r="I213" s="25" t="s">
        <v>3703</v>
      </c>
      <c r="J213" s="25" t="s">
        <v>2567</v>
      </c>
      <c r="K213" s="25" t="s">
        <v>2568</v>
      </c>
      <c r="L213" s="25" t="s">
        <v>3150</v>
      </c>
      <c r="M213" s="26" t="s">
        <v>3151</v>
      </c>
      <c r="N213" s="25">
        <v>5903</v>
      </c>
      <c r="O213" s="26" t="s">
        <v>3152</v>
      </c>
      <c r="P213" s="27" t="s">
        <v>3704</v>
      </c>
      <c r="Q213" s="25" t="s">
        <v>3176</v>
      </c>
      <c r="R213" s="25" t="s">
        <v>2516</v>
      </c>
      <c r="S213" s="25" t="s">
        <v>25</v>
      </c>
      <c r="T213" s="25">
        <v>1</v>
      </c>
      <c r="U213" s="25" t="s">
        <v>2517</v>
      </c>
      <c r="V213" s="25" t="s">
        <v>3705</v>
      </c>
      <c r="W213" s="25" t="s">
        <v>3706</v>
      </c>
      <c r="X213" s="59">
        <v>45709.488194444442</v>
      </c>
      <c r="Y213" s="25" t="s">
        <v>3707</v>
      </c>
      <c r="Z213" s="25">
        <v>0.5</v>
      </c>
      <c r="AA213" s="25"/>
      <c r="AB213" s="25" t="s">
        <v>2915</v>
      </c>
      <c r="AC213" s="27" t="s">
        <v>3708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3709</v>
      </c>
      <c r="H214" s="25" t="s">
        <v>2641</v>
      </c>
      <c r="I214" s="25"/>
      <c r="J214" s="25"/>
      <c r="K214" s="25"/>
      <c r="L214" s="25"/>
      <c r="M214" s="26"/>
      <c r="N214" s="25"/>
      <c r="O214" s="26"/>
      <c r="P214" s="27"/>
      <c r="Q214" s="25" t="s">
        <v>3710</v>
      </c>
      <c r="R214" s="25" t="s">
        <v>2516</v>
      </c>
      <c r="S214" s="25" t="s">
        <v>25</v>
      </c>
      <c r="T214" s="25">
        <v>1</v>
      </c>
      <c r="U214" s="25" t="s">
        <v>2517</v>
      </c>
      <c r="V214" s="25" t="s">
        <v>3711</v>
      </c>
      <c r="W214" s="25" t="s">
        <v>3712</v>
      </c>
      <c r="X214" s="59">
        <v>45709.490277777782</v>
      </c>
      <c r="Y214" s="25"/>
      <c r="Z214" s="25">
        <v>0.4</v>
      </c>
      <c r="AA214" s="25"/>
      <c r="AB214" s="25" t="s">
        <v>2521</v>
      </c>
      <c r="AC214" s="27" t="s">
        <v>2591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3713</v>
      </c>
      <c r="H215" s="25" t="s">
        <v>2641</v>
      </c>
      <c r="I215" s="25"/>
      <c r="J215" s="25"/>
      <c r="K215" s="25"/>
      <c r="L215" s="25"/>
      <c r="M215" s="26"/>
      <c r="N215" s="25"/>
      <c r="O215" s="26"/>
      <c r="P215" s="27"/>
      <c r="Q215" s="25" t="s">
        <v>3714</v>
      </c>
      <c r="R215" s="25" t="s">
        <v>2516</v>
      </c>
      <c r="S215" s="25" t="s">
        <v>25</v>
      </c>
      <c r="T215" s="25">
        <v>1</v>
      </c>
      <c r="U215" s="25" t="s">
        <v>2517</v>
      </c>
      <c r="V215" s="25" t="s">
        <v>3715</v>
      </c>
      <c r="W215" s="25" t="s">
        <v>3716</v>
      </c>
      <c r="X215" s="59">
        <v>45709.506944444453</v>
      </c>
      <c r="Y215" s="25"/>
      <c r="Z215" s="25">
        <v>0.3</v>
      </c>
      <c r="AA215" s="25"/>
      <c r="AB215" s="25" t="s">
        <v>2521</v>
      </c>
      <c r="AC215" s="27" t="s">
        <v>2591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3717</v>
      </c>
      <c r="E216" s="25" t="s">
        <v>2504</v>
      </c>
      <c r="F216" s="25">
        <v>3983</v>
      </c>
      <c r="G216" s="25" t="s">
        <v>2808</v>
      </c>
      <c r="H216" s="25" t="s">
        <v>2507</v>
      </c>
      <c r="I216" s="25" t="s">
        <v>3718</v>
      </c>
      <c r="J216" s="25" t="s">
        <v>2567</v>
      </c>
      <c r="K216" s="25" t="s">
        <v>2510</v>
      </c>
      <c r="L216" s="25" t="s">
        <v>2511</v>
      </c>
      <c r="M216" s="26" t="s">
        <v>2512</v>
      </c>
      <c r="N216" s="25">
        <v>2305</v>
      </c>
      <c r="O216" s="26" t="s">
        <v>3035</v>
      </c>
      <c r="P216" s="27" t="s">
        <v>3719</v>
      </c>
      <c r="Q216" s="25" t="s">
        <v>2809</v>
      </c>
      <c r="R216" s="25" t="s">
        <v>2516</v>
      </c>
      <c r="S216" s="25" t="s">
        <v>25</v>
      </c>
      <c r="T216" s="25">
        <v>1</v>
      </c>
      <c r="U216" s="25" t="s">
        <v>2517</v>
      </c>
      <c r="V216" s="25" t="s">
        <v>3720</v>
      </c>
      <c r="W216" s="25" t="s">
        <v>3721</v>
      </c>
      <c r="X216" s="59">
        <v>45712.46875</v>
      </c>
      <c r="Y216" s="25" t="s">
        <v>3722</v>
      </c>
      <c r="Z216" s="25">
        <v>0.5</v>
      </c>
      <c r="AA216" s="25"/>
      <c r="AB216" s="25" t="s">
        <v>2521</v>
      </c>
      <c r="AC216" s="27" t="s">
        <v>3723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3724</v>
      </c>
      <c r="H217" s="25" t="s">
        <v>2641</v>
      </c>
      <c r="I217" s="25"/>
      <c r="J217" s="25"/>
      <c r="K217" s="25"/>
      <c r="L217" s="25"/>
      <c r="M217" s="26"/>
      <c r="N217" s="25"/>
      <c r="O217" s="26"/>
      <c r="P217" s="27"/>
      <c r="Q217" s="25" t="s">
        <v>3725</v>
      </c>
      <c r="R217" s="25" t="s">
        <v>2516</v>
      </c>
      <c r="S217" s="25" t="s">
        <v>25</v>
      </c>
      <c r="T217" s="25">
        <v>1</v>
      </c>
      <c r="U217" s="25" t="s">
        <v>2517</v>
      </c>
      <c r="V217" s="25" t="s">
        <v>3726</v>
      </c>
      <c r="W217" s="25" t="s">
        <v>3727</v>
      </c>
      <c r="X217" s="59">
        <v>45709.600694444453</v>
      </c>
      <c r="Y217" s="25"/>
      <c r="Z217" s="25">
        <v>0.3</v>
      </c>
      <c r="AA217" s="25"/>
      <c r="AB217" s="25" t="s">
        <v>2521</v>
      </c>
      <c r="AC217" s="27" t="s">
        <v>2591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3728</v>
      </c>
      <c r="H218" s="25" t="s">
        <v>2641</v>
      </c>
      <c r="I218" s="25"/>
      <c r="J218" s="25"/>
      <c r="K218" s="25"/>
      <c r="L218" s="25"/>
      <c r="M218" s="26"/>
      <c r="N218" s="25"/>
      <c r="O218" s="26"/>
      <c r="P218" s="27"/>
      <c r="Q218" s="25" t="s">
        <v>3729</v>
      </c>
      <c r="R218" s="25" t="s">
        <v>2516</v>
      </c>
      <c r="S218" s="25" t="s">
        <v>25</v>
      </c>
      <c r="T218" s="25">
        <v>1</v>
      </c>
      <c r="U218" s="25" t="s">
        <v>2517</v>
      </c>
      <c r="V218" s="25" t="s">
        <v>3730</v>
      </c>
      <c r="W218" s="25" t="s">
        <v>3731</v>
      </c>
      <c r="X218" s="59">
        <v>45709.619444444441</v>
      </c>
      <c r="Y218" s="25"/>
      <c r="Z218" s="25">
        <v>0.4</v>
      </c>
      <c r="AA218" s="25"/>
      <c r="AB218" s="25" t="s">
        <v>2521</v>
      </c>
      <c r="AC218" s="27" t="s">
        <v>2591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3732</v>
      </c>
      <c r="E219" s="25" t="s">
        <v>2504</v>
      </c>
      <c r="F219" s="25">
        <v>5082</v>
      </c>
      <c r="G219" s="25" t="s">
        <v>2729</v>
      </c>
      <c r="H219" s="25" t="s">
        <v>2641</v>
      </c>
      <c r="I219" s="25" t="s">
        <v>3733</v>
      </c>
      <c r="J219" s="25" t="s">
        <v>2567</v>
      </c>
      <c r="K219" s="25" t="s">
        <v>2510</v>
      </c>
      <c r="L219" s="25" t="s">
        <v>2511</v>
      </c>
      <c r="M219" s="26" t="s">
        <v>2512</v>
      </c>
      <c r="N219" s="25">
        <v>2302</v>
      </c>
      <c r="O219" s="26" t="s">
        <v>2550</v>
      </c>
      <c r="P219" s="27" t="s">
        <v>3734</v>
      </c>
      <c r="Q219" s="25" t="s">
        <v>2730</v>
      </c>
      <c r="R219" s="25" t="s">
        <v>2516</v>
      </c>
      <c r="S219" s="25" t="s">
        <v>25</v>
      </c>
      <c r="T219" s="25">
        <v>1</v>
      </c>
      <c r="U219" s="25" t="s">
        <v>2517</v>
      </c>
      <c r="V219" s="25" t="s">
        <v>3735</v>
      </c>
      <c r="W219" s="25" t="s">
        <v>3736</v>
      </c>
      <c r="X219" s="59">
        <v>45712.584722222222</v>
      </c>
      <c r="Y219" s="25" t="s">
        <v>3737</v>
      </c>
      <c r="Z219" s="25">
        <v>0.5</v>
      </c>
      <c r="AA219" s="25"/>
      <c r="AB219" s="25" t="s">
        <v>2521</v>
      </c>
      <c r="AC219" s="27" t="s">
        <v>3738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3739</v>
      </c>
      <c r="E220" s="25" t="s">
        <v>2504</v>
      </c>
      <c r="F220" s="25" t="s">
        <v>2865</v>
      </c>
      <c r="G220" s="25" t="s">
        <v>2866</v>
      </c>
      <c r="H220" s="25" t="s">
        <v>2507</v>
      </c>
      <c r="I220" s="25" t="s">
        <v>3740</v>
      </c>
      <c r="J220" s="25" t="s">
        <v>2567</v>
      </c>
      <c r="K220" s="25" t="s">
        <v>2510</v>
      </c>
      <c r="L220" s="25" t="s">
        <v>2846</v>
      </c>
      <c r="M220" s="26" t="s">
        <v>2847</v>
      </c>
      <c r="N220" s="25">
        <v>2402</v>
      </c>
      <c r="O220" s="26" t="s">
        <v>3741</v>
      </c>
      <c r="P220" s="27" t="s">
        <v>3742</v>
      </c>
      <c r="Q220" s="25" t="s">
        <v>2867</v>
      </c>
      <c r="R220" s="25" t="s">
        <v>2516</v>
      </c>
      <c r="S220" s="25" t="s">
        <v>25</v>
      </c>
      <c r="T220" s="25">
        <v>1</v>
      </c>
      <c r="U220" s="25" t="s">
        <v>2517</v>
      </c>
      <c r="V220" s="25" t="s">
        <v>3743</v>
      </c>
      <c r="W220" s="25" t="s">
        <v>3744</v>
      </c>
      <c r="X220" s="59">
        <v>45712.586805555547</v>
      </c>
      <c r="Y220" s="25" t="s">
        <v>3745</v>
      </c>
      <c r="Z220" s="25">
        <v>0.5</v>
      </c>
      <c r="AA220" s="25"/>
      <c r="AB220" s="25" t="s">
        <v>2521</v>
      </c>
      <c r="AC220" s="27" t="s">
        <v>3746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3747</v>
      </c>
      <c r="E221" s="25" t="s">
        <v>2504</v>
      </c>
      <c r="F221" s="25">
        <v>4701</v>
      </c>
      <c r="G221" s="25" t="s">
        <v>3748</v>
      </c>
      <c r="H221" s="25" t="s">
        <v>2659</v>
      </c>
      <c r="I221" s="25" t="s">
        <v>3749</v>
      </c>
      <c r="J221" s="25" t="s">
        <v>2930</v>
      </c>
      <c r="K221" s="25" t="s">
        <v>2765</v>
      </c>
      <c r="L221" s="25" t="s">
        <v>2611</v>
      </c>
      <c r="M221" s="26" t="s">
        <v>2612</v>
      </c>
      <c r="N221" s="25" t="s">
        <v>2613</v>
      </c>
      <c r="O221" s="26" t="s">
        <v>2614</v>
      </c>
      <c r="P221" s="27" t="s">
        <v>3750</v>
      </c>
      <c r="Q221" s="25" t="s">
        <v>3751</v>
      </c>
      <c r="R221" s="25" t="s">
        <v>2516</v>
      </c>
      <c r="S221" s="25" t="s">
        <v>185</v>
      </c>
      <c r="T221" s="25">
        <v>1</v>
      </c>
      <c r="U221" s="25" t="s">
        <v>2517</v>
      </c>
      <c r="V221" s="25" t="s">
        <v>3752</v>
      </c>
      <c r="W221" s="25" t="s">
        <v>3753</v>
      </c>
      <c r="X221" s="59">
        <v>45712.583333333343</v>
      </c>
      <c r="Y221" s="25" t="s">
        <v>3754</v>
      </c>
      <c r="Z221" s="25">
        <v>0.5</v>
      </c>
      <c r="AA221" s="25"/>
      <c r="AB221" s="25" t="s">
        <v>2521</v>
      </c>
      <c r="AC221" s="27" t="s">
        <v>3755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3756</v>
      </c>
      <c r="E222" s="25" t="s">
        <v>2504</v>
      </c>
      <c r="F222" s="25">
        <v>4084</v>
      </c>
      <c r="G222" s="25" t="s">
        <v>2783</v>
      </c>
      <c r="H222" s="25" t="s">
        <v>2507</v>
      </c>
      <c r="I222" s="25" t="s">
        <v>3757</v>
      </c>
      <c r="J222" s="25" t="s">
        <v>2661</v>
      </c>
      <c r="K222" s="25" t="s">
        <v>2568</v>
      </c>
      <c r="L222" s="25" t="s">
        <v>2525</v>
      </c>
      <c r="M222" s="26" t="s">
        <v>2526</v>
      </c>
      <c r="N222" s="25">
        <v>5804</v>
      </c>
      <c r="O222" s="26" t="s">
        <v>2582</v>
      </c>
      <c r="P222" s="27" t="s">
        <v>3758</v>
      </c>
      <c r="Q222" s="25" t="s">
        <v>2784</v>
      </c>
      <c r="R222" s="25" t="s">
        <v>2516</v>
      </c>
      <c r="S222" s="25" t="s">
        <v>25</v>
      </c>
      <c r="T222" s="25">
        <v>1</v>
      </c>
      <c r="U222" s="25" t="s">
        <v>2517</v>
      </c>
      <c r="V222" s="25" t="s">
        <v>3759</v>
      </c>
      <c r="W222" s="25" t="s">
        <v>3760</v>
      </c>
      <c r="X222" s="59">
        <v>45712.513888888891</v>
      </c>
      <c r="Y222" s="25" t="s">
        <v>3761</v>
      </c>
      <c r="Z222" s="25">
        <v>0.1</v>
      </c>
      <c r="AA222" s="25"/>
      <c r="AB222" s="25" t="s">
        <v>2915</v>
      </c>
      <c r="AC222" s="27" t="s">
        <v>2684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3762</v>
      </c>
      <c r="E223" s="25" t="s">
        <v>2504</v>
      </c>
      <c r="F223" s="25">
        <v>4167</v>
      </c>
      <c r="G223" s="25" t="s">
        <v>3436</v>
      </c>
      <c r="H223" s="25" t="s">
        <v>2609</v>
      </c>
      <c r="I223" s="25" t="s">
        <v>3763</v>
      </c>
      <c r="J223" s="25" t="s">
        <v>2661</v>
      </c>
      <c r="K223" s="25" t="s">
        <v>2568</v>
      </c>
      <c r="L223" s="25" t="s">
        <v>2511</v>
      </c>
      <c r="M223" s="26" t="s">
        <v>2512</v>
      </c>
      <c r="N223" s="25">
        <v>2307</v>
      </c>
      <c r="O223" s="26" t="s">
        <v>2678</v>
      </c>
      <c r="P223" s="27" t="s">
        <v>3764</v>
      </c>
      <c r="Q223" s="25" t="s">
        <v>3439</v>
      </c>
      <c r="R223" s="25" t="s">
        <v>2516</v>
      </c>
      <c r="S223" s="25" t="s">
        <v>173</v>
      </c>
      <c r="T223" s="25">
        <v>1</v>
      </c>
      <c r="U223" s="25" t="s">
        <v>2517</v>
      </c>
      <c r="V223" s="25" t="s">
        <v>3765</v>
      </c>
      <c r="W223" s="25" t="s">
        <v>3766</v>
      </c>
      <c r="X223" s="59">
        <v>45713.604166666657</v>
      </c>
      <c r="Y223" s="25" t="s">
        <v>3767</v>
      </c>
      <c r="Z223" s="25">
        <v>1</v>
      </c>
      <c r="AA223" s="25"/>
      <c r="AB223" s="25" t="s">
        <v>2521</v>
      </c>
      <c r="AC223" s="27" t="s">
        <v>3768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3748</v>
      </c>
      <c r="H224" s="25" t="s">
        <v>2659</v>
      </c>
      <c r="I224" s="25"/>
      <c r="J224" s="25"/>
      <c r="K224" s="25"/>
      <c r="L224" s="25"/>
      <c r="M224" s="26"/>
      <c r="N224" s="25"/>
      <c r="O224" s="26"/>
      <c r="P224" s="27"/>
      <c r="Q224" s="25" t="s">
        <v>3751</v>
      </c>
      <c r="R224" s="25" t="s">
        <v>2516</v>
      </c>
      <c r="S224" s="25" t="s">
        <v>185</v>
      </c>
      <c r="T224" s="25">
        <v>1</v>
      </c>
      <c r="U224" s="25" t="s">
        <v>2517</v>
      </c>
      <c r="V224" s="25" t="s">
        <v>3769</v>
      </c>
      <c r="W224" s="25" t="s">
        <v>3770</v>
      </c>
      <c r="X224" s="59">
        <v>45712.604166666657</v>
      </c>
      <c r="Y224" s="25"/>
      <c r="Z224" s="25">
        <v>0.5</v>
      </c>
      <c r="AA224" s="25"/>
      <c r="AB224" s="25" t="s">
        <v>2521</v>
      </c>
      <c r="AC224" s="27" t="s">
        <v>2591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3771</v>
      </c>
      <c r="H225" s="25" t="s">
        <v>2659</v>
      </c>
      <c r="I225" s="25"/>
      <c r="J225" s="25"/>
      <c r="K225" s="25"/>
      <c r="L225" s="25"/>
      <c r="M225" s="26"/>
      <c r="N225" s="25"/>
      <c r="O225" s="26"/>
      <c r="P225" s="27"/>
      <c r="Q225" s="25" t="s">
        <v>3772</v>
      </c>
      <c r="R225" s="25" t="s">
        <v>2516</v>
      </c>
      <c r="S225" s="25" t="s">
        <v>185</v>
      </c>
      <c r="T225" s="25">
        <v>1</v>
      </c>
      <c r="U225" s="25" t="s">
        <v>2517</v>
      </c>
      <c r="V225" s="25" t="s">
        <v>3773</v>
      </c>
      <c r="W225" s="25" t="s">
        <v>3774</v>
      </c>
      <c r="X225" s="59">
        <v>45712.618055555547</v>
      </c>
      <c r="Y225" s="25"/>
      <c r="Z225" s="25">
        <v>0.3</v>
      </c>
      <c r="AA225" s="25"/>
      <c r="AB225" s="25" t="s">
        <v>2521</v>
      </c>
      <c r="AC225" s="27" t="s">
        <v>2591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3775</v>
      </c>
      <c r="H226" s="25" t="s">
        <v>2659</v>
      </c>
      <c r="I226" s="25"/>
      <c r="J226" s="25"/>
      <c r="K226" s="25"/>
      <c r="L226" s="25"/>
      <c r="M226" s="26"/>
      <c r="N226" s="25"/>
      <c r="O226" s="26"/>
      <c r="P226" s="27"/>
      <c r="Q226" s="25" t="s">
        <v>3776</v>
      </c>
      <c r="R226" s="25" t="s">
        <v>2516</v>
      </c>
      <c r="S226" s="25" t="s">
        <v>185</v>
      </c>
      <c r="T226" s="25">
        <v>1</v>
      </c>
      <c r="U226" s="25" t="s">
        <v>2517</v>
      </c>
      <c r="V226" s="25" t="s">
        <v>3777</v>
      </c>
      <c r="W226" s="25" t="s">
        <v>3778</v>
      </c>
      <c r="X226" s="59">
        <v>45712.631944444453</v>
      </c>
      <c r="Y226" s="25"/>
      <c r="Z226" s="25">
        <v>0.3</v>
      </c>
      <c r="AA226" s="25"/>
      <c r="AB226" s="25" t="s">
        <v>2521</v>
      </c>
      <c r="AC226" s="27" t="s">
        <v>2591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3779</v>
      </c>
      <c r="E227" s="25" t="s">
        <v>2504</v>
      </c>
      <c r="F227" s="25">
        <v>3811</v>
      </c>
      <c r="G227" s="25" t="s">
        <v>3780</v>
      </c>
      <c r="H227" s="25" t="s">
        <v>2507</v>
      </c>
      <c r="I227" s="25" t="s">
        <v>3781</v>
      </c>
      <c r="J227" s="25" t="s">
        <v>2661</v>
      </c>
      <c r="K227" s="25" t="s">
        <v>2510</v>
      </c>
      <c r="L227" s="25" t="s">
        <v>2945</v>
      </c>
      <c r="M227" s="26" t="s">
        <v>2946</v>
      </c>
      <c r="N227" s="25" t="s">
        <v>3782</v>
      </c>
      <c r="O227" s="26" t="s">
        <v>2582</v>
      </c>
      <c r="P227" s="27" t="s">
        <v>3783</v>
      </c>
      <c r="Q227" s="25" t="s">
        <v>3784</v>
      </c>
      <c r="R227" s="25" t="s">
        <v>2516</v>
      </c>
      <c r="S227" s="25" t="s">
        <v>25</v>
      </c>
      <c r="T227" s="25">
        <v>1</v>
      </c>
      <c r="U227" s="25" t="s">
        <v>2517</v>
      </c>
      <c r="V227" s="25" t="s">
        <v>3785</v>
      </c>
      <c r="W227" s="25" t="s">
        <v>3786</v>
      </c>
      <c r="X227" s="59">
        <v>45713.768750000003</v>
      </c>
      <c r="Y227" s="25" t="s">
        <v>3787</v>
      </c>
      <c r="Z227" s="25">
        <v>0.5</v>
      </c>
      <c r="AA227" s="25"/>
      <c r="AB227" s="25" t="s">
        <v>2521</v>
      </c>
      <c r="AC227" s="27" t="s">
        <v>3788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3789</v>
      </c>
      <c r="E228" s="25" t="s">
        <v>2504</v>
      </c>
      <c r="F228" s="25">
        <v>4163</v>
      </c>
      <c r="G228" s="25" t="s">
        <v>2833</v>
      </c>
      <c r="H228" s="25" t="s">
        <v>2659</v>
      </c>
      <c r="I228" s="25" t="s">
        <v>3790</v>
      </c>
      <c r="J228" s="25" t="s">
        <v>2661</v>
      </c>
      <c r="K228" s="25" t="s">
        <v>2717</v>
      </c>
      <c r="L228" s="25" t="s">
        <v>3150</v>
      </c>
      <c r="M228" s="26" t="s">
        <v>3151</v>
      </c>
      <c r="N228" s="25">
        <v>5902</v>
      </c>
      <c r="O228" s="26" t="s">
        <v>3508</v>
      </c>
      <c r="P228" s="27" t="s">
        <v>3791</v>
      </c>
      <c r="Q228" s="25" t="s">
        <v>2837</v>
      </c>
      <c r="R228" s="25" t="s">
        <v>2516</v>
      </c>
      <c r="S228" s="25" t="s">
        <v>185</v>
      </c>
      <c r="T228" s="25">
        <v>1</v>
      </c>
      <c r="U228" s="25" t="s">
        <v>2517</v>
      </c>
      <c r="V228" s="25" t="s">
        <v>3792</v>
      </c>
      <c r="W228" s="25" t="s">
        <v>3793</v>
      </c>
      <c r="X228" s="59">
        <v>45713.412499999999</v>
      </c>
      <c r="Y228" s="25" t="s">
        <v>3794</v>
      </c>
      <c r="Z228" s="25">
        <v>0.9</v>
      </c>
      <c r="AA228" s="25"/>
      <c r="AB228" s="25" t="s">
        <v>2521</v>
      </c>
      <c r="AC228" s="27" t="s">
        <v>3795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3796</v>
      </c>
      <c r="E229" s="25" t="s">
        <v>2504</v>
      </c>
      <c r="F229" s="25">
        <v>4093</v>
      </c>
      <c r="G229" s="25" t="s">
        <v>3797</v>
      </c>
      <c r="H229" s="25" t="s">
        <v>1604</v>
      </c>
      <c r="I229" s="25" t="s">
        <v>3798</v>
      </c>
      <c r="J229" s="25" t="s">
        <v>2509</v>
      </c>
      <c r="K229" s="25" t="s">
        <v>2510</v>
      </c>
      <c r="L229" s="25" t="s">
        <v>2569</v>
      </c>
      <c r="M229" s="26" t="s">
        <v>2570</v>
      </c>
      <c r="N229" s="25">
        <v>2501</v>
      </c>
      <c r="O229" s="26" t="s">
        <v>2571</v>
      </c>
      <c r="P229" s="27" t="s">
        <v>3799</v>
      </c>
      <c r="Q229" s="25" t="s">
        <v>3800</v>
      </c>
      <c r="R229" s="25" t="s">
        <v>2516</v>
      </c>
      <c r="S229" s="25" t="s">
        <v>25</v>
      </c>
      <c r="T229" s="25">
        <v>1</v>
      </c>
      <c r="U229" s="25" t="s">
        <v>2517</v>
      </c>
      <c r="V229" s="25" t="s">
        <v>3801</v>
      </c>
      <c r="W229" s="25" t="s">
        <v>3802</v>
      </c>
      <c r="X229" s="59">
        <v>45714.538194444453</v>
      </c>
      <c r="Y229" s="25" t="s">
        <v>3803</v>
      </c>
      <c r="Z229" s="25">
        <v>0.9</v>
      </c>
      <c r="AA229" s="25"/>
      <c r="AB229" s="25" t="s">
        <v>2521</v>
      </c>
      <c r="AC229" s="27" t="s">
        <v>3804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3805</v>
      </c>
      <c r="E230" s="25" t="s">
        <v>2504</v>
      </c>
      <c r="F230" s="25">
        <v>2069</v>
      </c>
      <c r="G230" s="25" t="s">
        <v>3806</v>
      </c>
      <c r="H230" s="25" t="s">
        <v>2609</v>
      </c>
      <c r="I230" s="25" t="s">
        <v>3807</v>
      </c>
      <c r="J230" s="25" t="s">
        <v>2509</v>
      </c>
      <c r="K230" s="25" t="s">
        <v>2510</v>
      </c>
      <c r="L230" s="25" t="s">
        <v>2662</v>
      </c>
      <c r="M230" s="26" t="s">
        <v>2663</v>
      </c>
      <c r="N230" s="25">
        <v>2702</v>
      </c>
      <c r="O230" s="26" t="s">
        <v>3065</v>
      </c>
      <c r="P230" s="27" t="s">
        <v>3808</v>
      </c>
      <c r="Q230" s="25" t="s">
        <v>3809</v>
      </c>
      <c r="R230" s="25" t="s">
        <v>2516</v>
      </c>
      <c r="S230" s="25" t="s">
        <v>173</v>
      </c>
      <c r="T230" s="25">
        <v>1</v>
      </c>
      <c r="U230" s="25" t="s">
        <v>2517</v>
      </c>
      <c r="V230" s="25" t="s">
        <v>3810</v>
      </c>
      <c r="W230" s="25" t="s">
        <v>3811</v>
      </c>
      <c r="X230" s="59">
        <v>45714.642361111109</v>
      </c>
      <c r="Y230" s="25" t="s">
        <v>3812</v>
      </c>
      <c r="Z230" s="25">
        <v>0.8</v>
      </c>
      <c r="AA230" s="25"/>
      <c r="AB230" s="25" t="s">
        <v>2521</v>
      </c>
      <c r="AC230" s="27" t="s">
        <v>3813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3814</v>
      </c>
      <c r="E231" s="25" t="s">
        <v>2504</v>
      </c>
      <c r="F231" s="25">
        <v>3362</v>
      </c>
      <c r="G231" s="25" t="s">
        <v>2534</v>
      </c>
      <c r="H231" s="25" t="s">
        <v>2507</v>
      </c>
      <c r="I231" s="25" t="s">
        <v>3815</v>
      </c>
      <c r="J231" s="25" t="s">
        <v>2509</v>
      </c>
      <c r="K231" s="25" t="s">
        <v>2510</v>
      </c>
      <c r="L231" s="25" t="s">
        <v>2569</v>
      </c>
      <c r="M231" s="26" t="s">
        <v>2570</v>
      </c>
      <c r="N231" s="25">
        <v>2501</v>
      </c>
      <c r="O231" s="26" t="s">
        <v>2571</v>
      </c>
      <c r="P231" s="27" t="s">
        <v>3816</v>
      </c>
      <c r="Q231" s="25" t="s">
        <v>2542</v>
      </c>
      <c r="R231" s="25" t="s">
        <v>2516</v>
      </c>
      <c r="S231" s="25" t="s">
        <v>25</v>
      </c>
      <c r="T231" s="25">
        <v>1</v>
      </c>
      <c r="U231" s="25" t="s">
        <v>2517</v>
      </c>
      <c r="V231" s="25" t="s">
        <v>3817</v>
      </c>
      <c r="W231" s="25" t="s">
        <v>3818</v>
      </c>
      <c r="X231" s="59">
        <v>45714.637499999997</v>
      </c>
      <c r="Y231" s="25" t="s">
        <v>3819</v>
      </c>
      <c r="Z231" s="25">
        <v>0.5</v>
      </c>
      <c r="AA231" s="25"/>
      <c r="AB231" s="25" t="s">
        <v>2521</v>
      </c>
      <c r="AC231" s="27" t="s">
        <v>3820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3806</v>
      </c>
      <c r="H232" s="25" t="s">
        <v>2609</v>
      </c>
      <c r="I232" s="25"/>
      <c r="J232" s="25"/>
      <c r="K232" s="25"/>
      <c r="L232" s="25"/>
      <c r="M232" s="26"/>
      <c r="N232" s="25"/>
      <c r="O232" s="26"/>
      <c r="P232" s="27"/>
      <c r="Q232" s="25" t="s">
        <v>3809</v>
      </c>
      <c r="R232" s="25" t="s">
        <v>2516</v>
      </c>
      <c r="S232" s="25" t="s">
        <v>173</v>
      </c>
      <c r="T232" s="25">
        <v>1</v>
      </c>
      <c r="U232" s="25" t="s">
        <v>2517</v>
      </c>
      <c r="V232" s="25" t="s">
        <v>3821</v>
      </c>
      <c r="W232" s="25" t="s">
        <v>3811</v>
      </c>
      <c r="X232" s="59">
        <v>45714.642361111109</v>
      </c>
      <c r="Y232" s="25"/>
      <c r="Z232" s="25">
        <v>0.8</v>
      </c>
      <c r="AA232" s="25"/>
      <c r="AB232" s="25" t="s">
        <v>2521</v>
      </c>
      <c r="AC232" s="27" t="s">
        <v>2591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3822</v>
      </c>
      <c r="G233" s="25" t="s">
        <v>3823</v>
      </c>
      <c r="H233" s="25" t="s">
        <v>2507</v>
      </c>
      <c r="I233" s="25"/>
      <c r="J233" s="25"/>
      <c r="K233" s="25"/>
      <c r="L233" s="25"/>
      <c r="M233" s="26"/>
      <c r="N233" s="25"/>
      <c r="O233" s="26"/>
      <c r="P233" s="27"/>
      <c r="Q233" s="25" t="s">
        <v>3824</v>
      </c>
      <c r="R233" s="25" t="s">
        <v>2516</v>
      </c>
      <c r="S233" s="25" t="s">
        <v>25</v>
      </c>
      <c r="T233" s="25">
        <v>1</v>
      </c>
      <c r="U233" s="25" t="s">
        <v>2517</v>
      </c>
      <c r="V233" s="25" t="s">
        <v>3825</v>
      </c>
      <c r="W233" s="25" t="s">
        <v>3826</v>
      </c>
      <c r="X233" s="59">
        <v>45715.510416666657</v>
      </c>
      <c r="Y233" s="25"/>
      <c r="Z233" s="25">
        <v>0.4</v>
      </c>
      <c r="AA233" s="25"/>
      <c r="AB233" s="25" t="s">
        <v>2521</v>
      </c>
      <c r="AC233" s="27" t="s">
        <v>2591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3827</v>
      </c>
      <c r="H234" s="25" t="s">
        <v>2507</v>
      </c>
      <c r="I234" s="25"/>
      <c r="J234" s="25"/>
      <c r="K234" s="25"/>
      <c r="L234" s="25"/>
      <c r="M234" s="26"/>
      <c r="N234" s="25"/>
      <c r="O234" s="26"/>
      <c r="P234" s="27"/>
      <c r="Q234" s="25" t="s">
        <v>3828</v>
      </c>
      <c r="R234" s="25" t="s">
        <v>2516</v>
      </c>
      <c r="S234" s="25" t="s">
        <v>25</v>
      </c>
      <c r="T234" s="25">
        <v>1</v>
      </c>
      <c r="U234" s="25" t="s">
        <v>2517</v>
      </c>
      <c r="V234" s="25" t="s">
        <v>3829</v>
      </c>
      <c r="W234" s="25" t="s">
        <v>3830</v>
      </c>
      <c r="X234" s="59">
        <v>45715.615277777782</v>
      </c>
      <c r="Y234" s="25"/>
      <c r="Z234" s="25">
        <v>0.4</v>
      </c>
      <c r="AA234" s="25"/>
      <c r="AB234" s="25" t="s">
        <v>2521</v>
      </c>
      <c r="AC234" s="27" t="s">
        <v>2591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3831</v>
      </c>
      <c r="H235" s="25" t="s">
        <v>2507</v>
      </c>
      <c r="I235" s="25"/>
      <c r="J235" s="25"/>
      <c r="K235" s="25"/>
      <c r="L235" s="25"/>
      <c r="M235" s="26"/>
      <c r="N235" s="25"/>
      <c r="O235" s="26"/>
      <c r="P235" s="27"/>
      <c r="Q235" s="25" t="s">
        <v>3075</v>
      </c>
      <c r="R235" s="25" t="s">
        <v>2516</v>
      </c>
      <c r="S235" s="25" t="s">
        <v>25</v>
      </c>
      <c r="T235" s="25">
        <v>1</v>
      </c>
      <c r="U235" s="25" t="s">
        <v>2517</v>
      </c>
      <c r="V235" s="25" t="s">
        <v>3832</v>
      </c>
      <c r="W235" s="25" t="s">
        <v>3833</v>
      </c>
      <c r="X235" s="59">
        <v>45715.642361111109</v>
      </c>
      <c r="Y235" s="25"/>
      <c r="Z235" s="25">
        <v>0.4</v>
      </c>
      <c r="AA235" s="25"/>
      <c r="AB235" s="25" t="s">
        <v>2521</v>
      </c>
      <c r="AC235" s="27" t="s">
        <v>2591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3834</v>
      </c>
      <c r="E236" s="25" t="s">
        <v>2504</v>
      </c>
      <c r="F236" s="25">
        <v>3380</v>
      </c>
      <c r="G236" s="25" t="s">
        <v>2710</v>
      </c>
      <c r="H236" s="25" t="s">
        <v>2659</v>
      </c>
      <c r="I236" s="25" t="s">
        <v>3835</v>
      </c>
      <c r="J236" s="25" t="s">
        <v>2567</v>
      </c>
      <c r="K236" s="25" t="s">
        <v>2717</v>
      </c>
      <c r="L236" s="25" t="s">
        <v>2511</v>
      </c>
      <c r="M236" s="26" t="s">
        <v>2512</v>
      </c>
      <c r="N236" s="25">
        <v>2304</v>
      </c>
      <c r="O236" s="26" t="s">
        <v>2513</v>
      </c>
      <c r="P236" s="27" t="s">
        <v>3836</v>
      </c>
      <c r="Q236" s="25" t="s">
        <v>2711</v>
      </c>
      <c r="R236" s="25" t="s">
        <v>2516</v>
      </c>
      <c r="S236" s="25" t="s">
        <v>185</v>
      </c>
      <c r="T236" s="25">
        <v>1</v>
      </c>
      <c r="U236" s="25" t="s">
        <v>2517</v>
      </c>
      <c r="V236" s="25" t="s">
        <v>3837</v>
      </c>
      <c r="W236" s="25" t="s">
        <v>3838</v>
      </c>
      <c r="X236" s="59">
        <v>45719.4375</v>
      </c>
      <c r="Y236" s="25" t="s">
        <v>3839</v>
      </c>
      <c r="Z236" s="25">
        <v>1</v>
      </c>
      <c r="AA236" s="25"/>
      <c r="AB236" s="25" t="s">
        <v>2521</v>
      </c>
      <c r="AC236" s="27" t="s">
        <v>3840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3841</v>
      </c>
      <c r="E237" s="25" t="s">
        <v>2504</v>
      </c>
      <c r="F237" s="25">
        <v>3601</v>
      </c>
      <c r="G237" s="25" t="s">
        <v>3842</v>
      </c>
      <c r="H237" s="25" t="s">
        <v>2507</v>
      </c>
      <c r="I237" s="25" t="s">
        <v>3843</v>
      </c>
      <c r="J237" s="25" t="s">
        <v>2930</v>
      </c>
      <c r="K237" s="25" t="s">
        <v>2717</v>
      </c>
      <c r="L237" s="25" t="s">
        <v>2511</v>
      </c>
      <c r="M237" s="26" t="s">
        <v>2512</v>
      </c>
      <c r="N237" s="25">
        <v>2302</v>
      </c>
      <c r="O237" s="26" t="s">
        <v>2550</v>
      </c>
      <c r="P237" s="27" t="s">
        <v>3844</v>
      </c>
      <c r="Q237" s="25" t="s">
        <v>3845</v>
      </c>
      <c r="R237" s="25" t="s">
        <v>2516</v>
      </c>
      <c r="S237" s="25" t="s">
        <v>25</v>
      </c>
      <c r="T237" s="25">
        <v>1</v>
      </c>
      <c r="U237" s="25" t="s">
        <v>2517</v>
      </c>
      <c r="V237" s="25" t="s">
        <v>3846</v>
      </c>
      <c r="W237" s="25" t="s">
        <v>3847</v>
      </c>
      <c r="X237" s="59">
        <v>45719.421527777777</v>
      </c>
      <c r="Y237" s="25" t="s">
        <v>3839</v>
      </c>
      <c r="Z237" s="25">
        <v>0.5</v>
      </c>
      <c r="AA237" s="25"/>
      <c r="AB237" s="25" t="s">
        <v>2521</v>
      </c>
      <c r="AC237" s="27" t="s">
        <v>3848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3842</v>
      </c>
      <c r="H238" s="25" t="s">
        <v>2507</v>
      </c>
      <c r="I238" s="25"/>
      <c r="J238" s="25"/>
      <c r="K238" s="25"/>
      <c r="L238" s="25"/>
      <c r="M238" s="26"/>
      <c r="N238" s="25"/>
      <c r="O238" s="26"/>
      <c r="P238" s="27"/>
      <c r="Q238" s="25" t="s">
        <v>3845</v>
      </c>
      <c r="R238" s="25" t="s">
        <v>2516</v>
      </c>
      <c r="S238" s="25" t="s">
        <v>25</v>
      </c>
      <c r="T238" s="25">
        <v>1</v>
      </c>
      <c r="U238" s="25" t="s">
        <v>2517</v>
      </c>
      <c r="V238" s="25" t="s">
        <v>3849</v>
      </c>
      <c r="W238" s="25" t="s">
        <v>3850</v>
      </c>
      <c r="X238" s="59">
        <v>45719.445833333331</v>
      </c>
      <c r="Y238" s="25"/>
      <c r="Z238" s="25">
        <v>0.4</v>
      </c>
      <c r="AA238" s="25"/>
      <c r="AB238" s="25" t="s">
        <v>2521</v>
      </c>
      <c r="AC238" s="27" t="s">
        <v>2591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3851</v>
      </c>
      <c r="H239" s="25" t="s">
        <v>2507</v>
      </c>
      <c r="I239" s="25"/>
      <c r="J239" s="25"/>
      <c r="K239" s="25"/>
      <c r="L239" s="25"/>
      <c r="M239" s="26"/>
      <c r="N239" s="25"/>
      <c r="O239" s="26"/>
      <c r="P239" s="27"/>
      <c r="Q239" s="25" t="s">
        <v>3852</v>
      </c>
      <c r="R239" s="25" t="s">
        <v>2516</v>
      </c>
      <c r="S239" s="25" t="s">
        <v>25</v>
      </c>
      <c r="T239" s="25">
        <v>1</v>
      </c>
      <c r="U239" s="25" t="s">
        <v>2517</v>
      </c>
      <c r="V239" s="25" t="s">
        <v>3853</v>
      </c>
      <c r="W239" s="25" t="s">
        <v>3854</v>
      </c>
      <c r="X239" s="59">
        <v>45719.486805555563</v>
      </c>
      <c r="Y239" s="25"/>
      <c r="Z239" s="25">
        <v>0.4</v>
      </c>
      <c r="AA239" s="25"/>
      <c r="AB239" s="25" t="s">
        <v>2521</v>
      </c>
      <c r="AC239" s="27" t="s">
        <v>2591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3647</v>
      </c>
      <c r="H240" s="25" t="s">
        <v>2507</v>
      </c>
      <c r="I240" s="25"/>
      <c r="J240" s="25"/>
      <c r="K240" s="25"/>
      <c r="L240" s="25"/>
      <c r="M240" s="26"/>
      <c r="N240" s="25"/>
      <c r="O240" s="26"/>
      <c r="P240" s="27"/>
      <c r="Q240" s="25" t="s">
        <v>3650</v>
      </c>
      <c r="R240" s="25" t="s">
        <v>2516</v>
      </c>
      <c r="S240" s="25" t="s">
        <v>25</v>
      </c>
      <c r="T240" s="25">
        <v>1</v>
      </c>
      <c r="U240" s="25" t="s">
        <v>2517</v>
      </c>
      <c r="V240" s="25" t="s">
        <v>3855</v>
      </c>
      <c r="W240" s="25" t="s">
        <v>3856</v>
      </c>
      <c r="X240" s="59">
        <v>45719.584027777782</v>
      </c>
      <c r="Y240" s="25"/>
      <c r="Z240" s="25">
        <v>0.4</v>
      </c>
      <c r="AA240" s="25"/>
      <c r="AB240" s="25" t="s">
        <v>2521</v>
      </c>
      <c r="AC240" s="27" t="s">
        <v>2591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3033</v>
      </c>
      <c r="H241" s="25" t="s">
        <v>2507</v>
      </c>
      <c r="I241" s="25"/>
      <c r="J241" s="25"/>
      <c r="K241" s="25"/>
      <c r="L241" s="25"/>
      <c r="M241" s="26"/>
      <c r="N241" s="25"/>
      <c r="O241" s="26"/>
      <c r="P241" s="27"/>
      <c r="Q241" s="25" t="s">
        <v>3037</v>
      </c>
      <c r="R241" s="25" t="s">
        <v>2516</v>
      </c>
      <c r="S241" s="25" t="s">
        <v>25</v>
      </c>
      <c r="T241" s="25">
        <v>1</v>
      </c>
      <c r="U241" s="25" t="s">
        <v>2517</v>
      </c>
      <c r="V241" s="25" t="s">
        <v>3857</v>
      </c>
      <c r="W241" s="25" t="s">
        <v>3858</v>
      </c>
      <c r="X241" s="59">
        <v>45719.606944444437</v>
      </c>
      <c r="Y241" s="25"/>
      <c r="Z241" s="25">
        <v>0.3</v>
      </c>
      <c r="AA241" s="25"/>
      <c r="AB241" s="25" t="s">
        <v>2521</v>
      </c>
      <c r="AC241" s="27" t="s">
        <v>2591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3859</v>
      </c>
      <c r="H242" s="25" t="s">
        <v>2507</v>
      </c>
      <c r="I242" s="25"/>
      <c r="J242" s="25"/>
      <c r="K242" s="25"/>
      <c r="L242" s="25"/>
      <c r="M242" s="26"/>
      <c r="N242" s="25"/>
      <c r="O242" s="26"/>
      <c r="P242" s="27"/>
      <c r="Q242" s="25" t="s">
        <v>3860</v>
      </c>
      <c r="R242" s="25" t="s">
        <v>2516</v>
      </c>
      <c r="S242" s="25" t="s">
        <v>25</v>
      </c>
      <c r="T242" s="25">
        <v>1</v>
      </c>
      <c r="U242" s="25" t="s">
        <v>2517</v>
      </c>
      <c r="V242" s="25" t="s">
        <v>3861</v>
      </c>
      <c r="W242" s="25" t="s">
        <v>3862</v>
      </c>
      <c r="X242" s="59">
        <v>45719.634722222218</v>
      </c>
      <c r="Y242" s="25"/>
      <c r="Z242" s="25">
        <v>0.3</v>
      </c>
      <c r="AA242" s="25"/>
      <c r="AB242" s="25" t="s">
        <v>2521</v>
      </c>
      <c r="AC242" s="27" t="s">
        <v>2591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3863</v>
      </c>
      <c r="G243" s="25" t="s">
        <v>3864</v>
      </c>
      <c r="H243" s="25" t="s">
        <v>2507</v>
      </c>
      <c r="I243" s="25"/>
      <c r="J243" s="25"/>
      <c r="K243" s="25"/>
      <c r="L243" s="25"/>
      <c r="M243" s="26"/>
      <c r="N243" s="25"/>
      <c r="O243" s="26"/>
      <c r="P243" s="27"/>
      <c r="Q243" s="25" t="s">
        <v>3865</v>
      </c>
      <c r="R243" s="25" t="s">
        <v>2516</v>
      </c>
      <c r="S243" s="25" t="s">
        <v>25</v>
      </c>
      <c r="T243" s="25">
        <v>1</v>
      </c>
      <c r="U243" s="25" t="s">
        <v>2517</v>
      </c>
      <c r="V243" s="25" t="s">
        <v>3866</v>
      </c>
      <c r="W243" s="25" t="s">
        <v>3867</v>
      </c>
      <c r="X243" s="59">
        <v>45719.661805555559</v>
      </c>
      <c r="Y243" s="25"/>
      <c r="Z243" s="25">
        <v>0.4</v>
      </c>
      <c r="AA243" s="25"/>
      <c r="AB243" s="25" t="s">
        <v>2521</v>
      </c>
      <c r="AC243" s="27" t="s">
        <v>2591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3868</v>
      </c>
      <c r="G244" s="25" t="s">
        <v>3869</v>
      </c>
      <c r="H244" s="25" t="s">
        <v>2507</v>
      </c>
      <c r="I244" s="25"/>
      <c r="J244" s="25"/>
      <c r="K244" s="25"/>
      <c r="L244" s="25"/>
      <c r="M244" s="26"/>
      <c r="N244" s="25"/>
      <c r="O244" s="26"/>
      <c r="P244" s="27"/>
      <c r="Q244" s="25" t="s">
        <v>3870</v>
      </c>
      <c r="R244" s="25" t="s">
        <v>2516</v>
      </c>
      <c r="S244" s="25" t="s">
        <v>25</v>
      </c>
      <c r="T244" s="25">
        <v>1</v>
      </c>
      <c r="U244" s="25" t="s">
        <v>2517</v>
      </c>
      <c r="V244" s="25" t="s">
        <v>3871</v>
      </c>
      <c r="W244" s="25" t="s">
        <v>3872</v>
      </c>
      <c r="X244" s="59">
        <v>45719.701388888891</v>
      </c>
      <c r="Y244" s="25"/>
      <c r="Z244" s="25">
        <v>12.3</v>
      </c>
      <c r="AA244" s="25"/>
      <c r="AB244" s="25" t="s">
        <v>2521</v>
      </c>
      <c r="AC244" s="27" t="s">
        <v>2591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3873</v>
      </c>
      <c r="E245" s="25" t="s">
        <v>2843</v>
      </c>
      <c r="F245" s="25">
        <v>2691</v>
      </c>
      <c r="G245" s="25" t="s">
        <v>2995</v>
      </c>
      <c r="H245" s="25" t="s">
        <v>2996</v>
      </c>
      <c r="I245" s="25" t="s">
        <v>3874</v>
      </c>
      <c r="J245" s="25" t="s">
        <v>2509</v>
      </c>
      <c r="K245" s="25" t="s">
        <v>2568</v>
      </c>
      <c r="L245" s="25" t="s">
        <v>2846</v>
      </c>
      <c r="M245" s="26" t="s">
        <v>2847</v>
      </c>
      <c r="N245" s="25">
        <v>2401</v>
      </c>
      <c r="O245" s="26" t="s">
        <v>2848</v>
      </c>
      <c r="P245" s="27" t="s">
        <v>3875</v>
      </c>
      <c r="Q245" s="25" t="s">
        <v>2997</v>
      </c>
      <c r="R245" s="25" t="s">
        <v>2516</v>
      </c>
      <c r="S245" s="25" t="s">
        <v>185</v>
      </c>
      <c r="T245" s="25">
        <v>1</v>
      </c>
      <c r="U245" s="25" t="s">
        <v>2517</v>
      </c>
      <c r="V245" s="25" t="s">
        <v>3876</v>
      </c>
      <c r="W245" s="25" t="s">
        <v>3877</v>
      </c>
      <c r="X245" s="59">
        <v>45720.423611111109</v>
      </c>
      <c r="Y245" s="25" t="s">
        <v>3878</v>
      </c>
      <c r="Z245" s="25">
        <v>0.5</v>
      </c>
      <c r="AA245" s="25"/>
      <c r="AB245" s="25" t="s">
        <v>2521</v>
      </c>
      <c r="AC245" s="27" t="s">
        <v>3879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3880</v>
      </c>
      <c r="H246" s="25" t="s">
        <v>2507</v>
      </c>
      <c r="I246" s="25"/>
      <c r="J246" s="25"/>
      <c r="K246" s="25"/>
      <c r="L246" s="25"/>
      <c r="M246" s="26"/>
      <c r="N246" s="25"/>
      <c r="O246" s="26"/>
      <c r="P246" s="27"/>
      <c r="Q246" s="25" t="s">
        <v>3881</v>
      </c>
      <c r="R246" s="25" t="s">
        <v>2516</v>
      </c>
      <c r="S246" s="25" t="s">
        <v>25</v>
      </c>
      <c r="T246" s="25">
        <v>1</v>
      </c>
      <c r="U246" s="25" t="s">
        <v>2517</v>
      </c>
      <c r="V246" s="25" t="s">
        <v>3882</v>
      </c>
      <c r="W246" s="25" t="s">
        <v>3883</v>
      </c>
      <c r="X246" s="59">
        <v>45720.458333333343</v>
      </c>
      <c r="Y246" s="25"/>
      <c r="Z246" s="25">
        <v>0.3</v>
      </c>
      <c r="AA246" s="25"/>
      <c r="AB246" s="25" t="s">
        <v>2521</v>
      </c>
      <c r="AC246" s="27" t="s">
        <v>2591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3884</v>
      </c>
      <c r="H247" s="25" t="s">
        <v>2507</v>
      </c>
      <c r="I247" s="25"/>
      <c r="J247" s="25"/>
      <c r="K247" s="25"/>
      <c r="L247" s="25"/>
      <c r="M247" s="26"/>
      <c r="N247" s="25"/>
      <c r="O247" s="26"/>
      <c r="P247" s="27"/>
      <c r="Q247" s="25" t="s">
        <v>3885</v>
      </c>
      <c r="R247" s="25" t="s">
        <v>2516</v>
      </c>
      <c r="S247" s="25" t="s">
        <v>25</v>
      </c>
      <c r="T247" s="25">
        <v>1</v>
      </c>
      <c r="U247" s="25" t="s">
        <v>2517</v>
      </c>
      <c r="V247" s="25" t="s">
        <v>3886</v>
      </c>
      <c r="W247" s="25" t="s">
        <v>3887</v>
      </c>
      <c r="X247" s="59">
        <v>45720.493055555547</v>
      </c>
      <c r="Y247" s="25"/>
      <c r="Z247" s="25">
        <v>0.3</v>
      </c>
      <c r="AA247" s="25"/>
      <c r="AB247" s="25" t="s">
        <v>2521</v>
      </c>
      <c r="AC247" s="27" t="s">
        <v>2591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3780</v>
      </c>
      <c r="H248" s="25" t="s">
        <v>2507</v>
      </c>
      <c r="I248" s="25"/>
      <c r="J248" s="25"/>
      <c r="K248" s="25"/>
      <c r="L248" s="25"/>
      <c r="M248" s="26"/>
      <c r="N248" s="25"/>
      <c r="O248" s="26"/>
      <c r="P248" s="27"/>
      <c r="Q248" s="25" t="s">
        <v>3784</v>
      </c>
      <c r="R248" s="25" t="s">
        <v>2516</v>
      </c>
      <c r="S248" s="25" t="s">
        <v>25</v>
      </c>
      <c r="T248" s="25">
        <v>1</v>
      </c>
      <c r="U248" s="25" t="s">
        <v>2517</v>
      </c>
      <c r="V248" s="25" t="s">
        <v>3888</v>
      </c>
      <c r="W248" s="25" t="s">
        <v>3889</v>
      </c>
      <c r="X248" s="59">
        <v>45720.579861111109</v>
      </c>
      <c r="Y248" s="25"/>
      <c r="Z248" s="25">
        <v>0.4</v>
      </c>
      <c r="AA248" s="25"/>
      <c r="AB248" s="25" t="s">
        <v>2521</v>
      </c>
      <c r="AC248" s="27" t="s">
        <v>2591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3890</v>
      </c>
      <c r="G249" s="25" t="s">
        <v>3891</v>
      </c>
      <c r="H249" s="25" t="s">
        <v>2641</v>
      </c>
      <c r="I249" s="25"/>
      <c r="J249" s="25"/>
      <c r="K249" s="25"/>
      <c r="L249" s="25"/>
      <c r="M249" s="26"/>
      <c r="N249" s="25"/>
      <c r="O249" s="26"/>
      <c r="P249" s="27"/>
      <c r="Q249" s="25" t="s">
        <v>3892</v>
      </c>
      <c r="R249" s="25" t="s">
        <v>2516</v>
      </c>
      <c r="S249" s="25" t="s">
        <v>25</v>
      </c>
      <c r="T249" s="25">
        <v>1</v>
      </c>
      <c r="U249" s="25" t="s">
        <v>2517</v>
      </c>
      <c r="V249" s="25" t="s">
        <v>3893</v>
      </c>
      <c r="W249" s="25" t="s">
        <v>3894</v>
      </c>
      <c r="X249" s="59">
        <v>45720.59375</v>
      </c>
      <c r="Y249" s="25"/>
      <c r="Z249" s="25">
        <v>0.3</v>
      </c>
      <c r="AA249" s="25"/>
      <c r="AB249" s="25" t="s">
        <v>2521</v>
      </c>
      <c r="AC249" s="27" t="s">
        <v>2591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3895</v>
      </c>
      <c r="G250" s="25" t="s">
        <v>3896</v>
      </c>
      <c r="H250" s="25" t="s">
        <v>2507</v>
      </c>
      <c r="I250" s="25"/>
      <c r="J250" s="25"/>
      <c r="K250" s="25"/>
      <c r="L250" s="25"/>
      <c r="M250" s="26"/>
      <c r="N250" s="25"/>
      <c r="O250" s="26"/>
      <c r="P250" s="27"/>
      <c r="Q250" s="25" t="s">
        <v>3897</v>
      </c>
      <c r="R250" s="25" t="s">
        <v>2516</v>
      </c>
      <c r="S250" s="25" t="s">
        <v>25</v>
      </c>
      <c r="T250" s="25">
        <v>1</v>
      </c>
      <c r="U250" s="25" t="s">
        <v>2517</v>
      </c>
      <c r="V250" s="25" t="s">
        <v>3898</v>
      </c>
      <c r="W250" s="25" t="s">
        <v>3899</v>
      </c>
      <c r="X250" s="59">
        <v>45720.618055555547</v>
      </c>
      <c r="Y250" s="25"/>
      <c r="Z250" s="25">
        <v>0.3</v>
      </c>
      <c r="AA250" s="25"/>
      <c r="AB250" s="25" t="s">
        <v>2521</v>
      </c>
      <c r="AC250" s="27" t="s">
        <v>2591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3900</v>
      </c>
      <c r="H251" s="25" t="s">
        <v>2507</v>
      </c>
      <c r="I251" s="25"/>
      <c r="J251" s="25"/>
      <c r="K251" s="25"/>
      <c r="L251" s="25"/>
      <c r="M251" s="26"/>
      <c r="N251" s="25"/>
      <c r="O251" s="26"/>
      <c r="P251" s="27"/>
      <c r="Q251" s="25" t="s">
        <v>3901</v>
      </c>
      <c r="R251" s="25" t="s">
        <v>2516</v>
      </c>
      <c r="S251" s="25" t="s">
        <v>25</v>
      </c>
      <c r="T251" s="25">
        <v>1</v>
      </c>
      <c r="U251" s="25" t="s">
        <v>2517</v>
      </c>
      <c r="V251" s="25" t="s">
        <v>3902</v>
      </c>
      <c r="W251" s="25" t="s">
        <v>3903</v>
      </c>
      <c r="X251" s="59">
        <v>45720.640972222223</v>
      </c>
      <c r="Y251" s="25"/>
      <c r="Z251" s="25">
        <v>0.4</v>
      </c>
      <c r="AA251" s="25"/>
      <c r="AB251" s="25" t="s">
        <v>2521</v>
      </c>
      <c r="AC251" s="27" t="s">
        <v>2591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3904</v>
      </c>
      <c r="H252" s="25" t="s">
        <v>2641</v>
      </c>
      <c r="I252" s="25"/>
      <c r="J252" s="25"/>
      <c r="K252" s="25"/>
      <c r="L252" s="25"/>
      <c r="M252" s="26"/>
      <c r="N252" s="25"/>
      <c r="O252" s="26"/>
      <c r="P252" s="27"/>
      <c r="Q252" s="25" t="s">
        <v>3905</v>
      </c>
      <c r="R252" s="25" t="s">
        <v>2516</v>
      </c>
      <c r="S252" s="25" t="s">
        <v>25</v>
      </c>
      <c r="T252" s="25">
        <v>1</v>
      </c>
      <c r="U252" s="25" t="s">
        <v>2517</v>
      </c>
      <c r="V252" s="25" t="s">
        <v>3906</v>
      </c>
      <c r="W252" s="25" t="s">
        <v>3907</v>
      </c>
      <c r="X252" s="59">
        <v>45720.671527777777</v>
      </c>
      <c r="Y252" s="25"/>
      <c r="Z252" s="25">
        <v>0.3</v>
      </c>
      <c r="AA252" s="25"/>
      <c r="AB252" s="25" t="s">
        <v>2521</v>
      </c>
      <c r="AC252" s="27" t="s">
        <v>2591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3908</v>
      </c>
      <c r="H253" s="25" t="s">
        <v>2507</v>
      </c>
      <c r="I253" s="25"/>
      <c r="J253" s="25"/>
      <c r="K253" s="25"/>
      <c r="L253" s="25"/>
      <c r="M253" s="26"/>
      <c r="N253" s="25"/>
      <c r="O253" s="26"/>
      <c r="P253" s="27"/>
      <c r="Q253" s="25" t="s">
        <v>3909</v>
      </c>
      <c r="R253" s="25" t="s">
        <v>2516</v>
      </c>
      <c r="S253" s="25" t="s">
        <v>25</v>
      </c>
      <c r="T253" s="25">
        <v>1</v>
      </c>
      <c r="U253" s="25" t="s">
        <v>2517</v>
      </c>
      <c r="V253" s="25" t="s">
        <v>3910</v>
      </c>
      <c r="W253" s="25" t="s">
        <v>3911</v>
      </c>
      <c r="X253" s="59">
        <v>45721.49722222222</v>
      </c>
      <c r="Y253" s="25"/>
      <c r="Z253" s="25">
        <v>0.4</v>
      </c>
      <c r="AA253" s="25"/>
      <c r="AB253" s="25" t="s">
        <v>2521</v>
      </c>
      <c r="AC253" s="27" t="s">
        <v>2591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3912</v>
      </c>
      <c r="E254" s="25" t="s">
        <v>2504</v>
      </c>
      <c r="F254" s="25">
        <v>2069</v>
      </c>
      <c r="G254" s="25" t="s">
        <v>3806</v>
      </c>
      <c r="H254" s="25" t="s">
        <v>2609</v>
      </c>
      <c r="I254" s="25" t="s">
        <v>3913</v>
      </c>
      <c r="J254" s="25" t="s">
        <v>2536</v>
      </c>
      <c r="K254" s="25" t="s">
        <v>2510</v>
      </c>
      <c r="L254" s="25" t="s">
        <v>2662</v>
      </c>
      <c r="M254" s="26" t="s">
        <v>2663</v>
      </c>
      <c r="N254" s="25">
        <v>2705</v>
      </c>
      <c r="O254" s="26" t="s">
        <v>3240</v>
      </c>
      <c r="P254" s="27" t="s">
        <v>3914</v>
      </c>
      <c r="Q254" s="25" t="s">
        <v>3809</v>
      </c>
      <c r="R254" s="25" t="s">
        <v>2516</v>
      </c>
      <c r="S254" s="25" t="s">
        <v>173</v>
      </c>
      <c r="T254" s="25">
        <v>1</v>
      </c>
      <c r="U254" s="25" t="s">
        <v>2517</v>
      </c>
      <c r="V254" s="25" t="s">
        <v>3915</v>
      </c>
      <c r="W254" s="25" t="s">
        <v>3916</v>
      </c>
      <c r="X254" s="59">
        <v>45722.62222222222</v>
      </c>
      <c r="Y254" s="25" t="s">
        <v>3917</v>
      </c>
      <c r="Z254" s="25">
        <v>0.4</v>
      </c>
      <c r="AA254" s="25"/>
      <c r="AB254" s="25" t="s">
        <v>2521</v>
      </c>
      <c r="AC254" s="27" t="s">
        <v>3918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3709</v>
      </c>
      <c r="H255" s="25" t="s">
        <v>2641</v>
      </c>
      <c r="I255" s="25"/>
      <c r="J255" s="25"/>
      <c r="K255" s="25"/>
      <c r="L255" s="25">
        <v>2</v>
      </c>
      <c r="M255" s="26" t="s">
        <v>3919</v>
      </c>
      <c r="N255" s="25" t="s">
        <v>3920</v>
      </c>
      <c r="O255" s="26" t="s">
        <v>3921</v>
      </c>
      <c r="P255" s="27"/>
      <c r="Q255" s="25" t="s">
        <v>3710</v>
      </c>
      <c r="R255" s="25" t="s">
        <v>2516</v>
      </c>
      <c r="S255" s="25" t="s">
        <v>25</v>
      </c>
      <c r="T255" s="25">
        <v>1</v>
      </c>
      <c r="U255" s="25" t="s">
        <v>2517</v>
      </c>
      <c r="V255" s="25" t="s">
        <v>3922</v>
      </c>
      <c r="W255" s="25" t="s">
        <v>3923</v>
      </c>
      <c r="X255" s="59">
        <v>45721.541666666657</v>
      </c>
      <c r="Y255" s="25"/>
      <c r="Z255" s="25">
        <v>1</v>
      </c>
      <c r="AA255" s="25"/>
      <c r="AB255" s="25" t="s">
        <v>2521</v>
      </c>
      <c r="AC255" s="27" t="s">
        <v>3924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3925</v>
      </c>
      <c r="E256" s="25" t="s">
        <v>2504</v>
      </c>
      <c r="F256" s="25" t="s">
        <v>2579</v>
      </c>
      <c r="G256" s="25" t="s">
        <v>2580</v>
      </c>
      <c r="H256" s="25" t="s">
        <v>1604</v>
      </c>
      <c r="I256" s="25" t="s">
        <v>3926</v>
      </c>
      <c r="J256" s="25" t="s">
        <v>2536</v>
      </c>
      <c r="K256" s="25" t="s">
        <v>2510</v>
      </c>
      <c r="L256" s="25" t="s">
        <v>2511</v>
      </c>
      <c r="M256" s="26" t="s">
        <v>2512</v>
      </c>
      <c r="N256" s="25">
        <v>2307</v>
      </c>
      <c r="O256" s="26" t="s">
        <v>2678</v>
      </c>
      <c r="P256" s="27" t="s">
        <v>3927</v>
      </c>
      <c r="Q256" s="25" t="s">
        <v>2584</v>
      </c>
      <c r="R256" s="25" t="s">
        <v>2516</v>
      </c>
      <c r="S256" s="25" t="s">
        <v>25</v>
      </c>
      <c r="T256" s="25">
        <v>1</v>
      </c>
      <c r="U256" s="25" t="s">
        <v>2517</v>
      </c>
      <c r="V256" s="25" t="s">
        <v>3928</v>
      </c>
      <c r="W256" s="25" t="s">
        <v>3929</v>
      </c>
      <c r="X256" s="59">
        <v>45722.486111111109</v>
      </c>
      <c r="Y256" s="25" t="s">
        <v>3930</v>
      </c>
      <c r="Z256" s="25">
        <v>0.8</v>
      </c>
      <c r="AA256" s="25"/>
      <c r="AB256" s="25" t="s">
        <v>2521</v>
      </c>
      <c r="AC256" s="27" t="s">
        <v>3931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3200</v>
      </c>
      <c r="H257" s="25" t="s">
        <v>2641</v>
      </c>
      <c r="I257" s="25"/>
      <c r="J257" s="25"/>
      <c r="K257" s="25"/>
      <c r="L257" s="25"/>
      <c r="M257" s="26"/>
      <c r="N257" s="25"/>
      <c r="O257" s="26"/>
      <c r="P257" s="27"/>
      <c r="Q257" s="25" t="s">
        <v>3203</v>
      </c>
      <c r="R257" s="25" t="s">
        <v>2516</v>
      </c>
      <c r="S257" s="25" t="s">
        <v>25</v>
      </c>
      <c r="T257" s="25">
        <v>1</v>
      </c>
      <c r="U257" s="25" t="s">
        <v>2517</v>
      </c>
      <c r="V257" s="25" t="s">
        <v>3932</v>
      </c>
      <c r="W257" s="25" t="s">
        <v>3933</v>
      </c>
      <c r="X257" s="59">
        <v>45721.678472222222</v>
      </c>
      <c r="Y257" s="25"/>
      <c r="Z257" s="25">
        <v>0.3</v>
      </c>
      <c r="AA257" s="25"/>
      <c r="AB257" s="25" t="s">
        <v>2521</v>
      </c>
      <c r="AC257" s="27" t="s">
        <v>2591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3160</v>
      </c>
      <c r="H258" s="25" t="s">
        <v>2641</v>
      </c>
      <c r="I258" s="25"/>
      <c r="J258" s="25"/>
      <c r="K258" s="25"/>
      <c r="L258" s="25"/>
      <c r="M258" s="26"/>
      <c r="N258" s="25"/>
      <c r="O258" s="26"/>
      <c r="P258" s="27"/>
      <c r="Q258" s="25" t="s">
        <v>3163</v>
      </c>
      <c r="R258" s="25" t="s">
        <v>2516</v>
      </c>
      <c r="S258" s="25" t="s">
        <v>25</v>
      </c>
      <c r="T258" s="25">
        <v>1</v>
      </c>
      <c r="U258" s="25" t="s">
        <v>2517</v>
      </c>
      <c r="V258" s="25" t="s">
        <v>3934</v>
      </c>
      <c r="W258" s="25" t="s">
        <v>3935</v>
      </c>
      <c r="X258" s="59">
        <v>45721.706944444442</v>
      </c>
      <c r="Y258" s="25"/>
      <c r="Z258" s="25">
        <v>0.5</v>
      </c>
      <c r="AA258" s="25"/>
      <c r="AB258" s="25" t="s">
        <v>2521</v>
      </c>
      <c r="AC258" s="27" t="s">
        <v>2591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3936</v>
      </c>
      <c r="H259" s="25" t="s">
        <v>2659</v>
      </c>
      <c r="I259" s="25"/>
      <c r="J259" s="25"/>
      <c r="K259" s="25"/>
      <c r="L259" s="25"/>
      <c r="M259" s="26"/>
      <c r="N259" s="25"/>
      <c r="O259" s="26"/>
      <c r="P259" s="27"/>
      <c r="Q259" s="25" t="s">
        <v>3937</v>
      </c>
      <c r="R259" s="25" t="s">
        <v>2516</v>
      </c>
      <c r="S259" s="25" t="s">
        <v>185</v>
      </c>
      <c r="T259" s="25">
        <v>1</v>
      </c>
      <c r="U259" s="25" t="s">
        <v>2517</v>
      </c>
      <c r="V259" s="25" t="s">
        <v>3938</v>
      </c>
      <c r="W259" s="25" t="s">
        <v>3939</v>
      </c>
      <c r="X259" s="59">
        <v>45722.666666666657</v>
      </c>
      <c r="Y259" s="25"/>
      <c r="Z259" s="25">
        <v>7</v>
      </c>
      <c r="AA259" s="25"/>
      <c r="AB259" s="25" t="s">
        <v>2521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3940</v>
      </c>
      <c r="E260" s="25" t="s">
        <v>2504</v>
      </c>
      <c r="F260" s="25">
        <v>3770</v>
      </c>
      <c r="G260" s="25" t="s">
        <v>3014</v>
      </c>
      <c r="H260" s="25" t="s">
        <v>2996</v>
      </c>
      <c r="I260" s="25" t="s">
        <v>3941</v>
      </c>
      <c r="J260" s="25" t="s">
        <v>2835</v>
      </c>
      <c r="K260" s="25" t="s">
        <v>2510</v>
      </c>
      <c r="L260" s="25" t="s">
        <v>2511</v>
      </c>
      <c r="M260" s="26" t="s">
        <v>2512</v>
      </c>
      <c r="N260" s="25">
        <v>2302</v>
      </c>
      <c r="O260" s="26" t="s">
        <v>2550</v>
      </c>
      <c r="P260" s="27" t="s">
        <v>3942</v>
      </c>
      <c r="Q260" s="25" t="s">
        <v>3015</v>
      </c>
      <c r="R260" s="25" t="s">
        <v>2516</v>
      </c>
      <c r="S260" s="25" t="s">
        <v>185</v>
      </c>
      <c r="T260" s="25">
        <v>1</v>
      </c>
      <c r="U260" s="25" t="s">
        <v>2517</v>
      </c>
      <c r="V260" s="25" t="s">
        <v>3943</v>
      </c>
      <c r="W260" s="25" t="s">
        <v>3944</v>
      </c>
      <c r="X260" s="59">
        <v>45723.5</v>
      </c>
      <c r="Y260" s="25" t="s">
        <v>3945</v>
      </c>
      <c r="Z260" s="25">
        <v>1</v>
      </c>
      <c r="AA260" s="25"/>
      <c r="AB260" s="25" t="s">
        <v>2521</v>
      </c>
      <c r="AC260" s="27" t="s">
        <v>3946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3936</v>
      </c>
      <c r="H261" s="25" t="s">
        <v>2659</v>
      </c>
      <c r="I261" s="25"/>
      <c r="J261" s="25"/>
      <c r="K261" s="25"/>
      <c r="L261" s="25"/>
      <c r="M261" s="26"/>
      <c r="N261" s="25"/>
      <c r="O261" s="26"/>
      <c r="P261" s="27"/>
      <c r="Q261" s="25" t="s">
        <v>3937</v>
      </c>
      <c r="R261" s="25" t="s">
        <v>2516</v>
      </c>
      <c r="S261" s="25" t="s">
        <v>185</v>
      </c>
      <c r="T261" s="25">
        <v>1</v>
      </c>
      <c r="U261" s="25" t="s">
        <v>2517</v>
      </c>
      <c r="V261" s="25" t="s">
        <v>3947</v>
      </c>
      <c r="W261" s="25" t="s">
        <v>3939</v>
      </c>
      <c r="X261" s="59">
        <v>45722.666666666657</v>
      </c>
      <c r="Y261" s="25"/>
      <c r="Z261" s="25">
        <v>7</v>
      </c>
      <c r="AA261" s="25"/>
      <c r="AB261" s="25" t="s">
        <v>2521</v>
      </c>
      <c r="AC261" s="27" t="s">
        <v>3948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3949</v>
      </c>
      <c r="E262" s="25" t="s">
        <v>2504</v>
      </c>
      <c r="F262" s="25" t="s">
        <v>3950</v>
      </c>
      <c r="G262" s="25" t="s">
        <v>3951</v>
      </c>
      <c r="H262" s="25" t="s">
        <v>2609</v>
      </c>
      <c r="I262" s="25" t="s">
        <v>3952</v>
      </c>
      <c r="J262" s="25" t="s">
        <v>2835</v>
      </c>
      <c r="K262" s="25" t="s">
        <v>2510</v>
      </c>
      <c r="L262" s="25" t="s">
        <v>2511</v>
      </c>
      <c r="M262" s="26" t="s">
        <v>2512</v>
      </c>
      <c r="N262" s="25">
        <v>2301</v>
      </c>
      <c r="O262" s="26" t="s">
        <v>3953</v>
      </c>
      <c r="P262" s="27" t="s">
        <v>3954</v>
      </c>
      <c r="Q262" s="25" t="s">
        <v>3955</v>
      </c>
      <c r="R262" s="25" t="s">
        <v>2516</v>
      </c>
      <c r="S262" s="25" t="s">
        <v>173</v>
      </c>
      <c r="T262" s="25">
        <v>1</v>
      </c>
      <c r="U262" s="25" t="s">
        <v>2517</v>
      </c>
      <c r="V262" s="25" t="s">
        <v>3956</v>
      </c>
      <c r="W262" s="25" t="s">
        <v>3957</v>
      </c>
      <c r="X262" s="59">
        <v>45723.600694444453</v>
      </c>
      <c r="Y262" s="25" t="s">
        <v>3958</v>
      </c>
      <c r="Z262" s="25">
        <v>0.4</v>
      </c>
      <c r="AA262" s="25"/>
      <c r="AB262" s="25" t="s">
        <v>2521</v>
      </c>
      <c r="AC262" s="27" t="s">
        <v>3959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3960</v>
      </c>
      <c r="E263" s="25" t="s">
        <v>2504</v>
      </c>
      <c r="F263" s="25">
        <v>3892</v>
      </c>
      <c r="G263" s="25" t="s">
        <v>3709</v>
      </c>
      <c r="H263" s="25" t="s">
        <v>2641</v>
      </c>
      <c r="I263" s="25" t="s">
        <v>3961</v>
      </c>
      <c r="J263" s="25" t="s">
        <v>2567</v>
      </c>
      <c r="K263" s="25" t="s">
        <v>2568</v>
      </c>
      <c r="L263" s="25" t="s">
        <v>2569</v>
      </c>
      <c r="M263" s="26" t="s">
        <v>2570</v>
      </c>
      <c r="N263" s="25">
        <v>2501</v>
      </c>
      <c r="O263" s="26" t="s">
        <v>2571</v>
      </c>
      <c r="P263" s="27" t="s">
        <v>3962</v>
      </c>
      <c r="Q263" s="25" t="s">
        <v>3710</v>
      </c>
      <c r="R263" s="25" t="s">
        <v>2516</v>
      </c>
      <c r="S263" s="25" t="s">
        <v>25</v>
      </c>
      <c r="T263" s="25">
        <v>1</v>
      </c>
      <c r="U263" s="25" t="s">
        <v>2517</v>
      </c>
      <c r="V263" s="25" t="s">
        <v>3963</v>
      </c>
      <c r="W263" s="25" t="s">
        <v>3964</v>
      </c>
      <c r="X263" s="59">
        <v>45723.461805555547</v>
      </c>
      <c r="Y263" s="25" t="s">
        <v>3965</v>
      </c>
      <c r="Z263" s="25">
        <v>0.5</v>
      </c>
      <c r="AA263" s="25"/>
      <c r="AB263" s="25" t="s">
        <v>2521</v>
      </c>
      <c r="AC263" s="27" t="s">
        <v>3966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3967</v>
      </c>
      <c r="E264" s="25" t="s">
        <v>2504</v>
      </c>
      <c r="F264" s="25" t="s">
        <v>3950</v>
      </c>
      <c r="G264" s="25" t="s">
        <v>3951</v>
      </c>
      <c r="H264" s="25" t="s">
        <v>2609</v>
      </c>
      <c r="I264" s="25" t="s">
        <v>3968</v>
      </c>
      <c r="J264" s="25" t="s">
        <v>2567</v>
      </c>
      <c r="K264" s="25" t="s">
        <v>2510</v>
      </c>
      <c r="L264" s="25" t="s">
        <v>3483</v>
      </c>
      <c r="M264" s="26" t="s">
        <v>3484</v>
      </c>
      <c r="N264" s="25">
        <v>6003</v>
      </c>
      <c r="O264" s="26" t="s">
        <v>3152</v>
      </c>
      <c r="P264" s="27" t="s">
        <v>3969</v>
      </c>
      <c r="Q264" s="25" t="s">
        <v>3955</v>
      </c>
      <c r="R264" s="25" t="s">
        <v>2516</v>
      </c>
      <c r="S264" s="25" t="s">
        <v>173</v>
      </c>
      <c r="T264" s="25">
        <v>1</v>
      </c>
      <c r="U264" s="25" t="s">
        <v>2517</v>
      </c>
      <c r="V264" s="25" t="s">
        <v>3970</v>
      </c>
      <c r="W264" s="25" t="s">
        <v>3957</v>
      </c>
      <c r="X264" s="59">
        <v>45723.600694444453</v>
      </c>
      <c r="Y264" s="25" t="s">
        <v>3971</v>
      </c>
      <c r="Z264" s="25">
        <v>0.4</v>
      </c>
      <c r="AA264" s="25"/>
      <c r="AB264" s="25" t="s">
        <v>2521</v>
      </c>
      <c r="AC264" s="27" t="s">
        <v>3972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3973</v>
      </c>
      <c r="H265" s="25" t="s">
        <v>1604</v>
      </c>
      <c r="I265" s="25"/>
      <c r="J265" s="25"/>
      <c r="K265" s="25"/>
      <c r="L265" s="25"/>
      <c r="M265" s="26"/>
      <c r="N265" s="25"/>
      <c r="O265" s="26"/>
      <c r="P265" s="27"/>
      <c r="Q265" s="25" t="s">
        <v>3974</v>
      </c>
      <c r="R265" s="25" t="s">
        <v>2516</v>
      </c>
      <c r="S265" s="25" t="s">
        <v>25</v>
      </c>
      <c r="T265" s="25">
        <v>1</v>
      </c>
      <c r="U265" s="25" t="s">
        <v>2517</v>
      </c>
      <c r="V265" s="25" t="s">
        <v>3975</v>
      </c>
      <c r="W265" s="25" t="s">
        <v>3976</v>
      </c>
      <c r="X265" s="59">
        <v>45723.629861111112</v>
      </c>
      <c r="Y265" s="25"/>
      <c r="Z265" s="25">
        <v>0.3</v>
      </c>
      <c r="AA265" s="25"/>
      <c r="AB265" s="25" t="s">
        <v>2521</v>
      </c>
      <c r="AC265" s="27" t="s">
        <v>2591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3950</v>
      </c>
      <c r="G266" s="25" t="s">
        <v>3951</v>
      </c>
      <c r="H266" s="25" t="s">
        <v>2609</v>
      </c>
      <c r="I266" s="25"/>
      <c r="J266" s="25"/>
      <c r="K266" s="25"/>
      <c r="L266" s="25"/>
      <c r="M266" s="26"/>
      <c r="N266" s="25"/>
      <c r="O266" s="26"/>
      <c r="P266" s="27"/>
      <c r="Q266" s="25" t="s">
        <v>3955</v>
      </c>
      <c r="R266" s="25" t="s">
        <v>2516</v>
      </c>
      <c r="S266" s="25" t="s">
        <v>173</v>
      </c>
      <c r="T266" s="25">
        <v>1</v>
      </c>
      <c r="U266" s="25" t="s">
        <v>2517</v>
      </c>
      <c r="V266" s="25" t="s">
        <v>3977</v>
      </c>
      <c r="W266" s="25" t="s">
        <v>3978</v>
      </c>
      <c r="X266" s="59">
        <v>45723.647222222222</v>
      </c>
      <c r="Y266" s="25"/>
      <c r="Z266" s="25">
        <v>0.3</v>
      </c>
      <c r="AA266" s="25"/>
      <c r="AB266" s="25" t="s">
        <v>2521</v>
      </c>
      <c r="AC266" s="27" t="s">
        <v>2591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3979</v>
      </c>
      <c r="H267" s="25" t="s">
        <v>1604</v>
      </c>
      <c r="I267" s="25"/>
      <c r="J267" s="25"/>
      <c r="K267" s="25"/>
      <c r="L267" s="25"/>
      <c r="M267" s="26"/>
      <c r="N267" s="25"/>
      <c r="O267" s="26"/>
      <c r="P267" s="27"/>
      <c r="Q267" s="25" t="s">
        <v>3980</v>
      </c>
      <c r="R267" s="25" t="s">
        <v>2516</v>
      </c>
      <c r="S267" s="25" t="s">
        <v>25</v>
      </c>
      <c r="T267" s="25">
        <v>1</v>
      </c>
      <c r="U267" s="25" t="s">
        <v>2517</v>
      </c>
      <c r="V267" s="25" t="s">
        <v>3981</v>
      </c>
      <c r="W267" s="25" t="s">
        <v>3982</v>
      </c>
      <c r="X267" s="59">
        <v>45723.651388888888</v>
      </c>
      <c r="Y267" s="25"/>
      <c r="Z267" s="25">
        <v>0.3</v>
      </c>
      <c r="AA267" s="25"/>
      <c r="AB267" s="25" t="s">
        <v>2521</v>
      </c>
      <c r="AC267" s="27" t="s">
        <v>2591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3983</v>
      </c>
      <c r="E268" s="25" t="s">
        <v>2504</v>
      </c>
      <c r="F268" s="25">
        <v>3811</v>
      </c>
      <c r="G268" s="25" t="s">
        <v>3780</v>
      </c>
      <c r="H268" s="25" t="s">
        <v>2507</v>
      </c>
      <c r="I268" s="25" t="s">
        <v>3984</v>
      </c>
      <c r="J268" s="25" t="s">
        <v>2567</v>
      </c>
      <c r="K268" s="25" t="s">
        <v>2510</v>
      </c>
      <c r="L268" s="25" t="s">
        <v>3483</v>
      </c>
      <c r="M268" s="26" t="s">
        <v>3484</v>
      </c>
      <c r="N268" s="25">
        <v>6004</v>
      </c>
      <c r="O268" s="26" t="s">
        <v>2893</v>
      </c>
      <c r="P268" s="27" t="s">
        <v>3985</v>
      </c>
      <c r="Q268" s="25" t="s">
        <v>3784</v>
      </c>
      <c r="R268" s="25" t="s">
        <v>2516</v>
      </c>
      <c r="S268" s="25" t="s">
        <v>25</v>
      </c>
      <c r="T268" s="25">
        <v>1</v>
      </c>
      <c r="U268" s="25" t="s">
        <v>2517</v>
      </c>
      <c r="V268" s="25" t="s">
        <v>3986</v>
      </c>
      <c r="W268" s="25" t="s">
        <v>3987</v>
      </c>
      <c r="X268" s="59">
        <v>45726.561111111107</v>
      </c>
      <c r="Y268" s="25" t="s">
        <v>3988</v>
      </c>
      <c r="Z268" s="25">
        <v>0.5</v>
      </c>
      <c r="AA268" s="25"/>
      <c r="AB268" s="25" t="s">
        <v>2521</v>
      </c>
      <c r="AC268" s="27" t="s">
        <v>3989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3990</v>
      </c>
      <c r="E269" s="25" t="s">
        <v>2504</v>
      </c>
      <c r="F269" s="25">
        <v>4084</v>
      </c>
      <c r="G269" s="25" t="s">
        <v>2783</v>
      </c>
      <c r="H269" s="25" t="s">
        <v>2507</v>
      </c>
      <c r="I269" s="25" t="s">
        <v>3991</v>
      </c>
      <c r="J269" s="25" t="s">
        <v>2567</v>
      </c>
      <c r="K269" s="25" t="s">
        <v>2717</v>
      </c>
      <c r="L269" s="25" t="s">
        <v>2511</v>
      </c>
      <c r="M269" s="26" t="s">
        <v>2512</v>
      </c>
      <c r="N269" s="25">
        <v>2304</v>
      </c>
      <c r="O269" s="26" t="s">
        <v>2513</v>
      </c>
      <c r="P269" s="27" t="s">
        <v>3992</v>
      </c>
      <c r="Q269" s="25" t="s">
        <v>2784</v>
      </c>
      <c r="R269" s="25" t="s">
        <v>2516</v>
      </c>
      <c r="S269" s="25" t="s">
        <v>25</v>
      </c>
      <c r="T269" s="25">
        <v>1</v>
      </c>
      <c r="U269" s="25" t="s">
        <v>2517</v>
      </c>
      <c r="V269" s="25" t="s">
        <v>3993</v>
      </c>
      <c r="W269" s="25" t="s">
        <v>3994</v>
      </c>
      <c r="X269" s="59">
        <v>45726.540972222218</v>
      </c>
      <c r="Y269" s="25" t="s">
        <v>3995</v>
      </c>
      <c r="Z269" s="25">
        <v>0.5</v>
      </c>
      <c r="AA269" s="25"/>
      <c r="AB269" s="25" t="s">
        <v>2521</v>
      </c>
      <c r="AC269" s="27" t="s">
        <v>3996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3997</v>
      </c>
      <c r="E270" s="25" t="s">
        <v>2504</v>
      </c>
      <c r="F270" s="25">
        <v>3770</v>
      </c>
      <c r="G270" s="25" t="s">
        <v>3014</v>
      </c>
      <c r="H270" s="25" t="s">
        <v>2996</v>
      </c>
      <c r="I270" s="25" t="s">
        <v>3998</v>
      </c>
      <c r="J270" s="25" t="s">
        <v>2930</v>
      </c>
      <c r="K270" s="25" t="s">
        <v>2510</v>
      </c>
      <c r="L270" s="25" t="s">
        <v>2511</v>
      </c>
      <c r="M270" s="26" t="s">
        <v>2512</v>
      </c>
      <c r="N270" s="25">
        <v>2307</v>
      </c>
      <c r="O270" s="26" t="s">
        <v>2678</v>
      </c>
      <c r="P270" s="27" t="s">
        <v>3999</v>
      </c>
      <c r="Q270" s="25" t="s">
        <v>3015</v>
      </c>
      <c r="R270" s="25" t="s">
        <v>2516</v>
      </c>
      <c r="S270" s="25" t="s">
        <v>185</v>
      </c>
      <c r="T270" s="25">
        <v>1</v>
      </c>
      <c r="U270" s="25" t="s">
        <v>2517</v>
      </c>
      <c r="V270" s="25" t="s">
        <v>4000</v>
      </c>
      <c r="W270" s="25" t="s">
        <v>4001</v>
      </c>
      <c r="X270" s="59">
        <v>45726.493055555547</v>
      </c>
      <c r="Y270" s="25" t="s">
        <v>4002</v>
      </c>
      <c r="Z270" s="25">
        <v>0.5</v>
      </c>
      <c r="AA270" s="25"/>
      <c r="AB270" s="25" t="s">
        <v>2521</v>
      </c>
      <c r="AC270" s="27" t="s">
        <v>4003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3338</v>
      </c>
      <c r="H271" s="25" t="s">
        <v>2996</v>
      </c>
      <c r="I271" s="25"/>
      <c r="J271" s="25"/>
      <c r="K271" s="25"/>
      <c r="L271" s="25"/>
      <c r="M271" s="26"/>
      <c r="N271" s="25"/>
      <c r="O271" s="26"/>
      <c r="P271" s="27"/>
      <c r="Q271" s="25" t="s">
        <v>3339</v>
      </c>
      <c r="R271" s="25" t="s">
        <v>2516</v>
      </c>
      <c r="S271" s="25" t="s">
        <v>185</v>
      </c>
      <c r="T271" s="25">
        <v>1</v>
      </c>
      <c r="U271" s="25" t="s">
        <v>2517</v>
      </c>
      <c r="V271" s="25" t="s">
        <v>4004</v>
      </c>
      <c r="W271" s="25" t="s">
        <v>4005</v>
      </c>
      <c r="X271" s="59">
        <v>45726.465277777781</v>
      </c>
      <c r="Y271" s="25"/>
      <c r="Z271" s="25">
        <v>1.2</v>
      </c>
      <c r="AA271" s="25"/>
      <c r="AB271" s="25" t="s">
        <v>2521</v>
      </c>
      <c r="AC271" s="27" t="s">
        <v>4006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4007</v>
      </c>
      <c r="E272" s="25" t="s">
        <v>2504</v>
      </c>
      <c r="F272" s="25">
        <v>3452</v>
      </c>
      <c r="G272" s="25" t="s">
        <v>3904</v>
      </c>
      <c r="H272" s="25" t="s">
        <v>2641</v>
      </c>
      <c r="I272" s="25" t="s">
        <v>4008</v>
      </c>
      <c r="J272" s="25" t="s">
        <v>2661</v>
      </c>
      <c r="K272" s="25" t="s">
        <v>2510</v>
      </c>
      <c r="L272" s="25" t="s">
        <v>2511</v>
      </c>
      <c r="M272" s="26" t="s">
        <v>2512</v>
      </c>
      <c r="N272" s="25">
        <v>2305</v>
      </c>
      <c r="O272" s="26" t="s">
        <v>3035</v>
      </c>
      <c r="P272" s="27" t="s">
        <v>4009</v>
      </c>
      <c r="Q272" s="25" t="s">
        <v>3905</v>
      </c>
      <c r="R272" s="25" t="s">
        <v>2516</v>
      </c>
      <c r="S272" s="25" t="s">
        <v>25</v>
      </c>
      <c r="T272" s="25">
        <v>1</v>
      </c>
      <c r="U272" s="25" t="s">
        <v>2517</v>
      </c>
      <c r="V272" s="25" t="s">
        <v>4010</v>
      </c>
      <c r="W272" s="25" t="s">
        <v>4011</v>
      </c>
      <c r="X272" s="59">
        <v>45727.447222222218</v>
      </c>
      <c r="Y272" s="25" t="s">
        <v>4012</v>
      </c>
      <c r="Z272" s="25">
        <v>0.5</v>
      </c>
      <c r="AA272" s="25"/>
      <c r="AB272" s="25" t="s">
        <v>2521</v>
      </c>
      <c r="AC272" s="27" t="s">
        <v>4013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4014</v>
      </c>
      <c r="E273" s="25" t="s">
        <v>2504</v>
      </c>
      <c r="F273" s="25">
        <v>3965</v>
      </c>
      <c r="G273" s="25" t="s">
        <v>4015</v>
      </c>
      <c r="H273" s="25" t="s">
        <v>2609</v>
      </c>
      <c r="I273" s="25" t="s">
        <v>4016</v>
      </c>
      <c r="J273" s="25" t="s">
        <v>2661</v>
      </c>
      <c r="K273" s="25" t="s">
        <v>2510</v>
      </c>
      <c r="L273" s="25" t="s">
        <v>3483</v>
      </c>
      <c r="M273" s="26" t="s">
        <v>3484</v>
      </c>
      <c r="N273" s="25">
        <v>6003</v>
      </c>
      <c r="O273" s="26" t="s">
        <v>3152</v>
      </c>
      <c r="P273" s="27" t="s">
        <v>4017</v>
      </c>
      <c r="Q273" s="25" t="s">
        <v>4018</v>
      </c>
      <c r="R273" s="25" t="s">
        <v>2516</v>
      </c>
      <c r="S273" s="25" t="s">
        <v>173</v>
      </c>
      <c r="T273" s="25">
        <v>1</v>
      </c>
      <c r="U273" s="25" t="s">
        <v>2517</v>
      </c>
      <c r="V273" s="25" t="s">
        <v>4019</v>
      </c>
      <c r="W273" s="25" t="s">
        <v>4020</v>
      </c>
      <c r="X273" s="59">
        <v>45727.474999999999</v>
      </c>
      <c r="Y273" s="25" t="s">
        <v>4021</v>
      </c>
      <c r="Z273" s="25">
        <v>0.6</v>
      </c>
      <c r="AA273" s="25"/>
      <c r="AB273" s="25" t="s">
        <v>2521</v>
      </c>
      <c r="AC273" s="27" t="s">
        <v>4022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4023</v>
      </c>
      <c r="E274" s="25" t="s">
        <v>2504</v>
      </c>
      <c r="F274" s="25">
        <v>2390</v>
      </c>
      <c r="G274" s="25" t="s">
        <v>3000</v>
      </c>
      <c r="H274" s="25" t="s">
        <v>2996</v>
      </c>
      <c r="I274" s="25" t="s">
        <v>4024</v>
      </c>
      <c r="J274" s="25" t="s">
        <v>2509</v>
      </c>
      <c r="K274" s="25" t="s">
        <v>2568</v>
      </c>
      <c r="L274" s="25" t="s">
        <v>2611</v>
      </c>
      <c r="M274" s="26" t="s">
        <v>2612</v>
      </c>
      <c r="N274" s="25" t="s">
        <v>3110</v>
      </c>
      <c r="O274" s="26" t="s">
        <v>3111</v>
      </c>
      <c r="P274" s="27" t="s">
        <v>4025</v>
      </c>
      <c r="Q274" s="25" t="s">
        <v>3001</v>
      </c>
      <c r="R274" s="25" t="s">
        <v>2516</v>
      </c>
      <c r="S274" s="25" t="s">
        <v>185</v>
      </c>
      <c r="T274" s="25">
        <v>1</v>
      </c>
      <c r="U274" s="25" t="s">
        <v>2517</v>
      </c>
      <c r="V274" s="25" t="s">
        <v>4026</v>
      </c>
      <c r="W274" s="25" t="s">
        <v>4027</v>
      </c>
      <c r="X274" s="59">
        <v>45727.472222222219</v>
      </c>
      <c r="Y274" s="25" t="s">
        <v>4028</v>
      </c>
      <c r="Z274" s="25">
        <v>0.2</v>
      </c>
      <c r="AA274" s="25"/>
      <c r="AB274" s="25" t="s">
        <v>2521</v>
      </c>
      <c r="AC274" s="27" t="s">
        <v>4029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4030</v>
      </c>
      <c r="E275" s="25" t="s">
        <v>2504</v>
      </c>
      <c r="F275" s="25">
        <v>2390</v>
      </c>
      <c r="G275" s="25" t="s">
        <v>3000</v>
      </c>
      <c r="H275" s="25" t="s">
        <v>2996</v>
      </c>
      <c r="I275" s="25" t="s">
        <v>4031</v>
      </c>
      <c r="J275" s="25" t="s">
        <v>2509</v>
      </c>
      <c r="K275" s="25" t="s">
        <v>2568</v>
      </c>
      <c r="L275" s="25" t="s">
        <v>2511</v>
      </c>
      <c r="M275" s="26" t="s">
        <v>2512</v>
      </c>
      <c r="N275" s="25">
        <v>2307</v>
      </c>
      <c r="O275" s="26" t="s">
        <v>2678</v>
      </c>
      <c r="P275" s="27" t="s">
        <v>4032</v>
      </c>
      <c r="Q275" s="25" t="s">
        <v>3001</v>
      </c>
      <c r="R275" s="25" t="s">
        <v>2516</v>
      </c>
      <c r="S275" s="25" t="s">
        <v>185</v>
      </c>
      <c r="T275" s="25">
        <v>1</v>
      </c>
      <c r="U275" s="25" t="s">
        <v>2517</v>
      </c>
      <c r="V275" s="25" t="s">
        <v>4033</v>
      </c>
      <c r="W275" s="25" t="s">
        <v>4034</v>
      </c>
      <c r="X275" s="59">
        <v>45727.465277777781</v>
      </c>
      <c r="Y275" s="25" t="s">
        <v>4035</v>
      </c>
      <c r="Z275" s="25">
        <v>0.5</v>
      </c>
      <c r="AA275" s="25"/>
      <c r="AB275" s="25" t="s">
        <v>2521</v>
      </c>
      <c r="AC275" s="27" t="s">
        <v>4036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4037</v>
      </c>
      <c r="E276" s="25" t="s">
        <v>2504</v>
      </c>
      <c r="F276" s="25">
        <v>5291</v>
      </c>
      <c r="G276" s="25" t="s">
        <v>3936</v>
      </c>
      <c r="H276" s="25" t="s">
        <v>2659</v>
      </c>
      <c r="I276" s="25" t="s">
        <v>4038</v>
      </c>
      <c r="J276" s="25" t="s">
        <v>2509</v>
      </c>
      <c r="K276" s="25" t="s">
        <v>2568</v>
      </c>
      <c r="L276" s="25" t="s">
        <v>2569</v>
      </c>
      <c r="M276" s="26" t="s">
        <v>2570</v>
      </c>
      <c r="N276" s="25">
        <v>2501</v>
      </c>
      <c r="O276" s="26" t="s">
        <v>2571</v>
      </c>
      <c r="P276" s="27" t="s">
        <v>4039</v>
      </c>
      <c r="Q276" s="25" t="s">
        <v>3937</v>
      </c>
      <c r="R276" s="25" t="s">
        <v>2516</v>
      </c>
      <c r="S276" s="25" t="s">
        <v>185</v>
      </c>
      <c r="T276" s="25">
        <v>1</v>
      </c>
      <c r="U276" s="25" t="s">
        <v>2517</v>
      </c>
      <c r="V276" s="25" t="s">
        <v>4040</v>
      </c>
      <c r="W276" s="25" t="s">
        <v>4041</v>
      </c>
      <c r="X276" s="59">
        <v>45727.635416666657</v>
      </c>
      <c r="Y276" s="25" t="s">
        <v>4042</v>
      </c>
      <c r="Z276" s="25">
        <v>1.3</v>
      </c>
      <c r="AA276" s="25"/>
      <c r="AB276" s="25" t="s">
        <v>2521</v>
      </c>
      <c r="AC276" s="27" t="s">
        <v>4043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4044</v>
      </c>
      <c r="E277" s="25" t="s">
        <v>2504</v>
      </c>
      <c r="F277" s="25">
        <v>4739</v>
      </c>
      <c r="G277" s="25" t="s">
        <v>4045</v>
      </c>
      <c r="H277" s="25" t="s">
        <v>1604</v>
      </c>
      <c r="I277" s="25" t="s">
        <v>4046</v>
      </c>
      <c r="J277" s="25" t="s">
        <v>2509</v>
      </c>
      <c r="K277" s="25" t="s">
        <v>2568</v>
      </c>
      <c r="L277" s="25" t="s">
        <v>2537</v>
      </c>
      <c r="M277" s="26" t="s">
        <v>2538</v>
      </c>
      <c r="N277" s="25" t="s">
        <v>2539</v>
      </c>
      <c r="O277" s="26" t="s">
        <v>2540</v>
      </c>
      <c r="P277" s="27" t="s">
        <v>4047</v>
      </c>
      <c r="Q277" s="25" t="s">
        <v>4048</v>
      </c>
      <c r="R277" s="25" t="s">
        <v>2516</v>
      </c>
      <c r="S277" s="25" t="s">
        <v>25</v>
      </c>
      <c r="T277" s="25">
        <v>1</v>
      </c>
      <c r="U277" s="25" t="s">
        <v>2517</v>
      </c>
      <c r="V277" s="25" t="s">
        <v>4049</v>
      </c>
      <c r="W277" s="25" t="s">
        <v>4050</v>
      </c>
      <c r="X277" s="59">
        <v>45727.609027777777</v>
      </c>
      <c r="Y277" s="25" t="s">
        <v>4051</v>
      </c>
      <c r="Z277" s="25">
        <v>0.7</v>
      </c>
      <c r="AA277" s="25"/>
      <c r="AB277" s="25" t="s">
        <v>2521</v>
      </c>
      <c r="AC277" s="27" t="s">
        <v>4052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4015</v>
      </c>
      <c r="H278" s="25" t="s">
        <v>2609</v>
      </c>
      <c r="I278" s="25"/>
      <c r="J278" s="25"/>
      <c r="K278" s="25"/>
      <c r="L278" s="25"/>
      <c r="M278" s="26"/>
      <c r="N278" s="25"/>
      <c r="O278" s="26"/>
      <c r="P278" s="27"/>
      <c r="Q278" s="25" t="s">
        <v>4018</v>
      </c>
      <c r="R278" s="25" t="s">
        <v>2516</v>
      </c>
      <c r="S278" s="25" t="s">
        <v>173</v>
      </c>
      <c r="T278" s="25">
        <v>1</v>
      </c>
      <c r="U278" s="25" t="s">
        <v>2517</v>
      </c>
      <c r="V278" s="25" t="s">
        <v>4053</v>
      </c>
      <c r="W278" s="25" t="s">
        <v>4020</v>
      </c>
      <c r="X278" s="59">
        <v>45727.474999999999</v>
      </c>
      <c r="Y278" s="25"/>
      <c r="Z278" s="25">
        <v>0.6</v>
      </c>
      <c r="AA278" s="25"/>
      <c r="AB278" s="25" t="s">
        <v>2521</v>
      </c>
      <c r="AC278" s="27" t="s">
        <v>2591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4054</v>
      </c>
      <c r="H279" s="25" t="s">
        <v>1604</v>
      </c>
      <c r="I279" s="25"/>
      <c r="J279" s="25"/>
      <c r="K279" s="25"/>
      <c r="L279" s="25"/>
      <c r="M279" s="26"/>
      <c r="N279" s="25"/>
      <c r="O279" s="26"/>
      <c r="P279" s="27"/>
      <c r="Q279" s="25" t="s">
        <v>4055</v>
      </c>
      <c r="R279" s="25" t="s">
        <v>2516</v>
      </c>
      <c r="S279" s="25" t="s">
        <v>25</v>
      </c>
      <c r="T279" s="25">
        <v>1</v>
      </c>
      <c r="U279" s="25" t="s">
        <v>2517</v>
      </c>
      <c r="V279" s="25" t="s">
        <v>4056</v>
      </c>
      <c r="W279" s="25" t="s">
        <v>4057</v>
      </c>
      <c r="X279" s="59">
        <v>45727.497916666667</v>
      </c>
      <c r="Y279" s="25"/>
      <c r="Z279" s="25">
        <v>0.5</v>
      </c>
      <c r="AA279" s="25"/>
      <c r="AB279" s="25" t="s">
        <v>2521</v>
      </c>
      <c r="AC279" s="27" t="s">
        <v>2591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4045</v>
      </c>
      <c r="H280" s="25" t="s">
        <v>1604</v>
      </c>
      <c r="I280" s="25"/>
      <c r="J280" s="25"/>
      <c r="K280" s="25"/>
      <c r="L280" s="25"/>
      <c r="M280" s="26"/>
      <c r="N280" s="25"/>
      <c r="O280" s="26"/>
      <c r="P280" s="27"/>
      <c r="Q280" s="25" t="s">
        <v>4048</v>
      </c>
      <c r="R280" s="25" t="s">
        <v>2516</v>
      </c>
      <c r="S280" s="25" t="s">
        <v>25</v>
      </c>
      <c r="T280" s="25">
        <v>1</v>
      </c>
      <c r="U280" s="25" t="s">
        <v>2517</v>
      </c>
      <c r="V280" s="25" t="s">
        <v>4058</v>
      </c>
      <c r="W280" s="25" t="s">
        <v>4050</v>
      </c>
      <c r="X280" s="59">
        <v>45727.611111111109</v>
      </c>
      <c r="Y280" s="25"/>
      <c r="Z280" s="25">
        <v>0.8</v>
      </c>
      <c r="AA280" s="25"/>
      <c r="AB280" s="25" t="s">
        <v>2521</v>
      </c>
      <c r="AC280" s="27" t="s">
        <v>2591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3247</v>
      </c>
      <c r="H281" s="25" t="s">
        <v>3248</v>
      </c>
      <c r="I281" s="25"/>
      <c r="J281" s="25"/>
      <c r="K281" s="25"/>
      <c r="L281" s="25"/>
      <c r="M281" s="26"/>
      <c r="N281" s="25"/>
      <c r="O281" s="26"/>
      <c r="P281" s="27"/>
      <c r="Q281" s="25" t="s">
        <v>3251</v>
      </c>
      <c r="R281" s="25" t="s">
        <v>2516</v>
      </c>
      <c r="S281" s="25" t="s">
        <v>25</v>
      </c>
      <c r="T281" s="25">
        <v>1</v>
      </c>
      <c r="U281" s="25" t="s">
        <v>2517</v>
      </c>
      <c r="V281" s="25" t="s">
        <v>4059</v>
      </c>
      <c r="W281" s="25" t="s">
        <v>4060</v>
      </c>
      <c r="X281" s="59">
        <v>45727.629166666673</v>
      </c>
      <c r="Y281" s="25"/>
      <c r="Z281" s="25">
        <v>0.4</v>
      </c>
      <c r="AA281" s="25"/>
      <c r="AB281" s="25" t="s">
        <v>2521</v>
      </c>
      <c r="AC281" s="27" t="s">
        <v>2591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3247</v>
      </c>
      <c r="H282" s="25" t="s">
        <v>3248</v>
      </c>
      <c r="I282" s="25"/>
      <c r="J282" s="25"/>
      <c r="K282" s="25"/>
      <c r="L282" s="25"/>
      <c r="M282" s="26"/>
      <c r="N282" s="25"/>
      <c r="O282" s="26"/>
      <c r="P282" s="27"/>
      <c r="Q282" s="25" t="s">
        <v>3251</v>
      </c>
      <c r="R282" s="25" t="s">
        <v>2516</v>
      </c>
      <c r="S282" s="25" t="s">
        <v>25</v>
      </c>
      <c r="T282" s="25">
        <v>1</v>
      </c>
      <c r="U282" s="25" t="s">
        <v>2517</v>
      </c>
      <c r="V282" s="25" t="s">
        <v>4061</v>
      </c>
      <c r="W282" s="25" t="s">
        <v>4060</v>
      </c>
      <c r="X282" s="59">
        <v>45727.629166666673</v>
      </c>
      <c r="Y282" s="25"/>
      <c r="Z282" s="25">
        <v>0.4</v>
      </c>
      <c r="AA282" s="25"/>
      <c r="AB282" s="25" t="s">
        <v>2521</v>
      </c>
      <c r="AC282" s="27" t="s">
        <v>2591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4062</v>
      </c>
      <c r="G283" s="25" t="s">
        <v>4063</v>
      </c>
      <c r="H283" s="25" t="s">
        <v>3148</v>
      </c>
      <c r="I283" s="25"/>
      <c r="J283" s="25"/>
      <c r="K283" s="25"/>
      <c r="L283" s="25"/>
      <c r="M283" s="26"/>
      <c r="N283" s="25"/>
      <c r="O283" s="26"/>
      <c r="P283" s="27"/>
      <c r="Q283" s="25" t="s">
        <v>4064</v>
      </c>
      <c r="R283" s="25" t="s">
        <v>2516</v>
      </c>
      <c r="S283" s="25" t="s">
        <v>185</v>
      </c>
      <c r="T283" s="25">
        <v>1</v>
      </c>
      <c r="U283" s="25" t="s">
        <v>2517</v>
      </c>
      <c r="V283" s="25" t="s">
        <v>4065</v>
      </c>
      <c r="W283" s="25" t="s">
        <v>4066</v>
      </c>
      <c r="X283" s="59">
        <v>45728.458333333343</v>
      </c>
      <c r="Y283" s="25"/>
      <c r="Z283" s="25">
        <v>0.5</v>
      </c>
      <c r="AA283" s="25"/>
      <c r="AB283" s="25" t="s">
        <v>2521</v>
      </c>
      <c r="AC283" s="27" t="s">
        <v>2591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4067</v>
      </c>
      <c r="H284" s="25" t="s">
        <v>3148</v>
      </c>
      <c r="I284" s="25"/>
      <c r="J284" s="25"/>
      <c r="K284" s="25"/>
      <c r="L284" s="25"/>
      <c r="M284" s="26"/>
      <c r="N284" s="25"/>
      <c r="O284" s="26"/>
      <c r="P284" s="27"/>
      <c r="Q284" s="25" t="s">
        <v>4068</v>
      </c>
      <c r="R284" s="25" t="s">
        <v>2516</v>
      </c>
      <c r="S284" s="25" t="s">
        <v>185</v>
      </c>
      <c r="T284" s="25">
        <v>1</v>
      </c>
      <c r="U284" s="25" t="s">
        <v>2517</v>
      </c>
      <c r="V284" s="25" t="s">
        <v>4069</v>
      </c>
      <c r="W284" s="25" t="s">
        <v>4066</v>
      </c>
      <c r="X284" s="59">
        <v>45728.458333333343</v>
      </c>
      <c r="Y284" s="25"/>
      <c r="Z284" s="25">
        <v>0.5</v>
      </c>
      <c r="AA284" s="25"/>
      <c r="AB284" s="25" t="s">
        <v>2521</v>
      </c>
      <c r="AC284" s="27" t="s">
        <v>2591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4070</v>
      </c>
      <c r="G285" s="25" t="s">
        <v>4071</v>
      </c>
      <c r="H285" s="25" t="s">
        <v>3148</v>
      </c>
      <c r="I285" s="25"/>
      <c r="J285" s="25"/>
      <c r="K285" s="25"/>
      <c r="L285" s="25"/>
      <c r="M285" s="26"/>
      <c r="N285" s="25"/>
      <c r="O285" s="26"/>
      <c r="P285" s="27"/>
      <c r="Q285" s="25" t="s">
        <v>4072</v>
      </c>
      <c r="R285" s="25" t="s">
        <v>2516</v>
      </c>
      <c r="S285" s="25" t="s">
        <v>185</v>
      </c>
      <c r="T285" s="25">
        <v>1</v>
      </c>
      <c r="U285" s="25" t="s">
        <v>2517</v>
      </c>
      <c r="V285" s="25" t="s">
        <v>4073</v>
      </c>
      <c r="W285" s="25" t="s">
        <v>4074</v>
      </c>
      <c r="X285" s="59">
        <v>45728.472222222219</v>
      </c>
      <c r="Y285" s="25"/>
      <c r="Z285" s="25">
        <v>0.3</v>
      </c>
      <c r="AA285" s="25"/>
      <c r="AB285" s="25" t="s">
        <v>2521</v>
      </c>
      <c r="AC285" s="27" t="s">
        <v>2591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4075</v>
      </c>
      <c r="H286" s="25" t="s">
        <v>3148</v>
      </c>
      <c r="I286" s="25"/>
      <c r="J286" s="25"/>
      <c r="K286" s="25"/>
      <c r="L286" s="25"/>
      <c r="M286" s="26"/>
      <c r="N286" s="25"/>
      <c r="O286" s="26"/>
      <c r="P286" s="27"/>
      <c r="Q286" s="25" t="s">
        <v>4076</v>
      </c>
      <c r="R286" s="25" t="s">
        <v>2516</v>
      </c>
      <c r="S286" s="25" t="s">
        <v>185</v>
      </c>
      <c r="T286" s="25">
        <v>1</v>
      </c>
      <c r="U286" s="25" t="s">
        <v>2517</v>
      </c>
      <c r="V286" s="25" t="s">
        <v>4077</v>
      </c>
      <c r="W286" s="25" t="s">
        <v>4078</v>
      </c>
      <c r="X286" s="59">
        <v>45728.5</v>
      </c>
      <c r="Y286" s="25"/>
      <c r="Z286" s="25">
        <v>0.5</v>
      </c>
      <c r="AA286" s="25"/>
      <c r="AB286" s="25" t="s">
        <v>2521</v>
      </c>
      <c r="AC286" s="27" t="s">
        <v>2591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3506</v>
      </c>
      <c r="H287" s="25" t="s">
        <v>2609</v>
      </c>
      <c r="I287" s="25"/>
      <c r="J287" s="25"/>
      <c r="K287" s="25"/>
      <c r="L287" s="25"/>
      <c r="M287" s="26"/>
      <c r="N287" s="25"/>
      <c r="O287" s="26"/>
      <c r="P287" s="27"/>
      <c r="Q287" s="25" t="s">
        <v>3510</v>
      </c>
      <c r="R287" s="25" t="s">
        <v>2516</v>
      </c>
      <c r="S287" s="25" t="s">
        <v>173</v>
      </c>
      <c r="T287" s="25">
        <v>1</v>
      </c>
      <c r="U287" s="25" t="s">
        <v>2517</v>
      </c>
      <c r="V287" s="25" t="s">
        <v>4079</v>
      </c>
      <c r="W287" s="25" t="s">
        <v>4080</v>
      </c>
      <c r="X287" s="59">
        <v>45728.498611111107</v>
      </c>
      <c r="Y287" s="25"/>
      <c r="Z287" s="25">
        <v>0.3</v>
      </c>
      <c r="AA287" s="25"/>
      <c r="AB287" s="25" t="s">
        <v>2521</v>
      </c>
      <c r="AC287" s="27" t="s">
        <v>2591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3506</v>
      </c>
      <c r="H288" s="25" t="s">
        <v>2609</v>
      </c>
      <c r="I288" s="25"/>
      <c r="J288" s="25"/>
      <c r="K288" s="25"/>
      <c r="L288" s="25"/>
      <c r="M288" s="26"/>
      <c r="N288" s="25"/>
      <c r="O288" s="26"/>
      <c r="P288" s="27"/>
      <c r="Q288" s="25" t="s">
        <v>3510</v>
      </c>
      <c r="R288" s="25" t="s">
        <v>2516</v>
      </c>
      <c r="S288" s="25" t="s">
        <v>173</v>
      </c>
      <c r="T288" s="25">
        <v>1</v>
      </c>
      <c r="U288" s="25" t="s">
        <v>2517</v>
      </c>
      <c r="V288" s="25" t="s">
        <v>4081</v>
      </c>
      <c r="W288" s="25" t="s">
        <v>4082</v>
      </c>
      <c r="X288" s="59">
        <v>45728.512499999997</v>
      </c>
      <c r="Y288" s="25"/>
      <c r="Z288" s="25">
        <v>0.3</v>
      </c>
      <c r="AA288" s="25"/>
      <c r="AB288" s="25" t="s">
        <v>2521</v>
      </c>
      <c r="AC288" s="27" t="s">
        <v>2591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4083</v>
      </c>
      <c r="H289" s="25" t="s">
        <v>2609</v>
      </c>
      <c r="I289" s="25"/>
      <c r="J289" s="25"/>
      <c r="K289" s="25"/>
      <c r="L289" s="25"/>
      <c r="M289" s="26"/>
      <c r="N289" s="25"/>
      <c r="O289" s="26"/>
      <c r="P289" s="27"/>
      <c r="Q289" s="25" t="s">
        <v>4084</v>
      </c>
      <c r="R289" s="25" t="s">
        <v>2516</v>
      </c>
      <c r="S289" s="25" t="s">
        <v>173</v>
      </c>
      <c r="T289" s="25">
        <v>1</v>
      </c>
      <c r="U289" s="25" t="s">
        <v>2517</v>
      </c>
      <c r="V289" s="25" t="s">
        <v>4085</v>
      </c>
      <c r="W289" s="25" t="s">
        <v>4086</v>
      </c>
      <c r="X289" s="59">
        <v>45728.517361111109</v>
      </c>
      <c r="Y289" s="25"/>
      <c r="Z289" s="25">
        <v>0.3</v>
      </c>
      <c r="AA289" s="25"/>
      <c r="AB289" s="25" t="s">
        <v>2521</v>
      </c>
      <c r="AC289" s="27" t="s">
        <v>2591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4087</v>
      </c>
      <c r="H290" s="25" t="s">
        <v>3148</v>
      </c>
      <c r="I290" s="25"/>
      <c r="J290" s="25"/>
      <c r="K290" s="25"/>
      <c r="L290" s="25"/>
      <c r="M290" s="26"/>
      <c r="N290" s="25"/>
      <c r="O290" s="26"/>
      <c r="P290" s="27"/>
      <c r="Q290" s="25" t="s">
        <v>4088</v>
      </c>
      <c r="R290" s="25" t="s">
        <v>2516</v>
      </c>
      <c r="S290" s="25" t="s">
        <v>185</v>
      </c>
      <c r="T290" s="25">
        <v>1</v>
      </c>
      <c r="U290" s="25" t="s">
        <v>2517</v>
      </c>
      <c r="V290" s="25" t="s">
        <v>4089</v>
      </c>
      <c r="W290" s="25" t="s">
        <v>4090</v>
      </c>
      <c r="X290" s="59">
        <v>45728.5625</v>
      </c>
      <c r="Y290" s="25"/>
      <c r="Z290" s="25">
        <v>0.5</v>
      </c>
      <c r="AA290" s="25"/>
      <c r="AB290" s="25" t="s">
        <v>2521</v>
      </c>
      <c r="AC290" s="27" t="s">
        <v>2591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4091</v>
      </c>
      <c r="H291" s="25" t="s">
        <v>3138</v>
      </c>
      <c r="I291" s="25"/>
      <c r="J291" s="25"/>
      <c r="K291" s="25"/>
      <c r="L291" s="25"/>
      <c r="M291" s="26"/>
      <c r="N291" s="25"/>
      <c r="O291" s="26"/>
      <c r="P291" s="27"/>
      <c r="Q291" s="25" t="s">
        <v>4092</v>
      </c>
      <c r="R291" s="25" t="s">
        <v>2516</v>
      </c>
      <c r="S291" s="25" t="s">
        <v>185</v>
      </c>
      <c r="T291" s="25">
        <v>1</v>
      </c>
      <c r="U291" s="25" t="s">
        <v>2517</v>
      </c>
      <c r="V291" s="25" t="s">
        <v>4093</v>
      </c>
      <c r="W291" s="25" t="s">
        <v>4094</v>
      </c>
      <c r="X291" s="59">
        <v>45728.583333333343</v>
      </c>
      <c r="Y291" s="25"/>
      <c r="Z291" s="25">
        <v>0.5</v>
      </c>
      <c r="AA291" s="25"/>
      <c r="AB291" s="25" t="s">
        <v>2521</v>
      </c>
      <c r="AC291" s="27" t="s">
        <v>2591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4095</v>
      </c>
      <c r="E292" s="25" t="s">
        <v>2504</v>
      </c>
      <c r="F292" s="25">
        <v>4083</v>
      </c>
      <c r="G292" s="25" t="s">
        <v>3374</v>
      </c>
      <c r="H292" s="25" t="s">
        <v>2507</v>
      </c>
      <c r="I292" s="25" t="s">
        <v>4096</v>
      </c>
      <c r="J292" s="25" t="s">
        <v>2536</v>
      </c>
      <c r="K292" s="25" t="s">
        <v>2717</v>
      </c>
      <c r="L292" s="25" t="s">
        <v>2537</v>
      </c>
      <c r="M292" s="26" t="s">
        <v>2538</v>
      </c>
      <c r="N292" s="25" t="s">
        <v>2539</v>
      </c>
      <c r="O292" s="26" t="s">
        <v>2540</v>
      </c>
      <c r="P292" s="27" t="s">
        <v>4097</v>
      </c>
      <c r="Q292" s="25" t="s">
        <v>3375</v>
      </c>
      <c r="R292" s="25" t="s">
        <v>2516</v>
      </c>
      <c r="S292" s="25" t="s">
        <v>25</v>
      </c>
      <c r="T292" s="25">
        <v>1</v>
      </c>
      <c r="U292" s="25" t="s">
        <v>2517</v>
      </c>
      <c r="V292" s="25" t="s">
        <v>4098</v>
      </c>
      <c r="W292" s="25" t="s">
        <v>4099</v>
      </c>
      <c r="X292" s="59">
        <v>45729.449305555558</v>
      </c>
      <c r="Y292" s="25" t="s">
        <v>4100</v>
      </c>
      <c r="Z292" s="25">
        <v>0.8</v>
      </c>
      <c r="AA292" s="25"/>
      <c r="AB292" s="25" t="s">
        <v>2521</v>
      </c>
      <c r="AC292" s="27" t="s">
        <v>4101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4102</v>
      </c>
      <c r="E293" s="25" t="s">
        <v>2504</v>
      </c>
      <c r="F293" s="25">
        <v>4083</v>
      </c>
      <c r="G293" s="25" t="s">
        <v>3374</v>
      </c>
      <c r="H293" s="25" t="s">
        <v>2507</v>
      </c>
      <c r="I293" s="25" t="s">
        <v>4103</v>
      </c>
      <c r="J293" s="25" t="s">
        <v>2536</v>
      </c>
      <c r="K293" s="25" t="s">
        <v>2717</v>
      </c>
      <c r="L293" s="25" t="s">
        <v>2537</v>
      </c>
      <c r="M293" s="26" t="s">
        <v>2538</v>
      </c>
      <c r="N293" s="25" t="s">
        <v>2539</v>
      </c>
      <c r="O293" s="26" t="s">
        <v>2540</v>
      </c>
      <c r="P293" s="27" t="s">
        <v>4104</v>
      </c>
      <c r="Q293" s="25" t="s">
        <v>3375</v>
      </c>
      <c r="R293" s="25" t="s">
        <v>2516</v>
      </c>
      <c r="S293" s="25" t="s">
        <v>25</v>
      </c>
      <c r="T293" s="25">
        <v>1</v>
      </c>
      <c r="U293" s="25" t="s">
        <v>2517</v>
      </c>
      <c r="V293" s="25" t="s">
        <v>4105</v>
      </c>
      <c r="W293" s="25" t="s">
        <v>4099</v>
      </c>
      <c r="X293" s="59">
        <v>45729.447916666657</v>
      </c>
      <c r="Y293" s="25" t="s">
        <v>4106</v>
      </c>
      <c r="Z293" s="25">
        <v>0.8</v>
      </c>
      <c r="AA293" s="25"/>
      <c r="AB293" s="25" t="s">
        <v>2521</v>
      </c>
      <c r="AC293" s="27" t="s">
        <v>4107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4108</v>
      </c>
      <c r="E294" s="25" t="s">
        <v>2504</v>
      </c>
      <c r="F294" s="25">
        <v>2935</v>
      </c>
      <c r="G294" s="25" t="s">
        <v>3532</v>
      </c>
      <c r="H294" s="25" t="s">
        <v>2507</v>
      </c>
      <c r="I294" s="25" t="s">
        <v>4109</v>
      </c>
      <c r="J294" s="25" t="s">
        <v>2835</v>
      </c>
      <c r="K294" s="25" t="s">
        <v>2510</v>
      </c>
      <c r="L294" s="25" t="s">
        <v>2525</v>
      </c>
      <c r="M294" s="26" t="s">
        <v>2526</v>
      </c>
      <c r="N294" s="25">
        <v>5804</v>
      </c>
      <c r="O294" s="26" t="s">
        <v>2582</v>
      </c>
      <c r="P294" s="27" t="s">
        <v>4110</v>
      </c>
      <c r="Q294" s="25" t="s">
        <v>3533</v>
      </c>
      <c r="R294" s="25" t="s">
        <v>2516</v>
      </c>
      <c r="S294" s="25" t="s">
        <v>25</v>
      </c>
      <c r="T294" s="25">
        <v>1</v>
      </c>
      <c r="U294" s="25" t="s">
        <v>2517</v>
      </c>
      <c r="V294" s="25" t="s">
        <v>4111</v>
      </c>
      <c r="W294" s="25" t="s">
        <v>4112</v>
      </c>
      <c r="X294" s="59">
        <v>45729.664583333331</v>
      </c>
      <c r="Y294" s="25" t="s">
        <v>4113</v>
      </c>
      <c r="Z294" s="25">
        <v>0.5</v>
      </c>
      <c r="AA294" s="25"/>
      <c r="AB294" s="25" t="s">
        <v>2521</v>
      </c>
      <c r="AC294" s="27" t="s">
        <v>4114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4115</v>
      </c>
      <c r="E295" s="25" t="s">
        <v>2504</v>
      </c>
      <c r="F295" s="25" t="s">
        <v>3950</v>
      </c>
      <c r="G295" s="25" t="s">
        <v>3951</v>
      </c>
      <c r="H295" s="25" t="s">
        <v>2609</v>
      </c>
      <c r="I295" s="25" t="s">
        <v>4116</v>
      </c>
      <c r="J295" s="25" t="s">
        <v>2835</v>
      </c>
      <c r="K295" s="25" t="s">
        <v>2510</v>
      </c>
      <c r="L295" s="25" t="s">
        <v>2846</v>
      </c>
      <c r="M295" s="26" t="s">
        <v>2847</v>
      </c>
      <c r="N295" s="25">
        <v>2402</v>
      </c>
      <c r="O295" s="26" t="s">
        <v>3741</v>
      </c>
      <c r="P295" s="27" t="s">
        <v>4117</v>
      </c>
      <c r="Q295" s="25" t="s">
        <v>3955</v>
      </c>
      <c r="R295" s="25" t="s">
        <v>2516</v>
      </c>
      <c r="S295" s="25" t="s">
        <v>173</v>
      </c>
      <c r="T295" s="25">
        <v>1</v>
      </c>
      <c r="U295" s="25" t="s">
        <v>2517</v>
      </c>
      <c r="V295" s="25" t="s">
        <v>4118</v>
      </c>
      <c r="W295" s="25" t="s">
        <v>4119</v>
      </c>
      <c r="X295" s="59">
        <v>45729.77847222222</v>
      </c>
      <c r="Y295" s="25" t="s">
        <v>4120</v>
      </c>
      <c r="Z295" s="25">
        <v>0.5</v>
      </c>
      <c r="AA295" s="25"/>
      <c r="AB295" s="25" t="s">
        <v>2915</v>
      </c>
      <c r="AC295" s="27" t="s">
        <v>2684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4121</v>
      </c>
      <c r="E296" s="25" t="s">
        <v>2504</v>
      </c>
      <c r="F296" s="25" t="s">
        <v>3950</v>
      </c>
      <c r="G296" s="25" t="s">
        <v>3951</v>
      </c>
      <c r="H296" s="25" t="s">
        <v>2609</v>
      </c>
      <c r="I296" s="25" t="s">
        <v>4122</v>
      </c>
      <c r="J296" s="25" t="s">
        <v>2835</v>
      </c>
      <c r="K296" s="25" t="s">
        <v>2510</v>
      </c>
      <c r="L296" s="25" t="s">
        <v>4123</v>
      </c>
      <c r="M296" s="26" t="s">
        <v>4124</v>
      </c>
      <c r="N296" s="25">
        <v>2901</v>
      </c>
      <c r="O296" s="26" t="s">
        <v>2540</v>
      </c>
      <c r="P296" s="27" t="s">
        <v>4125</v>
      </c>
      <c r="Q296" s="25" t="s">
        <v>3955</v>
      </c>
      <c r="R296" s="25" t="s">
        <v>2516</v>
      </c>
      <c r="S296" s="25" t="s">
        <v>173</v>
      </c>
      <c r="T296" s="25">
        <v>1</v>
      </c>
      <c r="U296" s="25" t="s">
        <v>2517</v>
      </c>
      <c r="V296" s="25" t="s">
        <v>4126</v>
      </c>
      <c r="W296" s="25" t="s">
        <v>4119</v>
      </c>
      <c r="X296" s="59">
        <v>45729.77847222222</v>
      </c>
      <c r="Y296" s="25" t="s">
        <v>4127</v>
      </c>
      <c r="Z296" s="25">
        <v>0.5</v>
      </c>
      <c r="AA296" s="25"/>
      <c r="AB296" s="25" t="s">
        <v>2915</v>
      </c>
      <c r="AC296" s="27" t="s">
        <v>2684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4128</v>
      </c>
      <c r="E297" s="25" t="s">
        <v>2504</v>
      </c>
      <c r="F297" s="25">
        <v>3458</v>
      </c>
      <c r="G297" s="25" t="s">
        <v>3476</v>
      </c>
      <c r="H297" s="25" t="s">
        <v>2987</v>
      </c>
      <c r="I297" s="25" t="s">
        <v>4129</v>
      </c>
      <c r="J297" s="25" t="s">
        <v>2835</v>
      </c>
      <c r="K297" s="25" t="s">
        <v>2510</v>
      </c>
      <c r="L297" s="25" t="s">
        <v>2945</v>
      </c>
      <c r="M297" s="26" t="s">
        <v>2946</v>
      </c>
      <c r="N297" s="25" t="s">
        <v>4130</v>
      </c>
      <c r="O297" s="26" t="s">
        <v>3383</v>
      </c>
      <c r="P297" s="27" t="s">
        <v>4131</v>
      </c>
      <c r="Q297" s="25" t="s">
        <v>3477</v>
      </c>
      <c r="R297" s="25" t="s">
        <v>2516</v>
      </c>
      <c r="S297" s="25" t="s">
        <v>25</v>
      </c>
      <c r="T297" s="25">
        <v>1</v>
      </c>
      <c r="U297" s="25" t="s">
        <v>2517</v>
      </c>
      <c r="V297" s="25" t="s">
        <v>4132</v>
      </c>
      <c r="W297" s="25" t="s">
        <v>4133</v>
      </c>
      <c r="X297" s="59">
        <v>45730.456250000003</v>
      </c>
      <c r="Y297" s="25" t="s">
        <v>4134</v>
      </c>
      <c r="Z297" s="25">
        <v>0.5</v>
      </c>
      <c r="AA297" s="25"/>
      <c r="AB297" s="25" t="s">
        <v>2521</v>
      </c>
      <c r="AC297" s="27" t="s">
        <v>4135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4136</v>
      </c>
      <c r="H298" s="25" t="s">
        <v>1604</v>
      </c>
      <c r="I298" s="25"/>
      <c r="J298" s="25"/>
      <c r="K298" s="25"/>
      <c r="L298" s="25"/>
      <c r="M298" s="26"/>
      <c r="N298" s="25"/>
      <c r="O298" s="26"/>
      <c r="P298" s="27"/>
      <c r="Q298" s="25" t="s">
        <v>4137</v>
      </c>
      <c r="R298" s="25" t="s">
        <v>2516</v>
      </c>
      <c r="S298" s="25" t="s">
        <v>25</v>
      </c>
      <c r="T298" s="25">
        <v>1</v>
      </c>
      <c r="U298" s="25" t="s">
        <v>2517</v>
      </c>
      <c r="V298" s="25" t="s">
        <v>4138</v>
      </c>
      <c r="W298" s="25" t="s">
        <v>4139</v>
      </c>
      <c r="X298" s="59">
        <v>45730.512499999997</v>
      </c>
      <c r="Y298" s="25"/>
      <c r="Z298" s="25">
        <v>0.3</v>
      </c>
      <c r="AA298" s="25"/>
      <c r="AB298" s="25" t="s">
        <v>2521</v>
      </c>
      <c r="AC298" s="27" t="s">
        <v>2591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4140</v>
      </c>
      <c r="E299" s="25" t="s">
        <v>2504</v>
      </c>
      <c r="F299" s="25">
        <v>4586</v>
      </c>
      <c r="G299" s="25" t="s">
        <v>2905</v>
      </c>
      <c r="H299" s="25" t="s">
        <v>2507</v>
      </c>
      <c r="I299" s="25" t="s">
        <v>4141</v>
      </c>
      <c r="J299" s="25" t="s">
        <v>2567</v>
      </c>
      <c r="K299" s="25" t="s">
        <v>2510</v>
      </c>
      <c r="L299" s="25" t="s">
        <v>2537</v>
      </c>
      <c r="M299" s="26" t="s">
        <v>2538</v>
      </c>
      <c r="N299" s="25" t="s">
        <v>2539</v>
      </c>
      <c r="O299" s="26" t="s">
        <v>2540</v>
      </c>
      <c r="P299" s="27" t="s">
        <v>4142</v>
      </c>
      <c r="Q299" s="25" t="s">
        <v>2906</v>
      </c>
      <c r="R299" s="25" t="s">
        <v>2516</v>
      </c>
      <c r="S299" s="25" t="s">
        <v>25</v>
      </c>
      <c r="T299" s="25">
        <v>1</v>
      </c>
      <c r="U299" s="25" t="s">
        <v>2517</v>
      </c>
      <c r="V299" s="25" t="s">
        <v>4143</v>
      </c>
      <c r="W299" s="25" t="s">
        <v>4144</v>
      </c>
      <c r="X299" s="59">
        <v>45733.438888888893</v>
      </c>
      <c r="Y299" s="25" t="s">
        <v>4145</v>
      </c>
      <c r="Z299" s="25">
        <v>0.5</v>
      </c>
      <c r="AA299" s="25"/>
      <c r="AB299" s="25" t="s">
        <v>2521</v>
      </c>
      <c r="AC299" s="27" t="s">
        <v>4146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4147</v>
      </c>
      <c r="H300" s="25" t="s">
        <v>1604</v>
      </c>
      <c r="I300" s="25"/>
      <c r="J300" s="25"/>
      <c r="K300" s="25"/>
      <c r="L300" s="25"/>
      <c r="M300" s="26"/>
      <c r="N300" s="25"/>
      <c r="O300" s="26"/>
      <c r="P300" s="27"/>
      <c r="Q300" s="25" t="s">
        <v>4148</v>
      </c>
      <c r="R300" s="25" t="s">
        <v>2516</v>
      </c>
      <c r="S300" s="25" t="s">
        <v>25</v>
      </c>
      <c r="T300" s="25">
        <v>1</v>
      </c>
      <c r="U300" s="25" t="s">
        <v>2517</v>
      </c>
      <c r="V300" s="25" t="s">
        <v>4149</v>
      </c>
      <c r="W300" s="25" t="s">
        <v>4150</v>
      </c>
      <c r="X300" s="59">
        <v>45730.53125</v>
      </c>
      <c r="Y300" s="25"/>
      <c r="Z300" s="25">
        <v>0.3</v>
      </c>
      <c r="AA300" s="25"/>
      <c r="AB300" s="25" t="s">
        <v>2521</v>
      </c>
      <c r="AC300" s="27" t="s">
        <v>2591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3797</v>
      </c>
      <c r="H301" s="25" t="s">
        <v>1604</v>
      </c>
      <c r="I301" s="25"/>
      <c r="J301" s="25"/>
      <c r="K301" s="25"/>
      <c r="L301" s="25"/>
      <c r="M301" s="26"/>
      <c r="N301" s="25"/>
      <c r="O301" s="26"/>
      <c r="P301" s="27"/>
      <c r="Q301" s="25" t="s">
        <v>3800</v>
      </c>
      <c r="R301" s="25" t="s">
        <v>2516</v>
      </c>
      <c r="S301" s="25" t="s">
        <v>25</v>
      </c>
      <c r="T301" s="25">
        <v>1</v>
      </c>
      <c r="U301" s="25" t="s">
        <v>2517</v>
      </c>
      <c r="V301" s="25" t="s">
        <v>4151</v>
      </c>
      <c r="W301" s="25" t="s">
        <v>4152</v>
      </c>
      <c r="X301" s="59">
        <v>45730.545138888891</v>
      </c>
      <c r="Y301" s="25"/>
      <c r="Z301" s="25">
        <v>0.3</v>
      </c>
      <c r="AA301" s="25"/>
      <c r="AB301" s="25" t="s">
        <v>2521</v>
      </c>
      <c r="AC301" s="27" t="s">
        <v>2591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4153</v>
      </c>
      <c r="E302" s="25" t="s">
        <v>2504</v>
      </c>
      <c r="F302" s="25">
        <v>4739</v>
      </c>
      <c r="G302" s="25" t="s">
        <v>4045</v>
      </c>
      <c r="H302" s="25" t="s">
        <v>1604</v>
      </c>
      <c r="I302" s="25" t="s">
        <v>4154</v>
      </c>
      <c r="J302" s="25" t="s">
        <v>2567</v>
      </c>
      <c r="K302" s="25" t="s">
        <v>2510</v>
      </c>
      <c r="L302" s="25" t="s">
        <v>4123</v>
      </c>
      <c r="M302" s="26" t="s">
        <v>4124</v>
      </c>
      <c r="N302" s="25">
        <v>2902</v>
      </c>
      <c r="O302" s="26" t="s">
        <v>4155</v>
      </c>
      <c r="P302" s="27" t="s">
        <v>4156</v>
      </c>
      <c r="Q302" s="25" t="s">
        <v>4048</v>
      </c>
      <c r="R302" s="25" t="s">
        <v>2516</v>
      </c>
      <c r="S302" s="25" t="s">
        <v>25</v>
      </c>
      <c r="T302" s="25">
        <v>1</v>
      </c>
      <c r="U302" s="25" t="s">
        <v>2517</v>
      </c>
      <c r="V302" s="25" t="s">
        <v>4157</v>
      </c>
      <c r="W302" s="25" t="s">
        <v>4158</v>
      </c>
      <c r="X302" s="59">
        <v>45733.52847222222</v>
      </c>
      <c r="Y302" s="25" t="s">
        <v>4159</v>
      </c>
      <c r="Z302" s="25">
        <v>0.5</v>
      </c>
      <c r="AA302" s="25"/>
      <c r="AB302" s="25" t="s">
        <v>2521</v>
      </c>
      <c r="AC302" s="27" t="s">
        <v>4160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4161</v>
      </c>
      <c r="H303" s="25" t="s">
        <v>1604</v>
      </c>
      <c r="I303" s="25"/>
      <c r="J303" s="25"/>
      <c r="K303" s="25"/>
      <c r="L303" s="25"/>
      <c r="M303" s="26"/>
      <c r="N303" s="25"/>
      <c r="O303" s="26"/>
      <c r="P303" s="27"/>
      <c r="Q303" s="25" t="s">
        <v>4162</v>
      </c>
      <c r="R303" s="25" t="s">
        <v>2516</v>
      </c>
      <c r="S303" s="25" t="s">
        <v>25</v>
      </c>
      <c r="T303" s="25">
        <v>1</v>
      </c>
      <c r="U303" s="25" t="s">
        <v>2517</v>
      </c>
      <c r="V303" s="25" t="s">
        <v>4163</v>
      </c>
      <c r="W303" s="25" t="s">
        <v>4164</v>
      </c>
      <c r="X303" s="59">
        <v>45730.568055555559</v>
      </c>
      <c r="Y303" s="25"/>
      <c r="Z303" s="25">
        <v>0.3</v>
      </c>
      <c r="AA303" s="25"/>
      <c r="AB303" s="25" t="s">
        <v>2521</v>
      </c>
      <c r="AC303" s="27" t="s">
        <v>2591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4165</v>
      </c>
      <c r="E304" s="25" t="s">
        <v>2504</v>
      </c>
      <c r="F304" s="25">
        <v>4739</v>
      </c>
      <c r="G304" s="25" t="s">
        <v>4045</v>
      </c>
      <c r="H304" s="25" t="s">
        <v>1604</v>
      </c>
      <c r="I304" s="25" t="s">
        <v>4166</v>
      </c>
      <c r="J304" s="25" t="s">
        <v>2567</v>
      </c>
      <c r="K304" s="25" t="s">
        <v>2510</v>
      </c>
      <c r="L304" s="25" t="s">
        <v>2537</v>
      </c>
      <c r="M304" s="26" t="s">
        <v>2538</v>
      </c>
      <c r="N304" s="25" t="s">
        <v>2539</v>
      </c>
      <c r="O304" s="26" t="s">
        <v>2540</v>
      </c>
      <c r="P304" s="27" t="s">
        <v>4167</v>
      </c>
      <c r="Q304" s="25" t="s">
        <v>4048</v>
      </c>
      <c r="R304" s="25" t="s">
        <v>2516</v>
      </c>
      <c r="S304" s="25" t="s">
        <v>25</v>
      </c>
      <c r="T304" s="25">
        <v>1</v>
      </c>
      <c r="U304" s="25" t="s">
        <v>2517</v>
      </c>
      <c r="V304" s="25" t="s">
        <v>4168</v>
      </c>
      <c r="W304" s="25" t="s">
        <v>4169</v>
      </c>
      <c r="X304" s="59">
        <v>45733.533333333333</v>
      </c>
      <c r="Y304" s="25" t="s">
        <v>4170</v>
      </c>
      <c r="Z304" s="25">
        <v>0.5</v>
      </c>
      <c r="AA304" s="25"/>
      <c r="AB304" s="25" t="s">
        <v>2521</v>
      </c>
      <c r="AC304" s="27" t="s">
        <v>4171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4172</v>
      </c>
      <c r="H305" s="25" t="s">
        <v>1604</v>
      </c>
      <c r="I305" s="25"/>
      <c r="J305" s="25"/>
      <c r="K305" s="25"/>
      <c r="L305" s="25"/>
      <c r="M305" s="26"/>
      <c r="N305" s="25"/>
      <c r="O305" s="26"/>
      <c r="P305" s="27"/>
      <c r="Q305" s="25" t="s">
        <v>4173</v>
      </c>
      <c r="R305" s="25" t="s">
        <v>2516</v>
      </c>
      <c r="S305" s="25" t="s">
        <v>25</v>
      </c>
      <c r="T305" s="25">
        <v>1</v>
      </c>
      <c r="U305" s="25" t="s">
        <v>2517</v>
      </c>
      <c r="V305" s="25" t="s">
        <v>4174</v>
      </c>
      <c r="W305" s="25" t="s">
        <v>4175</v>
      </c>
      <c r="X305" s="59">
        <v>45730.588888888888</v>
      </c>
      <c r="Y305" s="25"/>
      <c r="Z305" s="25">
        <v>0.3</v>
      </c>
      <c r="AA305" s="25"/>
      <c r="AB305" s="25" t="s">
        <v>2521</v>
      </c>
      <c r="AC305" s="27" t="s">
        <v>2591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3191</v>
      </c>
      <c r="H306" s="25" t="s">
        <v>1604</v>
      </c>
      <c r="I306" s="25"/>
      <c r="J306" s="25"/>
      <c r="K306" s="25"/>
      <c r="L306" s="25"/>
      <c r="M306" s="26"/>
      <c r="N306" s="25"/>
      <c r="O306" s="26"/>
      <c r="P306" s="27"/>
      <c r="Q306" s="25" t="s">
        <v>3194</v>
      </c>
      <c r="R306" s="25" t="s">
        <v>2516</v>
      </c>
      <c r="S306" s="25" t="s">
        <v>25</v>
      </c>
      <c r="T306" s="25">
        <v>1</v>
      </c>
      <c r="U306" s="25" t="s">
        <v>2517</v>
      </c>
      <c r="V306" s="25" t="s">
        <v>4176</v>
      </c>
      <c r="W306" s="25" t="s">
        <v>4177</v>
      </c>
      <c r="X306" s="59">
        <v>45730.60833333333</v>
      </c>
      <c r="Y306" s="25"/>
      <c r="Z306" s="25">
        <v>0.3</v>
      </c>
      <c r="AA306" s="25"/>
      <c r="AB306" s="25" t="s">
        <v>2521</v>
      </c>
      <c r="AC306" s="27" t="s">
        <v>2591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4178</v>
      </c>
      <c r="H307" s="25" t="s">
        <v>1604</v>
      </c>
      <c r="I307" s="25"/>
      <c r="J307" s="25"/>
      <c r="K307" s="25"/>
      <c r="L307" s="25"/>
      <c r="M307" s="26"/>
      <c r="N307" s="25"/>
      <c r="O307" s="26"/>
      <c r="P307" s="27"/>
      <c r="Q307" s="25" t="s">
        <v>4179</v>
      </c>
      <c r="R307" s="25" t="s">
        <v>2516</v>
      </c>
      <c r="S307" s="25" t="s">
        <v>25</v>
      </c>
      <c r="T307" s="25">
        <v>1</v>
      </c>
      <c r="U307" s="25" t="s">
        <v>2517</v>
      </c>
      <c r="V307" s="25" t="s">
        <v>4180</v>
      </c>
      <c r="W307" s="25" t="s">
        <v>4181</v>
      </c>
      <c r="X307" s="59">
        <v>45730.628472222219</v>
      </c>
      <c r="Y307" s="25"/>
      <c r="Z307" s="25">
        <v>0.3</v>
      </c>
      <c r="AA307" s="25"/>
      <c r="AB307" s="25" t="s">
        <v>2521</v>
      </c>
      <c r="AC307" s="27" t="s">
        <v>2591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4182</v>
      </c>
      <c r="H308" s="25" t="s">
        <v>2659</v>
      </c>
      <c r="I308" s="25"/>
      <c r="J308" s="25"/>
      <c r="K308" s="25"/>
      <c r="L308" s="25"/>
      <c r="M308" s="26"/>
      <c r="N308" s="25"/>
      <c r="O308" s="26"/>
      <c r="P308" s="27"/>
      <c r="Q308" s="25" t="s">
        <v>4183</v>
      </c>
      <c r="R308" s="25" t="s">
        <v>2516</v>
      </c>
      <c r="S308" s="25" t="s">
        <v>185</v>
      </c>
      <c r="T308" s="25">
        <v>1</v>
      </c>
      <c r="U308" s="25" t="s">
        <v>2517</v>
      </c>
      <c r="V308" s="25" t="s">
        <v>4184</v>
      </c>
      <c r="W308" s="25" t="s">
        <v>4185</v>
      </c>
      <c r="X308" s="59">
        <v>45730.645833333343</v>
      </c>
      <c r="Y308" s="25"/>
      <c r="Z308" s="25">
        <v>0.5</v>
      </c>
      <c r="AA308" s="25"/>
      <c r="AB308" s="25" t="s">
        <v>2521</v>
      </c>
      <c r="AC308" s="27" t="s">
        <v>2591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4186</v>
      </c>
      <c r="H309" s="25" t="s">
        <v>1604</v>
      </c>
      <c r="I309" s="25"/>
      <c r="J309" s="25"/>
      <c r="K309" s="25"/>
      <c r="L309" s="25"/>
      <c r="M309" s="26"/>
      <c r="N309" s="25"/>
      <c r="O309" s="26"/>
      <c r="P309" s="27"/>
      <c r="Q309" s="25" t="s">
        <v>4187</v>
      </c>
      <c r="R309" s="25" t="s">
        <v>2516</v>
      </c>
      <c r="S309" s="25" t="s">
        <v>25</v>
      </c>
      <c r="T309" s="25">
        <v>1</v>
      </c>
      <c r="U309" s="25" t="s">
        <v>2517</v>
      </c>
      <c r="V309" s="25" t="s">
        <v>4188</v>
      </c>
      <c r="W309" s="25" t="s">
        <v>4189</v>
      </c>
      <c r="X309" s="59">
        <v>45730.652777777781</v>
      </c>
      <c r="Y309" s="25"/>
      <c r="Z309" s="25">
        <v>0.3</v>
      </c>
      <c r="AA309" s="25"/>
      <c r="AB309" s="25" t="s">
        <v>2521</v>
      </c>
      <c r="AC309" s="27" t="s">
        <v>2591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4190</v>
      </c>
      <c r="H310" s="25" t="s">
        <v>2659</v>
      </c>
      <c r="I310" s="25"/>
      <c r="J310" s="25"/>
      <c r="K310" s="25"/>
      <c r="L310" s="25"/>
      <c r="M310" s="26"/>
      <c r="N310" s="25"/>
      <c r="O310" s="26"/>
      <c r="P310" s="27"/>
      <c r="Q310" s="25" t="s">
        <v>4191</v>
      </c>
      <c r="R310" s="25" t="s">
        <v>2516</v>
      </c>
      <c r="S310" s="25" t="s">
        <v>185</v>
      </c>
      <c r="T310" s="25">
        <v>1</v>
      </c>
      <c r="U310" s="25" t="s">
        <v>2517</v>
      </c>
      <c r="V310" s="25" t="s">
        <v>4192</v>
      </c>
      <c r="W310" s="25" t="s">
        <v>4193</v>
      </c>
      <c r="X310" s="59">
        <v>45730.666666666657</v>
      </c>
      <c r="Y310" s="25"/>
      <c r="Z310" s="25">
        <v>0.5</v>
      </c>
      <c r="AA310" s="25"/>
      <c r="AB310" s="25" t="s">
        <v>2521</v>
      </c>
      <c r="AC310" s="27" t="s">
        <v>2591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4194</v>
      </c>
      <c r="E311" s="25" t="s">
        <v>2504</v>
      </c>
      <c r="F311" s="25">
        <v>2325</v>
      </c>
      <c r="G311" s="25" t="s">
        <v>3018</v>
      </c>
      <c r="H311" s="25" t="s">
        <v>2996</v>
      </c>
      <c r="I311" s="25" t="s">
        <v>4195</v>
      </c>
      <c r="J311" s="25" t="s">
        <v>2930</v>
      </c>
      <c r="K311" s="25" t="s">
        <v>2568</v>
      </c>
      <c r="L311" s="25" t="s">
        <v>2945</v>
      </c>
      <c r="M311" s="26" t="s">
        <v>2946</v>
      </c>
      <c r="N311" s="25" t="s">
        <v>3782</v>
      </c>
      <c r="O311" s="26" t="s">
        <v>2582</v>
      </c>
      <c r="P311" s="27" t="s">
        <v>4196</v>
      </c>
      <c r="Q311" s="25" t="s">
        <v>3019</v>
      </c>
      <c r="R311" s="25" t="s">
        <v>2516</v>
      </c>
      <c r="S311" s="25" t="s">
        <v>185</v>
      </c>
      <c r="T311" s="25">
        <v>1</v>
      </c>
      <c r="U311" s="25" t="s">
        <v>2517</v>
      </c>
      <c r="V311" s="25" t="s">
        <v>4197</v>
      </c>
      <c r="W311" s="25" t="s">
        <v>4198</v>
      </c>
      <c r="X311" s="59">
        <v>45733.48333333333</v>
      </c>
      <c r="Y311" s="25" t="s">
        <v>4199</v>
      </c>
      <c r="Z311" s="25">
        <v>0.5</v>
      </c>
      <c r="AA311" s="25"/>
      <c r="AB311" s="25" t="s">
        <v>2521</v>
      </c>
      <c r="AC311" s="27" t="s">
        <v>4200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4201</v>
      </c>
      <c r="E312" s="25" t="s">
        <v>2504</v>
      </c>
      <c r="F312" s="25">
        <v>4036</v>
      </c>
      <c r="G312" s="25" t="s">
        <v>2640</v>
      </c>
      <c r="H312" s="25" t="s">
        <v>2641</v>
      </c>
      <c r="I312" s="25" t="s">
        <v>4202</v>
      </c>
      <c r="J312" s="25" t="s">
        <v>2930</v>
      </c>
      <c r="K312" s="25" t="s">
        <v>2510</v>
      </c>
      <c r="L312" s="25" t="s">
        <v>3483</v>
      </c>
      <c r="M312" s="26" t="s">
        <v>3484</v>
      </c>
      <c r="N312" s="25">
        <v>6003</v>
      </c>
      <c r="O312" s="26" t="s">
        <v>3152</v>
      </c>
      <c r="P312" s="27" t="s">
        <v>4203</v>
      </c>
      <c r="Q312" s="25" t="s">
        <v>2645</v>
      </c>
      <c r="R312" s="25" t="s">
        <v>2516</v>
      </c>
      <c r="S312" s="25" t="s">
        <v>25</v>
      </c>
      <c r="T312" s="25">
        <v>1</v>
      </c>
      <c r="U312" s="25" t="s">
        <v>2517</v>
      </c>
      <c r="V312" s="25" t="s">
        <v>4204</v>
      </c>
      <c r="W312" s="25" t="s">
        <v>4205</v>
      </c>
      <c r="X312" s="59">
        <v>45733.496527777781</v>
      </c>
      <c r="Y312" s="25" t="s">
        <v>4199</v>
      </c>
      <c r="Z312" s="25">
        <v>0.5</v>
      </c>
      <c r="AA312" s="25"/>
      <c r="AB312" s="25" t="s">
        <v>2521</v>
      </c>
      <c r="AC312" s="27" t="s">
        <v>4206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4207</v>
      </c>
      <c r="E313" s="25" t="s">
        <v>2504</v>
      </c>
      <c r="F313" s="25">
        <v>2995</v>
      </c>
      <c r="G313" s="25" t="s">
        <v>2844</v>
      </c>
      <c r="H313" s="25" t="s">
        <v>2609</v>
      </c>
      <c r="I313" s="25" t="s">
        <v>4208</v>
      </c>
      <c r="J313" s="25" t="s">
        <v>2930</v>
      </c>
      <c r="K313" s="25" t="s">
        <v>2510</v>
      </c>
      <c r="L313" s="25" t="s">
        <v>2569</v>
      </c>
      <c r="M313" s="26" t="s">
        <v>2570</v>
      </c>
      <c r="N313" s="25">
        <v>2501</v>
      </c>
      <c r="O313" s="26" t="s">
        <v>2571</v>
      </c>
      <c r="P313" s="27" t="s">
        <v>4209</v>
      </c>
      <c r="Q313" s="25" t="s">
        <v>2850</v>
      </c>
      <c r="R313" s="25" t="s">
        <v>2516</v>
      </c>
      <c r="S313" s="25" t="s">
        <v>173</v>
      </c>
      <c r="T313" s="25">
        <v>1</v>
      </c>
      <c r="U313" s="25" t="s">
        <v>2517</v>
      </c>
      <c r="V313" s="25" t="s">
        <v>4210</v>
      </c>
      <c r="W313" s="25" t="s">
        <v>4211</v>
      </c>
      <c r="X313" s="59">
        <v>45733.594444444447</v>
      </c>
      <c r="Y313" s="25" t="s">
        <v>4199</v>
      </c>
      <c r="Z313" s="25">
        <v>0.5</v>
      </c>
      <c r="AA313" s="25"/>
      <c r="AB313" s="25" t="s">
        <v>2915</v>
      </c>
      <c r="AC313" s="27" t="s">
        <v>2684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4212</v>
      </c>
      <c r="E314" s="25" t="s">
        <v>2504</v>
      </c>
      <c r="F314" s="25">
        <v>2995</v>
      </c>
      <c r="G314" s="25" t="s">
        <v>2844</v>
      </c>
      <c r="H314" s="25" t="s">
        <v>2609</v>
      </c>
      <c r="I314" s="25" t="s">
        <v>4213</v>
      </c>
      <c r="J314" s="25" t="s">
        <v>2930</v>
      </c>
      <c r="K314" s="25" t="s">
        <v>2510</v>
      </c>
      <c r="L314" s="25" t="s">
        <v>2569</v>
      </c>
      <c r="M314" s="26" t="s">
        <v>2570</v>
      </c>
      <c r="N314" s="25">
        <v>2501</v>
      </c>
      <c r="O314" s="26" t="s">
        <v>2571</v>
      </c>
      <c r="P314" s="27" t="s">
        <v>4214</v>
      </c>
      <c r="Q314" s="25" t="s">
        <v>2850</v>
      </c>
      <c r="R314" s="25" t="s">
        <v>2516</v>
      </c>
      <c r="S314" s="25" t="s">
        <v>173</v>
      </c>
      <c r="T314" s="25">
        <v>1</v>
      </c>
      <c r="U314" s="25" t="s">
        <v>2517</v>
      </c>
      <c r="V314" s="25" t="s">
        <v>4215</v>
      </c>
      <c r="W314" s="25" t="s">
        <v>4216</v>
      </c>
      <c r="X314" s="59">
        <v>45733.636805555558</v>
      </c>
      <c r="Y314" s="25" t="s">
        <v>4199</v>
      </c>
      <c r="Z314" s="25">
        <v>0.5</v>
      </c>
      <c r="AA314" s="25"/>
      <c r="AB314" s="25" t="s">
        <v>2915</v>
      </c>
      <c r="AC314" s="27" t="s">
        <v>2684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4217</v>
      </c>
      <c r="H315" s="25" t="s">
        <v>2659</v>
      </c>
      <c r="I315" s="25"/>
      <c r="J315" s="25"/>
      <c r="K315" s="25"/>
      <c r="L315" s="25"/>
      <c r="M315" s="26"/>
      <c r="N315" s="25"/>
      <c r="O315" s="26"/>
      <c r="P315" s="27"/>
      <c r="Q315" s="25" t="s">
        <v>4218</v>
      </c>
      <c r="R315" s="25" t="s">
        <v>2516</v>
      </c>
      <c r="S315" s="25" t="s">
        <v>185</v>
      </c>
      <c r="T315" s="25">
        <v>1</v>
      </c>
      <c r="U315" s="25" t="s">
        <v>2517</v>
      </c>
      <c r="V315" s="25" t="s">
        <v>4219</v>
      </c>
      <c r="W315" s="25" t="s">
        <v>4220</v>
      </c>
      <c r="X315" s="59">
        <v>45733.583333333343</v>
      </c>
      <c r="Y315" s="25"/>
      <c r="Z315" s="25">
        <v>0.5</v>
      </c>
      <c r="AA315" s="25"/>
      <c r="AB315" s="25" t="s">
        <v>2521</v>
      </c>
      <c r="AC315" s="27" t="s">
        <v>2591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2844</v>
      </c>
      <c r="H316" s="25" t="s">
        <v>2609</v>
      </c>
      <c r="I316" s="25"/>
      <c r="J316" s="25"/>
      <c r="K316" s="25"/>
      <c r="L316" s="25"/>
      <c r="M316" s="26"/>
      <c r="N316" s="25"/>
      <c r="O316" s="26"/>
      <c r="P316" s="27"/>
      <c r="Q316" s="25" t="s">
        <v>2850</v>
      </c>
      <c r="R316" s="25" t="s">
        <v>2516</v>
      </c>
      <c r="S316" s="25" t="s">
        <v>173</v>
      </c>
      <c r="T316" s="25">
        <v>1</v>
      </c>
      <c r="U316" s="25" t="s">
        <v>2517</v>
      </c>
      <c r="V316" s="25" t="s">
        <v>4221</v>
      </c>
      <c r="W316" s="25" t="s">
        <v>4222</v>
      </c>
      <c r="X316" s="59">
        <v>45733.637499999997</v>
      </c>
      <c r="Y316" s="25"/>
      <c r="Z316" s="25">
        <v>0.4</v>
      </c>
      <c r="AA316" s="25"/>
      <c r="AB316" s="25" t="s">
        <v>2521</v>
      </c>
      <c r="AC316" s="27" t="s">
        <v>2591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4223</v>
      </c>
      <c r="E317" s="25" t="s">
        <v>2504</v>
      </c>
      <c r="F317" s="25">
        <v>2224</v>
      </c>
      <c r="G317" s="25" t="s">
        <v>4224</v>
      </c>
      <c r="H317" s="25" t="s">
        <v>2609</v>
      </c>
      <c r="I317" s="25" t="s">
        <v>4225</v>
      </c>
      <c r="J317" s="25" t="s">
        <v>2661</v>
      </c>
      <c r="K317" s="25" t="s">
        <v>2510</v>
      </c>
      <c r="L317" s="25" t="s">
        <v>3497</v>
      </c>
      <c r="M317" s="26" t="s">
        <v>3498</v>
      </c>
      <c r="N317" s="25">
        <v>3404</v>
      </c>
      <c r="O317" s="26" t="s">
        <v>3499</v>
      </c>
      <c r="P317" s="27" t="s">
        <v>4226</v>
      </c>
      <c r="Q317" s="25" t="s">
        <v>4227</v>
      </c>
      <c r="R317" s="25" t="s">
        <v>2516</v>
      </c>
      <c r="S317" s="25" t="s">
        <v>173</v>
      </c>
      <c r="T317" s="25">
        <v>1</v>
      </c>
      <c r="U317" s="25" t="s">
        <v>2517</v>
      </c>
      <c r="V317" s="25" t="s">
        <v>4228</v>
      </c>
      <c r="W317" s="25" t="s">
        <v>4229</v>
      </c>
      <c r="X317" s="59">
        <v>45733.694444444453</v>
      </c>
      <c r="Y317" s="25" t="s">
        <v>4230</v>
      </c>
      <c r="Z317" s="25">
        <v>1.3</v>
      </c>
      <c r="AA317" s="25"/>
      <c r="AB317" s="25" t="s">
        <v>2521</v>
      </c>
      <c r="AC317" s="27" t="s">
        <v>4231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4224</v>
      </c>
      <c r="H318" s="25" t="s">
        <v>2609</v>
      </c>
      <c r="I318" s="25"/>
      <c r="J318" s="25"/>
      <c r="K318" s="25"/>
      <c r="L318" s="25"/>
      <c r="M318" s="26"/>
      <c r="N318" s="25"/>
      <c r="O318" s="26"/>
      <c r="P318" s="27"/>
      <c r="Q318" s="25" t="s">
        <v>4227</v>
      </c>
      <c r="R318" s="25" t="s">
        <v>2516</v>
      </c>
      <c r="S318" s="25" t="s">
        <v>173</v>
      </c>
      <c r="T318" s="25">
        <v>1</v>
      </c>
      <c r="U318" s="25" t="s">
        <v>2517</v>
      </c>
      <c r="V318" s="25" t="s">
        <v>4232</v>
      </c>
      <c r="W318" s="25" t="s">
        <v>4233</v>
      </c>
      <c r="X318" s="59">
        <v>45733.694444444453</v>
      </c>
      <c r="Y318" s="25"/>
      <c r="Z318" s="25">
        <v>0.3</v>
      </c>
      <c r="AA318" s="25"/>
      <c r="AB318" s="25" t="s">
        <v>2521</v>
      </c>
      <c r="AC318" s="27" t="s">
        <v>2591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4234</v>
      </c>
      <c r="E319" s="25" t="s">
        <v>2504</v>
      </c>
      <c r="F319" s="25">
        <v>2209</v>
      </c>
      <c r="G319" s="25" t="s">
        <v>2855</v>
      </c>
      <c r="H319" s="25" t="s">
        <v>2507</v>
      </c>
      <c r="I319" s="25" t="s">
        <v>4235</v>
      </c>
      <c r="J319" s="25" t="s">
        <v>2536</v>
      </c>
      <c r="K319" s="25" t="s">
        <v>2765</v>
      </c>
      <c r="L319" s="25" t="s">
        <v>2611</v>
      </c>
      <c r="M319" s="26" t="s">
        <v>2612</v>
      </c>
      <c r="N319" s="25" t="s">
        <v>2613</v>
      </c>
      <c r="O319" s="26" t="s">
        <v>2614</v>
      </c>
      <c r="P319" s="27" t="s">
        <v>4236</v>
      </c>
      <c r="Q319" s="25" t="s">
        <v>2856</v>
      </c>
      <c r="R319" s="25" t="s">
        <v>2516</v>
      </c>
      <c r="S319" s="25" t="s">
        <v>25</v>
      </c>
      <c r="T319" s="25">
        <v>1</v>
      </c>
      <c r="U319" s="25" t="s">
        <v>2517</v>
      </c>
      <c r="V319" s="25" t="s">
        <v>4237</v>
      </c>
      <c r="W319" s="25" t="s">
        <v>4238</v>
      </c>
      <c r="X319" s="59">
        <v>45736.50277777778</v>
      </c>
      <c r="Y319" s="25" t="s">
        <v>4239</v>
      </c>
      <c r="Z319" s="25">
        <v>0.5</v>
      </c>
      <c r="AA319" s="25"/>
      <c r="AB319" s="25" t="s">
        <v>2521</v>
      </c>
      <c r="AC319" s="27" t="s">
        <v>4240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4241</v>
      </c>
      <c r="E320" s="25" t="s">
        <v>2504</v>
      </c>
      <c r="F320" s="25">
        <v>5291</v>
      </c>
      <c r="G320" s="25" t="s">
        <v>3936</v>
      </c>
      <c r="H320" s="25" t="s">
        <v>2659</v>
      </c>
      <c r="I320" s="25" t="s">
        <v>4242</v>
      </c>
      <c r="J320" s="25" t="s">
        <v>2536</v>
      </c>
      <c r="K320" s="25" t="s">
        <v>2568</v>
      </c>
      <c r="L320" s="25" t="s">
        <v>2569</v>
      </c>
      <c r="M320" s="26" t="s">
        <v>2570</v>
      </c>
      <c r="N320" s="25">
        <v>2501</v>
      </c>
      <c r="O320" s="26" t="s">
        <v>2571</v>
      </c>
      <c r="P320" s="27" t="s">
        <v>4243</v>
      </c>
      <c r="Q320" s="25" t="s">
        <v>3937</v>
      </c>
      <c r="R320" s="25" t="s">
        <v>2516</v>
      </c>
      <c r="S320" s="25" t="s">
        <v>185</v>
      </c>
      <c r="T320" s="25">
        <v>1</v>
      </c>
      <c r="U320" s="25" t="s">
        <v>2517</v>
      </c>
      <c r="V320" s="25" t="s">
        <v>4244</v>
      </c>
      <c r="W320" s="25" t="s">
        <v>4245</v>
      </c>
      <c r="X320" s="59">
        <v>45736.431944444441</v>
      </c>
      <c r="Y320" s="25" t="s">
        <v>4246</v>
      </c>
      <c r="Z320" s="25">
        <v>0.9</v>
      </c>
      <c r="AA320" s="25"/>
      <c r="AB320" s="25" t="s">
        <v>2521</v>
      </c>
      <c r="AC320" s="27" t="s">
        <v>4247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4248</v>
      </c>
      <c r="E321" s="25" t="s">
        <v>2504</v>
      </c>
      <c r="F321" s="25">
        <v>2390</v>
      </c>
      <c r="G321" s="25" t="s">
        <v>3000</v>
      </c>
      <c r="H321" s="25" t="s">
        <v>2996</v>
      </c>
      <c r="I321" s="25" t="s">
        <v>4249</v>
      </c>
      <c r="J321" s="25" t="s">
        <v>2536</v>
      </c>
      <c r="K321" s="25" t="s">
        <v>2510</v>
      </c>
      <c r="L321" s="25" t="s">
        <v>2611</v>
      </c>
      <c r="M321" s="26" t="s">
        <v>2612</v>
      </c>
      <c r="N321" s="25" t="s">
        <v>3110</v>
      </c>
      <c r="O321" s="26" t="s">
        <v>3111</v>
      </c>
      <c r="P321" s="27" t="s">
        <v>4250</v>
      </c>
      <c r="Q321" s="25" t="s">
        <v>3001</v>
      </c>
      <c r="R321" s="25" t="s">
        <v>2516</v>
      </c>
      <c r="S321" s="25" t="s">
        <v>185</v>
      </c>
      <c r="T321" s="25">
        <v>1</v>
      </c>
      <c r="U321" s="25" t="s">
        <v>2517</v>
      </c>
      <c r="V321" s="25" t="s">
        <v>4251</v>
      </c>
      <c r="W321" s="25" t="s">
        <v>4252</v>
      </c>
      <c r="X321" s="59">
        <v>45736.587500000001</v>
      </c>
      <c r="Y321" s="25" t="s">
        <v>4253</v>
      </c>
      <c r="Z321" s="25">
        <v>0.5</v>
      </c>
      <c r="AA321" s="25"/>
      <c r="AB321" s="25" t="s">
        <v>2521</v>
      </c>
      <c r="AC321" s="27" t="s">
        <v>4254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4255</v>
      </c>
      <c r="E322" s="25" t="s">
        <v>2504</v>
      </c>
      <c r="F322" s="25">
        <v>4046</v>
      </c>
      <c r="G322" s="25" t="s">
        <v>4256</v>
      </c>
      <c r="H322" s="25" t="s">
        <v>2609</v>
      </c>
      <c r="I322" s="25" t="s">
        <v>4257</v>
      </c>
      <c r="J322" s="25" t="s">
        <v>2536</v>
      </c>
      <c r="K322" s="25" t="s">
        <v>2510</v>
      </c>
      <c r="L322" s="25" t="s">
        <v>2569</v>
      </c>
      <c r="M322" s="26" t="s">
        <v>2570</v>
      </c>
      <c r="N322" s="25">
        <v>2501</v>
      </c>
      <c r="O322" s="26" t="s">
        <v>2571</v>
      </c>
      <c r="P322" s="27" t="s">
        <v>4258</v>
      </c>
      <c r="Q322" s="25" t="s">
        <v>4259</v>
      </c>
      <c r="R322" s="25" t="s">
        <v>2516</v>
      </c>
      <c r="S322" s="25" t="s">
        <v>173</v>
      </c>
      <c r="T322" s="25">
        <v>1</v>
      </c>
      <c r="U322" s="25" t="s">
        <v>2517</v>
      </c>
      <c r="V322" s="25" t="s">
        <v>4260</v>
      </c>
      <c r="W322" s="25" t="s">
        <v>4261</v>
      </c>
      <c r="X322" s="59">
        <v>45736.618055555547</v>
      </c>
      <c r="Y322" s="25" t="s">
        <v>4262</v>
      </c>
      <c r="Z322" s="25">
        <v>0.4</v>
      </c>
      <c r="AA322" s="25"/>
      <c r="AB322" s="25" t="s">
        <v>2521</v>
      </c>
      <c r="AC322" s="27" t="s">
        <v>4263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3709</v>
      </c>
      <c r="H323" s="25" t="s">
        <v>2641</v>
      </c>
      <c r="I323" s="25"/>
      <c r="J323" s="25"/>
      <c r="K323" s="25"/>
      <c r="L323" s="25"/>
      <c r="M323" s="26"/>
      <c r="N323" s="25"/>
      <c r="O323" s="26"/>
      <c r="P323" s="27"/>
      <c r="Q323" s="25" t="s">
        <v>3710</v>
      </c>
      <c r="R323" s="25" t="s">
        <v>2516</v>
      </c>
      <c r="S323" s="25" t="s">
        <v>25</v>
      </c>
      <c r="T323" s="25">
        <v>1</v>
      </c>
      <c r="U323" s="25" t="s">
        <v>2517</v>
      </c>
      <c r="V323" s="25" t="s">
        <v>4264</v>
      </c>
      <c r="W323" s="25" t="s">
        <v>4265</v>
      </c>
      <c r="X323" s="59">
        <v>45736.57916666667</v>
      </c>
      <c r="Y323" s="25"/>
      <c r="Z323" s="25">
        <v>0.3</v>
      </c>
      <c r="AA323" s="25"/>
      <c r="AB323" s="25" t="s">
        <v>2521</v>
      </c>
      <c r="AC323" s="27" t="s">
        <v>4266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4267</v>
      </c>
      <c r="E324" s="25" t="s">
        <v>2504</v>
      </c>
      <c r="F324" s="25" t="s">
        <v>3950</v>
      </c>
      <c r="G324" s="25" t="s">
        <v>3951</v>
      </c>
      <c r="H324" s="25" t="s">
        <v>2609</v>
      </c>
      <c r="I324" s="25" t="s">
        <v>4268</v>
      </c>
      <c r="J324" s="25" t="s">
        <v>2835</v>
      </c>
      <c r="K324" s="25" t="s">
        <v>2510</v>
      </c>
      <c r="L324" s="25" t="s">
        <v>4269</v>
      </c>
      <c r="M324" s="26" t="s">
        <v>4270</v>
      </c>
      <c r="N324" s="25">
        <v>2802</v>
      </c>
      <c r="O324" s="26" t="s">
        <v>4271</v>
      </c>
      <c r="P324" s="27" t="s">
        <v>4272</v>
      </c>
      <c r="Q324" s="25" t="s">
        <v>3955</v>
      </c>
      <c r="R324" s="25" t="s">
        <v>2516</v>
      </c>
      <c r="S324" s="25" t="s">
        <v>173</v>
      </c>
      <c r="T324" s="25">
        <v>1</v>
      </c>
      <c r="U324" s="25" t="s">
        <v>2517</v>
      </c>
      <c r="V324" s="25" t="s">
        <v>4273</v>
      </c>
      <c r="W324" s="25" t="s">
        <v>4274</v>
      </c>
      <c r="X324" s="59">
        <v>45737.552777777782</v>
      </c>
      <c r="Y324" s="25" t="s">
        <v>4275</v>
      </c>
      <c r="Z324" s="25">
        <v>0.1</v>
      </c>
      <c r="AA324" s="25"/>
      <c r="AB324" s="25" t="s">
        <v>2521</v>
      </c>
      <c r="AC324" s="27" t="s">
        <v>4276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4256</v>
      </c>
      <c r="H325" s="25" t="s">
        <v>2609</v>
      </c>
      <c r="I325" s="25"/>
      <c r="J325" s="25"/>
      <c r="K325" s="25"/>
      <c r="L325" s="25"/>
      <c r="M325" s="26"/>
      <c r="N325" s="25"/>
      <c r="O325" s="26"/>
      <c r="P325" s="27"/>
      <c r="Q325" s="25" t="s">
        <v>4259</v>
      </c>
      <c r="R325" s="25" t="s">
        <v>2516</v>
      </c>
      <c r="S325" s="25" t="s">
        <v>173</v>
      </c>
      <c r="T325" s="25">
        <v>1</v>
      </c>
      <c r="U325" s="25" t="s">
        <v>2517</v>
      </c>
      <c r="V325" s="25" t="s">
        <v>4277</v>
      </c>
      <c r="W325" s="25" t="s">
        <v>4261</v>
      </c>
      <c r="X325" s="59">
        <v>45736.618055555547</v>
      </c>
      <c r="Y325" s="25"/>
      <c r="Z325" s="25">
        <v>0.4</v>
      </c>
      <c r="AA325" s="25"/>
      <c r="AB325" s="25" t="s">
        <v>2521</v>
      </c>
      <c r="AC325" s="27" t="s">
        <v>2591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4278</v>
      </c>
      <c r="G326" s="25" t="s">
        <v>4279</v>
      </c>
      <c r="H326" s="25" t="s">
        <v>2609</v>
      </c>
      <c r="I326" s="25"/>
      <c r="J326" s="25"/>
      <c r="K326" s="25"/>
      <c r="L326" s="25"/>
      <c r="M326" s="26"/>
      <c r="N326" s="25"/>
      <c r="O326" s="26"/>
      <c r="P326" s="27"/>
      <c r="Q326" s="25" t="s">
        <v>4280</v>
      </c>
      <c r="R326" s="25" t="s">
        <v>2516</v>
      </c>
      <c r="S326" s="25" t="s">
        <v>173</v>
      </c>
      <c r="T326" s="25">
        <v>1</v>
      </c>
      <c r="U326" s="25" t="s">
        <v>2517</v>
      </c>
      <c r="V326" s="25" t="s">
        <v>4281</v>
      </c>
      <c r="W326" s="25" t="s">
        <v>4282</v>
      </c>
      <c r="X326" s="59">
        <v>45736.635416666657</v>
      </c>
      <c r="Y326" s="25"/>
      <c r="Z326" s="25">
        <v>0.3</v>
      </c>
      <c r="AA326" s="25"/>
      <c r="AB326" s="25" t="s">
        <v>2521</v>
      </c>
      <c r="AC326" s="27" t="s">
        <v>2591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2676</v>
      </c>
      <c r="H327" s="25" t="s">
        <v>2609</v>
      </c>
      <c r="I327" s="25"/>
      <c r="J327" s="25"/>
      <c r="K327" s="25"/>
      <c r="L327" s="25"/>
      <c r="M327" s="26"/>
      <c r="N327" s="25"/>
      <c r="O327" s="26"/>
      <c r="P327" s="27"/>
      <c r="Q327" s="25" t="s">
        <v>2680</v>
      </c>
      <c r="R327" s="25" t="s">
        <v>2516</v>
      </c>
      <c r="S327" s="25" t="s">
        <v>173</v>
      </c>
      <c r="T327" s="25">
        <v>1</v>
      </c>
      <c r="U327" s="25" t="s">
        <v>2517</v>
      </c>
      <c r="V327" s="25" t="s">
        <v>4283</v>
      </c>
      <c r="W327" s="25" t="s">
        <v>4284</v>
      </c>
      <c r="X327" s="59">
        <v>45736.658333333333</v>
      </c>
      <c r="Y327" s="25"/>
      <c r="Z327" s="25">
        <v>0.3</v>
      </c>
      <c r="AA327" s="25"/>
      <c r="AB327" s="25" t="s">
        <v>2521</v>
      </c>
      <c r="AC327" s="27" t="s">
        <v>2591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4285</v>
      </c>
      <c r="H328" s="25" t="s">
        <v>2659</v>
      </c>
      <c r="I328" s="25"/>
      <c r="J328" s="25"/>
      <c r="K328" s="25"/>
      <c r="L328" s="25"/>
      <c r="M328" s="26"/>
      <c r="N328" s="25"/>
      <c r="O328" s="26"/>
      <c r="P328" s="27"/>
      <c r="Q328" s="25" t="s">
        <v>4286</v>
      </c>
      <c r="R328" s="25" t="s">
        <v>2516</v>
      </c>
      <c r="S328" s="25" t="s">
        <v>185</v>
      </c>
      <c r="T328" s="25">
        <v>1</v>
      </c>
      <c r="U328" s="25" t="s">
        <v>2517</v>
      </c>
      <c r="V328" s="25" t="s">
        <v>4287</v>
      </c>
      <c r="W328" s="25" t="s">
        <v>4284</v>
      </c>
      <c r="X328" s="59">
        <v>45736.659722222219</v>
      </c>
      <c r="Y328" s="25"/>
      <c r="Z328" s="25">
        <v>0.3</v>
      </c>
      <c r="AA328" s="25"/>
      <c r="AB328" s="25" t="s">
        <v>2521</v>
      </c>
      <c r="AC328" s="27" t="s">
        <v>2591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4288</v>
      </c>
      <c r="H329" s="25" t="s">
        <v>2609</v>
      </c>
      <c r="I329" s="25"/>
      <c r="J329" s="25"/>
      <c r="K329" s="25"/>
      <c r="L329" s="25"/>
      <c r="M329" s="26"/>
      <c r="N329" s="25"/>
      <c r="O329" s="26"/>
      <c r="P329" s="27"/>
      <c r="Q329" s="25" t="s">
        <v>4289</v>
      </c>
      <c r="R329" s="25" t="s">
        <v>2516</v>
      </c>
      <c r="S329" s="25" t="s">
        <v>173</v>
      </c>
      <c r="T329" s="25">
        <v>1</v>
      </c>
      <c r="U329" s="25" t="s">
        <v>2517</v>
      </c>
      <c r="V329" s="25" t="s">
        <v>4290</v>
      </c>
      <c r="W329" s="25" t="s">
        <v>4291</v>
      </c>
      <c r="X329" s="59">
        <v>45736.67083333333</v>
      </c>
      <c r="Y329" s="25"/>
      <c r="Z329" s="25">
        <v>0.3</v>
      </c>
      <c r="AA329" s="25"/>
      <c r="AB329" s="25" t="s">
        <v>2521</v>
      </c>
      <c r="AC329" s="27" t="s">
        <v>2591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4292</v>
      </c>
      <c r="G330" s="25" t="s">
        <v>4293</v>
      </c>
      <c r="H330" s="25" t="s">
        <v>2609</v>
      </c>
      <c r="I330" s="25"/>
      <c r="J330" s="25"/>
      <c r="K330" s="25"/>
      <c r="L330" s="25"/>
      <c r="M330" s="26"/>
      <c r="N330" s="25"/>
      <c r="O330" s="26"/>
      <c r="P330" s="27"/>
      <c r="Q330" s="25" t="s">
        <v>4294</v>
      </c>
      <c r="R330" s="25" t="s">
        <v>2516</v>
      </c>
      <c r="S330" s="25" t="s">
        <v>173</v>
      </c>
      <c r="T330" s="25">
        <v>1</v>
      </c>
      <c r="U330" s="25" t="s">
        <v>2517</v>
      </c>
      <c r="V330" s="25" t="s">
        <v>4295</v>
      </c>
      <c r="W330" s="25" t="s">
        <v>4296</v>
      </c>
      <c r="X330" s="59">
        <v>45736.682638888888</v>
      </c>
      <c r="Y330" s="25"/>
      <c r="Z330" s="25">
        <v>0.2</v>
      </c>
      <c r="AA330" s="25"/>
      <c r="AB330" s="25" t="s">
        <v>2521</v>
      </c>
      <c r="AC330" s="27" t="s">
        <v>2591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4297</v>
      </c>
      <c r="H331" s="25" t="s">
        <v>2659</v>
      </c>
      <c r="I331" s="25"/>
      <c r="J331" s="25"/>
      <c r="K331" s="25"/>
      <c r="L331" s="25"/>
      <c r="M331" s="26"/>
      <c r="N331" s="25"/>
      <c r="O331" s="26"/>
      <c r="P331" s="27"/>
      <c r="Q331" s="25" t="s">
        <v>4298</v>
      </c>
      <c r="R331" s="25" t="s">
        <v>2516</v>
      </c>
      <c r="S331" s="25" t="s">
        <v>185</v>
      </c>
      <c r="T331" s="25">
        <v>1</v>
      </c>
      <c r="U331" s="25" t="s">
        <v>2517</v>
      </c>
      <c r="V331" s="25" t="s">
        <v>4299</v>
      </c>
      <c r="W331" s="25" t="s">
        <v>4300</v>
      </c>
      <c r="X331" s="59">
        <v>45736.673611111109</v>
      </c>
      <c r="Y331" s="25"/>
      <c r="Z331" s="25">
        <v>0.3</v>
      </c>
      <c r="AA331" s="25"/>
      <c r="AB331" s="25" t="s">
        <v>2521</v>
      </c>
      <c r="AC331" s="27" t="s">
        <v>2591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4301</v>
      </c>
      <c r="H332" s="25" t="s">
        <v>2659</v>
      </c>
      <c r="I332" s="25"/>
      <c r="J332" s="25"/>
      <c r="K332" s="25"/>
      <c r="L332" s="25"/>
      <c r="M332" s="26"/>
      <c r="N332" s="25"/>
      <c r="O332" s="26"/>
      <c r="P332" s="27"/>
      <c r="Q332" s="25" t="s">
        <v>4302</v>
      </c>
      <c r="R332" s="25" t="s">
        <v>2516</v>
      </c>
      <c r="S332" s="25" t="s">
        <v>185</v>
      </c>
      <c r="T332" s="25">
        <v>1</v>
      </c>
      <c r="U332" s="25" t="s">
        <v>2517</v>
      </c>
      <c r="V332" s="25" t="s">
        <v>4303</v>
      </c>
      <c r="W332" s="25" t="s">
        <v>4296</v>
      </c>
      <c r="X332" s="59">
        <v>45736.6875</v>
      </c>
      <c r="Y332" s="25"/>
      <c r="Z332" s="25">
        <v>0.3</v>
      </c>
      <c r="AA332" s="25"/>
      <c r="AB332" s="25" t="s">
        <v>2521</v>
      </c>
      <c r="AC332" s="27" t="s">
        <v>2591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4304</v>
      </c>
      <c r="E333" s="25" t="s">
        <v>2504</v>
      </c>
      <c r="F333" s="25">
        <v>5003</v>
      </c>
      <c r="G333" s="25" t="s">
        <v>3084</v>
      </c>
      <c r="H333" s="25" t="s">
        <v>2996</v>
      </c>
      <c r="I333" s="25" t="s">
        <v>4305</v>
      </c>
      <c r="J333" s="25" t="s">
        <v>2835</v>
      </c>
      <c r="K333" s="25" t="s">
        <v>2717</v>
      </c>
      <c r="L333" s="25" t="s">
        <v>2611</v>
      </c>
      <c r="M333" s="26" t="s">
        <v>2612</v>
      </c>
      <c r="N333" s="25" t="s">
        <v>2613</v>
      </c>
      <c r="O333" s="26" t="s">
        <v>2614</v>
      </c>
      <c r="P333" s="27" t="s">
        <v>4306</v>
      </c>
      <c r="Q333" s="25" t="s">
        <v>3085</v>
      </c>
      <c r="R333" s="25" t="s">
        <v>2516</v>
      </c>
      <c r="S333" s="25" t="s">
        <v>185</v>
      </c>
      <c r="T333" s="25">
        <v>1</v>
      </c>
      <c r="U333" s="25" t="s">
        <v>2517</v>
      </c>
      <c r="V333" s="25" t="s">
        <v>4307</v>
      </c>
      <c r="W333" s="25" t="s">
        <v>4308</v>
      </c>
      <c r="X333" s="59">
        <v>45737.583333333343</v>
      </c>
      <c r="Y333" s="25" t="s">
        <v>4309</v>
      </c>
      <c r="Z333" s="25">
        <v>1</v>
      </c>
      <c r="AA333" s="25"/>
      <c r="AB333" s="25" t="s">
        <v>2521</v>
      </c>
      <c r="AC333" s="27" t="s">
        <v>4310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4311</v>
      </c>
      <c r="E334" s="25" t="s">
        <v>2504</v>
      </c>
      <c r="F334" s="25" t="s">
        <v>2505</v>
      </c>
      <c r="G334" s="25" t="s">
        <v>2506</v>
      </c>
      <c r="H334" s="25" t="s">
        <v>2507</v>
      </c>
      <c r="I334" s="25" t="s">
        <v>4312</v>
      </c>
      <c r="J334" s="25" t="s">
        <v>2567</v>
      </c>
      <c r="K334" s="25" t="s">
        <v>2568</v>
      </c>
      <c r="L334" s="25" t="s">
        <v>2511</v>
      </c>
      <c r="M334" s="26" t="s">
        <v>2512</v>
      </c>
      <c r="N334" s="25">
        <v>2302</v>
      </c>
      <c r="O334" s="26" t="s">
        <v>2550</v>
      </c>
      <c r="P334" s="27" t="s">
        <v>4313</v>
      </c>
      <c r="Q334" s="25" t="s">
        <v>2515</v>
      </c>
      <c r="R334" s="25" t="s">
        <v>2516</v>
      </c>
      <c r="S334" s="25" t="s">
        <v>25</v>
      </c>
      <c r="T334" s="25">
        <v>1</v>
      </c>
      <c r="U334" s="25" t="s">
        <v>2517</v>
      </c>
      <c r="V334" s="25" t="s">
        <v>4314</v>
      </c>
      <c r="W334" s="25" t="s">
        <v>4315</v>
      </c>
      <c r="X334" s="59">
        <v>45737.681944444441</v>
      </c>
      <c r="Y334" s="25" t="s">
        <v>4316</v>
      </c>
      <c r="Z334" s="25">
        <v>0.5</v>
      </c>
      <c r="AA334" s="25"/>
      <c r="AB334" s="25" t="s">
        <v>2521</v>
      </c>
      <c r="AC334" s="27" t="s">
        <v>4317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3549</v>
      </c>
      <c r="H335" s="25" t="s">
        <v>2659</v>
      </c>
      <c r="I335" s="25"/>
      <c r="J335" s="25"/>
      <c r="K335" s="25"/>
      <c r="L335" s="25"/>
      <c r="M335" s="26"/>
      <c r="N335" s="25"/>
      <c r="O335" s="26"/>
      <c r="P335" s="27"/>
      <c r="Q335" s="25" t="s">
        <v>3552</v>
      </c>
      <c r="R335" s="25" t="s">
        <v>2516</v>
      </c>
      <c r="S335" s="25" t="s">
        <v>185</v>
      </c>
      <c r="T335" s="25">
        <v>1</v>
      </c>
      <c r="U335" s="25" t="s">
        <v>2517</v>
      </c>
      <c r="V335" s="25" t="s">
        <v>4318</v>
      </c>
      <c r="W335" s="25" t="s">
        <v>4319</v>
      </c>
      <c r="X335" s="59">
        <v>45737.597222222219</v>
      </c>
      <c r="Y335" s="25"/>
      <c r="Z335" s="25">
        <v>0.3</v>
      </c>
      <c r="AA335" s="25"/>
      <c r="AB335" s="25" t="s">
        <v>2521</v>
      </c>
      <c r="AC335" s="27" t="s">
        <v>2591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4320</v>
      </c>
      <c r="E336" s="25" t="s">
        <v>2504</v>
      </c>
      <c r="F336" s="25">
        <v>4259</v>
      </c>
      <c r="G336" s="25" t="s">
        <v>3042</v>
      </c>
      <c r="H336" s="25" t="s">
        <v>2987</v>
      </c>
      <c r="I336" s="25" t="s">
        <v>4321</v>
      </c>
      <c r="J336" s="25" t="s">
        <v>2567</v>
      </c>
      <c r="K336" s="25" t="s">
        <v>2510</v>
      </c>
      <c r="L336" s="25" t="s">
        <v>2511</v>
      </c>
      <c r="M336" s="26" t="s">
        <v>2512</v>
      </c>
      <c r="N336" s="25">
        <v>2304</v>
      </c>
      <c r="O336" s="26" t="s">
        <v>2513</v>
      </c>
      <c r="P336" s="27" t="s">
        <v>4322</v>
      </c>
      <c r="Q336" s="25" t="s">
        <v>3043</v>
      </c>
      <c r="R336" s="25" t="s">
        <v>2516</v>
      </c>
      <c r="S336" s="25" t="s">
        <v>25</v>
      </c>
      <c r="T336" s="25">
        <v>1</v>
      </c>
      <c r="U336" s="25" t="s">
        <v>2517</v>
      </c>
      <c r="V336" s="25" t="s">
        <v>4323</v>
      </c>
      <c r="W336" s="25" t="s">
        <v>4324</v>
      </c>
      <c r="X336" s="59">
        <v>45740.665277777778</v>
      </c>
      <c r="Y336" s="25" t="s">
        <v>4325</v>
      </c>
      <c r="Z336" s="25">
        <v>0.5</v>
      </c>
      <c r="AA336" s="25"/>
      <c r="AB336" s="25" t="s">
        <v>2521</v>
      </c>
      <c r="AC336" s="27" t="s">
        <v>4326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4327</v>
      </c>
      <c r="H337" s="25" t="s">
        <v>2609</v>
      </c>
      <c r="I337" s="25"/>
      <c r="J337" s="25"/>
      <c r="K337" s="25"/>
      <c r="L337" s="25"/>
      <c r="M337" s="26"/>
      <c r="N337" s="25"/>
      <c r="O337" s="26"/>
      <c r="P337" s="27"/>
      <c r="Q337" s="25" t="s">
        <v>4328</v>
      </c>
      <c r="R337" s="25" t="s">
        <v>2516</v>
      </c>
      <c r="S337" s="25" t="s">
        <v>173</v>
      </c>
      <c r="T337" s="25">
        <v>1</v>
      </c>
      <c r="U337" s="25" t="s">
        <v>2517</v>
      </c>
      <c r="V337" s="25" t="s">
        <v>4329</v>
      </c>
      <c r="W337" s="25" t="s">
        <v>4330</v>
      </c>
      <c r="X337" s="59">
        <v>45737.600694444453</v>
      </c>
      <c r="Y337" s="25"/>
      <c r="Z337" s="25">
        <v>0.3</v>
      </c>
      <c r="AA337" s="25"/>
      <c r="AB337" s="25" t="s">
        <v>2521</v>
      </c>
      <c r="AC337" s="27" t="s">
        <v>2591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4331</v>
      </c>
      <c r="G338" s="25" t="s">
        <v>4332</v>
      </c>
      <c r="H338" s="25" t="s">
        <v>2659</v>
      </c>
      <c r="I338" s="25"/>
      <c r="J338" s="25"/>
      <c r="K338" s="25"/>
      <c r="L338" s="25"/>
      <c r="M338" s="26"/>
      <c r="N338" s="25"/>
      <c r="O338" s="26"/>
      <c r="P338" s="27"/>
      <c r="Q338" s="25" t="s">
        <v>4333</v>
      </c>
      <c r="R338" s="25" t="s">
        <v>2516</v>
      </c>
      <c r="S338" s="25" t="s">
        <v>185</v>
      </c>
      <c r="T338" s="25">
        <v>1</v>
      </c>
      <c r="U338" s="25" t="s">
        <v>2517</v>
      </c>
      <c r="V338" s="25" t="s">
        <v>4334</v>
      </c>
      <c r="W338" s="25" t="s">
        <v>4335</v>
      </c>
      <c r="X338" s="59">
        <v>45737.618055555547</v>
      </c>
      <c r="Y338" s="25"/>
      <c r="Z338" s="25">
        <v>0.3</v>
      </c>
      <c r="AA338" s="25"/>
      <c r="AB338" s="25" t="s">
        <v>2521</v>
      </c>
      <c r="AC338" s="27" t="s">
        <v>2591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4336</v>
      </c>
      <c r="E339" s="25" t="s">
        <v>2504</v>
      </c>
      <c r="F339" s="25">
        <v>4259</v>
      </c>
      <c r="G339" s="25" t="s">
        <v>3042</v>
      </c>
      <c r="H339" s="25" t="s">
        <v>2987</v>
      </c>
      <c r="I339" s="25" t="s">
        <v>4337</v>
      </c>
      <c r="J339" s="25" t="s">
        <v>2567</v>
      </c>
      <c r="K339" s="25" t="s">
        <v>2510</v>
      </c>
      <c r="L339" s="25" t="s">
        <v>2537</v>
      </c>
      <c r="M339" s="26" t="s">
        <v>2538</v>
      </c>
      <c r="N339" s="25" t="s">
        <v>2539</v>
      </c>
      <c r="O339" s="26" t="s">
        <v>2540</v>
      </c>
      <c r="P339" s="27" t="s">
        <v>4338</v>
      </c>
      <c r="Q339" s="25" t="s">
        <v>3043</v>
      </c>
      <c r="R339" s="25" t="s">
        <v>2516</v>
      </c>
      <c r="S339" s="25" t="s">
        <v>25</v>
      </c>
      <c r="T339" s="25">
        <v>1</v>
      </c>
      <c r="U339" s="25" t="s">
        <v>2517</v>
      </c>
      <c r="V339" s="25" t="s">
        <v>4339</v>
      </c>
      <c r="W339" s="25" t="s">
        <v>4340</v>
      </c>
      <c r="X339" s="59">
        <v>45740.661111111112</v>
      </c>
      <c r="Y339" s="25" t="s">
        <v>4341</v>
      </c>
      <c r="Z339" s="25">
        <v>0.5</v>
      </c>
      <c r="AA339" s="25"/>
      <c r="AB339" s="25" t="s">
        <v>2521</v>
      </c>
      <c r="AC339" s="27" t="s">
        <v>4342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4343</v>
      </c>
      <c r="E340" s="25" t="s">
        <v>2504</v>
      </c>
      <c r="F340" s="25">
        <v>4046</v>
      </c>
      <c r="G340" s="25" t="s">
        <v>4256</v>
      </c>
      <c r="H340" s="25" t="s">
        <v>2609</v>
      </c>
      <c r="I340" s="25" t="s">
        <v>4344</v>
      </c>
      <c r="J340" s="25" t="s">
        <v>2930</v>
      </c>
      <c r="K340" s="25" t="s">
        <v>2510</v>
      </c>
      <c r="L340" s="25" t="s">
        <v>3483</v>
      </c>
      <c r="M340" s="26" t="s">
        <v>3484</v>
      </c>
      <c r="N340" s="25">
        <v>6004</v>
      </c>
      <c r="O340" s="26" t="s">
        <v>2893</v>
      </c>
      <c r="P340" s="27" t="s">
        <v>4345</v>
      </c>
      <c r="Q340" s="25" t="s">
        <v>4259</v>
      </c>
      <c r="R340" s="25" t="s">
        <v>2516</v>
      </c>
      <c r="S340" s="25" t="s">
        <v>173</v>
      </c>
      <c r="T340" s="25">
        <v>1</v>
      </c>
      <c r="U340" s="25" t="s">
        <v>2517</v>
      </c>
      <c r="V340" s="25" t="s">
        <v>4346</v>
      </c>
      <c r="W340" s="25" t="s">
        <v>4347</v>
      </c>
      <c r="X340" s="59">
        <v>45741.4375</v>
      </c>
      <c r="Y340" s="25" t="s">
        <v>4348</v>
      </c>
      <c r="Z340" s="25">
        <v>0.2</v>
      </c>
      <c r="AA340" s="25"/>
      <c r="AB340" s="25" t="s">
        <v>2521</v>
      </c>
      <c r="AC340" s="27" t="s">
        <v>4349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4350</v>
      </c>
      <c r="E341" s="25" t="s">
        <v>2504</v>
      </c>
      <c r="F341" s="25">
        <v>4155</v>
      </c>
      <c r="G341" s="25" t="s">
        <v>2737</v>
      </c>
      <c r="H341" s="25" t="s">
        <v>2507</v>
      </c>
      <c r="I341" s="25" t="s">
        <v>4351</v>
      </c>
      <c r="J341" s="25" t="s">
        <v>2643</v>
      </c>
      <c r="K341" s="25" t="s">
        <v>2510</v>
      </c>
      <c r="L341" s="25" t="s">
        <v>2511</v>
      </c>
      <c r="M341" s="26" t="s">
        <v>2512</v>
      </c>
      <c r="N341" s="25">
        <v>2304</v>
      </c>
      <c r="O341" s="26" t="s">
        <v>2513</v>
      </c>
      <c r="P341" s="27" t="s">
        <v>4352</v>
      </c>
      <c r="Q341" s="25" t="s">
        <v>2738</v>
      </c>
      <c r="R341" s="25" t="s">
        <v>2516</v>
      </c>
      <c r="S341" s="25" t="s">
        <v>25</v>
      </c>
      <c r="T341" s="25">
        <v>1</v>
      </c>
      <c r="U341" s="25" t="s">
        <v>2517</v>
      </c>
      <c r="V341" s="25" t="s">
        <v>4353</v>
      </c>
      <c r="W341" s="25" t="s">
        <v>4354</v>
      </c>
      <c r="X341" s="59">
        <v>45740.718055555553</v>
      </c>
      <c r="Y341" s="25" t="s">
        <v>4348</v>
      </c>
      <c r="Z341" s="25">
        <v>0.5</v>
      </c>
      <c r="AA341" s="25"/>
      <c r="AB341" s="25" t="s">
        <v>2521</v>
      </c>
      <c r="AC341" s="27" t="s">
        <v>4355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4356</v>
      </c>
      <c r="H342" s="25" t="s">
        <v>2507</v>
      </c>
      <c r="I342" s="25"/>
      <c r="J342" s="25"/>
      <c r="K342" s="25"/>
      <c r="L342" s="25"/>
      <c r="M342" s="26"/>
      <c r="N342" s="25"/>
      <c r="O342" s="26"/>
      <c r="P342" s="27"/>
      <c r="Q342" s="25" t="s">
        <v>4357</v>
      </c>
      <c r="R342" s="25" t="s">
        <v>2516</v>
      </c>
      <c r="S342" s="25" t="s">
        <v>25</v>
      </c>
      <c r="T342" s="25">
        <v>1</v>
      </c>
      <c r="U342" s="25" t="s">
        <v>2517</v>
      </c>
      <c r="V342" s="25" t="s">
        <v>4358</v>
      </c>
      <c r="W342" s="25" t="s">
        <v>4359</v>
      </c>
      <c r="X342" s="59">
        <v>45740.568055555559</v>
      </c>
      <c r="Y342" s="25"/>
      <c r="Z342" s="25">
        <v>3.1</v>
      </c>
      <c r="AA342" s="25"/>
      <c r="AB342" s="25" t="s">
        <v>2521</v>
      </c>
      <c r="AC342" s="27" t="s">
        <v>4360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3936</v>
      </c>
      <c r="H343" s="25" t="s">
        <v>2659</v>
      </c>
      <c r="I343" s="25"/>
      <c r="J343" s="25"/>
      <c r="K343" s="25"/>
      <c r="L343" s="25"/>
      <c r="M343" s="26"/>
      <c r="N343" s="25"/>
      <c r="O343" s="26"/>
      <c r="P343" s="27"/>
      <c r="Q343" s="25" t="s">
        <v>3937</v>
      </c>
      <c r="R343" s="25" t="s">
        <v>2516</v>
      </c>
      <c r="S343" s="25" t="s">
        <v>185</v>
      </c>
      <c r="T343" s="25">
        <v>1</v>
      </c>
      <c r="U343" s="25" t="s">
        <v>2517</v>
      </c>
      <c r="V343" s="25" t="s">
        <v>4361</v>
      </c>
      <c r="W343" s="25" t="s">
        <v>4362</v>
      </c>
      <c r="X343" s="59">
        <v>45740.602083333331</v>
      </c>
      <c r="Y343" s="25"/>
      <c r="Z343" s="25">
        <v>1</v>
      </c>
      <c r="AA343" s="25"/>
      <c r="AB343" s="25" t="s">
        <v>2521</v>
      </c>
      <c r="AC343" s="27" t="s">
        <v>4363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4364</v>
      </c>
      <c r="E344" s="25" t="s">
        <v>2504</v>
      </c>
      <c r="F344" s="25">
        <v>2267</v>
      </c>
      <c r="G344" s="25" t="s">
        <v>3170</v>
      </c>
      <c r="H344" s="25" t="s">
        <v>3171</v>
      </c>
      <c r="I344" s="25" t="s">
        <v>4365</v>
      </c>
      <c r="J344" s="25" t="s">
        <v>2509</v>
      </c>
      <c r="K344" s="25" t="s">
        <v>2568</v>
      </c>
      <c r="L344" s="25" t="s">
        <v>2525</v>
      </c>
      <c r="M344" s="26" t="s">
        <v>2526</v>
      </c>
      <c r="N344" s="25">
        <v>5804</v>
      </c>
      <c r="O344" s="26" t="s">
        <v>2582</v>
      </c>
      <c r="P344" s="27" t="s">
        <v>4366</v>
      </c>
      <c r="Q344" s="25" t="s">
        <v>3172</v>
      </c>
      <c r="R344" s="25" t="s">
        <v>2516</v>
      </c>
      <c r="S344" s="25" t="s">
        <v>25</v>
      </c>
      <c r="T344" s="25">
        <v>1</v>
      </c>
      <c r="U344" s="25" t="s">
        <v>2517</v>
      </c>
      <c r="V344" s="25" t="s">
        <v>4367</v>
      </c>
      <c r="W344" s="25" t="s">
        <v>4368</v>
      </c>
      <c r="X344" s="59">
        <v>45741.59097222222</v>
      </c>
      <c r="Y344" s="25" t="s">
        <v>4369</v>
      </c>
      <c r="Z344" s="25">
        <v>0.5</v>
      </c>
      <c r="AA344" s="25"/>
      <c r="AB344" s="25" t="s">
        <v>2521</v>
      </c>
      <c r="AC344" s="27" t="s">
        <v>4370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4371</v>
      </c>
      <c r="H345" s="25" t="s">
        <v>2659</v>
      </c>
      <c r="I345" s="25"/>
      <c r="J345" s="25"/>
      <c r="K345" s="25"/>
      <c r="L345" s="25"/>
      <c r="M345" s="26"/>
      <c r="N345" s="25"/>
      <c r="O345" s="26"/>
      <c r="P345" s="27"/>
      <c r="Q345" s="25" t="s">
        <v>4372</v>
      </c>
      <c r="R345" s="25" t="s">
        <v>2516</v>
      </c>
      <c r="S345" s="25" t="s">
        <v>185</v>
      </c>
      <c r="T345" s="25">
        <v>1</v>
      </c>
      <c r="U345" s="25" t="s">
        <v>2517</v>
      </c>
      <c r="V345" s="25" t="s">
        <v>4373</v>
      </c>
      <c r="W345" s="25" t="s">
        <v>4374</v>
      </c>
      <c r="X345" s="59">
        <v>45741.618055555547</v>
      </c>
      <c r="Y345" s="25"/>
      <c r="Z345" s="25">
        <v>0.3</v>
      </c>
      <c r="AA345" s="25"/>
      <c r="AB345" s="25" t="s">
        <v>2521</v>
      </c>
      <c r="AC345" s="27" t="s">
        <v>2591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4375</v>
      </c>
      <c r="H346" s="25" t="s">
        <v>2659</v>
      </c>
      <c r="I346" s="25"/>
      <c r="J346" s="25"/>
      <c r="K346" s="25"/>
      <c r="L346" s="25"/>
      <c r="M346" s="26"/>
      <c r="N346" s="25"/>
      <c r="O346" s="26"/>
      <c r="P346" s="27"/>
      <c r="Q346" s="25" t="s">
        <v>4376</v>
      </c>
      <c r="R346" s="25" t="s">
        <v>2516</v>
      </c>
      <c r="S346" s="25" t="s">
        <v>185</v>
      </c>
      <c r="T346" s="25">
        <v>1</v>
      </c>
      <c r="U346" s="25" t="s">
        <v>2517</v>
      </c>
      <c r="V346" s="25" t="s">
        <v>4377</v>
      </c>
      <c r="W346" s="25" t="s">
        <v>4378</v>
      </c>
      <c r="X346" s="59">
        <v>45741.631944444453</v>
      </c>
      <c r="Y346" s="25"/>
      <c r="Z346" s="25">
        <v>0.3</v>
      </c>
      <c r="AA346" s="25"/>
      <c r="AB346" s="25" t="s">
        <v>2521</v>
      </c>
      <c r="AC346" s="27" t="s">
        <v>2591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4379</v>
      </c>
      <c r="H347" s="25" t="s">
        <v>2659</v>
      </c>
      <c r="I347" s="25"/>
      <c r="J347" s="25"/>
      <c r="K347" s="25"/>
      <c r="L347" s="25"/>
      <c r="M347" s="26"/>
      <c r="N347" s="25"/>
      <c r="O347" s="26"/>
      <c r="P347" s="27"/>
      <c r="Q347" s="25" t="s">
        <v>4380</v>
      </c>
      <c r="R347" s="25" t="s">
        <v>2516</v>
      </c>
      <c r="S347" s="25" t="s">
        <v>185</v>
      </c>
      <c r="T347" s="25">
        <v>1</v>
      </c>
      <c r="U347" s="25" t="s">
        <v>2517</v>
      </c>
      <c r="V347" s="25" t="s">
        <v>4381</v>
      </c>
      <c r="W347" s="25" t="s">
        <v>4382</v>
      </c>
      <c r="X347" s="59">
        <v>45741.645833333343</v>
      </c>
      <c r="Y347" s="25"/>
      <c r="Z347" s="25">
        <v>0.3</v>
      </c>
      <c r="AA347" s="25"/>
      <c r="AB347" s="25" t="s">
        <v>2521</v>
      </c>
      <c r="AC347" s="27" t="s">
        <v>2591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4383</v>
      </c>
      <c r="E348" s="25" t="s">
        <v>2504</v>
      </c>
      <c r="F348" s="25">
        <v>2890</v>
      </c>
      <c r="G348" s="25" t="s">
        <v>3613</v>
      </c>
      <c r="H348" s="25" t="s">
        <v>2641</v>
      </c>
      <c r="I348" s="25" t="s">
        <v>4384</v>
      </c>
      <c r="J348" s="25" t="s">
        <v>2509</v>
      </c>
      <c r="K348" s="25" t="s">
        <v>2510</v>
      </c>
      <c r="L348" s="25" t="s">
        <v>2511</v>
      </c>
      <c r="M348" s="26" t="s">
        <v>2512</v>
      </c>
      <c r="N348" s="25">
        <v>2306</v>
      </c>
      <c r="O348" s="26" t="s">
        <v>2893</v>
      </c>
      <c r="P348" s="27" t="s">
        <v>4385</v>
      </c>
      <c r="Q348" s="25" t="s">
        <v>3616</v>
      </c>
      <c r="R348" s="25" t="s">
        <v>2516</v>
      </c>
      <c r="S348" s="25" t="s">
        <v>25</v>
      </c>
      <c r="T348" s="25">
        <v>1</v>
      </c>
      <c r="U348" s="25" t="s">
        <v>2517</v>
      </c>
      <c r="V348" s="25" t="s">
        <v>4386</v>
      </c>
      <c r="W348" s="25" t="s">
        <v>4387</v>
      </c>
      <c r="X348" s="59">
        <v>45741.72152777778</v>
      </c>
      <c r="Y348" s="25" t="s">
        <v>4388</v>
      </c>
      <c r="Z348" s="25">
        <v>0.5</v>
      </c>
      <c r="AA348" s="25"/>
      <c r="AB348" s="25" t="s">
        <v>2521</v>
      </c>
      <c r="AC348" s="27" t="s">
        <v>4389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4390</v>
      </c>
      <c r="H349" s="25" t="s">
        <v>2609</v>
      </c>
      <c r="I349" s="25"/>
      <c r="J349" s="25"/>
      <c r="K349" s="25"/>
      <c r="L349" s="25"/>
      <c r="M349" s="26"/>
      <c r="N349" s="25"/>
      <c r="O349" s="26"/>
      <c r="P349" s="27"/>
      <c r="Q349" s="25" t="s">
        <v>4391</v>
      </c>
      <c r="R349" s="25" t="s">
        <v>2516</v>
      </c>
      <c r="S349" s="25" t="s">
        <v>173</v>
      </c>
      <c r="T349" s="25">
        <v>1</v>
      </c>
      <c r="U349" s="25" t="s">
        <v>2517</v>
      </c>
      <c r="V349" s="25" t="s">
        <v>4392</v>
      </c>
      <c r="W349" s="25" t="s">
        <v>4393</v>
      </c>
      <c r="X349" s="59">
        <v>45742.477777777778</v>
      </c>
      <c r="Y349" s="25"/>
      <c r="Z349" s="25">
        <v>0.3</v>
      </c>
      <c r="AA349" s="25"/>
      <c r="AB349" s="25" t="s">
        <v>2521</v>
      </c>
      <c r="AC349" s="27" t="s">
        <v>2591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2890</v>
      </c>
      <c r="H350" s="25" t="s">
        <v>2609</v>
      </c>
      <c r="I350" s="25"/>
      <c r="J350" s="25"/>
      <c r="K350" s="25"/>
      <c r="L350" s="25"/>
      <c r="M350" s="26"/>
      <c r="N350" s="25"/>
      <c r="O350" s="26"/>
      <c r="P350" s="27"/>
      <c r="Q350" s="25" t="s">
        <v>2895</v>
      </c>
      <c r="R350" s="25" t="s">
        <v>2516</v>
      </c>
      <c r="S350" s="25" t="s">
        <v>173</v>
      </c>
      <c r="T350" s="25">
        <v>1</v>
      </c>
      <c r="U350" s="25" t="s">
        <v>2517</v>
      </c>
      <c r="V350" s="25" t="s">
        <v>4394</v>
      </c>
      <c r="W350" s="25" t="s">
        <v>4395</v>
      </c>
      <c r="X350" s="59">
        <v>45742.495138888888</v>
      </c>
      <c r="Y350" s="25"/>
      <c r="Z350" s="25">
        <v>0.2</v>
      </c>
      <c r="AA350" s="25"/>
      <c r="AB350" s="25" t="s">
        <v>2521</v>
      </c>
      <c r="AC350" s="27" t="s">
        <v>2591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4396</v>
      </c>
      <c r="H351" s="25" t="s">
        <v>2609</v>
      </c>
      <c r="I351" s="25"/>
      <c r="J351" s="25"/>
      <c r="K351" s="25"/>
      <c r="L351" s="25"/>
      <c r="M351" s="26"/>
      <c r="N351" s="25"/>
      <c r="O351" s="26"/>
      <c r="P351" s="27"/>
      <c r="Q351" s="25" t="s">
        <v>4397</v>
      </c>
      <c r="R351" s="25" t="s">
        <v>2516</v>
      </c>
      <c r="S351" s="25" t="s">
        <v>173</v>
      </c>
      <c r="T351" s="25">
        <v>1</v>
      </c>
      <c r="U351" s="25" t="s">
        <v>2517</v>
      </c>
      <c r="V351" s="25" t="s">
        <v>4398</v>
      </c>
      <c r="W351" s="25" t="s">
        <v>4399</v>
      </c>
      <c r="X351" s="59">
        <v>45742.511111111111</v>
      </c>
      <c r="Y351" s="25"/>
      <c r="Z351" s="25">
        <v>0.3</v>
      </c>
      <c r="AA351" s="25"/>
      <c r="AB351" s="25" t="s">
        <v>2521</v>
      </c>
      <c r="AC351" s="27" t="s">
        <v>2591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4400</v>
      </c>
      <c r="H352" s="25" t="s">
        <v>2609</v>
      </c>
      <c r="I352" s="25"/>
      <c r="J352" s="25"/>
      <c r="K352" s="25"/>
      <c r="L352" s="25"/>
      <c r="M352" s="26"/>
      <c r="N352" s="25"/>
      <c r="O352" s="26"/>
      <c r="P352" s="27"/>
      <c r="Q352" s="25" t="s">
        <v>4401</v>
      </c>
      <c r="R352" s="25" t="s">
        <v>2516</v>
      </c>
      <c r="S352" s="25" t="s">
        <v>173</v>
      </c>
      <c r="T352" s="25">
        <v>1</v>
      </c>
      <c r="U352" s="25" t="s">
        <v>2517</v>
      </c>
      <c r="V352" s="25" t="s">
        <v>4402</v>
      </c>
      <c r="W352" s="25" t="s">
        <v>4403</v>
      </c>
      <c r="X352" s="59">
        <v>45742.524305555547</v>
      </c>
      <c r="Y352" s="25"/>
      <c r="Z352" s="25">
        <v>0.3</v>
      </c>
      <c r="AA352" s="25"/>
      <c r="AB352" s="25" t="s">
        <v>2521</v>
      </c>
      <c r="AC352" s="27" t="s">
        <v>2591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4404</v>
      </c>
      <c r="G353" s="25" t="s">
        <v>4405</v>
      </c>
      <c r="H353" s="25" t="s">
        <v>2609</v>
      </c>
      <c r="I353" s="25"/>
      <c r="J353" s="25"/>
      <c r="K353" s="25"/>
      <c r="L353" s="25"/>
      <c r="M353" s="26"/>
      <c r="N353" s="25"/>
      <c r="O353" s="26"/>
      <c r="P353" s="27"/>
      <c r="Q353" s="25" t="s">
        <v>4406</v>
      </c>
      <c r="R353" s="25" t="s">
        <v>2516</v>
      </c>
      <c r="S353" s="25" t="s">
        <v>173</v>
      </c>
      <c r="T353" s="25">
        <v>1</v>
      </c>
      <c r="U353" s="25" t="s">
        <v>2517</v>
      </c>
      <c r="V353" s="25" t="s">
        <v>4407</v>
      </c>
      <c r="W353" s="25" t="s">
        <v>4408</v>
      </c>
      <c r="X353" s="59">
        <v>45742.552083333343</v>
      </c>
      <c r="Y353" s="25"/>
      <c r="Z353" s="25">
        <v>0.5</v>
      </c>
      <c r="AA353" s="25"/>
      <c r="AB353" s="25" t="s">
        <v>2521</v>
      </c>
      <c r="AC353" s="27" t="s">
        <v>2591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4409</v>
      </c>
      <c r="G354" s="25" t="s">
        <v>4410</v>
      </c>
      <c r="H354" s="25" t="s">
        <v>2609</v>
      </c>
      <c r="I354" s="25"/>
      <c r="J354" s="25"/>
      <c r="K354" s="25"/>
      <c r="L354" s="25"/>
      <c r="M354" s="26"/>
      <c r="N354" s="25"/>
      <c r="O354" s="26"/>
      <c r="P354" s="27"/>
      <c r="Q354" s="25" t="s">
        <v>4411</v>
      </c>
      <c r="R354" s="25" t="s">
        <v>2516</v>
      </c>
      <c r="S354" s="25" t="s">
        <v>173</v>
      </c>
      <c r="T354" s="25">
        <v>1</v>
      </c>
      <c r="U354" s="25" t="s">
        <v>2517</v>
      </c>
      <c r="V354" s="25" t="s">
        <v>4412</v>
      </c>
      <c r="W354" s="25" t="s">
        <v>4413</v>
      </c>
      <c r="X354" s="59">
        <v>45742.568749999999</v>
      </c>
      <c r="Y354" s="25"/>
      <c r="Z354" s="25">
        <v>0.3</v>
      </c>
      <c r="AA354" s="25"/>
      <c r="AB354" s="25" t="s">
        <v>2521</v>
      </c>
      <c r="AC354" s="27" t="s">
        <v>2591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4414</v>
      </c>
      <c r="E355" s="25" t="s">
        <v>2504</v>
      </c>
      <c r="F355" s="25">
        <v>3890</v>
      </c>
      <c r="G355" s="25" t="s">
        <v>2548</v>
      </c>
      <c r="H355" s="25" t="s">
        <v>2507</v>
      </c>
      <c r="I355" s="25" t="s">
        <v>4415</v>
      </c>
      <c r="J355" s="25" t="s">
        <v>2536</v>
      </c>
      <c r="K355" s="25" t="s">
        <v>2510</v>
      </c>
      <c r="L355" s="25" t="s">
        <v>3271</v>
      </c>
      <c r="M355" s="26" t="s">
        <v>3272</v>
      </c>
      <c r="N355" s="25" t="s">
        <v>3273</v>
      </c>
      <c r="O355" s="26" t="s">
        <v>3274</v>
      </c>
      <c r="P355" s="27" t="s">
        <v>4416</v>
      </c>
      <c r="Q355" s="25" t="s">
        <v>2552</v>
      </c>
      <c r="R355" s="25" t="s">
        <v>2516</v>
      </c>
      <c r="S355" s="25" t="s">
        <v>25</v>
      </c>
      <c r="T355" s="25">
        <v>1</v>
      </c>
      <c r="U355" s="25" t="s">
        <v>2517</v>
      </c>
      <c r="V355" s="25" t="s">
        <v>4417</v>
      </c>
      <c r="W355" s="25" t="s">
        <v>4418</v>
      </c>
      <c r="X355" s="59">
        <v>45743.470833333333</v>
      </c>
      <c r="Y355" s="25" t="s">
        <v>4419</v>
      </c>
      <c r="Z355" s="25">
        <v>0.5</v>
      </c>
      <c r="AA355" s="25"/>
      <c r="AB355" s="25" t="s">
        <v>2521</v>
      </c>
      <c r="AC355" s="27" t="s">
        <v>4420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4421</v>
      </c>
      <c r="H356" s="25" t="s">
        <v>2609</v>
      </c>
      <c r="I356" s="25"/>
      <c r="J356" s="25"/>
      <c r="K356" s="25"/>
      <c r="L356" s="25"/>
      <c r="M356" s="26"/>
      <c r="N356" s="25"/>
      <c r="O356" s="26"/>
      <c r="P356" s="27"/>
      <c r="Q356" s="25" t="s">
        <v>4422</v>
      </c>
      <c r="R356" s="25" t="s">
        <v>2516</v>
      </c>
      <c r="S356" s="25" t="s">
        <v>173</v>
      </c>
      <c r="T356" s="25">
        <v>1</v>
      </c>
      <c r="U356" s="25" t="s">
        <v>2517</v>
      </c>
      <c r="V356" s="25" t="s">
        <v>4423</v>
      </c>
      <c r="W356" s="25" t="s">
        <v>4424</v>
      </c>
      <c r="X356" s="59">
        <v>45742.590277777781</v>
      </c>
      <c r="Y356" s="25"/>
      <c r="Z356" s="25">
        <v>0.4</v>
      </c>
      <c r="AA356" s="25"/>
      <c r="AB356" s="25" t="s">
        <v>2521</v>
      </c>
      <c r="AC356" s="27" t="s">
        <v>2591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4425</v>
      </c>
      <c r="E357" s="25" t="s">
        <v>2504</v>
      </c>
      <c r="F357" s="25">
        <v>4977</v>
      </c>
      <c r="G357" s="25" t="s">
        <v>3303</v>
      </c>
      <c r="H357" s="25" t="s">
        <v>2507</v>
      </c>
      <c r="I357" s="25" t="s">
        <v>4426</v>
      </c>
      <c r="J357" s="25" t="s">
        <v>2536</v>
      </c>
      <c r="K357" s="25" t="s">
        <v>2510</v>
      </c>
      <c r="L357" s="25" t="s">
        <v>2611</v>
      </c>
      <c r="M357" s="26" t="s">
        <v>2612</v>
      </c>
      <c r="N357" s="25" t="s">
        <v>2972</v>
      </c>
      <c r="O357" s="26" t="s">
        <v>2973</v>
      </c>
      <c r="P357" s="27" t="s">
        <v>4427</v>
      </c>
      <c r="Q357" s="25" t="s">
        <v>3304</v>
      </c>
      <c r="R357" s="25" t="s">
        <v>2516</v>
      </c>
      <c r="S357" s="25" t="s">
        <v>25</v>
      </c>
      <c r="T357" s="25">
        <v>1</v>
      </c>
      <c r="U357" s="25" t="s">
        <v>2517</v>
      </c>
      <c r="V357" s="25" t="s">
        <v>4428</v>
      </c>
      <c r="W357" s="25" t="s">
        <v>4429</v>
      </c>
      <c r="X357" s="59">
        <v>45743.524305555547</v>
      </c>
      <c r="Y357" s="25" t="s">
        <v>4430</v>
      </c>
      <c r="Z357" s="25">
        <v>0.5</v>
      </c>
      <c r="AA357" s="25"/>
      <c r="AB357" s="25" t="s">
        <v>2521</v>
      </c>
      <c r="AC357" s="27" t="s">
        <v>4431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4432</v>
      </c>
      <c r="H358" s="25" t="s">
        <v>2609</v>
      </c>
      <c r="I358" s="25"/>
      <c r="J358" s="25"/>
      <c r="K358" s="25"/>
      <c r="L358" s="25"/>
      <c r="M358" s="26"/>
      <c r="N358" s="25"/>
      <c r="O358" s="26"/>
      <c r="P358" s="27"/>
      <c r="Q358" s="25" t="s">
        <v>4433</v>
      </c>
      <c r="R358" s="25" t="s">
        <v>2516</v>
      </c>
      <c r="S358" s="25" t="s">
        <v>173</v>
      </c>
      <c r="T358" s="25">
        <v>1</v>
      </c>
      <c r="U358" s="25" t="s">
        <v>2517</v>
      </c>
      <c r="V358" s="25" t="s">
        <v>4434</v>
      </c>
      <c r="W358" s="25" t="s">
        <v>4435</v>
      </c>
      <c r="X358" s="59">
        <v>45742.604166666657</v>
      </c>
      <c r="Y358" s="25"/>
      <c r="Z358" s="25">
        <v>0.3</v>
      </c>
      <c r="AA358" s="25"/>
      <c r="AB358" s="25" t="s">
        <v>2521</v>
      </c>
      <c r="AC358" s="27" t="s">
        <v>2591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4436</v>
      </c>
      <c r="E359" s="25" t="s">
        <v>2504</v>
      </c>
      <c r="F359" s="25">
        <v>3796</v>
      </c>
      <c r="G359" s="25" t="s">
        <v>3859</v>
      </c>
      <c r="H359" s="25" t="s">
        <v>2507</v>
      </c>
      <c r="I359" s="25" t="s">
        <v>4437</v>
      </c>
      <c r="J359" s="25" t="s">
        <v>2835</v>
      </c>
      <c r="K359" s="25" t="s">
        <v>2765</v>
      </c>
      <c r="L359" s="25" t="s">
        <v>2537</v>
      </c>
      <c r="M359" s="26" t="s">
        <v>2538</v>
      </c>
      <c r="N359" s="25" t="s">
        <v>2539</v>
      </c>
      <c r="O359" s="26" t="s">
        <v>2540</v>
      </c>
      <c r="P359" s="27" t="s">
        <v>4438</v>
      </c>
      <c r="Q359" s="25" t="s">
        <v>3860</v>
      </c>
      <c r="R359" s="25" t="s">
        <v>2516</v>
      </c>
      <c r="S359" s="25" t="s">
        <v>25</v>
      </c>
      <c r="T359" s="25">
        <v>1</v>
      </c>
      <c r="U359" s="25" t="s">
        <v>2517</v>
      </c>
      <c r="V359" s="25" t="s">
        <v>4439</v>
      </c>
      <c r="W359" s="25" t="s">
        <v>4440</v>
      </c>
      <c r="X359" s="59">
        <v>45743.553472222222</v>
      </c>
      <c r="Y359" s="25" t="s">
        <v>4441</v>
      </c>
      <c r="Z359" s="25">
        <v>0.5</v>
      </c>
      <c r="AA359" s="25"/>
      <c r="AB359" s="25" t="s">
        <v>2521</v>
      </c>
      <c r="AC359" s="27" t="s">
        <v>4442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4443</v>
      </c>
      <c r="H360" s="25" t="s">
        <v>2609</v>
      </c>
      <c r="I360" s="25"/>
      <c r="J360" s="25"/>
      <c r="K360" s="25"/>
      <c r="L360" s="25"/>
      <c r="M360" s="26"/>
      <c r="N360" s="25"/>
      <c r="O360" s="26"/>
      <c r="P360" s="27"/>
      <c r="Q360" s="25" t="s">
        <v>4444</v>
      </c>
      <c r="R360" s="25" t="s">
        <v>2516</v>
      </c>
      <c r="S360" s="25" t="s">
        <v>173</v>
      </c>
      <c r="T360" s="25">
        <v>1</v>
      </c>
      <c r="U360" s="25" t="s">
        <v>2517</v>
      </c>
      <c r="V360" s="25" t="s">
        <v>4445</v>
      </c>
      <c r="W360" s="25" t="s">
        <v>4446</v>
      </c>
      <c r="X360" s="59">
        <v>45743.452777777777</v>
      </c>
      <c r="Y360" s="25"/>
      <c r="Z360" s="25">
        <v>0.3</v>
      </c>
      <c r="AA360" s="25"/>
      <c r="AB360" s="25" t="s">
        <v>2521</v>
      </c>
      <c r="AC360" s="27" t="s">
        <v>2591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4447</v>
      </c>
      <c r="G361" s="25" t="s">
        <v>4448</v>
      </c>
      <c r="H361" s="25" t="s">
        <v>2609</v>
      </c>
      <c r="I361" s="25"/>
      <c r="J361" s="25"/>
      <c r="K361" s="25"/>
      <c r="L361" s="25"/>
      <c r="M361" s="26"/>
      <c r="N361" s="25"/>
      <c r="O361" s="26"/>
      <c r="P361" s="27"/>
      <c r="Q361" s="25" t="s">
        <v>4449</v>
      </c>
      <c r="R361" s="25" t="s">
        <v>2516</v>
      </c>
      <c r="S361" s="25" t="s">
        <v>173</v>
      </c>
      <c r="T361" s="25">
        <v>1</v>
      </c>
      <c r="U361" s="25" t="s">
        <v>2517</v>
      </c>
      <c r="V361" s="25" t="s">
        <v>4450</v>
      </c>
      <c r="W361" s="25" t="s">
        <v>4451</v>
      </c>
      <c r="X361" s="59">
        <v>45743.465277777781</v>
      </c>
      <c r="Y361" s="25"/>
      <c r="Z361" s="25">
        <v>0.2</v>
      </c>
      <c r="AA361" s="25"/>
      <c r="AB361" s="25" t="s">
        <v>2521</v>
      </c>
      <c r="AC361" s="27" t="s">
        <v>2591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4452</v>
      </c>
      <c r="H362" s="25" t="s">
        <v>2609</v>
      </c>
      <c r="I362" s="25"/>
      <c r="J362" s="25"/>
      <c r="K362" s="25"/>
      <c r="L362" s="25"/>
      <c r="M362" s="26"/>
      <c r="N362" s="25"/>
      <c r="O362" s="26"/>
      <c r="P362" s="27"/>
      <c r="Q362" s="25" t="s">
        <v>4453</v>
      </c>
      <c r="R362" s="25" t="s">
        <v>2516</v>
      </c>
      <c r="S362" s="25" t="s">
        <v>173</v>
      </c>
      <c r="T362" s="25">
        <v>1</v>
      </c>
      <c r="U362" s="25" t="s">
        <v>2517</v>
      </c>
      <c r="V362" s="25" t="s">
        <v>4454</v>
      </c>
      <c r="W362" s="25" t="s">
        <v>4455</v>
      </c>
      <c r="X362" s="59">
        <v>45743.484722222223</v>
      </c>
      <c r="Y362" s="25"/>
      <c r="Z362" s="25">
        <v>0.3</v>
      </c>
      <c r="AA362" s="25"/>
      <c r="AB362" s="25" t="s">
        <v>2521</v>
      </c>
      <c r="AC362" s="27" t="s">
        <v>2591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4456</v>
      </c>
      <c r="E363" s="25" t="s">
        <v>2504</v>
      </c>
      <c r="F363" s="25">
        <v>2691</v>
      </c>
      <c r="G363" s="25" t="s">
        <v>2995</v>
      </c>
      <c r="H363" s="25" t="s">
        <v>2996</v>
      </c>
      <c r="I363" s="25" t="s">
        <v>4457</v>
      </c>
      <c r="J363" s="25" t="s">
        <v>2835</v>
      </c>
      <c r="K363" s="25" t="s">
        <v>2568</v>
      </c>
      <c r="L363" s="25" t="s">
        <v>2537</v>
      </c>
      <c r="M363" s="26" t="s">
        <v>2538</v>
      </c>
      <c r="N363" s="25" t="s">
        <v>2539</v>
      </c>
      <c r="O363" s="26" t="s">
        <v>2540</v>
      </c>
      <c r="P363" s="27" t="s">
        <v>4458</v>
      </c>
      <c r="Q363" s="25" t="s">
        <v>2997</v>
      </c>
      <c r="R363" s="25" t="s">
        <v>2516</v>
      </c>
      <c r="S363" s="25" t="s">
        <v>25</v>
      </c>
      <c r="T363" s="25">
        <v>1</v>
      </c>
      <c r="U363" s="25" t="s">
        <v>2517</v>
      </c>
      <c r="V363" s="25" t="s">
        <v>4459</v>
      </c>
      <c r="W363" s="25" t="s">
        <v>4460</v>
      </c>
      <c r="X363" s="59">
        <v>45744.595833333333</v>
      </c>
      <c r="Y363" s="25" t="s">
        <v>4461</v>
      </c>
      <c r="Z363" s="25">
        <v>0.5</v>
      </c>
      <c r="AA363" s="25"/>
      <c r="AB363" s="25" t="s">
        <v>2521</v>
      </c>
      <c r="AC363" s="27" t="s">
        <v>4462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4463</v>
      </c>
      <c r="H364" s="25" t="s">
        <v>2609</v>
      </c>
      <c r="I364" s="25"/>
      <c r="J364" s="25"/>
      <c r="K364" s="25"/>
      <c r="L364" s="25"/>
      <c r="M364" s="26"/>
      <c r="N364" s="25"/>
      <c r="O364" s="26"/>
      <c r="P364" s="27"/>
      <c r="Q364" s="25" t="s">
        <v>4464</v>
      </c>
      <c r="R364" s="25" t="s">
        <v>2516</v>
      </c>
      <c r="S364" s="25" t="s">
        <v>173</v>
      </c>
      <c r="T364" s="25">
        <v>1</v>
      </c>
      <c r="U364" s="25" t="s">
        <v>2517</v>
      </c>
      <c r="V364" s="25" t="s">
        <v>4465</v>
      </c>
      <c r="W364" s="25" t="s">
        <v>4466</v>
      </c>
      <c r="X364" s="59">
        <v>45743.505555555559</v>
      </c>
      <c r="Y364" s="25"/>
      <c r="Z364" s="25">
        <v>0.3</v>
      </c>
      <c r="AA364" s="25"/>
      <c r="AB364" s="25" t="s">
        <v>2521</v>
      </c>
      <c r="AC364" s="27" t="s">
        <v>2591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3303</v>
      </c>
      <c r="H365" s="25" t="s">
        <v>2507</v>
      </c>
      <c r="I365" s="25"/>
      <c r="J365" s="25"/>
      <c r="K365" s="25"/>
      <c r="L365" s="25"/>
      <c r="M365" s="26"/>
      <c r="N365" s="25"/>
      <c r="O365" s="26"/>
      <c r="P365" s="27"/>
      <c r="Q365" s="25" t="s">
        <v>3304</v>
      </c>
      <c r="R365" s="25" t="s">
        <v>2516</v>
      </c>
      <c r="S365" s="25" t="s">
        <v>25</v>
      </c>
      <c r="T365" s="25">
        <v>1</v>
      </c>
      <c r="U365" s="25" t="s">
        <v>2517</v>
      </c>
      <c r="V365" s="25" t="s">
        <v>4467</v>
      </c>
      <c r="W365" s="25" t="s">
        <v>4468</v>
      </c>
      <c r="X365" s="59">
        <v>45743.524305555547</v>
      </c>
      <c r="Y365" s="25"/>
      <c r="Z365" s="25">
        <v>0.8</v>
      </c>
      <c r="AA365" s="25"/>
      <c r="AB365" s="25" t="s">
        <v>2521</v>
      </c>
      <c r="AC365" s="27" t="s">
        <v>4469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4470</v>
      </c>
      <c r="E366" s="25" t="s">
        <v>2504</v>
      </c>
      <c r="F366" s="25">
        <v>2399</v>
      </c>
      <c r="G366" s="25" t="s">
        <v>3096</v>
      </c>
      <c r="H366" s="25" t="s">
        <v>2507</v>
      </c>
      <c r="I366" s="25" t="s">
        <v>4471</v>
      </c>
      <c r="J366" s="25" t="s">
        <v>2835</v>
      </c>
      <c r="K366" s="25" t="s">
        <v>2510</v>
      </c>
      <c r="L366" s="25" t="s">
        <v>4472</v>
      </c>
      <c r="M366" s="26" t="s">
        <v>4473</v>
      </c>
      <c r="N366" s="25" t="s">
        <v>4474</v>
      </c>
      <c r="O366" s="26" t="s">
        <v>4475</v>
      </c>
      <c r="P366" s="27" t="s">
        <v>4476</v>
      </c>
      <c r="Q366" s="25" t="s">
        <v>3097</v>
      </c>
      <c r="R366" s="25" t="s">
        <v>2516</v>
      </c>
      <c r="S366" s="25" t="s">
        <v>25</v>
      </c>
      <c r="T366" s="25">
        <v>1</v>
      </c>
      <c r="U366" s="25" t="s">
        <v>2517</v>
      </c>
      <c r="V366" s="25" t="s">
        <v>4477</v>
      </c>
      <c r="W366" s="25" t="s">
        <v>4478</v>
      </c>
      <c r="X366" s="59">
        <v>45744.484722222223</v>
      </c>
      <c r="Y366" s="25" t="s">
        <v>4479</v>
      </c>
      <c r="Z366" s="25">
        <v>0.5</v>
      </c>
      <c r="AA366" s="25"/>
      <c r="AB366" s="25" t="s">
        <v>2521</v>
      </c>
      <c r="AC366" s="27" t="s">
        <v>4480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4470</v>
      </c>
      <c r="E367" s="25" t="s">
        <v>2504</v>
      </c>
      <c r="F367" s="25">
        <v>2399</v>
      </c>
      <c r="G367" s="25" t="s">
        <v>3096</v>
      </c>
      <c r="H367" s="25" t="s">
        <v>2507</v>
      </c>
      <c r="I367" s="25" t="s">
        <v>4471</v>
      </c>
      <c r="J367" s="25" t="s">
        <v>2835</v>
      </c>
      <c r="K367" s="25" t="s">
        <v>2510</v>
      </c>
      <c r="L367" s="25" t="s">
        <v>4472</v>
      </c>
      <c r="M367" s="26" t="s">
        <v>4473</v>
      </c>
      <c r="N367" s="25" t="s">
        <v>4474</v>
      </c>
      <c r="O367" s="26" t="s">
        <v>4475</v>
      </c>
      <c r="P367" s="27" t="s">
        <v>4476</v>
      </c>
      <c r="Q367" s="25" t="s">
        <v>3097</v>
      </c>
      <c r="R367" s="25" t="s">
        <v>2516</v>
      </c>
      <c r="S367" s="25" t="s">
        <v>25</v>
      </c>
      <c r="T367" s="25">
        <v>2</v>
      </c>
      <c r="U367" s="25" t="s">
        <v>2517</v>
      </c>
      <c r="V367" s="25" t="s">
        <v>4477</v>
      </c>
      <c r="W367" s="25" t="s">
        <v>4481</v>
      </c>
      <c r="X367" s="59">
        <v>45744.5</v>
      </c>
      <c r="Y367" s="25" t="s">
        <v>4479</v>
      </c>
      <c r="Z367" s="25">
        <v>1.5</v>
      </c>
      <c r="AA367" s="25"/>
      <c r="AB367" s="25" t="s">
        <v>2521</v>
      </c>
      <c r="AC367" s="27" t="s">
        <v>4482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4483</v>
      </c>
      <c r="H368" s="25" t="s">
        <v>2996</v>
      </c>
      <c r="I368" s="25"/>
      <c r="J368" s="25"/>
      <c r="K368" s="25"/>
      <c r="L368" s="25"/>
      <c r="M368" s="26"/>
      <c r="N368" s="25"/>
      <c r="O368" s="26"/>
      <c r="P368" s="27"/>
      <c r="Q368" s="25" t="s">
        <v>4484</v>
      </c>
      <c r="R368" s="25" t="s">
        <v>2516</v>
      </c>
      <c r="S368" s="25" t="s">
        <v>185</v>
      </c>
      <c r="T368" s="25">
        <v>1</v>
      </c>
      <c r="U368" s="25" t="s">
        <v>2517</v>
      </c>
      <c r="V368" s="25" t="s">
        <v>4485</v>
      </c>
      <c r="W368" s="25" t="s">
        <v>4486</v>
      </c>
      <c r="X368" s="59">
        <v>45743.597222222219</v>
      </c>
      <c r="Y368" s="25"/>
      <c r="Z368" s="25">
        <v>0.3</v>
      </c>
      <c r="AA368" s="25"/>
      <c r="AB368" s="25" t="s">
        <v>2521</v>
      </c>
      <c r="AC368" s="27" t="s">
        <v>2591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4487</v>
      </c>
      <c r="G369" s="25" t="s">
        <v>4488</v>
      </c>
      <c r="H369" s="25" t="s">
        <v>2996</v>
      </c>
      <c r="I369" s="25"/>
      <c r="J369" s="25"/>
      <c r="K369" s="25"/>
      <c r="L369" s="25"/>
      <c r="M369" s="26"/>
      <c r="N369" s="25"/>
      <c r="O369" s="26"/>
      <c r="P369" s="27"/>
      <c r="Q369" s="25" t="s">
        <v>4489</v>
      </c>
      <c r="R369" s="25" t="s">
        <v>2516</v>
      </c>
      <c r="S369" s="25" t="s">
        <v>185</v>
      </c>
      <c r="T369" s="25">
        <v>1</v>
      </c>
      <c r="U369" s="25" t="s">
        <v>2517</v>
      </c>
      <c r="V369" s="25" t="s">
        <v>4490</v>
      </c>
      <c r="W369" s="25" t="s">
        <v>4491</v>
      </c>
      <c r="X369" s="59">
        <v>45743.645833333343</v>
      </c>
      <c r="Y369" s="25"/>
      <c r="Z369" s="25">
        <v>0.5</v>
      </c>
      <c r="AA369" s="25"/>
      <c r="AB369" s="25" t="s">
        <v>2521</v>
      </c>
      <c r="AC369" s="27" t="s">
        <v>2591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4492</v>
      </c>
      <c r="E370" s="25" t="s">
        <v>2504</v>
      </c>
      <c r="F370" s="25">
        <v>5291</v>
      </c>
      <c r="G370" s="25" t="s">
        <v>3936</v>
      </c>
      <c r="H370" s="25" t="s">
        <v>2659</v>
      </c>
      <c r="I370" s="25" t="s">
        <v>4493</v>
      </c>
      <c r="J370" s="25" t="s">
        <v>2661</v>
      </c>
      <c r="K370" s="25" t="s">
        <v>2510</v>
      </c>
      <c r="L370" s="25" t="s">
        <v>2569</v>
      </c>
      <c r="M370" s="26" t="s">
        <v>2570</v>
      </c>
      <c r="N370" s="25">
        <v>2501</v>
      </c>
      <c r="O370" s="26" t="s">
        <v>2571</v>
      </c>
      <c r="P370" s="27" t="s">
        <v>4494</v>
      </c>
      <c r="Q370" s="25" t="s">
        <v>3937</v>
      </c>
      <c r="R370" s="25" t="s">
        <v>2516</v>
      </c>
      <c r="S370" s="25" t="s">
        <v>185</v>
      </c>
      <c r="T370" s="25">
        <v>1</v>
      </c>
      <c r="U370" s="25" t="s">
        <v>2517</v>
      </c>
      <c r="V370" s="25" t="s">
        <v>4495</v>
      </c>
      <c r="W370" s="25" t="s">
        <v>4496</v>
      </c>
      <c r="X370" s="59">
        <v>45748.40625</v>
      </c>
      <c r="Y370" s="25" t="s">
        <v>4497</v>
      </c>
      <c r="Z370" s="25">
        <v>0.5</v>
      </c>
      <c r="AA370" s="25"/>
      <c r="AB370" s="25" t="s">
        <v>2521</v>
      </c>
      <c r="AC370" s="27" t="s">
        <v>4498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2778</v>
      </c>
      <c r="G371" s="25" t="s">
        <v>2779</v>
      </c>
      <c r="H371" s="25" t="s">
        <v>2507</v>
      </c>
      <c r="I371" s="25"/>
      <c r="J371" s="25"/>
      <c r="K371" s="25"/>
      <c r="L371" s="25"/>
      <c r="M371" s="26"/>
      <c r="N371" s="25"/>
      <c r="O371" s="26"/>
      <c r="P371" s="27"/>
      <c r="Q371" s="25" t="s">
        <v>2780</v>
      </c>
      <c r="R371" s="25" t="s">
        <v>2516</v>
      </c>
      <c r="S371" s="25" t="s">
        <v>25</v>
      </c>
      <c r="T371" s="25">
        <v>1</v>
      </c>
      <c r="U371" s="25" t="s">
        <v>2517</v>
      </c>
      <c r="V371" s="25" t="s">
        <v>4499</v>
      </c>
      <c r="W371" s="25" t="s">
        <v>4500</v>
      </c>
      <c r="X371" s="59">
        <v>45748.488888888889</v>
      </c>
      <c r="Y371" s="25"/>
      <c r="Z371" s="25">
        <v>1.1000000000000001</v>
      </c>
      <c r="AA371" s="25"/>
      <c r="AB371" s="25" t="s">
        <v>2521</v>
      </c>
      <c r="AC371" s="27" t="s">
        <v>4501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2875</v>
      </c>
      <c r="H372" s="25" t="s">
        <v>2609</v>
      </c>
      <c r="I372" s="25"/>
      <c r="J372" s="25"/>
      <c r="K372" s="25"/>
      <c r="L372" s="25"/>
      <c r="M372" s="26"/>
      <c r="N372" s="25"/>
      <c r="O372" s="26"/>
      <c r="P372" s="27"/>
      <c r="Q372" s="25" t="s">
        <v>2878</v>
      </c>
      <c r="R372" s="25" t="s">
        <v>2516</v>
      </c>
      <c r="S372" s="25" t="s">
        <v>173</v>
      </c>
      <c r="T372" s="25">
        <v>1</v>
      </c>
      <c r="U372" s="25" t="s">
        <v>2517</v>
      </c>
      <c r="V372" s="25" t="s">
        <v>4502</v>
      </c>
      <c r="W372" s="25" t="s">
        <v>4503</v>
      </c>
      <c r="X372" s="59">
        <v>45748.568749999999</v>
      </c>
      <c r="Y372" s="25"/>
      <c r="Z372" s="25">
        <v>0.3</v>
      </c>
      <c r="AA372" s="25"/>
      <c r="AB372" s="25" t="s">
        <v>2521</v>
      </c>
      <c r="AC372" s="27" t="s">
        <v>4501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3238</v>
      </c>
      <c r="H373" s="25" t="s">
        <v>2609</v>
      </c>
      <c r="I373" s="25"/>
      <c r="J373" s="25"/>
      <c r="K373" s="25"/>
      <c r="L373" s="25"/>
      <c r="M373" s="26"/>
      <c r="N373" s="25"/>
      <c r="O373" s="26"/>
      <c r="P373" s="27"/>
      <c r="Q373" s="25" t="s">
        <v>3242</v>
      </c>
      <c r="R373" s="25" t="s">
        <v>2516</v>
      </c>
      <c r="S373" s="25" t="s">
        <v>173</v>
      </c>
      <c r="T373" s="25">
        <v>1</v>
      </c>
      <c r="U373" s="25" t="s">
        <v>2517</v>
      </c>
      <c r="V373" s="25" t="s">
        <v>4504</v>
      </c>
      <c r="W373" s="25" t="s">
        <v>4505</v>
      </c>
      <c r="X373" s="59">
        <v>45748.603472222218</v>
      </c>
      <c r="Y373" s="25"/>
      <c r="Z373" s="25">
        <v>0.3</v>
      </c>
      <c r="AA373" s="25"/>
      <c r="AB373" s="25" t="s">
        <v>2521</v>
      </c>
      <c r="AC373" s="27" t="s">
        <v>4501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3033</v>
      </c>
      <c r="H374" s="25" t="s">
        <v>2507</v>
      </c>
      <c r="I374" s="25"/>
      <c r="J374" s="25"/>
      <c r="K374" s="25"/>
      <c r="L374" s="25"/>
      <c r="M374" s="26"/>
      <c r="N374" s="25"/>
      <c r="O374" s="26"/>
      <c r="P374" s="27"/>
      <c r="Q374" s="25" t="s">
        <v>3037</v>
      </c>
      <c r="R374" s="25" t="s">
        <v>2516</v>
      </c>
      <c r="S374" s="25" t="s">
        <v>25</v>
      </c>
      <c r="T374" s="25">
        <v>1</v>
      </c>
      <c r="U374" s="25" t="s">
        <v>2517</v>
      </c>
      <c r="V374" s="25" t="s">
        <v>4506</v>
      </c>
      <c r="W374" s="25" t="s">
        <v>4507</v>
      </c>
      <c r="X374" s="59">
        <v>45748.661805555559</v>
      </c>
      <c r="Y374" s="25"/>
      <c r="Z374" s="25">
        <v>0.9</v>
      </c>
      <c r="AA374" s="25"/>
      <c r="AB374" s="25" t="s">
        <v>2521</v>
      </c>
      <c r="AC374" s="27" t="s">
        <v>4501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2774</v>
      </c>
      <c r="H375" s="25" t="s">
        <v>2507</v>
      </c>
      <c r="I375" s="25"/>
      <c r="J375" s="25"/>
      <c r="K375" s="25"/>
      <c r="L375" s="25"/>
      <c r="M375" s="26"/>
      <c r="N375" s="25"/>
      <c r="O375" s="26"/>
      <c r="P375" s="27"/>
      <c r="Q375" s="25" t="s">
        <v>2775</v>
      </c>
      <c r="R375" s="25" t="s">
        <v>2516</v>
      </c>
      <c r="S375" s="25" t="s">
        <v>25</v>
      </c>
      <c r="T375" s="25">
        <v>1</v>
      </c>
      <c r="U375" s="25" t="s">
        <v>2517</v>
      </c>
      <c r="V375" s="25" t="s">
        <v>4508</v>
      </c>
      <c r="W375" s="25" t="s">
        <v>4509</v>
      </c>
      <c r="X375" s="59">
        <v>45749.465277777781</v>
      </c>
      <c r="Y375" s="25"/>
      <c r="Z375" s="25">
        <v>1.2</v>
      </c>
      <c r="AA375" s="25"/>
      <c r="AB375" s="25" t="s">
        <v>2521</v>
      </c>
      <c r="AC375" s="27" t="s">
        <v>4501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4510</v>
      </c>
      <c r="E376" s="25" t="s">
        <v>2504</v>
      </c>
      <c r="F376" s="25">
        <v>4241</v>
      </c>
      <c r="G376" s="25" t="s">
        <v>3033</v>
      </c>
      <c r="H376" s="25" t="s">
        <v>2507</v>
      </c>
      <c r="I376" s="25" t="s">
        <v>4511</v>
      </c>
      <c r="J376" s="25" t="s">
        <v>2536</v>
      </c>
      <c r="K376" s="25" t="s">
        <v>2568</v>
      </c>
      <c r="L376" s="25" t="s">
        <v>2511</v>
      </c>
      <c r="M376" s="26" t="s">
        <v>2512</v>
      </c>
      <c r="N376" s="25">
        <v>2305</v>
      </c>
      <c r="O376" s="26" t="s">
        <v>3035</v>
      </c>
      <c r="P376" s="27" t="s">
        <v>4512</v>
      </c>
      <c r="Q376" s="25" t="s">
        <v>3037</v>
      </c>
      <c r="R376" s="25" t="s">
        <v>2516</v>
      </c>
      <c r="S376" s="25" t="s">
        <v>25</v>
      </c>
      <c r="T376" s="25">
        <v>1</v>
      </c>
      <c r="U376" s="25" t="s">
        <v>2517</v>
      </c>
      <c r="V376" s="25" t="s">
        <v>4513</v>
      </c>
      <c r="W376" s="25" t="s">
        <v>4514</v>
      </c>
      <c r="X376" s="59">
        <v>45749.536111111112</v>
      </c>
      <c r="Y376" s="25" t="s">
        <v>4515</v>
      </c>
      <c r="Z376" s="25">
        <v>0.5</v>
      </c>
      <c r="AA376" s="25"/>
      <c r="AB376" s="25" t="s">
        <v>2521</v>
      </c>
      <c r="AC376" s="27" t="s">
        <v>4516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2783</v>
      </c>
      <c r="H377" s="25" t="s">
        <v>2507</v>
      </c>
      <c r="I377" s="25"/>
      <c r="J377" s="25"/>
      <c r="K377" s="25"/>
      <c r="L377" s="25"/>
      <c r="M377" s="26"/>
      <c r="N377" s="25"/>
      <c r="O377" s="26"/>
      <c r="P377" s="27"/>
      <c r="Q377" s="25" t="s">
        <v>2784</v>
      </c>
      <c r="R377" s="25" t="s">
        <v>2516</v>
      </c>
      <c r="S377" s="25" t="s">
        <v>25</v>
      </c>
      <c r="T377" s="25">
        <v>1</v>
      </c>
      <c r="U377" s="25" t="s">
        <v>2517</v>
      </c>
      <c r="V377" s="25" t="s">
        <v>4517</v>
      </c>
      <c r="W377" s="25" t="s">
        <v>4518</v>
      </c>
      <c r="X377" s="59">
        <v>45749.504861111112</v>
      </c>
      <c r="Y377" s="25"/>
      <c r="Z377" s="25">
        <v>0.8</v>
      </c>
      <c r="AA377" s="25"/>
      <c r="AB377" s="25" t="s">
        <v>2521</v>
      </c>
      <c r="AC377" s="27" t="s">
        <v>4501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2787</v>
      </c>
      <c r="H378" s="25" t="s">
        <v>2507</v>
      </c>
      <c r="I378" s="25"/>
      <c r="J378" s="25"/>
      <c r="K378" s="25"/>
      <c r="L378" s="25"/>
      <c r="M378" s="26"/>
      <c r="N378" s="25"/>
      <c r="O378" s="26"/>
      <c r="P378" s="27"/>
      <c r="Q378" s="25" t="s">
        <v>2788</v>
      </c>
      <c r="R378" s="25" t="s">
        <v>2516</v>
      </c>
      <c r="S378" s="25" t="s">
        <v>25</v>
      </c>
      <c r="T378" s="25">
        <v>1</v>
      </c>
      <c r="U378" s="25" t="s">
        <v>2517</v>
      </c>
      <c r="V378" s="25" t="s">
        <v>4519</v>
      </c>
      <c r="W378" s="25" t="s">
        <v>4520</v>
      </c>
      <c r="X378" s="59">
        <v>45749.620138888888</v>
      </c>
      <c r="Y378" s="25"/>
      <c r="Z378" s="25">
        <v>1.1000000000000001</v>
      </c>
      <c r="AA378" s="25"/>
      <c r="AB378" s="25" t="s">
        <v>2521</v>
      </c>
      <c r="AC378" s="27" t="s">
        <v>4501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3506</v>
      </c>
      <c r="H379" s="25" t="s">
        <v>2609</v>
      </c>
      <c r="I379" s="25"/>
      <c r="J379" s="25"/>
      <c r="K379" s="25"/>
      <c r="L379" s="25"/>
      <c r="M379" s="26"/>
      <c r="N379" s="25"/>
      <c r="O379" s="26"/>
      <c r="P379" s="27"/>
      <c r="Q379" s="25" t="s">
        <v>3510</v>
      </c>
      <c r="R379" s="25" t="s">
        <v>2516</v>
      </c>
      <c r="S379" s="25" t="s">
        <v>173</v>
      </c>
      <c r="T379" s="25">
        <v>1</v>
      </c>
      <c r="U379" s="25" t="s">
        <v>2517</v>
      </c>
      <c r="V379" s="25" t="s">
        <v>4521</v>
      </c>
      <c r="W379" s="25" t="s">
        <v>4522</v>
      </c>
      <c r="X379" s="59">
        <v>45749.659722222219</v>
      </c>
      <c r="Y379" s="25"/>
      <c r="Z379" s="25">
        <v>0.6</v>
      </c>
      <c r="AA379" s="25"/>
      <c r="AB379" s="25" t="s">
        <v>2521</v>
      </c>
      <c r="AC379" s="27" t="s">
        <v>4501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4523</v>
      </c>
      <c r="E380" s="25" t="s">
        <v>2504</v>
      </c>
      <c r="F380" s="25">
        <v>4155</v>
      </c>
      <c r="G380" s="25" t="s">
        <v>2737</v>
      </c>
      <c r="H380" s="25" t="s">
        <v>2507</v>
      </c>
      <c r="I380" s="25" t="s">
        <v>4524</v>
      </c>
      <c r="J380" s="25" t="s">
        <v>2536</v>
      </c>
      <c r="K380" s="25" t="s">
        <v>2510</v>
      </c>
      <c r="L380" s="25" t="s">
        <v>2511</v>
      </c>
      <c r="M380" s="26" t="s">
        <v>2512</v>
      </c>
      <c r="N380" s="25">
        <v>2304</v>
      </c>
      <c r="O380" s="26" t="s">
        <v>2513</v>
      </c>
      <c r="P380" s="27" t="s">
        <v>4525</v>
      </c>
      <c r="Q380" s="25" t="s">
        <v>2738</v>
      </c>
      <c r="R380" s="25" t="s">
        <v>2516</v>
      </c>
      <c r="S380" s="25" t="s">
        <v>25</v>
      </c>
      <c r="T380" s="25">
        <v>1</v>
      </c>
      <c r="U380" s="25" t="s">
        <v>2517</v>
      </c>
      <c r="V380" s="25" t="s">
        <v>4526</v>
      </c>
      <c r="W380" s="25" t="s">
        <v>4527</v>
      </c>
      <c r="X380" s="59">
        <v>45754.459027777782</v>
      </c>
      <c r="Y380" s="25" t="s">
        <v>4528</v>
      </c>
      <c r="Z380" s="25">
        <v>1</v>
      </c>
      <c r="AA380" s="25"/>
      <c r="AB380" s="25" t="s">
        <v>2521</v>
      </c>
      <c r="AC380" s="27" t="s">
        <v>4529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2791</v>
      </c>
      <c r="H381" s="25" t="s">
        <v>2507</v>
      </c>
      <c r="I381" s="25"/>
      <c r="J381" s="25"/>
      <c r="K381" s="25"/>
      <c r="L381" s="25"/>
      <c r="M381" s="26"/>
      <c r="N381" s="25"/>
      <c r="O381" s="26"/>
      <c r="P381" s="27"/>
      <c r="Q381" s="25" t="s">
        <v>2792</v>
      </c>
      <c r="R381" s="25" t="s">
        <v>2516</v>
      </c>
      <c r="S381" s="25" t="s">
        <v>25</v>
      </c>
      <c r="T381" s="25">
        <v>1</v>
      </c>
      <c r="U381" s="25" t="s">
        <v>2517</v>
      </c>
      <c r="V381" s="25" t="s">
        <v>4530</v>
      </c>
      <c r="W381" s="25" t="s">
        <v>4531</v>
      </c>
      <c r="X381" s="59">
        <v>45749.670138888891</v>
      </c>
      <c r="Y381" s="25"/>
      <c r="Z381" s="25">
        <v>1.1000000000000001</v>
      </c>
      <c r="AA381" s="25"/>
      <c r="AB381" s="25" t="s">
        <v>2521</v>
      </c>
      <c r="AC381" s="27" t="s">
        <v>4501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3950</v>
      </c>
      <c r="G382" s="25" t="s">
        <v>3951</v>
      </c>
      <c r="H382" s="25" t="s">
        <v>2609</v>
      </c>
      <c r="I382" s="25"/>
      <c r="J382" s="25"/>
      <c r="K382" s="25"/>
      <c r="L382" s="25"/>
      <c r="M382" s="26"/>
      <c r="N382" s="25"/>
      <c r="O382" s="26"/>
      <c r="P382" s="27"/>
      <c r="Q382" s="25" t="s">
        <v>3955</v>
      </c>
      <c r="R382" s="25" t="s">
        <v>2516</v>
      </c>
      <c r="S382" s="25" t="s">
        <v>173</v>
      </c>
      <c r="T382" s="25">
        <v>1</v>
      </c>
      <c r="U382" s="25" t="s">
        <v>2517</v>
      </c>
      <c r="V382" s="25" t="s">
        <v>4532</v>
      </c>
      <c r="W382" s="25" t="s">
        <v>4533</v>
      </c>
      <c r="X382" s="59">
        <v>45749.6875</v>
      </c>
      <c r="Y382" s="25"/>
      <c r="Z382" s="25">
        <v>0.5</v>
      </c>
      <c r="AA382" s="25"/>
      <c r="AB382" s="25" t="s">
        <v>2521</v>
      </c>
      <c r="AC382" s="27" t="s">
        <v>4501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4534</v>
      </c>
      <c r="E383" s="25" t="s">
        <v>2504</v>
      </c>
      <c r="F383" s="25">
        <v>4762</v>
      </c>
      <c r="G383" s="25" t="s">
        <v>3775</v>
      </c>
      <c r="H383" s="25" t="s">
        <v>2659</v>
      </c>
      <c r="I383" s="25" t="s">
        <v>4535</v>
      </c>
      <c r="J383" s="25" t="s">
        <v>2835</v>
      </c>
      <c r="K383" s="25" t="s">
        <v>2568</v>
      </c>
      <c r="L383" s="25" t="s">
        <v>2511</v>
      </c>
      <c r="M383" s="26" t="s">
        <v>2512</v>
      </c>
      <c r="N383" s="25">
        <v>2304</v>
      </c>
      <c r="O383" s="26" t="s">
        <v>2513</v>
      </c>
      <c r="P383" s="27" t="s">
        <v>4536</v>
      </c>
      <c r="Q383" s="25" t="s">
        <v>3776</v>
      </c>
      <c r="R383" s="25" t="s">
        <v>2516</v>
      </c>
      <c r="S383" s="25" t="s">
        <v>185</v>
      </c>
      <c r="T383" s="25">
        <v>1</v>
      </c>
      <c r="U383" s="25" t="s">
        <v>2517</v>
      </c>
      <c r="V383" s="25" t="s">
        <v>4537</v>
      </c>
      <c r="W383" s="25" t="s">
        <v>4538</v>
      </c>
      <c r="X383" s="59">
        <v>45754.5625</v>
      </c>
      <c r="Y383" s="25" t="s">
        <v>4539</v>
      </c>
      <c r="Z383" s="25">
        <v>0.5</v>
      </c>
      <c r="AA383" s="25"/>
      <c r="AB383" s="25" t="s">
        <v>2521</v>
      </c>
      <c r="AC383" s="27" t="s">
        <v>4540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4541</v>
      </c>
      <c r="E384" s="25" t="s">
        <v>2504</v>
      </c>
      <c r="F384" s="25">
        <v>4422</v>
      </c>
      <c r="G384" s="25" t="s">
        <v>4452</v>
      </c>
      <c r="H384" s="25" t="s">
        <v>2609</v>
      </c>
      <c r="I384" s="25" t="s">
        <v>4542</v>
      </c>
      <c r="J384" s="25" t="s">
        <v>2930</v>
      </c>
      <c r="K384" s="25" t="s">
        <v>2717</v>
      </c>
      <c r="L384" s="25" t="s">
        <v>4123</v>
      </c>
      <c r="M384" s="26" t="s">
        <v>4124</v>
      </c>
      <c r="N384" s="25">
        <v>2902</v>
      </c>
      <c r="O384" s="26" t="s">
        <v>4155</v>
      </c>
      <c r="P384" s="27" t="s">
        <v>4543</v>
      </c>
      <c r="Q384" s="25" t="s">
        <v>4453</v>
      </c>
      <c r="R384" s="25" t="s">
        <v>2516</v>
      </c>
      <c r="S384" s="25" t="s">
        <v>173</v>
      </c>
      <c r="T384" s="25">
        <v>1</v>
      </c>
      <c r="U384" s="25" t="s">
        <v>2517</v>
      </c>
      <c r="V384" s="25" t="s">
        <v>4544</v>
      </c>
      <c r="W384" s="25" t="s">
        <v>4545</v>
      </c>
      <c r="X384" s="59">
        <v>45755.493055555547</v>
      </c>
      <c r="Y384" s="25" t="s">
        <v>4539</v>
      </c>
      <c r="Z384" s="25">
        <v>0.2</v>
      </c>
      <c r="AA384" s="25"/>
      <c r="AB384" s="25" t="s">
        <v>2521</v>
      </c>
      <c r="AC384" s="27" t="s">
        <v>4546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2737</v>
      </c>
      <c r="H385" s="25" t="s">
        <v>2507</v>
      </c>
      <c r="I385" s="25"/>
      <c r="J385" s="25"/>
      <c r="K385" s="25"/>
      <c r="L385" s="25"/>
      <c r="M385" s="26"/>
      <c r="N385" s="25"/>
      <c r="O385" s="26"/>
      <c r="P385" s="27"/>
      <c r="Q385" s="25" t="s">
        <v>2738</v>
      </c>
      <c r="R385" s="25" t="s">
        <v>2516</v>
      </c>
      <c r="S385" s="25" t="s">
        <v>25</v>
      </c>
      <c r="T385" s="25">
        <v>1</v>
      </c>
      <c r="U385" s="25" t="s">
        <v>2517</v>
      </c>
      <c r="V385" s="25" t="s">
        <v>4547</v>
      </c>
      <c r="W385" s="25" t="s">
        <v>4527</v>
      </c>
      <c r="X385" s="59">
        <v>45754.461111111108</v>
      </c>
      <c r="Y385" s="25"/>
      <c r="Z385" s="25">
        <v>1.1000000000000001</v>
      </c>
      <c r="AA385" s="25"/>
      <c r="AB385" s="25" t="s">
        <v>2521</v>
      </c>
      <c r="AC385" s="27" t="s">
        <v>4501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4548</v>
      </c>
      <c r="E386" s="25" t="s">
        <v>2504</v>
      </c>
      <c r="F386" s="25">
        <v>2759</v>
      </c>
      <c r="G386" s="25" t="s">
        <v>2799</v>
      </c>
      <c r="H386" s="25" t="s">
        <v>2507</v>
      </c>
      <c r="I386" s="25" t="s">
        <v>4549</v>
      </c>
      <c r="J386" s="25" t="s">
        <v>2661</v>
      </c>
      <c r="K386" s="25" t="s">
        <v>2510</v>
      </c>
      <c r="L386" s="25" t="s">
        <v>2846</v>
      </c>
      <c r="M386" s="26" t="s">
        <v>2847</v>
      </c>
      <c r="N386" s="25">
        <v>2403</v>
      </c>
      <c r="O386" s="26" t="s">
        <v>4550</v>
      </c>
      <c r="P386" s="27" t="s">
        <v>4551</v>
      </c>
      <c r="Q386" s="25" t="s">
        <v>2800</v>
      </c>
      <c r="R386" s="25" t="s">
        <v>2516</v>
      </c>
      <c r="S386" s="25" t="s">
        <v>25</v>
      </c>
      <c r="T386" s="25">
        <v>1</v>
      </c>
      <c r="U386" s="25" t="s">
        <v>2517</v>
      </c>
      <c r="V386" s="25" t="s">
        <v>4552</v>
      </c>
      <c r="W386" s="25" t="s">
        <v>4553</v>
      </c>
      <c r="X386" s="59">
        <v>45755.462500000001</v>
      </c>
      <c r="Y386" s="25" t="s">
        <v>4554</v>
      </c>
      <c r="Z386" s="25">
        <v>0.4</v>
      </c>
      <c r="AA386" s="25"/>
      <c r="AB386" s="25" t="s">
        <v>2521</v>
      </c>
      <c r="AC386" s="27" t="s">
        <v>4555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4556</v>
      </c>
      <c r="E387" s="25" t="s">
        <v>2504</v>
      </c>
      <c r="F387" s="25">
        <v>4326</v>
      </c>
      <c r="G387" s="25" t="s">
        <v>3635</v>
      </c>
      <c r="H387" s="25" t="s">
        <v>3148</v>
      </c>
      <c r="I387" s="25" t="s">
        <v>4557</v>
      </c>
      <c r="J387" s="25" t="s">
        <v>2661</v>
      </c>
      <c r="K387" s="25" t="s">
        <v>2510</v>
      </c>
      <c r="L387" s="25" t="s">
        <v>2537</v>
      </c>
      <c r="M387" s="26" t="s">
        <v>2538</v>
      </c>
      <c r="N387" s="25" t="s">
        <v>2539</v>
      </c>
      <c r="O387" s="26" t="s">
        <v>2540</v>
      </c>
      <c r="P387" s="27" t="s">
        <v>4558</v>
      </c>
      <c r="Q387" s="25" t="s">
        <v>3636</v>
      </c>
      <c r="R387" s="25" t="s">
        <v>2516</v>
      </c>
      <c r="S387" s="25" t="s">
        <v>185</v>
      </c>
      <c r="T387" s="25">
        <v>1</v>
      </c>
      <c r="U387" s="25" t="s">
        <v>2517</v>
      </c>
      <c r="V387" s="25" t="s">
        <v>4559</v>
      </c>
      <c r="W387" s="25" t="s">
        <v>4560</v>
      </c>
      <c r="X387" s="59">
        <v>45755.4375</v>
      </c>
      <c r="Y387" s="25" t="s">
        <v>4561</v>
      </c>
      <c r="Z387" s="25">
        <v>0.5</v>
      </c>
      <c r="AA387" s="25"/>
      <c r="AB387" s="25" t="s">
        <v>2521</v>
      </c>
      <c r="AC387" s="27" t="s">
        <v>4562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3775</v>
      </c>
      <c r="H388" s="25" t="s">
        <v>2659</v>
      </c>
      <c r="I388" s="25"/>
      <c r="J388" s="25"/>
      <c r="K388" s="25"/>
      <c r="L388" s="25"/>
      <c r="M388" s="26"/>
      <c r="N388" s="25"/>
      <c r="O388" s="26"/>
      <c r="P388" s="27"/>
      <c r="Q388" s="25" t="s">
        <v>3776</v>
      </c>
      <c r="R388" s="25" t="s">
        <v>2516</v>
      </c>
      <c r="S388" s="25" t="s">
        <v>185</v>
      </c>
      <c r="T388" s="25">
        <v>1</v>
      </c>
      <c r="U388" s="25" t="s">
        <v>2517</v>
      </c>
      <c r="V388" s="25" t="s">
        <v>4563</v>
      </c>
      <c r="W388" s="25" t="s">
        <v>4564</v>
      </c>
      <c r="X388" s="59">
        <v>45754.583333333343</v>
      </c>
      <c r="Y388" s="25"/>
      <c r="Z388" s="25">
        <v>0.5</v>
      </c>
      <c r="AA388" s="25"/>
      <c r="AB388" s="25" t="s">
        <v>2521</v>
      </c>
      <c r="AC388" s="27" t="s">
        <v>4565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2579</v>
      </c>
      <c r="G389" s="25" t="s">
        <v>2580</v>
      </c>
      <c r="H389" s="25" t="s">
        <v>1604</v>
      </c>
      <c r="I389" s="25"/>
      <c r="J389" s="25"/>
      <c r="K389" s="25"/>
      <c r="L389" s="25"/>
      <c r="M389" s="26"/>
      <c r="N389" s="25"/>
      <c r="O389" s="26"/>
      <c r="P389" s="27"/>
      <c r="Q389" s="25" t="s">
        <v>2584</v>
      </c>
      <c r="R389" s="25" t="s">
        <v>2516</v>
      </c>
      <c r="S389" s="25" t="s">
        <v>25</v>
      </c>
      <c r="T389" s="25">
        <v>1</v>
      </c>
      <c r="U389" s="25" t="s">
        <v>2517</v>
      </c>
      <c r="V389" s="25" t="s">
        <v>4566</v>
      </c>
      <c r="W389" s="25" t="s">
        <v>4567</v>
      </c>
      <c r="X389" s="59">
        <v>45754.672222222223</v>
      </c>
      <c r="Y389" s="25"/>
      <c r="Z389" s="25">
        <v>1.6</v>
      </c>
      <c r="AA389" s="25"/>
      <c r="AB389" s="25" t="s">
        <v>2521</v>
      </c>
      <c r="AC389" s="27" t="s">
        <v>4501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3635</v>
      </c>
      <c r="H390" s="25" t="s">
        <v>3148</v>
      </c>
      <c r="I390" s="25"/>
      <c r="J390" s="25"/>
      <c r="K390" s="25"/>
      <c r="L390" s="25"/>
      <c r="M390" s="26"/>
      <c r="N390" s="25"/>
      <c r="O390" s="26"/>
      <c r="P390" s="27"/>
      <c r="Q390" s="25" t="s">
        <v>3636</v>
      </c>
      <c r="R390" s="25" t="s">
        <v>2516</v>
      </c>
      <c r="S390" s="25" t="s">
        <v>185</v>
      </c>
      <c r="T390" s="25">
        <v>1</v>
      </c>
      <c r="U390" s="25" t="s">
        <v>2517</v>
      </c>
      <c r="V390" s="25" t="s">
        <v>4568</v>
      </c>
      <c r="W390" s="25" t="s">
        <v>4569</v>
      </c>
      <c r="X390" s="59">
        <v>45755.479166666657</v>
      </c>
      <c r="Y390" s="25"/>
      <c r="Z390" s="25">
        <v>1</v>
      </c>
      <c r="AA390" s="25"/>
      <c r="AB390" s="25" t="s">
        <v>2521</v>
      </c>
      <c r="AC390" s="27" t="s">
        <v>4570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3635</v>
      </c>
      <c r="H391" s="25" t="s">
        <v>3148</v>
      </c>
      <c r="I391" s="25"/>
      <c r="J391" s="25"/>
      <c r="K391" s="25"/>
      <c r="L391" s="25"/>
      <c r="M391" s="26"/>
      <c r="N391" s="25"/>
      <c r="O391" s="26"/>
      <c r="P391" s="27"/>
      <c r="Q391" s="25" t="s">
        <v>3636</v>
      </c>
      <c r="R391" s="25" t="s">
        <v>2516</v>
      </c>
      <c r="S391" s="25" t="s">
        <v>185</v>
      </c>
      <c r="T391" s="25">
        <v>1</v>
      </c>
      <c r="U391" s="25" t="s">
        <v>2517</v>
      </c>
      <c r="V391" s="25" t="s">
        <v>4571</v>
      </c>
      <c r="W391" s="25" t="s">
        <v>4569</v>
      </c>
      <c r="X391" s="59">
        <v>45755.479166666657</v>
      </c>
      <c r="Y391" s="25"/>
      <c r="Z391" s="25">
        <v>1</v>
      </c>
      <c r="AA391" s="25"/>
      <c r="AB391" s="25" t="s">
        <v>2521</v>
      </c>
      <c r="AC391" s="27" t="s">
        <v>4570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3635</v>
      </c>
      <c r="H392" s="25" t="s">
        <v>3148</v>
      </c>
      <c r="I392" s="25"/>
      <c r="J392" s="25"/>
      <c r="K392" s="25"/>
      <c r="L392" s="25"/>
      <c r="M392" s="26"/>
      <c r="N392" s="25"/>
      <c r="O392" s="26"/>
      <c r="P392" s="27"/>
      <c r="Q392" s="25" t="s">
        <v>3636</v>
      </c>
      <c r="R392" s="25" t="s">
        <v>2516</v>
      </c>
      <c r="S392" s="25" t="s">
        <v>185</v>
      </c>
      <c r="T392" s="25">
        <v>1</v>
      </c>
      <c r="U392" s="25" t="s">
        <v>2517</v>
      </c>
      <c r="V392" s="25" t="s">
        <v>4572</v>
      </c>
      <c r="W392" s="25" t="s">
        <v>4569</v>
      </c>
      <c r="X392" s="59">
        <v>45755.479166666657</v>
      </c>
      <c r="Y392" s="25"/>
      <c r="Z392" s="25">
        <v>1</v>
      </c>
      <c r="AA392" s="25"/>
      <c r="AB392" s="25" t="s">
        <v>2521</v>
      </c>
      <c r="AC392" s="27" t="s">
        <v>4501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3635</v>
      </c>
      <c r="H393" s="25" t="s">
        <v>3148</v>
      </c>
      <c r="I393" s="25"/>
      <c r="J393" s="25"/>
      <c r="K393" s="25"/>
      <c r="L393" s="25"/>
      <c r="M393" s="26"/>
      <c r="N393" s="25"/>
      <c r="O393" s="26"/>
      <c r="P393" s="27"/>
      <c r="Q393" s="25" t="s">
        <v>3636</v>
      </c>
      <c r="R393" s="25" t="s">
        <v>2516</v>
      </c>
      <c r="S393" s="25" t="s">
        <v>185</v>
      </c>
      <c r="T393" s="25">
        <v>1</v>
      </c>
      <c r="U393" s="25" t="s">
        <v>2517</v>
      </c>
      <c r="V393" s="25" t="s">
        <v>4573</v>
      </c>
      <c r="W393" s="25" t="s">
        <v>4569</v>
      </c>
      <c r="X393" s="59">
        <v>45755.479166666657</v>
      </c>
      <c r="Y393" s="25"/>
      <c r="Z393" s="25">
        <v>1</v>
      </c>
      <c r="AA393" s="25"/>
      <c r="AB393" s="25" t="s">
        <v>2521</v>
      </c>
      <c r="AC393" s="27" t="s">
        <v>4501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2799</v>
      </c>
      <c r="H394" s="25" t="s">
        <v>2507</v>
      </c>
      <c r="I394" s="25"/>
      <c r="J394" s="25"/>
      <c r="K394" s="25"/>
      <c r="L394" s="25"/>
      <c r="M394" s="26"/>
      <c r="N394" s="25"/>
      <c r="O394" s="26"/>
      <c r="P394" s="27"/>
      <c r="Q394" s="25" t="s">
        <v>2800</v>
      </c>
      <c r="R394" s="25" t="s">
        <v>2516</v>
      </c>
      <c r="S394" s="25" t="s">
        <v>25</v>
      </c>
      <c r="T394" s="25">
        <v>1</v>
      </c>
      <c r="U394" s="25" t="s">
        <v>2517</v>
      </c>
      <c r="V394" s="25" t="s">
        <v>4574</v>
      </c>
      <c r="W394" s="25" t="s">
        <v>4575</v>
      </c>
      <c r="X394" s="59">
        <v>45755.508333333331</v>
      </c>
      <c r="Y394" s="25"/>
      <c r="Z394" s="25">
        <v>1</v>
      </c>
      <c r="AA394" s="25"/>
      <c r="AB394" s="25" t="s">
        <v>2521</v>
      </c>
      <c r="AC394" s="27" t="s">
        <v>4501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4463</v>
      </c>
      <c r="H395" s="25" t="s">
        <v>2609</v>
      </c>
      <c r="I395" s="25"/>
      <c r="J395" s="25"/>
      <c r="K395" s="25"/>
      <c r="L395" s="25"/>
      <c r="M395" s="26"/>
      <c r="N395" s="25"/>
      <c r="O395" s="26"/>
      <c r="P395" s="27"/>
      <c r="Q395" s="25" t="s">
        <v>4464</v>
      </c>
      <c r="R395" s="25" t="s">
        <v>2516</v>
      </c>
      <c r="S395" s="25" t="s">
        <v>173</v>
      </c>
      <c r="T395" s="25">
        <v>1</v>
      </c>
      <c r="U395" s="25" t="s">
        <v>2517</v>
      </c>
      <c r="V395" s="25" t="s">
        <v>4576</v>
      </c>
      <c r="W395" s="25" t="s">
        <v>4577</v>
      </c>
      <c r="X395" s="59">
        <v>45755.538194444453</v>
      </c>
      <c r="Y395" s="25"/>
      <c r="Z395" s="25">
        <v>1</v>
      </c>
      <c r="AA395" s="25"/>
      <c r="AB395" s="25" t="s">
        <v>2521</v>
      </c>
      <c r="AC395" s="27" t="s">
        <v>4501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3625</v>
      </c>
      <c r="H396" s="25" t="s">
        <v>3148</v>
      </c>
      <c r="I396" s="25"/>
      <c r="J396" s="25"/>
      <c r="K396" s="25"/>
      <c r="L396" s="25"/>
      <c r="M396" s="26"/>
      <c r="N396" s="25"/>
      <c r="O396" s="26"/>
      <c r="P396" s="27"/>
      <c r="Q396" s="25" t="s">
        <v>3626</v>
      </c>
      <c r="R396" s="25" t="s">
        <v>2516</v>
      </c>
      <c r="S396" s="25" t="s">
        <v>185</v>
      </c>
      <c r="T396" s="25">
        <v>1</v>
      </c>
      <c r="U396" s="25" t="s">
        <v>2517</v>
      </c>
      <c r="V396" s="25" t="s">
        <v>4578</v>
      </c>
      <c r="W396" s="25" t="s">
        <v>4539</v>
      </c>
      <c r="X396" s="59">
        <v>45755.552083333343</v>
      </c>
      <c r="Y396" s="25"/>
      <c r="Z396" s="25">
        <v>0.3</v>
      </c>
      <c r="AA396" s="25"/>
      <c r="AB396" s="25" t="s">
        <v>2521</v>
      </c>
      <c r="AC396" s="27" t="s">
        <v>4565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2795</v>
      </c>
      <c r="H397" s="25" t="s">
        <v>2507</v>
      </c>
      <c r="I397" s="25"/>
      <c r="J397" s="25"/>
      <c r="K397" s="25"/>
      <c r="L397" s="25"/>
      <c r="M397" s="26"/>
      <c r="N397" s="25"/>
      <c r="O397" s="26"/>
      <c r="P397" s="27"/>
      <c r="Q397" s="25" t="s">
        <v>2796</v>
      </c>
      <c r="R397" s="25" t="s">
        <v>2516</v>
      </c>
      <c r="S397" s="25" t="s">
        <v>25</v>
      </c>
      <c r="T397" s="25">
        <v>1</v>
      </c>
      <c r="U397" s="25" t="s">
        <v>2517</v>
      </c>
      <c r="V397" s="25" t="s">
        <v>4579</v>
      </c>
      <c r="W397" s="25" t="s">
        <v>4580</v>
      </c>
      <c r="X397" s="59">
        <v>45755.572916666657</v>
      </c>
      <c r="Y397" s="25"/>
      <c r="Z397" s="25">
        <v>0.9</v>
      </c>
      <c r="AA397" s="25"/>
      <c r="AB397" s="25" t="s">
        <v>2521</v>
      </c>
      <c r="AC397" s="27" t="s">
        <v>4501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2631</v>
      </c>
      <c r="H398" s="25" t="s">
        <v>2507</v>
      </c>
      <c r="I398" s="25"/>
      <c r="J398" s="25"/>
      <c r="K398" s="25"/>
      <c r="L398" s="25"/>
      <c r="M398" s="26"/>
      <c r="N398" s="25"/>
      <c r="O398" s="26"/>
      <c r="P398" s="27"/>
      <c r="Q398" s="25" t="s">
        <v>2632</v>
      </c>
      <c r="R398" s="25" t="s">
        <v>2516</v>
      </c>
      <c r="S398" s="25" t="s">
        <v>25</v>
      </c>
      <c r="T398" s="25">
        <v>1</v>
      </c>
      <c r="U398" s="25" t="s">
        <v>2517</v>
      </c>
      <c r="V398" s="25" t="s">
        <v>4581</v>
      </c>
      <c r="W398" s="25" t="s">
        <v>4582</v>
      </c>
      <c r="X398" s="59">
        <v>45755.693749999999</v>
      </c>
      <c r="Y398" s="25"/>
      <c r="Z398" s="25">
        <v>1.1000000000000001</v>
      </c>
      <c r="AA398" s="25"/>
      <c r="AB398" s="25" t="s">
        <v>2521</v>
      </c>
      <c r="AC398" s="27" t="s">
        <v>4501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2635</v>
      </c>
      <c r="H399" s="25" t="s">
        <v>2507</v>
      </c>
      <c r="I399" s="25"/>
      <c r="J399" s="25"/>
      <c r="K399" s="25"/>
      <c r="L399" s="25"/>
      <c r="M399" s="26"/>
      <c r="N399" s="25"/>
      <c r="O399" s="26"/>
      <c r="P399" s="27"/>
      <c r="Q399" s="25" t="s">
        <v>2636</v>
      </c>
      <c r="R399" s="25" t="s">
        <v>2516</v>
      </c>
      <c r="S399" s="25" t="s">
        <v>25</v>
      </c>
      <c r="T399" s="25">
        <v>1</v>
      </c>
      <c r="U399" s="25" t="s">
        <v>2517</v>
      </c>
      <c r="V399" s="25" t="s">
        <v>4583</v>
      </c>
      <c r="W399" s="25" t="s">
        <v>4584</v>
      </c>
      <c r="X399" s="59">
        <v>45755.740277777782</v>
      </c>
      <c r="Y399" s="25"/>
      <c r="Z399" s="25">
        <v>0.9</v>
      </c>
      <c r="AA399" s="25"/>
      <c r="AB399" s="25" t="s">
        <v>2521</v>
      </c>
      <c r="AC399" s="27" t="s">
        <v>4501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4585</v>
      </c>
      <c r="E400" s="25" t="s">
        <v>2504</v>
      </c>
      <c r="F400" s="25">
        <v>3851</v>
      </c>
      <c r="G400" s="25" t="s">
        <v>4217</v>
      </c>
      <c r="H400" s="25" t="s">
        <v>2659</v>
      </c>
      <c r="I400" s="25" t="s">
        <v>4586</v>
      </c>
      <c r="J400" s="25" t="s">
        <v>2536</v>
      </c>
      <c r="K400" s="25" t="s">
        <v>2568</v>
      </c>
      <c r="L400" s="25" t="s">
        <v>2511</v>
      </c>
      <c r="M400" s="26" t="s">
        <v>2512</v>
      </c>
      <c r="N400" s="25">
        <v>2307</v>
      </c>
      <c r="O400" s="26" t="s">
        <v>2678</v>
      </c>
      <c r="P400" s="27" t="s">
        <v>4587</v>
      </c>
      <c r="Q400" s="25" t="s">
        <v>4218</v>
      </c>
      <c r="R400" s="25" t="s">
        <v>2516</v>
      </c>
      <c r="S400" s="25" t="s">
        <v>185</v>
      </c>
      <c r="T400" s="25">
        <v>1</v>
      </c>
      <c r="U400" s="25" t="s">
        <v>2517</v>
      </c>
      <c r="V400" s="25" t="s">
        <v>4588</v>
      </c>
      <c r="W400" s="25" t="s">
        <v>4589</v>
      </c>
      <c r="X400" s="59">
        <v>45757.416666666657</v>
      </c>
      <c r="Y400" s="25" t="s">
        <v>4590</v>
      </c>
      <c r="Z400" s="25">
        <v>1</v>
      </c>
      <c r="AA400" s="25"/>
      <c r="AB400" s="25" t="s">
        <v>2521</v>
      </c>
      <c r="AC400" s="27" t="s">
        <v>4591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4371</v>
      </c>
      <c r="H401" s="25" t="s">
        <v>2659</v>
      </c>
      <c r="I401" s="25"/>
      <c r="J401" s="25"/>
      <c r="K401" s="25"/>
      <c r="L401" s="25"/>
      <c r="M401" s="26"/>
      <c r="N401" s="25"/>
      <c r="O401" s="26"/>
      <c r="P401" s="27"/>
      <c r="Q401" s="25" t="s">
        <v>4372</v>
      </c>
      <c r="R401" s="25" t="s">
        <v>2516</v>
      </c>
      <c r="S401" s="25" t="s">
        <v>185</v>
      </c>
      <c r="T401" s="25">
        <v>1</v>
      </c>
      <c r="U401" s="25" t="s">
        <v>2517</v>
      </c>
      <c r="V401" s="25" t="s">
        <v>4592</v>
      </c>
      <c r="W401" s="25" t="s">
        <v>4593</v>
      </c>
      <c r="X401" s="59">
        <v>45756.451388888891</v>
      </c>
      <c r="Y401" s="25"/>
      <c r="Z401" s="25">
        <v>0.8</v>
      </c>
      <c r="AA401" s="25"/>
      <c r="AB401" s="25" t="s">
        <v>2521</v>
      </c>
      <c r="AC401" s="27" t="s">
        <v>4501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3516</v>
      </c>
      <c r="H402" s="25" t="s">
        <v>2507</v>
      </c>
      <c r="I402" s="25"/>
      <c r="J402" s="25"/>
      <c r="K402" s="25"/>
      <c r="L402" s="25"/>
      <c r="M402" s="26"/>
      <c r="N402" s="25"/>
      <c r="O402" s="26"/>
      <c r="P402" s="27"/>
      <c r="Q402" s="25" t="s">
        <v>3519</v>
      </c>
      <c r="R402" s="25" t="s">
        <v>2516</v>
      </c>
      <c r="S402" s="25" t="s">
        <v>25</v>
      </c>
      <c r="T402" s="25">
        <v>1</v>
      </c>
      <c r="U402" s="25" t="s">
        <v>2517</v>
      </c>
      <c r="V402" s="25" t="s">
        <v>4594</v>
      </c>
      <c r="W402" s="25" t="s">
        <v>4595</v>
      </c>
      <c r="X402" s="59">
        <v>45756.497916666667</v>
      </c>
      <c r="Y402" s="25"/>
      <c r="Z402" s="25">
        <v>1.1000000000000001</v>
      </c>
      <c r="AA402" s="25"/>
      <c r="AB402" s="25" t="s">
        <v>2521</v>
      </c>
      <c r="AC402" s="27" t="s">
        <v>4501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4596</v>
      </c>
      <c r="E403" s="25" t="s">
        <v>2504</v>
      </c>
      <c r="F403" s="25">
        <v>5316</v>
      </c>
      <c r="G403" s="25" t="s">
        <v>4356</v>
      </c>
      <c r="H403" s="25" t="s">
        <v>2507</v>
      </c>
      <c r="I403" s="25" t="s">
        <v>4597</v>
      </c>
      <c r="J403" s="25" t="s">
        <v>2536</v>
      </c>
      <c r="K403" s="25" t="s">
        <v>2510</v>
      </c>
      <c r="L403" s="25" t="s">
        <v>2569</v>
      </c>
      <c r="M403" s="26" t="s">
        <v>2570</v>
      </c>
      <c r="N403" s="25">
        <v>2501</v>
      </c>
      <c r="O403" s="26" t="s">
        <v>2571</v>
      </c>
      <c r="P403" s="27" t="s">
        <v>4598</v>
      </c>
      <c r="Q403" s="25" t="s">
        <v>4357</v>
      </c>
      <c r="R403" s="25" t="s">
        <v>2516</v>
      </c>
      <c r="S403" s="25" t="s">
        <v>25</v>
      </c>
      <c r="T403" s="25">
        <v>1</v>
      </c>
      <c r="U403" s="25" t="s">
        <v>2517</v>
      </c>
      <c r="V403" s="25" t="s">
        <v>4599</v>
      </c>
      <c r="W403" s="25" t="s">
        <v>4600</v>
      </c>
      <c r="X403" s="59">
        <v>45756.632638888892</v>
      </c>
      <c r="Y403" s="25" t="s">
        <v>4601</v>
      </c>
      <c r="Z403" s="25">
        <v>0.5</v>
      </c>
      <c r="AA403" s="25"/>
      <c r="AB403" s="25" t="s">
        <v>2521</v>
      </c>
      <c r="AC403" s="27" t="s">
        <v>4602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3908</v>
      </c>
      <c r="H404" s="25" t="s">
        <v>2507</v>
      </c>
      <c r="I404" s="25"/>
      <c r="J404" s="25"/>
      <c r="K404" s="25"/>
      <c r="L404" s="25"/>
      <c r="M404" s="26"/>
      <c r="N404" s="25"/>
      <c r="O404" s="26"/>
      <c r="P404" s="27"/>
      <c r="Q404" s="25" t="s">
        <v>3909</v>
      </c>
      <c r="R404" s="25" t="s">
        <v>2516</v>
      </c>
      <c r="S404" s="25" t="s">
        <v>25</v>
      </c>
      <c r="T404" s="25">
        <v>1</v>
      </c>
      <c r="U404" s="25" t="s">
        <v>2517</v>
      </c>
      <c r="V404" s="25" t="s">
        <v>4603</v>
      </c>
      <c r="W404" s="25" t="s">
        <v>4604</v>
      </c>
      <c r="X404" s="59">
        <v>45756.560416666667</v>
      </c>
      <c r="Y404" s="25"/>
      <c r="Z404" s="25">
        <v>1.1000000000000001</v>
      </c>
      <c r="AA404" s="25"/>
      <c r="AB404" s="25" t="s">
        <v>2521</v>
      </c>
      <c r="AC404" s="27" t="s">
        <v>4501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3831</v>
      </c>
      <c r="H405" s="25" t="s">
        <v>2507</v>
      </c>
      <c r="I405" s="25"/>
      <c r="J405" s="25"/>
      <c r="K405" s="25"/>
      <c r="L405" s="25"/>
      <c r="M405" s="26"/>
      <c r="N405" s="25"/>
      <c r="O405" s="26"/>
      <c r="P405" s="27"/>
      <c r="Q405" s="25" t="s">
        <v>3075</v>
      </c>
      <c r="R405" s="25" t="s">
        <v>2516</v>
      </c>
      <c r="S405" s="25" t="s">
        <v>25</v>
      </c>
      <c r="T405" s="25">
        <v>1</v>
      </c>
      <c r="U405" s="25" t="s">
        <v>2517</v>
      </c>
      <c r="V405" s="25" t="s">
        <v>4605</v>
      </c>
      <c r="W405" s="25" t="s">
        <v>4606</v>
      </c>
      <c r="X405" s="59">
        <v>45756.634027777778</v>
      </c>
      <c r="Y405" s="25"/>
      <c r="Z405" s="25">
        <v>0.3</v>
      </c>
      <c r="AA405" s="25"/>
      <c r="AB405" s="25" t="s">
        <v>2521</v>
      </c>
      <c r="AC405" s="27" t="s">
        <v>4565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4356</v>
      </c>
      <c r="H406" s="25" t="s">
        <v>2507</v>
      </c>
      <c r="I406" s="25"/>
      <c r="J406" s="25"/>
      <c r="K406" s="25"/>
      <c r="L406" s="25"/>
      <c r="M406" s="26"/>
      <c r="N406" s="25"/>
      <c r="O406" s="26"/>
      <c r="P406" s="27"/>
      <c r="Q406" s="25" t="s">
        <v>4357</v>
      </c>
      <c r="R406" s="25" t="s">
        <v>2516</v>
      </c>
      <c r="S406" s="25" t="s">
        <v>25</v>
      </c>
      <c r="T406" s="25">
        <v>1</v>
      </c>
      <c r="U406" s="25" t="s">
        <v>2517</v>
      </c>
      <c r="V406" s="25" t="s">
        <v>4607</v>
      </c>
      <c r="W406" s="25" t="s">
        <v>4608</v>
      </c>
      <c r="X406" s="59">
        <v>45756.638888888891</v>
      </c>
      <c r="Y406" s="25"/>
      <c r="Z406" s="25">
        <v>0.3</v>
      </c>
      <c r="AA406" s="25"/>
      <c r="AB406" s="25" t="s">
        <v>2521</v>
      </c>
      <c r="AC406" s="27" t="s">
        <v>4565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2986</v>
      </c>
      <c r="H407" s="25" t="s">
        <v>2987</v>
      </c>
      <c r="I407" s="25"/>
      <c r="J407" s="25"/>
      <c r="K407" s="25"/>
      <c r="L407" s="25"/>
      <c r="M407" s="26"/>
      <c r="N407" s="25"/>
      <c r="O407" s="26"/>
      <c r="P407" s="27"/>
      <c r="Q407" s="25" t="s">
        <v>2990</v>
      </c>
      <c r="R407" s="25" t="s">
        <v>2516</v>
      </c>
      <c r="S407" s="25" t="s">
        <v>25</v>
      </c>
      <c r="T407" s="25">
        <v>1</v>
      </c>
      <c r="U407" s="25" t="s">
        <v>2517</v>
      </c>
      <c r="V407" s="25" t="s">
        <v>4609</v>
      </c>
      <c r="W407" s="25" t="s">
        <v>4610</v>
      </c>
      <c r="X407" s="59">
        <v>45757.463194444441</v>
      </c>
      <c r="Y407" s="25"/>
      <c r="Z407" s="25">
        <v>0.3</v>
      </c>
      <c r="AA407" s="25"/>
      <c r="AB407" s="25" t="s">
        <v>2521</v>
      </c>
      <c r="AC407" s="27" t="s">
        <v>4565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4217</v>
      </c>
      <c r="H408" s="25" t="s">
        <v>2659</v>
      </c>
      <c r="I408" s="25"/>
      <c r="J408" s="25"/>
      <c r="K408" s="25"/>
      <c r="L408" s="25"/>
      <c r="M408" s="26"/>
      <c r="N408" s="25"/>
      <c r="O408" s="26"/>
      <c r="P408" s="27"/>
      <c r="Q408" s="25" t="s">
        <v>4218</v>
      </c>
      <c r="R408" s="25" t="s">
        <v>2516</v>
      </c>
      <c r="S408" s="25" t="s">
        <v>185</v>
      </c>
      <c r="T408" s="25">
        <v>1</v>
      </c>
      <c r="U408" s="25" t="s">
        <v>2517</v>
      </c>
      <c r="V408" s="25" t="s">
        <v>4611</v>
      </c>
      <c r="W408" s="25" t="s">
        <v>4612</v>
      </c>
      <c r="X408" s="59">
        <v>45757.496527777781</v>
      </c>
      <c r="Y408" s="25"/>
      <c r="Z408" s="25">
        <v>0.9</v>
      </c>
      <c r="AA408" s="25"/>
      <c r="AB408" s="25" t="s">
        <v>2521</v>
      </c>
      <c r="AC408" s="27" t="s">
        <v>4501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3042</v>
      </c>
      <c r="H409" s="25" t="s">
        <v>2987</v>
      </c>
      <c r="I409" s="25"/>
      <c r="J409" s="25"/>
      <c r="K409" s="25"/>
      <c r="L409" s="25"/>
      <c r="M409" s="26"/>
      <c r="N409" s="25"/>
      <c r="O409" s="26"/>
      <c r="P409" s="27"/>
      <c r="Q409" s="25" t="s">
        <v>3043</v>
      </c>
      <c r="R409" s="25" t="s">
        <v>2516</v>
      </c>
      <c r="S409" s="25" t="s">
        <v>25</v>
      </c>
      <c r="T409" s="25">
        <v>1</v>
      </c>
      <c r="U409" s="25" t="s">
        <v>2517</v>
      </c>
      <c r="V409" s="25" t="s">
        <v>4613</v>
      </c>
      <c r="W409" s="25" t="s">
        <v>4614</v>
      </c>
      <c r="X409" s="59">
        <v>45757.509027777778</v>
      </c>
      <c r="Y409" s="25"/>
      <c r="Z409" s="25">
        <v>0.9</v>
      </c>
      <c r="AA409" s="25"/>
      <c r="AB409" s="25" t="s">
        <v>2521</v>
      </c>
      <c r="AC409" s="27" t="s">
        <v>4501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3055</v>
      </c>
      <c r="H410" s="25" t="s">
        <v>2987</v>
      </c>
      <c r="I410" s="25"/>
      <c r="J410" s="25"/>
      <c r="K410" s="25"/>
      <c r="L410" s="25"/>
      <c r="M410" s="26"/>
      <c r="N410" s="25"/>
      <c r="O410" s="26"/>
      <c r="P410" s="27"/>
      <c r="Q410" s="25" t="s">
        <v>3056</v>
      </c>
      <c r="R410" s="25" t="s">
        <v>2516</v>
      </c>
      <c r="S410" s="25" t="s">
        <v>25</v>
      </c>
      <c r="T410" s="25">
        <v>1</v>
      </c>
      <c r="U410" s="25" t="s">
        <v>2517</v>
      </c>
      <c r="V410" s="25" t="s">
        <v>4615</v>
      </c>
      <c r="W410" s="25" t="s">
        <v>4616</v>
      </c>
      <c r="X410" s="59">
        <v>45757.544444444437</v>
      </c>
      <c r="Y410" s="25"/>
      <c r="Z410" s="25">
        <v>0.8</v>
      </c>
      <c r="AA410" s="25"/>
      <c r="AB410" s="25" t="s">
        <v>2521</v>
      </c>
      <c r="AC410" s="27" t="s">
        <v>4501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3046</v>
      </c>
      <c r="H411" s="25" t="s">
        <v>2987</v>
      </c>
      <c r="I411" s="25"/>
      <c r="J411" s="25"/>
      <c r="K411" s="25"/>
      <c r="L411" s="25"/>
      <c r="M411" s="26"/>
      <c r="N411" s="25"/>
      <c r="O411" s="26"/>
      <c r="P411" s="27"/>
      <c r="Q411" s="25" t="s">
        <v>3047</v>
      </c>
      <c r="R411" s="25" t="s">
        <v>2516</v>
      </c>
      <c r="S411" s="25" t="s">
        <v>25</v>
      </c>
      <c r="T411" s="25">
        <v>1</v>
      </c>
      <c r="U411" s="25" t="s">
        <v>2517</v>
      </c>
      <c r="V411" s="25" t="s">
        <v>4617</v>
      </c>
      <c r="W411" s="25" t="s">
        <v>4618</v>
      </c>
      <c r="X411" s="59">
        <v>45757.611805555563</v>
      </c>
      <c r="Y411" s="25"/>
      <c r="Z411" s="25">
        <v>0.3</v>
      </c>
      <c r="AA411" s="25"/>
      <c r="AB411" s="25" t="s">
        <v>2521</v>
      </c>
      <c r="AC411" s="27" t="s">
        <v>4565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3059</v>
      </c>
      <c r="H412" s="25" t="s">
        <v>2987</v>
      </c>
      <c r="I412" s="25"/>
      <c r="J412" s="25"/>
      <c r="K412" s="25"/>
      <c r="L412" s="25"/>
      <c r="M412" s="26"/>
      <c r="N412" s="25"/>
      <c r="O412" s="26"/>
      <c r="P412" s="27"/>
      <c r="Q412" s="25" t="s">
        <v>3060</v>
      </c>
      <c r="R412" s="25" t="s">
        <v>2516</v>
      </c>
      <c r="S412" s="25" t="s">
        <v>25</v>
      </c>
      <c r="T412" s="25">
        <v>1</v>
      </c>
      <c r="U412" s="25" t="s">
        <v>2517</v>
      </c>
      <c r="V412" s="25" t="s">
        <v>4619</v>
      </c>
      <c r="W412" s="25" t="s">
        <v>4620</v>
      </c>
      <c r="X412" s="59">
        <v>45757.661805555559</v>
      </c>
      <c r="Y412" s="25"/>
      <c r="Z412" s="25">
        <v>0.9</v>
      </c>
      <c r="AA412" s="25"/>
      <c r="AB412" s="25" t="s">
        <v>2521</v>
      </c>
      <c r="AC412" s="27" t="s">
        <v>4501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3051</v>
      </c>
      <c r="H413" s="25" t="s">
        <v>2987</v>
      </c>
      <c r="I413" s="25"/>
      <c r="J413" s="25"/>
      <c r="K413" s="25"/>
      <c r="L413" s="25"/>
      <c r="M413" s="26"/>
      <c r="N413" s="25"/>
      <c r="O413" s="26"/>
      <c r="P413" s="27"/>
      <c r="Q413" s="25" t="s">
        <v>3052</v>
      </c>
      <c r="R413" s="25" t="s">
        <v>2516</v>
      </c>
      <c r="S413" s="25" t="s">
        <v>25</v>
      </c>
      <c r="T413" s="25">
        <v>1</v>
      </c>
      <c r="U413" s="25" t="s">
        <v>2517</v>
      </c>
      <c r="V413" s="25" t="s">
        <v>4621</v>
      </c>
      <c r="W413" s="25" t="s">
        <v>4622</v>
      </c>
      <c r="X413" s="59">
        <v>45757.680555555547</v>
      </c>
      <c r="Y413" s="25"/>
      <c r="Z413" s="25">
        <v>0.3</v>
      </c>
      <c r="AA413" s="25"/>
      <c r="AB413" s="25" t="s">
        <v>2521</v>
      </c>
      <c r="AC413" s="27" t="s">
        <v>4565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4623</v>
      </c>
      <c r="E414" s="25" t="s">
        <v>2504</v>
      </c>
      <c r="F414" s="25">
        <v>3752</v>
      </c>
      <c r="G414" s="25" t="s">
        <v>4432</v>
      </c>
      <c r="H414" s="25" t="s">
        <v>2609</v>
      </c>
      <c r="I414" s="25" t="s">
        <v>4624</v>
      </c>
      <c r="J414" s="25" t="s">
        <v>2835</v>
      </c>
      <c r="K414" s="25" t="s">
        <v>2510</v>
      </c>
      <c r="L414" s="25" t="s">
        <v>3271</v>
      </c>
      <c r="M414" s="26" t="s">
        <v>3272</v>
      </c>
      <c r="N414" s="25" t="s">
        <v>3273</v>
      </c>
      <c r="O414" s="26" t="s">
        <v>3274</v>
      </c>
      <c r="P414" s="27" t="s">
        <v>4625</v>
      </c>
      <c r="Q414" s="25" t="s">
        <v>4433</v>
      </c>
      <c r="R414" s="25" t="s">
        <v>2516</v>
      </c>
      <c r="S414" s="25" t="s">
        <v>173</v>
      </c>
      <c r="T414" s="25">
        <v>1</v>
      </c>
      <c r="U414" s="25" t="s">
        <v>2517</v>
      </c>
      <c r="V414" s="25" t="s">
        <v>4626</v>
      </c>
      <c r="W414" s="25" t="s">
        <v>4627</v>
      </c>
      <c r="X414" s="59">
        <v>45758.645833333343</v>
      </c>
      <c r="Y414" s="25" t="s">
        <v>4628</v>
      </c>
      <c r="Z414" s="25">
        <v>0.8</v>
      </c>
      <c r="AA414" s="25"/>
      <c r="AB414" s="25" t="s">
        <v>2521</v>
      </c>
      <c r="AC414" s="27" t="s">
        <v>4629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3472</v>
      </c>
      <c r="H415" s="25" t="s">
        <v>2987</v>
      </c>
      <c r="I415" s="25"/>
      <c r="J415" s="25"/>
      <c r="K415" s="25"/>
      <c r="L415" s="25"/>
      <c r="M415" s="26"/>
      <c r="N415" s="25"/>
      <c r="O415" s="26"/>
      <c r="P415" s="27"/>
      <c r="Q415" s="25" t="s">
        <v>3473</v>
      </c>
      <c r="R415" s="25" t="s">
        <v>2516</v>
      </c>
      <c r="S415" s="25" t="s">
        <v>25</v>
      </c>
      <c r="T415" s="25">
        <v>1</v>
      </c>
      <c r="U415" s="25" t="s">
        <v>2517</v>
      </c>
      <c r="V415" s="25" t="s">
        <v>4630</v>
      </c>
      <c r="W415" s="25" t="s">
        <v>4631</v>
      </c>
      <c r="X415" s="59">
        <v>45757.727777777778</v>
      </c>
      <c r="Y415" s="25"/>
      <c r="Z415" s="25">
        <v>0.9</v>
      </c>
      <c r="AA415" s="25"/>
      <c r="AB415" s="25" t="s">
        <v>2521</v>
      </c>
      <c r="AC415" s="27" t="s">
        <v>4501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3476</v>
      </c>
      <c r="H416" s="25" t="s">
        <v>2987</v>
      </c>
      <c r="I416" s="25"/>
      <c r="J416" s="25"/>
      <c r="K416" s="25"/>
      <c r="L416" s="25"/>
      <c r="M416" s="26"/>
      <c r="N416" s="25"/>
      <c r="O416" s="26"/>
      <c r="P416" s="27"/>
      <c r="Q416" s="25" t="s">
        <v>3477</v>
      </c>
      <c r="R416" s="25" t="s">
        <v>2516</v>
      </c>
      <c r="S416" s="25" t="s">
        <v>25</v>
      </c>
      <c r="T416" s="25">
        <v>1</v>
      </c>
      <c r="U416" s="25" t="s">
        <v>2517</v>
      </c>
      <c r="V416" s="25" t="s">
        <v>4632</v>
      </c>
      <c r="W416" s="25" t="s">
        <v>4633</v>
      </c>
      <c r="X416" s="59">
        <v>45757.754166666673</v>
      </c>
      <c r="Y416" s="25"/>
      <c r="Z416" s="25">
        <v>0.6</v>
      </c>
      <c r="AA416" s="25"/>
      <c r="AB416" s="25" t="s">
        <v>2521</v>
      </c>
      <c r="AC416" s="27" t="s">
        <v>4501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3137</v>
      </c>
      <c r="H417" s="25" t="s">
        <v>3138</v>
      </c>
      <c r="I417" s="25"/>
      <c r="J417" s="25"/>
      <c r="K417" s="25"/>
      <c r="L417" s="25"/>
      <c r="M417" s="26"/>
      <c r="N417" s="25"/>
      <c r="O417" s="26"/>
      <c r="P417" s="27"/>
      <c r="Q417" s="25" t="s">
        <v>3139</v>
      </c>
      <c r="R417" s="25" t="s">
        <v>2516</v>
      </c>
      <c r="S417" s="25" t="s">
        <v>185</v>
      </c>
      <c r="T417" s="25">
        <v>1</v>
      </c>
      <c r="U417" s="25" t="s">
        <v>2517</v>
      </c>
      <c r="V417" s="25" t="s">
        <v>4634</v>
      </c>
      <c r="W417" s="25" t="s">
        <v>4635</v>
      </c>
      <c r="X417" s="59">
        <v>45758.451388888891</v>
      </c>
      <c r="Y417" s="25"/>
      <c r="Z417" s="25">
        <v>0.8</v>
      </c>
      <c r="AA417" s="25"/>
      <c r="AB417" s="25" t="s">
        <v>2521</v>
      </c>
      <c r="AC417" s="27" t="s">
        <v>4501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3142</v>
      </c>
      <c r="H418" s="25" t="s">
        <v>3138</v>
      </c>
      <c r="I418" s="25"/>
      <c r="J418" s="25"/>
      <c r="K418" s="25"/>
      <c r="L418" s="25"/>
      <c r="M418" s="26"/>
      <c r="N418" s="25"/>
      <c r="O418" s="26"/>
      <c r="P418" s="27"/>
      <c r="Q418" s="25" t="s">
        <v>3143</v>
      </c>
      <c r="R418" s="25" t="s">
        <v>2516</v>
      </c>
      <c r="S418" s="25" t="s">
        <v>185</v>
      </c>
      <c r="T418" s="25">
        <v>1</v>
      </c>
      <c r="U418" s="25" t="s">
        <v>2517</v>
      </c>
      <c r="V418" s="25" t="s">
        <v>4636</v>
      </c>
      <c r="W418" s="25" t="s">
        <v>4637</v>
      </c>
      <c r="X418" s="59">
        <v>45758.493055555547</v>
      </c>
      <c r="Y418" s="25"/>
      <c r="Z418" s="25">
        <v>0.8</v>
      </c>
      <c r="AA418" s="25"/>
      <c r="AB418" s="25" t="s">
        <v>2521</v>
      </c>
      <c r="AC418" s="27" t="s">
        <v>4501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2865</v>
      </c>
      <c r="G419" s="25" t="s">
        <v>2866</v>
      </c>
      <c r="H419" s="25" t="s">
        <v>2507</v>
      </c>
      <c r="I419" s="25"/>
      <c r="J419" s="25"/>
      <c r="K419" s="25"/>
      <c r="L419" s="25"/>
      <c r="M419" s="26"/>
      <c r="N419" s="25"/>
      <c r="O419" s="26"/>
      <c r="P419" s="27"/>
      <c r="Q419" s="25" t="s">
        <v>2867</v>
      </c>
      <c r="R419" s="25" t="s">
        <v>2516</v>
      </c>
      <c r="S419" s="25" t="s">
        <v>25</v>
      </c>
      <c r="T419" s="25">
        <v>1</v>
      </c>
      <c r="U419" s="25" t="s">
        <v>2517</v>
      </c>
      <c r="V419" s="25" t="s">
        <v>4638</v>
      </c>
      <c r="W419" s="25" t="s">
        <v>4637</v>
      </c>
      <c r="X419" s="59">
        <v>45758.502083333333</v>
      </c>
      <c r="Y419" s="25"/>
      <c r="Z419" s="25">
        <v>1.1000000000000001</v>
      </c>
      <c r="AA419" s="25"/>
      <c r="AB419" s="25" t="s">
        <v>2521</v>
      </c>
      <c r="AC419" s="27" t="s">
        <v>4501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2870</v>
      </c>
      <c r="H420" s="25" t="s">
        <v>2507</v>
      </c>
      <c r="I420" s="25"/>
      <c r="J420" s="25"/>
      <c r="K420" s="25"/>
      <c r="L420" s="25"/>
      <c r="M420" s="26"/>
      <c r="N420" s="25"/>
      <c r="O420" s="26"/>
      <c r="P420" s="27"/>
      <c r="Q420" s="25" t="s">
        <v>2871</v>
      </c>
      <c r="R420" s="25" t="s">
        <v>2516</v>
      </c>
      <c r="S420" s="25" t="s">
        <v>25</v>
      </c>
      <c r="T420" s="25">
        <v>1</v>
      </c>
      <c r="U420" s="25" t="s">
        <v>2517</v>
      </c>
      <c r="V420" s="25" t="s">
        <v>4639</v>
      </c>
      <c r="W420" s="25" t="s">
        <v>4640</v>
      </c>
      <c r="X420" s="59">
        <v>45758.548611111109</v>
      </c>
      <c r="Y420" s="25"/>
      <c r="Z420" s="25">
        <v>1</v>
      </c>
      <c r="AA420" s="25"/>
      <c r="AB420" s="25" t="s">
        <v>2521</v>
      </c>
      <c r="AC420" s="27" t="s">
        <v>4501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4432</v>
      </c>
      <c r="H421" s="25" t="s">
        <v>2609</v>
      </c>
      <c r="I421" s="25"/>
      <c r="J421" s="25"/>
      <c r="K421" s="25"/>
      <c r="L421" s="25"/>
      <c r="M421" s="26"/>
      <c r="N421" s="25"/>
      <c r="O421" s="26"/>
      <c r="P421" s="27"/>
      <c r="Q421" s="25" t="s">
        <v>4433</v>
      </c>
      <c r="R421" s="25" t="s">
        <v>2516</v>
      </c>
      <c r="S421" s="25" t="s">
        <v>173</v>
      </c>
      <c r="T421" s="25">
        <v>1</v>
      </c>
      <c r="U421" s="25" t="s">
        <v>2517</v>
      </c>
      <c r="V421" s="25" t="s">
        <v>4641</v>
      </c>
      <c r="W421" s="25" t="s">
        <v>4627</v>
      </c>
      <c r="X421" s="59">
        <v>45758.645833333343</v>
      </c>
      <c r="Y421" s="25"/>
      <c r="Z421" s="25">
        <v>0.8</v>
      </c>
      <c r="AA421" s="25"/>
      <c r="AB421" s="25" t="s">
        <v>2521</v>
      </c>
      <c r="AC421" s="27" t="s">
        <v>4501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2697</v>
      </c>
      <c r="H422" s="25" t="s">
        <v>2609</v>
      </c>
      <c r="I422" s="25"/>
      <c r="J422" s="25"/>
      <c r="K422" s="25"/>
      <c r="L422" s="25"/>
      <c r="M422" s="26"/>
      <c r="N422" s="25"/>
      <c r="O422" s="26"/>
      <c r="P422" s="27"/>
      <c r="Q422" s="25" t="s">
        <v>2700</v>
      </c>
      <c r="R422" s="25" t="s">
        <v>2516</v>
      </c>
      <c r="S422" s="25" t="s">
        <v>173</v>
      </c>
      <c r="T422" s="25">
        <v>1</v>
      </c>
      <c r="U422" s="25" t="s">
        <v>2517</v>
      </c>
      <c r="V422" s="25" t="s">
        <v>4642</v>
      </c>
      <c r="W422" s="25" t="s">
        <v>4643</v>
      </c>
      <c r="X422" s="59">
        <v>45758.659722222219</v>
      </c>
      <c r="Y422" s="25"/>
      <c r="Z422" s="25">
        <v>0.3</v>
      </c>
      <c r="AA422" s="25"/>
      <c r="AB422" s="25" t="s">
        <v>2521</v>
      </c>
      <c r="AC422" s="27" t="s">
        <v>4565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4644</v>
      </c>
      <c r="E423" s="25" t="s">
        <v>2504</v>
      </c>
      <c r="F423" s="25">
        <v>5003</v>
      </c>
      <c r="G423" s="25" t="s">
        <v>3084</v>
      </c>
      <c r="H423" s="25" t="s">
        <v>2996</v>
      </c>
      <c r="I423" s="25" t="s">
        <v>4645</v>
      </c>
      <c r="J423" s="25" t="s">
        <v>2643</v>
      </c>
      <c r="K423" s="25" t="s">
        <v>2510</v>
      </c>
      <c r="L423" s="25" t="s">
        <v>2611</v>
      </c>
      <c r="M423" s="26" t="s">
        <v>2612</v>
      </c>
      <c r="N423" s="25" t="s">
        <v>2613</v>
      </c>
      <c r="O423" s="26" t="s">
        <v>2614</v>
      </c>
      <c r="P423" s="27" t="s">
        <v>4646</v>
      </c>
      <c r="Q423" s="25" t="s">
        <v>3085</v>
      </c>
      <c r="R423" s="25" t="s">
        <v>2516</v>
      </c>
      <c r="S423" s="25" t="s">
        <v>185</v>
      </c>
      <c r="T423" s="25">
        <v>1</v>
      </c>
      <c r="U423" s="25" t="s">
        <v>2517</v>
      </c>
      <c r="V423" s="25" t="s">
        <v>4647</v>
      </c>
      <c r="W423" s="25" t="s">
        <v>4648</v>
      </c>
      <c r="X423" s="59">
        <v>45761.604166666657</v>
      </c>
      <c r="Y423" s="25" t="s">
        <v>4649</v>
      </c>
      <c r="Z423" s="25">
        <v>0.5</v>
      </c>
      <c r="AA423" s="25"/>
      <c r="AB423" s="25" t="s">
        <v>2521</v>
      </c>
      <c r="AC423" s="27" t="s">
        <v>4650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3133</v>
      </c>
      <c r="H424" s="25" t="s">
        <v>2659</v>
      </c>
      <c r="I424" s="25"/>
      <c r="J424" s="25"/>
      <c r="K424" s="25"/>
      <c r="L424" s="25"/>
      <c r="M424" s="26"/>
      <c r="N424" s="25"/>
      <c r="O424" s="26"/>
      <c r="P424" s="27"/>
      <c r="Q424" s="25" t="s">
        <v>3134</v>
      </c>
      <c r="R424" s="25" t="s">
        <v>2516</v>
      </c>
      <c r="S424" s="25" t="s">
        <v>185</v>
      </c>
      <c r="T424" s="25">
        <v>1</v>
      </c>
      <c r="U424" s="25" t="s">
        <v>2517</v>
      </c>
      <c r="V424" s="25" t="s">
        <v>4651</v>
      </c>
      <c r="W424" s="25" t="s">
        <v>4652</v>
      </c>
      <c r="X424" s="59">
        <v>45761.479166666657</v>
      </c>
      <c r="Y424" s="25"/>
      <c r="Z424" s="25">
        <v>1</v>
      </c>
      <c r="AA424" s="25"/>
      <c r="AB424" s="25" t="s">
        <v>2521</v>
      </c>
      <c r="AC424" s="27" t="s">
        <v>4570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2817</v>
      </c>
      <c r="G425" s="25" t="s">
        <v>2818</v>
      </c>
      <c r="H425" s="25" t="s">
        <v>2507</v>
      </c>
      <c r="I425" s="25"/>
      <c r="J425" s="25"/>
      <c r="K425" s="25"/>
      <c r="L425" s="25"/>
      <c r="M425" s="26"/>
      <c r="N425" s="25"/>
      <c r="O425" s="26"/>
      <c r="P425" s="27"/>
      <c r="Q425" s="25" t="s">
        <v>2819</v>
      </c>
      <c r="R425" s="25" t="s">
        <v>2516</v>
      </c>
      <c r="S425" s="25" t="s">
        <v>25</v>
      </c>
      <c r="T425" s="25">
        <v>1</v>
      </c>
      <c r="U425" s="25" t="s">
        <v>2517</v>
      </c>
      <c r="V425" s="25" t="s">
        <v>4653</v>
      </c>
      <c r="W425" s="25" t="s">
        <v>4652</v>
      </c>
      <c r="X425" s="59">
        <v>45761.48333333333</v>
      </c>
      <c r="Y425" s="25"/>
      <c r="Z425" s="25">
        <v>1.1000000000000001</v>
      </c>
      <c r="AA425" s="25"/>
      <c r="AB425" s="25" t="s">
        <v>2521</v>
      </c>
      <c r="AC425" s="27" t="s">
        <v>4501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4654</v>
      </c>
      <c r="E426" s="25" t="s">
        <v>2504</v>
      </c>
      <c r="F426" s="25">
        <v>3851</v>
      </c>
      <c r="G426" s="25" t="s">
        <v>4217</v>
      </c>
      <c r="H426" s="25" t="s">
        <v>2659</v>
      </c>
      <c r="I426" s="25" t="s">
        <v>4655</v>
      </c>
      <c r="J426" s="25" t="s">
        <v>2661</v>
      </c>
      <c r="K426" s="25" t="s">
        <v>2510</v>
      </c>
      <c r="L426" s="25" t="s">
        <v>2511</v>
      </c>
      <c r="M426" s="26" t="s">
        <v>2512</v>
      </c>
      <c r="N426" s="25">
        <v>2307</v>
      </c>
      <c r="O426" s="26" t="s">
        <v>2678</v>
      </c>
      <c r="P426" s="27" t="s">
        <v>3327</v>
      </c>
      <c r="Q426" s="25" t="s">
        <v>4218</v>
      </c>
      <c r="R426" s="25" t="s">
        <v>2516</v>
      </c>
      <c r="S426" s="25" t="s">
        <v>185</v>
      </c>
      <c r="T426" s="25">
        <v>1</v>
      </c>
      <c r="U426" s="25" t="s">
        <v>2517</v>
      </c>
      <c r="V426" s="25" t="s">
        <v>4656</v>
      </c>
      <c r="W426" s="25" t="s">
        <v>4657</v>
      </c>
      <c r="X426" s="59">
        <v>45762.480555555558</v>
      </c>
      <c r="Y426" s="25" t="s">
        <v>4658</v>
      </c>
      <c r="Z426" s="25">
        <v>1</v>
      </c>
      <c r="AA426" s="25"/>
      <c r="AB426" s="25" t="s">
        <v>2521</v>
      </c>
      <c r="AC426" s="27" t="s">
        <v>4659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2758</v>
      </c>
      <c r="H427" s="25" t="s">
        <v>2507</v>
      </c>
      <c r="I427" s="25"/>
      <c r="J427" s="25"/>
      <c r="K427" s="25"/>
      <c r="L427" s="25"/>
      <c r="M427" s="26"/>
      <c r="N427" s="25"/>
      <c r="O427" s="26"/>
      <c r="P427" s="27"/>
      <c r="Q427" s="25" t="s">
        <v>2759</v>
      </c>
      <c r="R427" s="25" t="s">
        <v>2516</v>
      </c>
      <c r="S427" s="25" t="s">
        <v>25</v>
      </c>
      <c r="T427" s="25">
        <v>1</v>
      </c>
      <c r="U427" s="25" t="s">
        <v>2517</v>
      </c>
      <c r="V427" s="25" t="s">
        <v>4660</v>
      </c>
      <c r="W427" s="25" t="s">
        <v>4661</v>
      </c>
      <c r="X427" s="59">
        <v>45761.527083333327</v>
      </c>
      <c r="Y427" s="25"/>
      <c r="Z427" s="25">
        <v>1</v>
      </c>
      <c r="AA427" s="25"/>
      <c r="AB427" s="25" t="s">
        <v>2521</v>
      </c>
      <c r="AC427" s="27" t="s">
        <v>4501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3084</v>
      </c>
      <c r="H428" s="25" t="s">
        <v>2996</v>
      </c>
      <c r="I428" s="25"/>
      <c r="J428" s="25"/>
      <c r="K428" s="25"/>
      <c r="L428" s="25"/>
      <c r="M428" s="26"/>
      <c r="N428" s="25"/>
      <c r="O428" s="26"/>
      <c r="P428" s="27"/>
      <c r="Q428" s="25" t="s">
        <v>3085</v>
      </c>
      <c r="R428" s="25" t="s">
        <v>2516</v>
      </c>
      <c r="S428" s="25" t="s">
        <v>185</v>
      </c>
      <c r="T428" s="25">
        <v>1</v>
      </c>
      <c r="U428" s="25" t="s">
        <v>2517</v>
      </c>
      <c r="V428" s="25" t="s">
        <v>4662</v>
      </c>
      <c r="W428" s="25" t="s">
        <v>4663</v>
      </c>
      <c r="X428" s="59">
        <v>45761.618055555547</v>
      </c>
      <c r="Y428" s="25"/>
      <c r="Z428" s="25">
        <v>0.3</v>
      </c>
      <c r="AA428" s="25"/>
      <c r="AB428" s="25" t="s">
        <v>2521</v>
      </c>
      <c r="AC428" s="27" t="s">
        <v>4565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3080</v>
      </c>
      <c r="H429" s="25" t="s">
        <v>2996</v>
      </c>
      <c r="I429" s="25"/>
      <c r="J429" s="25"/>
      <c r="K429" s="25"/>
      <c r="L429" s="25"/>
      <c r="M429" s="26"/>
      <c r="N429" s="25"/>
      <c r="O429" s="26"/>
      <c r="P429" s="27"/>
      <c r="Q429" s="25" t="s">
        <v>3081</v>
      </c>
      <c r="R429" s="25" t="s">
        <v>2516</v>
      </c>
      <c r="S429" s="25" t="s">
        <v>185</v>
      </c>
      <c r="T429" s="25">
        <v>1</v>
      </c>
      <c r="U429" s="25" t="s">
        <v>2517</v>
      </c>
      <c r="V429" s="25" t="s">
        <v>4664</v>
      </c>
      <c r="W429" s="25" t="s">
        <v>4665</v>
      </c>
      <c r="X429" s="59">
        <v>45761.645833333343</v>
      </c>
      <c r="Y429" s="25"/>
      <c r="Z429" s="25">
        <v>0.5</v>
      </c>
      <c r="AA429" s="25"/>
      <c r="AB429" s="25" t="s">
        <v>2521</v>
      </c>
      <c r="AC429" s="27" t="s">
        <v>4570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4666</v>
      </c>
      <c r="E430" s="25" t="s">
        <v>2504</v>
      </c>
      <c r="F430" s="25">
        <v>4046</v>
      </c>
      <c r="G430" s="25" t="s">
        <v>4256</v>
      </c>
      <c r="H430" s="25" t="s">
        <v>2609</v>
      </c>
      <c r="I430" s="25" t="s">
        <v>4667</v>
      </c>
      <c r="J430" s="25" t="s">
        <v>2661</v>
      </c>
      <c r="K430" s="25" t="s">
        <v>2510</v>
      </c>
      <c r="L430" s="25" t="s">
        <v>2569</v>
      </c>
      <c r="M430" s="26" t="s">
        <v>2570</v>
      </c>
      <c r="N430" s="25">
        <v>2501</v>
      </c>
      <c r="O430" s="26" t="s">
        <v>2571</v>
      </c>
      <c r="P430" s="27" t="s">
        <v>4668</v>
      </c>
      <c r="Q430" s="25" t="s">
        <v>4259</v>
      </c>
      <c r="R430" s="25" t="s">
        <v>2516</v>
      </c>
      <c r="S430" s="25" t="s">
        <v>173</v>
      </c>
      <c r="T430" s="25">
        <v>1</v>
      </c>
      <c r="U430" s="25" t="s">
        <v>2517</v>
      </c>
      <c r="V430" s="25" t="s">
        <v>4669</v>
      </c>
      <c r="W430" s="25" t="s">
        <v>4670</v>
      </c>
      <c r="X430" s="59">
        <v>45762.621527777781</v>
      </c>
      <c r="Y430" s="25" t="s">
        <v>4671</v>
      </c>
      <c r="Z430" s="25">
        <v>1</v>
      </c>
      <c r="AA430" s="25"/>
      <c r="AB430" s="25" t="s">
        <v>2521</v>
      </c>
      <c r="AC430" s="27" t="s">
        <v>4672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3080</v>
      </c>
      <c r="H431" s="25" t="s">
        <v>2996</v>
      </c>
      <c r="I431" s="25"/>
      <c r="J431" s="25"/>
      <c r="K431" s="25"/>
      <c r="L431" s="25"/>
      <c r="M431" s="26"/>
      <c r="N431" s="25"/>
      <c r="O431" s="26"/>
      <c r="P431" s="27"/>
      <c r="Q431" s="25" t="s">
        <v>3081</v>
      </c>
      <c r="R431" s="25" t="s">
        <v>2516</v>
      </c>
      <c r="S431" s="25" t="s">
        <v>185</v>
      </c>
      <c r="T431" s="25">
        <v>1</v>
      </c>
      <c r="U431" s="25" t="s">
        <v>2517</v>
      </c>
      <c r="V431" s="25" t="s">
        <v>4673</v>
      </c>
      <c r="W431" s="25" t="s">
        <v>4665</v>
      </c>
      <c r="X431" s="59">
        <v>45761.645833333343</v>
      </c>
      <c r="Y431" s="25"/>
      <c r="Z431" s="25">
        <v>0.5</v>
      </c>
      <c r="AA431" s="25"/>
      <c r="AB431" s="25" t="s">
        <v>2521</v>
      </c>
      <c r="AC431" s="27" t="s">
        <v>4501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3133</v>
      </c>
      <c r="H432" s="25" t="s">
        <v>2659</v>
      </c>
      <c r="I432" s="25"/>
      <c r="J432" s="25"/>
      <c r="K432" s="25"/>
      <c r="L432" s="25"/>
      <c r="M432" s="26"/>
      <c r="N432" s="25"/>
      <c r="O432" s="26"/>
      <c r="P432" s="27"/>
      <c r="Q432" s="25" t="s">
        <v>3134</v>
      </c>
      <c r="R432" s="25" t="s">
        <v>2516</v>
      </c>
      <c r="S432" s="25" t="s">
        <v>185</v>
      </c>
      <c r="T432" s="25">
        <v>1</v>
      </c>
      <c r="U432" s="25" t="s">
        <v>2517</v>
      </c>
      <c r="V432" s="25" t="s">
        <v>4674</v>
      </c>
      <c r="W432" s="25" t="s">
        <v>4652</v>
      </c>
      <c r="X432" s="59">
        <v>45761.479166666657</v>
      </c>
      <c r="Y432" s="25"/>
      <c r="Z432" s="25">
        <v>1</v>
      </c>
      <c r="AA432" s="25"/>
      <c r="AB432" s="25" t="s">
        <v>2521</v>
      </c>
      <c r="AC432" s="27" t="s">
        <v>4501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2808</v>
      </c>
      <c r="H433" s="25" t="s">
        <v>2507</v>
      </c>
      <c r="I433" s="25"/>
      <c r="J433" s="25"/>
      <c r="K433" s="25"/>
      <c r="L433" s="25"/>
      <c r="M433" s="26"/>
      <c r="N433" s="25"/>
      <c r="O433" s="26"/>
      <c r="P433" s="27"/>
      <c r="Q433" s="25" t="s">
        <v>2809</v>
      </c>
      <c r="R433" s="25" t="s">
        <v>2516</v>
      </c>
      <c r="S433" s="25" t="s">
        <v>25</v>
      </c>
      <c r="T433" s="25">
        <v>1</v>
      </c>
      <c r="U433" s="25" t="s">
        <v>2517</v>
      </c>
      <c r="V433" s="25" t="s">
        <v>4675</v>
      </c>
      <c r="W433" s="25" t="s">
        <v>4676</v>
      </c>
      <c r="X433" s="59">
        <v>45762.490972222222</v>
      </c>
      <c r="Y433" s="25"/>
      <c r="Z433" s="25">
        <v>1</v>
      </c>
      <c r="AA433" s="25"/>
      <c r="AB433" s="25" t="s">
        <v>2521</v>
      </c>
      <c r="AC433" s="27" t="s">
        <v>4501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2657</v>
      </c>
      <c r="G434" s="25" t="s">
        <v>2658</v>
      </c>
      <c r="H434" s="25" t="s">
        <v>2659</v>
      </c>
      <c r="I434" s="25"/>
      <c r="J434" s="25"/>
      <c r="K434" s="25"/>
      <c r="L434" s="25"/>
      <c r="M434" s="26"/>
      <c r="N434" s="25"/>
      <c r="O434" s="26"/>
      <c r="P434" s="27"/>
      <c r="Q434" s="25" t="s">
        <v>2666</v>
      </c>
      <c r="R434" s="25" t="s">
        <v>2516</v>
      </c>
      <c r="S434" s="25" t="s">
        <v>185</v>
      </c>
      <c r="T434" s="25">
        <v>1</v>
      </c>
      <c r="U434" s="25" t="s">
        <v>2517</v>
      </c>
      <c r="V434" s="25" t="s">
        <v>4677</v>
      </c>
      <c r="W434" s="25" t="s">
        <v>4678</v>
      </c>
      <c r="X434" s="59">
        <v>45762.541666666657</v>
      </c>
      <c r="Y434" s="25"/>
      <c r="Z434" s="25">
        <v>0.5</v>
      </c>
      <c r="AA434" s="25"/>
      <c r="AB434" s="25" t="s">
        <v>2521</v>
      </c>
      <c r="AC434" s="27" t="s">
        <v>4501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2822</v>
      </c>
      <c r="H435" s="25" t="s">
        <v>2507</v>
      </c>
      <c r="I435" s="25"/>
      <c r="J435" s="25"/>
      <c r="K435" s="25"/>
      <c r="L435" s="25"/>
      <c r="M435" s="26"/>
      <c r="N435" s="25"/>
      <c r="O435" s="26"/>
      <c r="P435" s="27"/>
      <c r="Q435" s="25" t="s">
        <v>2823</v>
      </c>
      <c r="R435" s="25" t="s">
        <v>2516</v>
      </c>
      <c r="S435" s="25" t="s">
        <v>25</v>
      </c>
      <c r="T435" s="25">
        <v>1</v>
      </c>
      <c r="U435" s="25" t="s">
        <v>2517</v>
      </c>
      <c r="V435" s="25" t="s">
        <v>4679</v>
      </c>
      <c r="W435" s="25" t="s">
        <v>4678</v>
      </c>
      <c r="X435" s="59">
        <v>45762.557638888888</v>
      </c>
      <c r="Y435" s="25"/>
      <c r="Z435" s="25">
        <v>0.9</v>
      </c>
      <c r="AA435" s="25"/>
      <c r="AB435" s="25" t="s">
        <v>2521</v>
      </c>
      <c r="AC435" s="27" t="s">
        <v>4501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2812</v>
      </c>
      <c r="G436" s="25" t="s">
        <v>2813</v>
      </c>
      <c r="H436" s="25" t="s">
        <v>2659</v>
      </c>
      <c r="I436" s="25"/>
      <c r="J436" s="25"/>
      <c r="K436" s="25"/>
      <c r="L436" s="25"/>
      <c r="M436" s="26"/>
      <c r="N436" s="25"/>
      <c r="O436" s="26"/>
      <c r="P436" s="27"/>
      <c r="Q436" s="25" t="s">
        <v>2814</v>
      </c>
      <c r="R436" s="25" t="s">
        <v>2516</v>
      </c>
      <c r="S436" s="25" t="s">
        <v>185</v>
      </c>
      <c r="T436" s="25">
        <v>1</v>
      </c>
      <c r="U436" s="25" t="s">
        <v>2517</v>
      </c>
      <c r="V436" s="25" t="s">
        <v>4680</v>
      </c>
      <c r="W436" s="25" t="s">
        <v>4681</v>
      </c>
      <c r="X436" s="59">
        <v>45762.576388888891</v>
      </c>
      <c r="Y436" s="25"/>
      <c r="Z436" s="25">
        <v>0.7</v>
      </c>
      <c r="AA436" s="25"/>
      <c r="AB436" s="25" t="s">
        <v>2521</v>
      </c>
      <c r="AC436" s="27" t="s">
        <v>4501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2803</v>
      </c>
      <c r="G437" s="25" t="s">
        <v>2804</v>
      </c>
      <c r="H437" s="25" t="s">
        <v>2659</v>
      </c>
      <c r="I437" s="25"/>
      <c r="J437" s="25"/>
      <c r="K437" s="25"/>
      <c r="L437" s="25"/>
      <c r="M437" s="26"/>
      <c r="N437" s="25"/>
      <c r="O437" s="26"/>
      <c r="P437" s="27"/>
      <c r="Q437" s="25" t="s">
        <v>2805</v>
      </c>
      <c r="R437" s="25" t="s">
        <v>2516</v>
      </c>
      <c r="S437" s="25" t="s">
        <v>185</v>
      </c>
      <c r="T437" s="25">
        <v>1</v>
      </c>
      <c r="U437" s="25" t="s">
        <v>2517</v>
      </c>
      <c r="V437" s="25" t="s">
        <v>4682</v>
      </c>
      <c r="W437" s="25" t="s">
        <v>4683</v>
      </c>
      <c r="X437" s="59">
        <v>45762.583333333343</v>
      </c>
      <c r="Y437" s="25"/>
      <c r="Z437" s="25">
        <v>0.2</v>
      </c>
      <c r="AA437" s="25"/>
      <c r="AB437" s="25" t="s">
        <v>2521</v>
      </c>
      <c r="AC437" s="27" t="s">
        <v>4684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4256</v>
      </c>
      <c r="H438" s="25" t="s">
        <v>2609</v>
      </c>
      <c r="I438" s="25"/>
      <c r="J438" s="25"/>
      <c r="K438" s="25"/>
      <c r="L438" s="25"/>
      <c r="M438" s="26"/>
      <c r="N438" s="25"/>
      <c r="O438" s="26"/>
      <c r="P438" s="27"/>
      <c r="Q438" s="25" t="s">
        <v>4259</v>
      </c>
      <c r="R438" s="25" t="s">
        <v>2516</v>
      </c>
      <c r="S438" s="25" t="s">
        <v>173</v>
      </c>
      <c r="T438" s="25">
        <v>1</v>
      </c>
      <c r="U438" s="25" t="s">
        <v>2517</v>
      </c>
      <c r="V438" s="25" t="s">
        <v>4685</v>
      </c>
      <c r="W438" s="25" t="s">
        <v>4670</v>
      </c>
      <c r="X438" s="59">
        <v>45762.621527777781</v>
      </c>
      <c r="Y438" s="25"/>
      <c r="Z438" s="25">
        <v>1</v>
      </c>
      <c r="AA438" s="25"/>
      <c r="AB438" s="25" t="s">
        <v>2521</v>
      </c>
      <c r="AC438" s="27" t="s">
        <v>4501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2715</v>
      </c>
      <c r="H439" s="25" t="s">
        <v>2507</v>
      </c>
      <c r="I439" s="25"/>
      <c r="J439" s="25"/>
      <c r="K439" s="25"/>
      <c r="L439" s="25"/>
      <c r="M439" s="26"/>
      <c r="N439" s="25"/>
      <c r="O439" s="26"/>
      <c r="P439" s="27"/>
      <c r="Q439" s="25" t="s">
        <v>2719</v>
      </c>
      <c r="R439" s="25" t="s">
        <v>2516</v>
      </c>
      <c r="S439" s="25" t="s">
        <v>25</v>
      </c>
      <c r="T439" s="25">
        <v>1</v>
      </c>
      <c r="U439" s="25" t="s">
        <v>2517</v>
      </c>
      <c r="V439" s="25" t="s">
        <v>4686</v>
      </c>
      <c r="W439" s="25" t="s">
        <v>4687</v>
      </c>
      <c r="X439" s="59">
        <v>45762.629166666673</v>
      </c>
      <c r="Y439" s="25"/>
      <c r="Z439" s="25">
        <v>1.1000000000000001</v>
      </c>
      <c r="AA439" s="25"/>
      <c r="AB439" s="25" t="s">
        <v>2521</v>
      </c>
      <c r="AC439" s="27" t="s">
        <v>4501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3389</v>
      </c>
      <c r="G440" s="25" t="s">
        <v>3390</v>
      </c>
      <c r="H440" s="25" t="s">
        <v>2659</v>
      </c>
      <c r="I440" s="25"/>
      <c r="J440" s="25"/>
      <c r="K440" s="25"/>
      <c r="L440" s="25"/>
      <c r="M440" s="26"/>
      <c r="N440" s="25"/>
      <c r="O440" s="26"/>
      <c r="P440" s="27"/>
      <c r="Q440" s="25" t="s">
        <v>3391</v>
      </c>
      <c r="R440" s="25" t="s">
        <v>2516</v>
      </c>
      <c r="S440" s="25" t="s">
        <v>185</v>
      </c>
      <c r="T440" s="25">
        <v>1</v>
      </c>
      <c r="U440" s="25" t="s">
        <v>2517</v>
      </c>
      <c r="V440" s="25" t="s">
        <v>4688</v>
      </c>
      <c r="W440" s="25" t="s">
        <v>4689</v>
      </c>
      <c r="X440" s="59">
        <v>45762.65625</v>
      </c>
      <c r="Y440" s="25"/>
      <c r="Z440" s="25">
        <v>0.5</v>
      </c>
      <c r="AA440" s="25"/>
      <c r="AB440" s="25" t="s">
        <v>2521</v>
      </c>
      <c r="AC440" s="27" t="s">
        <v>4690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4691</v>
      </c>
      <c r="E441" s="25" t="s">
        <v>2504</v>
      </c>
      <c r="F441" s="25">
        <v>3227</v>
      </c>
      <c r="G441" s="25" t="s">
        <v>3080</v>
      </c>
      <c r="H441" s="25" t="s">
        <v>2996</v>
      </c>
      <c r="I441" s="25" t="s">
        <v>4692</v>
      </c>
      <c r="J441" s="25" t="s">
        <v>2536</v>
      </c>
      <c r="K441" s="25" t="s">
        <v>2765</v>
      </c>
      <c r="L441" s="25" t="s">
        <v>3380</v>
      </c>
      <c r="M441" s="26" t="s">
        <v>3381</v>
      </c>
      <c r="N441" s="25" t="s">
        <v>3382</v>
      </c>
      <c r="O441" s="26" t="s">
        <v>3383</v>
      </c>
      <c r="P441" s="27" t="s">
        <v>4693</v>
      </c>
      <c r="Q441" s="25" t="s">
        <v>3081</v>
      </c>
      <c r="R441" s="25" t="s">
        <v>2516</v>
      </c>
      <c r="S441" s="25" t="s">
        <v>185</v>
      </c>
      <c r="T441" s="25">
        <v>1</v>
      </c>
      <c r="U441" s="25" t="s">
        <v>2517</v>
      </c>
      <c r="V441" s="25" t="s">
        <v>4694</v>
      </c>
      <c r="W441" s="25" t="s">
        <v>4695</v>
      </c>
      <c r="X441" s="59">
        <v>45764.444444444453</v>
      </c>
      <c r="Y441" s="25" t="s">
        <v>4696</v>
      </c>
      <c r="Z441" s="25">
        <v>0.7</v>
      </c>
      <c r="AA441" s="25"/>
      <c r="AB441" s="25" t="s">
        <v>2521</v>
      </c>
      <c r="AC441" s="27" t="s">
        <v>4697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4698</v>
      </c>
      <c r="E442" s="25" t="s">
        <v>2504</v>
      </c>
      <c r="F442" s="25">
        <v>4917</v>
      </c>
      <c r="G442" s="25" t="s">
        <v>4443</v>
      </c>
      <c r="H442" s="25" t="s">
        <v>2609</v>
      </c>
      <c r="I442" s="25" t="s">
        <v>4699</v>
      </c>
      <c r="J442" s="25" t="s">
        <v>2536</v>
      </c>
      <c r="K442" s="25" t="s">
        <v>2510</v>
      </c>
      <c r="L442" s="25" t="s">
        <v>2611</v>
      </c>
      <c r="M442" s="26" t="s">
        <v>2612</v>
      </c>
      <c r="N442" s="25" t="s">
        <v>3526</v>
      </c>
      <c r="O442" s="26" t="s">
        <v>3152</v>
      </c>
      <c r="P442" s="27" t="s">
        <v>4700</v>
      </c>
      <c r="Q442" s="25" t="s">
        <v>4444</v>
      </c>
      <c r="R442" s="25" t="s">
        <v>2516</v>
      </c>
      <c r="S442" s="25" t="s">
        <v>173</v>
      </c>
      <c r="T442" s="25">
        <v>1</v>
      </c>
      <c r="U442" s="25" t="s">
        <v>2517</v>
      </c>
      <c r="V442" s="25" t="s">
        <v>4701</v>
      </c>
      <c r="W442" s="25" t="s">
        <v>4702</v>
      </c>
      <c r="X442" s="59">
        <v>45763.510416666657</v>
      </c>
      <c r="Y442" s="25" t="s">
        <v>4703</v>
      </c>
      <c r="Z442" s="25">
        <v>0.9</v>
      </c>
      <c r="AA442" s="25"/>
      <c r="AB442" s="25" t="s">
        <v>2521</v>
      </c>
      <c r="AC442" s="27" t="s">
        <v>4704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4443</v>
      </c>
      <c r="H443" s="25" t="s">
        <v>2609</v>
      </c>
      <c r="I443" s="25"/>
      <c r="J443" s="25"/>
      <c r="K443" s="25"/>
      <c r="L443" s="25"/>
      <c r="M443" s="26"/>
      <c r="N443" s="25"/>
      <c r="O443" s="26"/>
      <c r="P443" s="27"/>
      <c r="Q443" s="25" t="s">
        <v>4444</v>
      </c>
      <c r="R443" s="25" t="s">
        <v>2516</v>
      </c>
      <c r="S443" s="25" t="s">
        <v>173</v>
      </c>
      <c r="T443" s="25">
        <v>1</v>
      </c>
      <c r="U443" s="25" t="s">
        <v>2517</v>
      </c>
      <c r="V443" s="25" t="s">
        <v>4705</v>
      </c>
      <c r="W443" s="25" t="s">
        <v>4702</v>
      </c>
      <c r="X443" s="59">
        <v>45763.510416666657</v>
      </c>
      <c r="Y443" s="25"/>
      <c r="Z443" s="25">
        <v>0.9</v>
      </c>
      <c r="AA443" s="25"/>
      <c r="AB443" s="25" t="s">
        <v>2521</v>
      </c>
      <c r="AC443" s="27" t="s">
        <v>4501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2859</v>
      </c>
      <c r="H444" s="25" t="s">
        <v>2507</v>
      </c>
      <c r="I444" s="25"/>
      <c r="J444" s="25"/>
      <c r="K444" s="25"/>
      <c r="L444" s="25"/>
      <c r="M444" s="26"/>
      <c r="N444" s="25"/>
      <c r="O444" s="26"/>
      <c r="P444" s="27"/>
      <c r="Q444" s="25" t="s">
        <v>2860</v>
      </c>
      <c r="R444" s="25" t="s">
        <v>2516</v>
      </c>
      <c r="S444" s="25" t="s">
        <v>25</v>
      </c>
      <c r="T444" s="25">
        <v>1</v>
      </c>
      <c r="U444" s="25" t="s">
        <v>2517</v>
      </c>
      <c r="V444" s="25" t="s">
        <v>4706</v>
      </c>
      <c r="W444" s="25" t="s">
        <v>4707</v>
      </c>
      <c r="X444" s="59">
        <v>45763.635416666657</v>
      </c>
      <c r="Y444" s="25"/>
      <c r="Z444" s="25">
        <v>1.1000000000000001</v>
      </c>
      <c r="AA444" s="25"/>
      <c r="AB444" s="25" t="s">
        <v>2521</v>
      </c>
      <c r="AC444" s="27" t="s">
        <v>4501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2828</v>
      </c>
      <c r="H445" s="25" t="s">
        <v>2507</v>
      </c>
      <c r="I445" s="25"/>
      <c r="J445" s="25"/>
      <c r="K445" s="25"/>
      <c r="L445" s="25"/>
      <c r="M445" s="26"/>
      <c r="N445" s="25"/>
      <c r="O445" s="26"/>
      <c r="P445" s="27"/>
      <c r="Q445" s="25" t="s">
        <v>2829</v>
      </c>
      <c r="R445" s="25" t="s">
        <v>2516</v>
      </c>
      <c r="S445" s="25" t="s">
        <v>25</v>
      </c>
      <c r="T445" s="25">
        <v>1</v>
      </c>
      <c r="U445" s="25" t="s">
        <v>2517</v>
      </c>
      <c r="V445" s="25" t="s">
        <v>4708</v>
      </c>
      <c r="W445" s="25" t="s">
        <v>4709</v>
      </c>
      <c r="X445" s="59">
        <v>45763.681250000001</v>
      </c>
      <c r="Y445" s="25"/>
      <c r="Z445" s="25">
        <v>1</v>
      </c>
      <c r="AA445" s="25"/>
      <c r="AB445" s="25" t="s">
        <v>2521</v>
      </c>
      <c r="AC445" s="27" t="s">
        <v>4501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3374</v>
      </c>
      <c r="H446" s="25" t="s">
        <v>2507</v>
      </c>
      <c r="I446" s="25"/>
      <c r="J446" s="25"/>
      <c r="K446" s="25"/>
      <c r="L446" s="25"/>
      <c r="M446" s="26"/>
      <c r="N446" s="25"/>
      <c r="O446" s="26"/>
      <c r="P446" s="27"/>
      <c r="Q446" s="25" t="s">
        <v>3375</v>
      </c>
      <c r="R446" s="25" t="s">
        <v>2516</v>
      </c>
      <c r="S446" s="25" t="s">
        <v>25</v>
      </c>
      <c r="T446" s="25">
        <v>1</v>
      </c>
      <c r="U446" s="25" t="s">
        <v>2517</v>
      </c>
      <c r="V446" s="25" t="s">
        <v>4710</v>
      </c>
      <c r="W446" s="25" t="s">
        <v>4711</v>
      </c>
      <c r="X446" s="59">
        <v>45764.495833333327</v>
      </c>
      <c r="Y446" s="25"/>
      <c r="Z446" s="25">
        <v>1.2</v>
      </c>
      <c r="AA446" s="25"/>
      <c r="AB446" s="25" t="s">
        <v>2521</v>
      </c>
      <c r="AC446" s="27" t="s">
        <v>4501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3532</v>
      </c>
      <c r="H447" s="25" t="s">
        <v>2507</v>
      </c>
      <c r="I447" s="25"/>
      <c r="J447" s="25"/>
      <c r="K447" s="25"/>
      <c r="L447" s="25"/>
      <c r="M447" s="26"/>
      <c r="N447" s="25"/>
      <c r="O447" s="26"/>
      <c r="P447" s="27"/>
      <c r="Q447" s="25" t="s">
        <v>3533</v>
      </c>
      <c r="R447" s="25" t="s">
        <v>2516</v>
      </c>
      <c r="S447" s="25" t="s">
        <v>25</v>
      </c>
      <c r="T447" s="25">
        <v>1</v>
      </c>
      <c r="U447" s="25" t="s">
        <v>2517</v>
      </c>
      <c r="V447" s="25" t="s">
        <v>4712</v>
      </c>
      <c r="W447" s="25" t="s">
        <v>4713</v>
      </c>
      <c r="X447" s="59">
        <v>45764.577777777777</v>
      </c>
      <c r="Y447" s="25"/>
      <c r="Z447" s="25">
        <v>1.1000000000000001</v>
      </c>
      <c r="AA447" s="25"/>
      <c r="AB447" s="25" t="s">
        <v>2521</v>
      </c>
      <c r="AC447" s="27" t="s">
        <v>4501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4714</v>
      </c>
      <c r="E448" s="25" t="s">
        <v>2504</v>
      </c>
      <c r="F448" s="25">
        <v>4406</v>
      </c>
      <c r="G448" s="25" t="s">
        <v>3214</v>
      </c>
      <c r="H448" s="25" t="s">
        <v>2609</v>
      </c>
      <c r="I448" s="25" t="s">
        <v>4715</v>
      </c>
      <c r="J448" s="25" t="s">
        <v>2835</v>
      </c>
      <c r="K448" s="25" t="s">
        <v>2510</v>
      </c>
      <c r="L448" s="25" t="s">
        <v>3483</v>
      </c>
      <c r="M448" s="26" t="s">
        <v>3484</v>
      </c>
      <c r="N448" s="25">
        <v>6005</v>
      </c>
      <c r="O448" s="26" t="s">
        <v>4716</v>
      </c>
      <c r="P448" s="27" t="s">
        <v>4717</v>
      </c>
      <c r="Q448" s="25" t="s">
        <v>3217</v>
      </c>
      <c r="R448" s="25" t="s">
        <v>2516</v>
      </c>
      <c r="S448" s="25" t="s">
        <v>173</v>
      </c>
      <c r="T448" s="25">
        <v>1</v>
      </c>
      <c r="U448" s="25" t="s">
        <v>2517</v>
      </c>
      <c r="V448" s="25" t="s">
        <v>4718</v>
      </c>
      <c r="W448" s="25" t="s">
        <v>4719</v>
      </c>
      <c r="X448" s="59">
        <v>45765.642361111109</v>
      </c>
      <c r="Y448" s="25" t="s">
        <v>4720</v>
      </c>
      <c r="Z448" s="25">
        <v>0.3</v>
      </c>
      <c r="AA448" s="25"/>
      <c r="AB448" s="25" t="s">
        <v>2521</v>
      </c>
      <c r="AC448" s="27" t="s">
        <v>4721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4722</v>
      </c>
      <c r="E449" s="25" t="s">
        <v>2504</v>
      </c>
      <c r="F449" s="25">
        <v>4025</v>
      </c>
      <c r="G449" s="25" t="s">
        <v>4285</v>
      </c>
      <c r="H449" s="25" t="s">
        <v>2659</v>
      </c>
      <c r="I449" s="25" t="s">
        <v>4723</v>
      </c>
      <c r="J449" s="25" t="s">
        <v>2567</v>
      </c>
      <c r="K449" s="25" t="s">
        <v>2568</v>
      </c>
      <c r="L449" s="25" t="s">
        <v>2537</v>
      </c>
      <c r="M449" s="26" t="s">
        <v>2538</v>
      </c>
      <c r="N449" s="25" t="s">
        <v>2539</v>
      </c>
      <c r="O449" s="26" t="s">
        <v>2540</v>
      </c>
      <c r="P449" s="27" t="s">
        <v>4724</v>
      </c>
      <c r="Q449" s="25" t="s">
        <v>4286</v>
      </c>
      <c r="R449" s="25" t="s">
        <v>2516</v>
      </c>
      <c r="S449" s="25" t="s">
        <v>185</v>
      </c>
      <c r="T449" s="25">
        <v>1</v>
      </c>
      <c r="U449" s="25" t="s">
        <v>2517</v>
      </c>
      <c r="V449" s="25" t="s">
        <v>4725</v>
      </c>
      <c r="W449" s="25" t="s">
        <v>4726</v>
      </c>
      <c r="X449" s="59">
        <v>45765.604166666657</v>
      </c>
      <c r="Y449" s="25" t="s">
        <v>4727</v>
      </c>
      <c r="Z449" s="25">
        <v>1</v>
      </c>
      <c r="AA449" s="25"/>
      <c r="AB449" s="25" t="s">
        <v>2521</v>
      </c>
      <c r="AC449" s="27" t="s">
        <v>4728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2921</v>
      </c>
      <c r="H450" s="25" t="s">
        <v>2507</v>
      </c>
      <c r="I450" s="25"/>
      <c r="J450" s="25"/>
      <c r="K450" s="25"/>
      <c r="L450" s="25"/>
      <c r="M450" s="26"/>
      <c r="N450" s="25"/>
      <c r="O450" s="26"/>
      <c r="P450" s="27"/>
      <c r="Q450" s="25" t="s">
        <v>2922</v>
      </c>
      <c r="R450" s="25" t="s">
        <v>2516</v>
      </c>
      <c r="S450" s="25" t="s">
        <v>25</v>
      </c>
      <c r="T450" s="25">
        <v>1</v>
      </c>
      <c r="U450" s="25" t="s">
        <v>2517</v>
      </c>
      <c r="V450" s="25" t="s">
        <v>4729</v>
      </c>
      <c r="W450" s="25" t="s">
        <v>4730</v>
      </c>
      <c r="X450" s="59">
        <v>45765.463888888888</v>
      </c>
      <c r="Y450" s="25"/>
      <c r="Z450" s="25">
        <v>1.1000000000000001</v>
      </c>
      <c r="AA450" s="25"/>
      <c r="AB450" s="25" t="s">
        <v>2521</v>
      </c>
      <c r="AC450" s="27" t="s">
        <v>4501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2917</v>
      </c>
      <c r="H451" s="25" t="s">
        <v>2507</v>
      </c>
      <c r="I451" s="25"/>
      <c r="J451" s="25"/>
      <c r="K451" s="25"/>
      <c r="L451" s="25"/>
      <c r="M451" s="26"/>
      <c r="N451" s="25"/>
      <c r="O451" s="26"/>
      <c r="P451" s="27"/>
      <c r="Q451" s="25" t="s">
        <v>2918</v>
      </c>
      <c r="R451" s="25" t="s">
        <v>2516</v>
      </c>
      <c r="S451" s="25" t="s">
        <v>25</v>
      </c>
      <c r="T451" s="25">
        <v>1</v>
      </c>
      <c r="U451" s="25" t="s">
        <v>2517</v>
      </c>
      <c r="V451" s="25" t="s">
        <v>4731</v>
      </c>
      <c r="W451" s="25" t="s">
        <v>4732</v>
      </c>
      <c r="X451" s="59">
        <v>45765.504166666673</v>
      </c>
      <c r="Y451" s="25"/>
      <c r="Z451" s="25">
        <v>0.9</v>
      </c>
      <c r="AA451" s="25"/>
      <c r="AB451" s="25" t="s">
        <v>2521</v>
      </c>
      <c r="AC451" s="27" t="s">
        <v>4501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4285</v>
      </c>
      <c r="H452" s="25" t="s">
        <v>2659</v>
      </c>
      <c r="I452" s="25"/>
      <c r="J452" s="25"/>
      <c r="K452" s="25"/>
      <c r="L452" s="25"/>
      <c r="M452" s="26"/>
      <c r="N452" s="25"/>
      <c r="O452" s="26"/>
      <c r="P452" s="27"/>
      <c r="Q452" s="25" t="s">
        <v>4286</v>
      </c>
      <c r="R452" s="25" t="s">
        <v>2516</v>
      </c>
      <c r="S452" s="25" t="s">
        <v>185</v>
      </c>
      <c r="T452" s="25">
        <v>1</v>
      </c>
      <c r="U452" s="25" t="s">
        <v>2517</v>
      </c>
      <c r="V452" s="25" t="s">
        <v>4733</v>
      </c>
      <c r="W452" s="25" t="s">
        <v>4734</v>
      </c>
      <c r="X452" s="59">
        <v>45765.645833333343</v>
      </c>
      <c r="Y452" s="25"/>
      <c r="Z452" s="25">
        <v>1</v>
      </c>
      <c r="AA452" s="25"/>
      <c r="AB452" s="25" t="s">
        <v>2521</v>
      </c>
      <c r="AC452" s="27" t="s">
        <v>4501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3214</v>
      </c>
      <c r="H453" s="25" t="s">
        <v>2609</v>
      </c>
      <c r="I453" s="25"/>
      <c r="J453" s="25"/>
      <c r="K453" s="25"/>
      <c r="L453" s="25"/>
      <c r="M453" s="26"/>
      <c r="N453" s="25"/>
      <c r="O453" s="26"/>
      <c r="P453" s="27"/>
      <c r="Q453" s="25" t="s">
        <v>3217</v>
      </c>
      <c r="R453" s="25" t="s">
        <v>2516</v>
      </c>
      <c r="S453" s="25" t="s">
        <v>173</v>
      </c>
      <c r="T453" s="25">
        <v>1</v>
      </c>
      <c r="U453" s="25" t="s">
        <v>2517</v>
      </c>
      <c r="V453" s="25" t="s">
        <v>4735</v>
      </c>
      <c r="W453" s="25" t="s">
        <v>4719</v>
      </c>
      <c r="X453" s="59">
        <v>45765.642361111109</v>
      </c>
      <c r="Y453" s="25"/>
      <c r="Z453" s="25">
        <v>0.3</v>
      </c>
      <c r="AA453" s="25"/>
      <c r="AB453" s="25" t="s">
        <v>2521</v>
      </c>
      <c r="AC453" s="27" t="s">
        <v>4565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2833</v>
      </c>
      <c r="H454" s="25" t="s">
        <v>2659</v>
      </c>
      <c r="I454" s="25"/>
      <c r="J454" s="25"/>
      <c r="K454" s="25"/>
      <c r="L454" s="25"/>
      <c r="M454" s="26"/>
      <c r="N454" s="25"/>
      <c r="O454" s="26"/>
      <c r="P454" s="27"/>
      <c r="Q454" s="25" t="s">
        <v>2837</v>
      </c>
      <c r="R454" s="25" t="s">
        <v>2516</v>
      </c>
      <c r="S454" s="25" t="s">
        <v>185</v>
      </c>
      <c r="T454" s="25">
        <v>1</v>
      </c>
      <c r="U454" s="25" t="s">
        <v>2517</v>
      </c>
      <c r="V454" s="25" t="s">
        <v>4736</v>
      </c>
      <c r="W454" s="25" t="s">
        <v>4737</v>
      </c>
      <c r="X454" s="59">
        <v>45765.677083333343</v>
      </c>
      <c r="Y454" s="25"/>
      <c r="Z454" s="25">
        <v>0.8</v>
      </c>
      <c r="AA454" s="25"/>
      <c r="AB454" s="25" t="s">
        <v>2521</v>
      </c>
      <c r="AC454" s="27" t="s">
        <v>4501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2844</v>
      </c>
      <c r="H455" s="25" t="s">
        <v>2609</v>
      </c>
      <c r="I455" s="25"/>
      <c r="J455" s="25"/>
      <c r="K455" s="25"/>
      <c r="L455" s="25"/>
      <c r="M455" s="26"/>
      <c r="N455" s="25"/>
      <c r="O455" s="26"/>
      <c r="P455" s="27"/>
      <c r="Q455" s="25" t="s">
        <v>2850</v>
      </c>
      <c r="R455" s="25" t="s">
        <v>2516</v>
      </c>
      <c r="S455" s="25" t="s">
        <v>173</v>
      </c>
      <c r="T455" s="25">
        <v>1</v>
      </c>
      <c r="U455" s="25" t="s">
        <v>2517</v>
      </c>
      <c r="V455" s="25" t="s">
        <v>4738</v>
      </c>
      <c r="W455" s="25" t="s">
        <v>4739</v>
      </c>
      <c r="X455" s="59">
        <v>45765.677083333343</v>
      </c>
      <c r="Y455" s="25"/>
      <c r="Z455" s="25">
        <v>0.7</v>
      </c>
      <c r="AA455" s="25"/>
      <c r="AB455" s="25" t="s">
        <v>2521</v>
      </c>
      <c r="AC455" s="27" t="s">
        <v>4501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4740</v>
      </c>
      <c r="E456" s="25" t="s">
        <v>2504</v>
      </c>
      <c r="F456" s="25">
        <v>4845</v>
      </c>
      <c r="G456" s="25" t="s">
        <v>3179</v>
      </c>
      <c r="H456" s="25" t="s">
        <v>3180</v>
      </c>
      <c r="I456" s="25" t="s">
        <v>4741</v>
      </c>
      <c r="J456" s="25" t="s">
        <v>2930</v>
      </c>
      <c r="K456" s="25" t="s">
        <v>2765</v>
      </c>
      <c r="L456" s="25" t="s">
        <v>2511</v>
      </c>
      <c r="M456" s="26" t="s">
        <v>2512</v>
      </c>
      <c r="N456" s="25">
        <v>2302</v>
      </c>
      <c r="O456" s="26" t="s">
        <v>2550</v>
      </c>
      <c r="P456" s="27" t="s">
        <v>4742</v>
      </c>
      <c r="Q456" s="25" t="s">
        <v>3181</v>
      </c>
      <c r="R456" s="25" t="s">
        <v>2516</v>
      </c>
      <c r="S456" s="25" t="s">
        <v>25</v>
      </c>
      <c r="T456" s="25">
        <v>1</v>
      </c>
      <c r="U456" s="25" t="s">
        <v>2517</v>
      </c>
      <c r="V456" s="25" t="s">
        <v>4743</v>
      </c>
      <c r="W456" s="25" t="s">
        <v>4744</v>
      </c>
      <c r="X456" s="59">
        <v>45769.500694444447</v>
      </c>
      <c r="Y456" s="25" t="s">
        <v>4745</v>
      </c>
      <c r="Z456" s="25">
        <v>0.5</v>
      </c>
      <c r="AA456" s="25"/>
      <c r="AB456" s="25" t="s">
        <v>2521</v>
      </c>
      <c r="AC456" s="27" t="s">
        <v>4746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4747</v>
      </c>
      <c r="E457" s="25" t="s">
        <v>2504</v>
      </c>
      <c r="F457" s="25">
        <v>4046</v>
      </c>
      <c r="G457" s="25" t="s">
        <v>4256</v>
      </c>
      <c r="H457" s="25" t="s">
        <v>2609</v>
      </c>
      <c r="I457" s="25" t="s">
        <v>4748</v>
      </c>
      <c r="J457" s="25" t="s">
        <v>2930</v>
      </c>
      <c r="K457" s="25" t="s">
        <v>2568</v>
      </c>
      <c r="L457" s="25" t="s">
        <v>2569</v>
      </c>
      <c r="M457" s="26" t="s">
        <v>2570</v>
      </c>
      <c r="N457" s="25">
        <v>2501</v>
      </c>
      <c r="O457" s="26" t="s">
        <v>2571</v>
      </c>
      <c r="P457" s="27" t="s">
        <v>4749</v>
      </c>
      <c r="Q457" s="25" t="s">
        <v>4259</v>
      </c>
      <c r="R457" s="25" t="s">
        <v>2516</v>
      </c>
      <c r="S457" s="25" t="s">
        <v>173</v>
      </c>
      <c r="T457" s="25">
        <v>1</v>
      </c>
      <c r="U457" s="25" t="s">
        <v>2517</v>
      </c>
      <c r="V457" s="25" t="s">
        <v>4750</v>
      </c>
      <c r="W457" s="25" t="s">
        <v>4751</v>
      </c>
      <c r="X457" s="59">
        <v>45769.472222222219</v>
      </c>
      <c r="Y457" s="25" t="s">
        <v>4745</v>
      </c>
      <c r="Z457" s="25">
        <v>0.1</v>
      </c>
      <c r="AA457" s="25"/>
      <c r="AB457" s="25" t="s">
        <v>2521</v>
      </c>
      <c r="AC457" s="27" t="s">
        <v>4752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4753</v>
      </c>
      <c r="E458" s="25" t="s">
        <v>2504</v>
      </c>
      <c r="F458" s="25">
        <v>4528</v>
      </c>
      <c r="G458" s="25" t="s">
        <v>2986</v>
      </c>
      <c r="H458" s="25" t="s">
        <v>2987</v>
      </c>
      <c r="I458" s="25" t="s">
        <v>4754</v>
      </c>
      <c r="J458" s="25" t="s">
        <v>2661</v>
      </c>
      <c r="K458" s="25" t="s">
        <v>2765</v>
      </c>
      <c r="L458" s="25" t="s">
        <v>4123</v>
      </c>
      <c r="M458" s="26" t="s">
        <v>4124</v>
      </c>
      <c r="N458" s="25">
        <v>2901</v>
      </c>
      <c r="O458" s="26" t="s">
        <v>2540</v>
      </c>
      <c r="P458" s="27" t="s">
        <v>4755</v>
      </c>
      <c r="Q458" s="25" t="s">
        <v>2990</v>
      </c>
      <c r="R458" s="25" t="s">
        <v>2516</v>
      </c>
      <c r="S458" s="25" t="s">
        <v>25</v>
      </c>
      <c r="T458" s="25">
        <v>1</v>
      </c>
      <c r="U458" s="25" t="s">
        <v>2517</v>
      </c>
      <c r="V458" s="25" t="s">
        <v>4756</v>
      </c>
      <c r="W458" s="25" t="s">
        <v>4757</v>
      </c>
      <c r="X458" s="59">
        <v>45769.44027777778</v>
      </c>
      <c r="Y458" s="25" t="s">
        <v>4758</v>
      </c>
      <c r="Z458" s="25">
        <v>0.5</v>
      </c>
      <c r="AA458" s="25"/>
      <c r="AB458" s="25" t="s">
        <v>2521</v>
      </c>
      <c r="AC458" s="27" t="s">
        <v>4759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4760</v>
      </c>
      <c r="E459" s="25" t="s">
        <v>2504</v>
      </c>
      <c r="F459" s="25">
        <v>2154</v>
      </c>
      <c r="G459" s="25" t="s">
        <v>4396</v>
      </c>
      <c r="H459" s="25" t="s">
        <v>2609</v>
      </c>
      <c r="I459" s="25" t="s">
        <v>4761</v>
      </c>
      <c r="J459" s="25" t="s">
        <v>2661</v>
      </c>
      <c r="K459" s="25" t="s">
        <v>2510</v>
      </c>
      <c r="L459" s="25" t="s">
        <v>2511</v>
      </c>
      <c r="M459" s="26" t="s">
        <v>2512</v>
      </c>
      <c r="N459" s="25">
        <v>2308</v>
      </c>
      <c r="O459" s="26" t="s">
        <v>2963</v>
      </c>
      <c r="P459" s="27" t="s">
        <v>4762</v>
      </c>
      <c r="Q459" s="25" t="s">
        <v>4397</v>
      </c>
      <c r="R459" s="25" t="s">
        <v>2516</v>
      </c>
      <c r="S459" s="25" t="s">
        <v>173</v>
      </c>
      <c r="T459" s="25">
        <v>1</v>
      </c>
      <c r="U459" s="25" t="s">
        <v>2517</v>
      </c>
      <c r="V459" s="25" t="s">
        <v>4763</v>
      </c>
      <c r="W459" s="25" t="s">
        <v>4764</v>
      </c>
      <c r="X459" s="59">
        <v>45769.570138888892</v>
      </c>
      <c r="Y459" s="25" t="s">
        <v>4765</v>
      </c>
      <c r="Z459" s="25">
        <v>1.9</v>
      </c>
      <c r="AA459" s="25"/>
      <c r="AB459" s="25" t="s">
        <v>2521</v>
      </c>
      <c r="AC459" s="27" t="s">
        <v>4766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3366</v>
      </c>
      <c r="H460" s="25" t="s">
        <v>3148</v>
      </c>
      <c r="I460" s="25"/>
      <c r="J460" s="25"/>
      <c r="K460" s="25"/>
      <c r="L460" s="25"/>
      <c r="M460" s="26"/>
      <c r="N460" s="25"/>
      <c r="O460" s="26"/>
      <c r="P460" s="27"/>
      <c r="Q460" s="25" t="s">
        <v>3367</v>
      </c>
      <c r="R460" s="25" t="s">
        <v>2516</v>
      </c>
      <c r="S460" s="25" t="s">
        <v>185</v>
      </c>
      <c r="T460" s="25">
        <v>1</v>
      </c>
      <c r="U460" s="25" t="s">
        <v>2517</v>
      </c>
      <c r="V460" s="25" t="s">
        <v>4767</v>
      </c>
      <c r="W460" s="25" t="s">
        <v>4768</v>
      </c>
      <c r="X460" s="59">
        <v>45768.708333333343</v>
      </c>
      <c r="Y460" s="25"/>
      <c r="Z460" s="25">
        <v>0.5</v>
      </c>
      <c r="AA460" s="25"/>
      <c r="AB460" s="25" t="s">
        <v>2521</v>
      </c>
      <c r="AC460" s="27" t="s">
        <v>4501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3366</v>
      </c>
      <c r="H461" s="25" t="s">
        <v>3148</v>
      </c>
      <c r="I461" s="25"/>
      <c r="J461" s="25"/>
      <c r="K461" s="25"/>
      <c r="L461" s="25"/>
      <c r="M461" s="26"/>
      <c r="N461" s="25"/>
      <c r="O461" s="26"/>
      <c r="P461" s="27"/>
      <c r="Q461" s="25" t="s">
        <v>3367</v>
      </c>
      <c r="R461" s="25" t="s">
        <v>2516</v>
      </c>
      <c r="S461" s="25" t="s">
        <v>185</v>
      </c>
      <c r="T461" s="25">
        <v>1</v>
      </c>
      <c r="U461" s="25" t="s">
        <v>2517</v>
      </c>
      <c r="V461" s="25" t="s">
        <v>4769</v>
      </c>
      <c r="W461" s="25" t="s">
        <v>4770</v>
      </c>
      <c r="X461" s="59">
        <v>45768.701388888891</v>
      </c>
      <c r="Y461" s="25"/>
      <c r="Z461" s="25">
        <v>0.7</v>
      </c>
      <c r="AA461" s="25"/>
      <c r="AB461" s="25" t="s">
        <v>2521</v>
      </c>
      <c r="AC461" s="27" t="s">
        <v>4771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4772</v>
      </c>
      <c r="H462" s="25" t="s">
        <v>2641</v>
      </c>
      <c r="I462" s="25"/>
      <c r="J462" s="25"/>
      <c r="K462" s="25"/>
      <c r="L462" s="25"/>
      <c r="M462" s="26"/>
      <c r="N462" s="25"/>
      <c r="O462" s="26"/>
      <c r="P462" s="27"/>
      <c r="Q462" s="25" t="s">
        <v>4773</v>
      </c>
      <c r="R462" s="25" t="s">
        <v>2516</v>
      </c>
      <c r="S462" s="25" t="s">
        <v>185</v>
      </c>
      <c r="T462" s="25">
        <v>1</v>
      </c>
      <c r="U462" s="25" t="s">
        <v>2517</v>
      </c>
      <c r="V462" s="25" t="s">
        <v>4774</v>
      </c>
      <c r="W462" s="25" t="s">
        <v>4775</v>
      </c>
      <c r="X462" s="59">
        <v>45768.625</v>
      </c>
      <c r="Y462" s="25"/>
      <c r="Z462" s="25">
        <v>5.5</v>
      </c>
      <c r="AA462" s="25"/>
      <c r="AB462" s="25" t="s">
        <v>2521</v>
      </c>
      <c r="AC462" s="27" t="s">
        <v>4776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4772</v>
      </c>
      <c r="H463" s="25" t="s">
        <v>2641</v>
      </c>
      <c r="I463" s="25"/>
      <c r="J463" s="25"/>
      <c r="K463" s="25"/>
      <c r="L463" s="25"/>
      <c r="M463" s="26"/>
      <c r="N463" s="25"/>
      <c r="O463" s="26"/>
      <c r="P463" s="27"/>
      <c r="Q463" s="25" t="s">
        <v>4773</v>
      </c>
      <c r="R463" s="25" t="s">
        <v>2516</v>
      </c>
      <c r="S463" s="25" t="s">
        <v>25</v>
      </c>
      <c r="T463" s="25">
        <v>1</v>
      </c>
      <c r="U463" s="25" t="s">
        <v>2517</v>
      </c>
      <c r="V463" s="25" t="s">
        <v>4777</v>
      </c>
      <c r="W463" s="25" t="s">
        <v>4778</v>
      </c>
      <c r="X463" s="59">
        <v>45768.82916666667</v>
      </c>
      <c r="Y463" s="25"/>
      <c r="Z463" s="25">
        <v>8.9</v>
      </c>
      <c r="AA463" s="25"/>
      <c r="AB463" s="25" t="s">
        <v>2521</v>
      </c>
      <c r="AC463" s="27" t="s">
        <v>4779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4780</v>
      </c>
      <c r="E464" s="25" t="s">
        <v>2504</v>
      </c>
      <c r="F464" s="25">
        <v>4406</v>
      </c>
      <c r="G464" s="25" t="s">
        <v>3214</v>
      </c>
      <c r="H464" s="25" t="s">
        <v>2609</v>
      </c>
      <c r="I464" s="25" t="s">
        <v>4781</v>
      </c>
      <c r="J464" s="25" t="s">
        <v>2509</v>
      </c>
      <c r="K464" s="25" t="s">
        <v>2765</v>
      </c>
      <c r="L464" s="25" t="s">
        <v>3483</v>
      </c>
      <c r="M464" s="26" t="s">
        <v>3484</v>
      </c>
      <c r="N464" s="25">
        <v>6003</v>
      </c>
      <c r="O464" s="26" t="s">
        <v>3152</v>
      </c>
      <c r="P464" s="27" t="s">
        <v>4782</v>
      </c>
      <c r="Q464" s="25" t="s">
        <v>3217</v>
      </c>
      <c r="R464" s="25" t="s">
        <v>2516</v>
      </c>
      <c r="S464" s="25" t="s">
        <v>173</v>
      </c>
      <c r="T464" s="25">
        <v>1</v>
      </c>
      <c r="U464" s="25" t="s">
        <v>2517</v>
      </c>
      <c r="V464" s="25" t="s">
        <v>4783</v>
      </c>
      <c r="W464" s="25" t="s">
        <v>4784</v>
      </c>
      <c r="X464" s="59">
        <v>45769.695138888892</v>
      </c>
      <c r="Y464" s="25" t="s">
        <v>4785</v>
      </c>
      <c r="Z464" s="25">
        <v>0.4</v>
      </c>
      <c r="AA464" s="25"/>
      <c r="AB464" s="25" t="s">
        <v>2521</v>
      </c>
      <c r="AC464" s="27" t="s">
        <v>4786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4182</v>
      </c>
      <c r="H465" s="25" t="s">
        <v>2659</v>
      </c>
      <c r="I465" s="25"/>
      <c r="J465" s="25"/>
      <c r="K465" s="25"/>
      <c r="L465" s="25"/>
      <c r="M465" s="26"/>
      <c r="N465" s="25"/>
      <c r="O465" s="26"/>
      <c r="P465" s="27"/>
      <c r="Q465" s="25" t="s">
        <v>4183</v>
      </c>
      <c r="R465" s="25" t="s">
        <v>2516</v>
      </c>
      <c r="S465" s="25" t="s">
        <v>185</v>
      </c>
      <c r="T465" s="25">
        <v>1</v>
      </c>
      <c r="U465" s="25" t="s">
        <v>2517</v>
      </c>
      <c r="V465" s="25" t="s">
        <v>4787</v>
      </c>
      <c r="W465" s="25" t="s">
        <v>4788</v>
      </c>
      <c r="X465" s="59">
        <v>45769.416666666657</v>
      </c>
      <c r="Y465" s="25"/>
      <c r="Z465" s="25">
        <v>1</v>
      </c>
      <c r="AA465" s="25"/>
      <c r="AB465" s="25" t="s">
        <v>2521</v>
      </c>
      <c r="AC465" s="27" t="s">
        <v>4501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4789</v>
      </c>
      <c r="E466" s="25" t="s">
        <v>2504</v>
      </c>
      <c r="F466" s="25">
        <v>3416</v>
      </c>
      <c r="G466" s="25" t="s">
        <v>4421</v>
      </c>
      <c r="H466" s="25" t="s">
        <v>2609</v>
      </c>
      <c r="I466" s="25" t="s">
        <v>4790</v>
      </c>
      <c r="J466" s="25" t="s">
        <v>2509</v>
      </c>
      <c r="K466" s="25" t="s">
        <v>2568</v>
      </c>
      <c r="L466" s="25" t="s">
        <v>3483</v>
      </c>
      <c r="M466" s="26" t="s">
        <v>3484</v>
      </c>
      <c r="N466" s="25">
        <v>6003</v>
      </c>
      <c r="O466" s="26" t="s">
        <v>3152</v>
      </c>
      <c r="P466" s="27" t="s">
        <v>4791</v>
      </c>
      <c r="Q466" s="25" t="s">
        <v>4422</v>
      </c>
      <c r="R466" s="25" t="s">
        <v>2516</v>
      </c>
      <c r="S466" s="25" t="s">
        <v>173</v>
      </c>
      <c r="T466" s="25">
        <v>1</v>
      </c>
      <c r="U466" s="25" t="s">
        <v>2517</v>
      </c>
      <c r="V466" s="25" t="s">
        <v>4792</v>
      </c>
      <c r="W466" s="25" t="s">
        <v>4793</v>
      </c>
      <c r="X466" s="59">
        <v>45769.51458333333</v>
      </c>
      <c r="Y466" s="25" t="s">
        <v>4794</v>
      </c>
      <c r="Z466" s="25">
        <v>0.5</v>
      </c>
      <c r="AA466" s="25"/>
      <c r="AB466" s="25" t="s">
        <v>2915</v>
      </c>
      <c r="AC466" s="27" t="s">
        <v>2684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3179</v>
      </c>
      <c r="H467" s="25" t="s">
        <v>3180</v>
      </c>
      <c r="I467" s="25"/>
      <c r="J467" s="25"/>
      <c r="K467" s="25"/>
      <c r="L467" s="25"/>
      <c r="M467" s="26"/>
      <c r="N467" s="25"/>
      <c r="O467" s="26"/>
      <c r="P467" s="27"/>
      <c r="Q467" s="25" t="s">
        <v>3181</v>
      </c>
      <c r="R467" s="25" t="s">
        <v>2516</v>
      </c>
      <c r="S467" s="25" t="s">
        <v>25</v>
      </c>
      <c r="T467" s="25">
        <v>1</v>
      </c>
      <c r="U467" s="25" t="s">
        <v>2517</v>
      </c>
      <c r="V467" s="25" t="s">
        <v>4795</v>
      </c>
      <c r="W467" s="25" t="s">
        <v>4796</v>
      </c>
      <c r="X467" s="59">
        <v>45769.544444444437</v>
      </c>
      <c r="Y467" s="25"/>
      <c r="Z467" s="25">
        <v>1.1000000000000001</v>
      </c>
      <c r="AA467" s="25"/>
      <c r="AB467" s="25" t="s">
        <v>2521</v>
      </c>
      <c r="AC467" s="27" t="s">
        <v>4501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4396</v>
      </c>
      <c r="H468" s="25" t="s">
        <v>2609</v>
      </c>
      <c r="I468" s="25"/>
      <c r="J468" s="25"/>
      <c r="K468" s="25"/>
      <c r="L468" s="25"/>
      <c r="M468" s="26"/>
      <c r="N468" s="25"/>
      <c r="O468" s="26"/>
      <c r="P468" s="27"/>
      <c r="Q468" s="25" t="s">
        <v>4397</v>
      </c>
      <c r="R468" s="25" t="s">
        <v>2516</v>
      </c>
      <c r="S468" s="25" t="s">
        <v>173</v>
      </c>
      <c r="T468" s="25">
        <v>1</v>
      </c>
      <c r="U468" s="25" t="s">
        <v>2517</v>
      </c>
      <c r="V468" s="25" t="s">
        <v>4797</v>
      </c>
      <c r="W468" s="25" t="s">
        <v>4764</v>
      </c>
      <c r="X468" s="59">
        <v>45769.570138888892</v>
      </c>
      <c r="Y468" s="25"/>
      <c r="Z468" s="25">
        <v>1.9</v>
      </c>
      <c r="AA468" s="25"/>
      <c r="AB468" s="25" t="s">
        <v>2521</v>
      </c>
      <c r="AC468" s="27" t="s">
        <v>4565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4798</v>
      </c>
      <c r="E469" s="25" t="s">
        <v>2504</v>
      </c>
      <c r="F469" s="25">
        <v>5060</v>
      </c>
      <c r="G469" s="25" t="s">
        <v>4186</v>
      </c>
      <c r="H469" s="25" t="s">
        <v>1604</v>
      </c>
      <c r="I469" s="25" t="s">
        <v>4799</v>
      </c>
      <c r="J469" s="25" t="s">
        <v>2509</v>
      </c>
      <c r="K469" s="25" t="s">
        <v>2510</v>
      </c>
      <c r="L469" s="25" t="s">
        <v>2945</v>
      </c>
      <c r="M469" s="26" t="s">
        <v>2946</v>
      </c>
      <c r="N469" s="25" t="s">
        <v>4130</v>
      </c>
      <c r="O469" s="26" t="s">
        <v>3383</v>
      </c>
      <c r="P469" s="27" t="s">
        <v>4800</v>
      </c>
      <c r="Q469" s="25" t="s">
        <v>4187</v>
      </c>
      <c r="R469" s="25" t="s">
        <v>2516</v>
      </c>
      <c r="S469" s="25" t="s">
        <v>25</v>
      </c>
      <c r="T469" s="25">
        <v>1</v>
      </c>
      <c r="U469" s="25" t="s">
        <v>2517</v>
      </c>
      <c r="V469" s="25" t="s">
        <v>4801</v>
      </c>
      <c r="W469" s="25" t="s">
        <v>4802</v>
      </c>
      <c r="X469" s="59">
        <v>45769.73333333333</v>
      </c>
      <c r="Y469" s="25" t="s">
        <v>4803</v>
      </c>
      <c r="Z469" s="25">
        <v>0.5</v>
      </c>
      <c r="AA469" s="25"/>
      <c r="AB469" s="25" t="s">
        <v>2521</v>
      </c>
      <c r="AC469" s="27" t="s">
        <v>4804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4805</v>
      </c>
      <c r="E470" s="25" t="s">
        <v>2504</v>
      </c>
      <c r="F470" s="25">
        <v>4145</v>
      </c>
      <c r="G470" s="25" t="s">
        <v>2676</v>
      </c>
      <c r="H470" s="25" t="s">
        <v>2609</v>
      </c>
      <c r="I470" s="25" t="s">
        <v>4806</v>
      </c>
      <c r="J470" s="25" t="s">
        <v>2509</v>
      </c>
      <c r="K470" s="25" t="s">
        <v>2510</v>
      </c>
      <c r="L470" s="25" t="s">
        <v>2511</v>
      </c>
      <c r="M470" s="26" t="s">
        <v>2512</v>
      </c>
      <c r="N470" s="25">
        <v>2307</v>
      </c>
      <c r="O470" s="26" t="s">
        <v>2678</v>
      </c>
      <c r="P470" s="27" t="s">
        <v>4807</v>
      </c>
      <c r="Q470" s="25" t="s">
        <v>2680</v>
      </c>
      <c r="R470" s="25" t="s">
        <v>2516</v>
      </c>
      <c r="S470" s="25" t="s">
        <v>173</v>
      </c>
      <c r="T470" s="25">
        <v>1</v>
      </c>
      <c r="U470" s="25" t="s">
        <v>2517</v>
      </c>
      <c r="V470" s="25" t="s">
        <v>4808</v>
      </c>
      <c r="W470" s="25" t="s">
        <v>4809</v>
      </c>
      <c r="X470" s="59">
        <v>45769.684027777781</v>
      </c>
      <c r="Y470" s="25" t="s">
        <v>4810</v>
      </c>
      <c r="Z470" s="25">
        <v>0.6</v>
      </c>
      <c r="AA470" s="25"/>
      <c r="AB470" s="25" t="s">
        <v>2521</v>
      </c>
      <c r="AC470" s="27" t="s">
        <v>4811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4812</v>
      </c>
      <c r="E471" s="25" t="s">
        <v>2504</v>
      </c>
      <c r="F471" s="25">
        <v>4260</v>
      </c>
      <c r="G471" s="25" t="s">
        <v>2787</v>
      </c>
      <c r="H471" s="25" t="s">
        <v>2507</v>
      </c>
      <c r="I471" s="25" t="s">
        <v>4813</v>
      </c>
      <c r="J471" s="25" t="s">
        <v>2536</v>
      </c>
      <c r="K471" s="25" t="s">
        <v>2765</v>
      </c>
      <c r="L471" s="25" t="s">
        <v>2511</v>
      </c>
      <c r="M471" s="26" t="s">
        <v>2512</v>
      </c>
      <c r="N471" s="25">
        <v>2301</v>
      </c>
      <c r="O471" s="26" t="s">
        <v>3953</v>
      </c>
      <c r="P471" s="27" t="s">
        <v>4814</v>
      </c>
      <c r="Q471" s="25" t="s">
        <v>2788</v>
      </c>
      <c r="R471" s="25" t="s">
        <v>2516</v>
      </c>
      <c r="S471" s="25" t="s">
        <v>25</v>
      </c>
      <c r="T471" s="25">
        <v>1</v>
      </c>
      <c r="U471" s="25" t="s">
        <v>2517</v>
      </c>
      <c r="V471" s="25" t="s">
        <v>4815</v>
      </c>
      <c r="W471" s="25" t="s">
        <v>4816</v>
      </c>
      <c r="X471" s="59">
        <v>45770.570833333331</v>
      </c>
      <c r="Y471" s="25" t="s">
        <v>4817</v>
      </c>
      <c r="Z471" s="25">
        <v>2.7</v>
      </c>
      <c r="AA471" s="25"/>
      <c r="AB471" s="25" t="s">
        <v>2521</v>
      </c>
      <c r="AC471" s="27" t="s">
        <v>4818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4819</v>
      </c>
      <c r="E472" s="25" t="s">
        <v>2504</v>
      </c>
      <c r="F472" s="25">
        <v>2535</v>
      </c>
      <c r="G472" s="25" t="s">
        <v>4483</v>
      </c>
      <c r="H472" s="25" t="s">
        <v>2996</v>
      </c>
      <c r="I472" s="25" t="s">
        <v>4820</v>
      </c>
      <c r="J472" s="25" t="s">
        <v>2536</v>
      </c>
      <c r="K472" s="25" t="s">
        <v>2765</v>
      </c>
      <c r="L472" s="25" t="s">
        <v>2511</v>
      </c>
      <c r="M472" s="26" t="s">
        <v>2512</v>
      </c>
      <c r="N472" s="25">
        <v>2305</v>
      </c>
      <c r="O472" s="26" t="s">
        <v>3035</v>
      </c>
      <c r="P472" s="27" t="s">
        <v>4821</v>
      </c>
      <c r="Q472" s="25" t="s">
        <v>4484</v>
      </c>
      <c r="R472" s="25" t="s">
        <v>2516</v>
      </c>
      <c r="S472" s="25" t="s">
        <v>185</v>
      </c>
      <c r="T472" s="25">
        <v>1</v>
      </c>
      <c r="U472" s="25" t="s">
        <v>2517</v>
      </c>
      <c r="V472" s="25" t="s">
        <v>4822</v>
      </c>
      <c r="W472" s="25" t="s">
        <v>4823</v>
      </c>
      <c r="X472" s="59">
        <v>45770.583333333343</v>
      </c>
      <c r="Y472" s="25" t="s">
        <v>4824</v>
      </c>
      <c r="Z472" s="25">
        <v>0.5</v>
      </c>
      <c r="AA472" s="25"/>
      <c r="AB472" s="25" t="s">
        <v>2521</v>
      </c>
      <c r="AC472" s="27" t="s">
        <v>4825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4186</v>
      </c>
      <c r="H473" s="25" t="s">
        <v>1604</v>
      </c>
      <c r="I473" s="25"/>
      <c r="J473" s="25"/>
      <c r="K473" s="25"/>
      <c r="L473" s="25"/>
      <c r="M473" s="26"/>
      <c r="N473" s="25"/>
      <c r="O473" s="26"/>
      <c r="P473" s="27"/>
      <c r="Q473" s="25" t="s">
        <v>4187</v>
      </c>
      <c r="R473" s="25" t="s">
        <v>2516</v>
      </c>
      <c r="S473" s="25" t="s">
        <v>25</v>
      </c>
      <c r="T473" s="25">
        <v>1</v>
      </c>
      <c r="U473" s="25" t="s">
        <v>2517</v>
      </c>
      <c r="V473" s="25" t="s">
        <v>4826</v>
      </c>
      <c r="W473" s="25" t="s">
        <v>4827</v>
      </c>
      <c r="X473" s="59">
        <v>45770.666666666657</v>
      </c>
      <c r="Y473" s="25"/>
      <c r="Z473" s="25">
        <v>0.3</v>
      </c>
      <c r="AA473" s="25"/>
      <c r="AB473" s="25" t="s">
        <v>2521</v>
      </c>
      <c r="AC473" s="27" t="s">
        <v>4565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4828</v>
      </c>
      <c r="E474" s="25" t="s">
        <v>2504</v>
      </c>
      <c r="F474" s="25">
        <v>2267</v>
      </c>
      <c r="G474" s="25" t="s">
        <v>3170</v>
      </c>
      <c r="H474" s="25" t="s">
        <v>3171</v>
      </c>
      <c r="I474" s="25" t="s">
        <v>4829</v>
      </c>
      <c r="J474" s="25" t="s">
        <v>2835</v>
      </c>
      <c r="K474" s="25" t="s">
        <v>2510</v>
      </c>
      <c r="L474" s="25" t="s">
        <v>2511</v>
      </c>
      <c r="M474" s="26" t="s">
        <v>2512</v>
      </c>
      <c r="N474" s="25">
        <v>2305</v>
      </c>
      <c r="O474" s="26" t="s">
        <v>3035</v>
      </c>
      <c r="P474" s="27" t="s">
        <v>4830</v>
      </c>
      <c r="Q474" s="25" t="s">
        <v>3172</v>
      </c>
      <c r="R474" s="25" t="s">
        <v>2516</v>
      </c>
      <c r="S474" s="25" t="s">
        <v>25</v>
      </c>
      <c r="T474" s="25">
        <v>1</v>
      </c>
      <c r="U474" s="25" t="s">
        <v>2517</v>
      </c>
      <c r="V474" s="25" t="s">
        <v>4831</v>
      </c>
      <c r="W474" s="25" t="s">
        <v>4832</v>
      </c>
      <c r="X474" s="59">
        <v>45772.566666666673</v>
      </c>
      <c r="Y474" s="25" t="s">
        <v>4833</v>
      </c>
      <c r="Z474" s="25">
        <v>0.5</v>
      </c>
      <c r="AA474" s="25"/>
      <c r="AB474" s="25" t="s">
        <v>2521</v>
      </c>
      <c r="AC474" s="27" t="s">
        <v>4834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3294</v>
      </c>
      <c r="H475" s="25" t="s">
        <v>2507</v>
      </c>
      <c r="I475" s="25"/>
      <c r="J475" s="25"/>
      <c r="K475" s="25"/>
      <c r="L475" s="25"/>
      <c r="M475" s="26"/>
      <c r="N475" s="25"/>
      <c r="O475" s="26"/>
      <c r="P475" s="27"/>
      <c r="Q475" s="25" t="s">
        <v>3295</v>
      </c>
      <c r="R475" s="25" t="s">
        <v>2516</v>
      </c>
      <c r="S475" s="25" t="s">
        <v>25</v>
      </c>
      <c r="T475" s="25">
        <v>1</v>
      </c>
      <c r="U475" s="25" t="s">
        <v>2517</v>
      </c>
      <c r="V475" s="25" t="s">
        <v>4835</v>
      </c>
      <c r="W475" s="25" t="s">
        <v>4836</v>
      </c>
      <c r="X475" s="59">
        <v>45771.614583333343</v>
      </c>
      <c r="Y475" s="25"/>
      <c r="Z475" s="25">
        <v>1</v>
      </c>
      <c r="AA475" s="25"/>
      <c r="AB475" s="25" t="s">
        <v>2521</v>
      </c>
      <c r="AC475" s="27" t="s">
        <v>4501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3298</v>
      </c>
      <c r="G476" s="25" t="s">
        <v>3299</v>
      </c>
      <c r="H476" s="25" t="s">
        <v>2507</v>
      </c>
      <c r="I476" s="25"/>
      <c r="J476" s="25"/>
      <c r="K476" s="25"/>
      <c r="L476" s="25"/>
      <c r="M476" s="26"/>
      <c r="N476" s="25"/>
      <c r="O476" s="26"/>
      <c r="P476" s="27"/>
      <c r="Q476" s="25" t="s">
        <v>3300</v>
      </c>
      <c r="R476" s="25" t="s">
        <v>2516</v>
      </c>
      <c r="S476" s="25" t="s">
        <v>25</v>
      </c>
      <c r="T476" s="25">
        <v>1</v>
      </c>
      <c r="U476" s="25" t="s">
        <v>2517</v>
      </c>
      <c r="V476" s="25" t="s">
        <v>4837</v>
      </c>
      <c r="W476" s="25" t="s">
        <v>4838</v>
      </c>
      <c r="X476" s="59">
        <v>45771.677777777782</v>
      </c>
      <c r="Y476" s="25"/>
      <c r="Z476" s="25">
        <v>1.1000000000000001</v>
      </c>
      <c r="AA476" s="25"/>
      <c r="AB476" s="25" t="s">
        <v>2521</v>
      </c>
      <c r="AC476" s="27" t="s">
        <v>4501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4839</v>
      </c>
      <c r="E477" s="25" t="s">
        <v>2504</v>
      </c>
      <c r="F477" s="25">
        <v>5316</v>
      </c>
      <c r="G477" s="25" t="s">
        <v>4356</v>
      </c>
      <c r="H477" s="25" t="s">
        <v>2507</v>
      </c>
      <c r="I477" s="25" t="s">
        <v>4840</v>
      </c>
      <c r="J477" s="25" t="s">
        <v>2567</v>
      </c>
      <c r="K477" s="25" t="s">
        <v>2510</v>
      </c>
      <c r="L477" s="25" t="s">
        <v>2569</v>
      </c>
      <c r="M477" s="26" t="s">
        <v>2570</v>
      </c>
      <c r="N477" s="25">
        <v>2501</v>
      </c>
      <c r="O477" s="26" t="s">
        <v>2571</v>
      </c>
      <c r="P477" s="27" t="s">
        <v>4841</v>
      </c>
      <c r="Q477" s="25" t="s">
        <v>4357</v>
      </c>
      <c r="R477" s="25" t="s">
        <v>2516</v>
      </c>
      <c r="S477" s="25" t="s">
        <v>25</v>
      </c>
      <c r="T477" s="25">
        <v>1</v>
      </c>
      <c r="U477" s="25" t="s">
        <v>2517</v>
      </c>
      <c r="V477" s="25" t="s">
        <v>4842</v>
      </c>
      <c r="W477" s="25" t="s">
        <v>4843</v>
      </c>
      <c r="X477" s="59">
        <v>45775.611111111109</v>
      </c>
      <c r="Y477" s="25" t="s">
        <v>4844</v>
      </c>
      <c r="Z477" s="25">
        <v>1.2</v>
      </c>
      <c r="AA477" s="25"/>
      <c r="AB477" s="25" t="s">
        <v>2521</v>
      </c>
      <c r="AC477" s="27" t="s">
        <v>4845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3170</v>
      </c>
      <c r="H478" s="25" t="s">
        <v>3171</v>
      </c>
      <c r="I478" s="25"/>
      <c r="J478" s="25"/>
      <c r="K478" s="25"/>
      <c r="L478" s="25"/>
      <c r="M478" s="26"/>
      <c r="N478" s="25"/>
      <c r="O478" s="26"/>
      <c r="P478" s="27"/>
      <c r="Q478" s="25" t="s">
        <v>3172</v>
      </c>
      <c r="R478" s="25" t="s">
        <v>2516</v>
      </c>
      <c r="S478" s="25" t="s">
        <v>25</v>
      </c>
      <c r="T478" s="25">
        <v>1</v>
      </c>
      <c r="U478" s="25" t="s">
        <v>2517</v>
      </c>
      <c r="V478" s="25" t="s">
        <v>4846</v>
      </c>
      <c r="W478" s="25" t="s">
        <v>4847</v>
      </c>
      <c r="X478" s="59">
        <v>45772.586805555547</v>
      </c>
      <c r="Y478" s="25"/>
      <c r="Z478" s="25">
        <v>1.1000000000000001</v>
      </c>
      <c r="AA478" s="25"/>
      <c r="AB478" s="25" t="s">
        <v>2521</v>
      </c>
      <c r="AC478" s="27" t="s">
        <v>4501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4848</v>
      </c>
      <c r="E479" s="25" t="s">
        <v>2504</v>
      </c>
      <c r="F479" s="25">
        <v>4397</v>
      </c>
      <c r="G479" s="25" t="s">
        <v>2943</v>
      </c>
      <c r="H479" s="25" t="s">
        <v>2507</v>
      </c>
      <c r="I479" s="25" t="s">
        <v>4849</v>
      </c>
      <c r="J479" s="25" t="s">
        <v>2643</v>
      </c>
      <c r="K479" s="25" t="s">
        <v>2568</v>
      </c>
      <c r="L479" s="25" t="s">
        <v>2569</v>
      </c>
      <c r="M479" s="26" t="s">
        <v>2570</v>
      </c>
      <c r="N479" s="25">
        <v>2501</v>
      </c>
      <c r="O479" s="26" t="s">
        <v>2571</v>
      </c>
      <c r="P479" s="27" t="s">
        <v>4850</v>
      </c>
      <c r="Q479" s="25" t="s">
        <v>2950</v>
      </c>
      <c r="R479" s="25" t="s">
        <v>2516</v>
      </c>
      <c r="S479" s="25" t="s">
        <v>25</v>
      </c>
      <c r="T479" s="25">
        <v>1</v>
      </c>
      <c r="U479" s="25" t="s">
        <v>2517</v>
      </c>
      <c r="V479" s="25" t="s">
        <v>4851</v>
      </c>
      <c r="W479" s="25" t="s">
        <v>4852</v>
      </c>
      <c r="X479" s="59">
        <v>45774.640972222223</v>
      </c>
      <c r="Y479" s="25" t="s">
        <v>4853</v>
      </c>
      <c r="Z479" s="25">
        <v>0.6</v>
      </c>
      <c r="AA479" s="25"/>
      <c r="AB479" s="25" t="s">
        <v>2521</v>
      </c>
      <c r="AC479" s="27" t="s">
        <v>4854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4855</v>
      </c>
      <c r="E480" s="25" t="s">
        <v>2843</v>
      </c>
      <c r="F480" s="25">
        <v>4397</v>
      </c>
      <c r="G480" s="25" t="s">
        <v>2943</v>
      </c>
      <c r="H480" s="25" t="s">
        <v>2507</v>
      </c>
      <c r="I480" s="25" t="s">
        <v>4856</v>
      </c>
      <c r="J480" s="25" t="s">
        <v>2643</v>
      </c>
      <c r="K480" s="25" t="s">
        <v>2568</v>
      </c>
      <c r="L480" s="25" t="s">
        <v>2569</v>
      </c>
      <c r="M480" s="26" t="s">
        <v>2570</v>
      </c>
      <c r="N480" s="25">
        <v>2501</v>
      </c>
      <c r="O480" s="26" t="s">
        <v>2571</v>
      </c>
      <c r="P480" s="27" t="s">
        <v>4857</v>
      </c>
      <c r="Q480" s="25" t="s">
        <v>2950</v>
      </c>
      <c r="R480" s="25" t="s">
        <v>2516</v>
      </c>
      <c r="S480" s="25" t="s">
        <v>25</v>
      </c>
      <c r="T480" s="25">
        <v>1</v>
      </c>
      <c r="U480" s="25" t="s">
        <v>2517</v>
      </c>
      <c r="V480" s="25" t="s">
        <v>4858</v>
      </c>
      <c r="W480" s="25" t="s">
        <v>4852</v>
      </c>
      <c r="X480" s="59">
        <v>45774.63958333333</v>
      </c>
      <c r="Y480" s="25" t="s">
        <v>4859</v>
      </c>
      <c r="Z480" s="25">
        <v>0.6</v>
      </c>
      <c r="AA480" s="25"/>
      <c r="AB480" s="25" t="s">
        <v>2521</v>
      </c>
      <c r="AC480" s="27" t="s">
        <v>4854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4860</v>
      </c>
      <c r="E481" s="25" t="s">
        <v>2504</v>
      </c>
      <c r="F481" s="25">
        <v>5341</v>
      </c>
      <c r="G481" s="25" t="s">
        <v>4772</v>
      </c>
      <c r="H481" s="25" t="s">
        <v>2641</v>
      </c>
      <c r="I481" s="25" t="s">
        <v>4861</v>
      </c>
      <c r="J481" s="25" t="s">
        <v>2661</v>
      </c>
      <c r="K481" s="25" t="s">
        <v>2568</v>
      </c>
      <c r="L481" s="25" t="s">
        <v>2569</v>
      </c>
      <c r="M481" s="26" t="s">
        <v>2570</v>
      </c>
      <c r="N481" s="25">
        <v>2501</v>
      </c>
      <c r="O481" s="26" t="s">
        <v>2571</v>
      </c>
      <c r="P481" s="27" t="s">
        <v>4862</v>
      </c>
      <c r="Q481" s="25" t="s">
        <v>4773</v>
      </c>
      <c r="R481" s="25" t="s">
        <v>2516</v>
      </c>
      <c r="S481" s="25" t="s">
        <v>25</v>
      </c>
      <c r="T481" s="25">
        <v>1</v>
      </c>
      <c r="U481" s="25" t="s">
        <v>2517</v>
      </c>
      <c r="V481" s="25" t="s">
        <v>4863</v>
      </c>
      <c r="W481" s="25" t="s">
        <v>4864</v>
      </c>
      <c r="X481" s="59">
        <v>45776.48541666667</v>
      </c>
      <c r="Y481" s="25" t="s">
        <v>4865</v>
      </c>
      <c r="Z481" s="25">
        <v>1</v>
      </c>
      <c r="AA481" s="25"/>
      <c r="AB481" s="25" t="s">
        <v>2521</v>
      </c>
      <c r="AC481" s="27" t="s">
        <v>4866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4867</v>
      </c>
      <c r="H482" s="25" t="s">
        <v>2507</v>
      </c>
      <c r="I482" s="25"/>
      <c r="J482" s="25"/>
      <c r="K482" s="25"/>
      <c r="L482" s="25"/>
      <c r="M482" s="26"/>
      <c r="N482" s="25"/>
      <c r="O482" s="26"/>
      <c r="P482" s="27"/>
      <c r="Q482" s="25" t="s">
        <v>4868</v>
      </c>
      <c r="R482" s="25" t="s">
        <v>2516</v>
      </c>
      <c r="S482" s="25" t="s">
        <v>185</v>
      </c>
      <c r="T482" s="25">
        <v>1</v>
      </c>
      <c r="U482" s="25" t="s">
        <v>2517</v>
      </c>
      <c r="V482" s="25" t="s">
        <v>4869</v>
      </c>
      <c r="W482" s="25" t="s">
        <v>4870</v>
      </c>
      <c r="X482" s="59">
        <v>45775.545138888891</v>
      </c>
      <c r="Y482" s="25"/>
      <c r="Z482" s="25">
        <v>2.6</v>
      </c>
      <c r="AA482" s="25"/>
      <c r="AB482" s="25" t="s">
        <v>2521</v>
      </c>
      <c r="AC482" s="27" t="s">
        <v>4871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4867</v>
      </c>
      <c r="H483" s="25" t="s">
        <v>2507</v>
      </c>
      <c r="I483" s="25"/>
      <c r="J483" s="25"/>
      <c r="K483" s="25"/>
      <c r="L483" s="25"/>
      <c r="M483" s="26"/>
      <c r="N483" s="25"/>
      <c r="O483" s="26"/>
      <c r="P483" s="27"/>
      <c r="Q483" s="25" t="s">
        <v>4868</v>
      </c>
      <c r="R483" s="25" t="s">
        <v>2516</v>
      </c>
      <c r="S483" s="25" t="s">
        <v>25</v>
      </c>
      <c r="T483" s="25">
        <v>1</v>
      </c>
      <c r="U483" s="25" t="s">
        <v>2517</v>
      </c>
      <c r="V483" s="25" t="s">
        <v>4872</v>
      </c>
      <c r="W483" s="25" t="s">
        <v>4870</v>
      </c>
      <c r="X483" s="59">
        <v>45775.563888888893</v>
      </c>
      <c r="Y483" s="25"/>
      <c r="Z483" s="25">
        <v>3</v>
      </c>
      <c r="AA483" s="25"/>
      <c r="AB483" s="25" t="s">
        <v>2521</v>
      </c>
      <c r="AC483" s="27" t="s">
        <v>4779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4873</v>
      </c>
      <c r="E484" s="25" t="s">
        <v>2504</v>
      </c>
      <c r="F484" s="25">
        <v>3358</v>
      </c>
      <c r="G484" s="25" t="s">
        <v>4301</v>
      </c>
      <c r="H484" s="25" t="s">
        <v>2659</v>
      </c>
      <c r="I484" s="25" t="s">
        <v>4874</v>
      </c>
      <c r="J484" s="25" t="s">
        <v>2509</v>
      </c>
      <c r="K484" s="25" t="s">
        <v>2765</v>
      </c>
      <c r="L484" s="25" t="s">
        <v>2511</v>
      </c>
      <c r="M484" s="26" t="s">
        <v>2512</v>
      </c>
      <c r="N484" s="25">
        <v>2307</v>
      </c>
      <c r="O484" s="26" t="s">
        <v>2678</v>
      </c>
      <c r="P484" s="27" t="s">
        <v>4875</v>
      </c>
      <c r="Q484" s="25" t="s">
        <v>4302</v>
      </c>
      <c r="R484" s="25" t="s">
        <v>2516</v>
      </c>
      <c r="S484" s="25" t="s">
        <v>185</v>
      </c>
      <c r="T484" s="25">
        <v>1</v>
      </c>
      <c r="U484" s="25" t="s">
        <v>2517</v>
      </c>
      <c r="V484" s="25" t="s">
        <v>4876</v>
      </c>
      <c r="W484" s="25" t="s">
        <v>4877</v>
      </c>
      <c r="X484" s="59">
        <v>45776.427083333343</v>
      </c>
      <c r="Y484" s="25" t="s">
        <v>4878</v>
      </c>
      <c r="Z484" s="25">
        <v>0.5</v>
      </c>
      <c r="AA484" s="25"/>
      <c r="AB484" s="25" t="s">
        <v>2521</v>
      </c>
      <c r="AC484" s="27" t="s">
        <v>4879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4301</v>
      </c>
      <c r="H485" s="25" t="s">
        <v>2659</v>
      </c>
      <c r="I485" s="25"/>
      <c r="J485" s="25"/>
      <c r="K485" s="25"/>
      <c r="L485" s="25"/>
      <c r="M485" s="26"/>
      <c r="N485" s="25"/>
      <c r="O485" s="26"/>
      <c r="P485" s="27"/>
      <c r="Q485" s="25" t="s">
        <v>4302</v>
      </c>
      <c r="R485" s="25" t="s">
        <v>2516</v>
      </c>
      <c r="S485" s="25" t="s">
        <v>185</v>
      </c>
      <c r="T485" s="25">
        <v>1</v>
      </c>
      <c r="U485" s="25" t="s">
        <v>2517</v>
      </c>
      <c r="V485" s="25" t="s">
        <v>4880</v>
      </c>
      <c r="W485" s="25" t="s">
        <v>4881</v>
      </c>
      <c r="X485" s="59">
        <v>45776.4375</v>
      </c>
      <c r="Y485" s="25"/>
      <c r="Z485" s="25">
        <v>0.3</v>
      </c>
      <c r="AA485" s="25"/>
      <c r="AB485" s="25" t="s">
        <v>2521</v>
      </c>
      <c r="AC485" s="27" t="s">
        <v>4565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3625</v>
      </c>
      <c r="H486" s="25" t="s">
        <v>3148</v>
      </c>
      <c r="I486" s="25"/>
      <c r="J486" s="25"/>
      <c r="K486" s="25"/>
      <c r="L486" s="25"/>
      <c r="M486" s="26"/>
      <c r="N486" s="25"/>
      <c r="O486" s="26"/>
      <c r="P486" s="27"/>
      <c r="Q486" s="25" t="s">
        <v>3626</v>
      </c>
      <c r="R486" s="25" t="s">
        <v>2516</v>
      </c>
      <c r="S486" s="25" t="s">
        <v>185</v>
      </c>
      <c r="T486" s="25">
        <v>1</v>
      </c>
      <c r="U486" s="25" t="s">
        <v>2517</v>
      </c>
      <c r="V486" s="25" t="s">
        <v>4882</v>
      </c>
      <c r="W486" s="25" t="s">
        <v>4883</v>
      </c>
      <c r="X486" s="59">
        <v>45776.5</v>
      </c>
      <c r="Y486" s="25"/>
      <c r="Z486" s="25">
        <v>1</v>
      </c>
      <c r="AA486" s="25"/>
      <c r="AB486" s="25" t="s">
        <v>2521</v>
      </c>
      <c r="AC486" s="27" t="s">
        <v>4884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4885</v>
      </c>
      <c r="E487" s="25" t="s">
        <v>2504</v>
      </c>
      <c r="F487" s="25">
        <v>5352</v>
      </c>
      <c r="G487" s="25" t="s">
        <v>4867</v>
      </c>
      <c r="H487" s="25" t="s">
        <v>2507</v>
      </c>
      <c r="I487" s="25" t="s">
        <v>4886</v>
      </c>
      <c r="J487" s="25" t="s">
        <v>2509</v>
      </c>
      <c r="K487" s="25" t="s">
        <v>2510</v>
      </c>
      <c r="L487" s="25" t="s">
        <v>4887</v>
      </c>
      <c r="M487" s="26" t="s">
        <v>4888</v>
      </c>
      <c r="N487" s="25">
        <v>3503</v>
      </c>
      <c r="O487" s="26" t="s">
        <v>4889</v>
      </c>
      <c r="P487" s="27" t="s">
        <v>4890</v>
      </c>
      <c r="Q487" s="25" t="s">
        <v>4868</v>
      </c>
      <c r="R487" s="25" t="s">
        <v>2516</v>
      </c>
      <c r="S487" s="25" t="s">
        <v>25</v>
      </c>
      <c r="T487" s="25">
        <v>1</v>
      </c>
      <c r="U487" s="25" t="s">
        <v>2517</v>
      </c>
      <c r="V487" s="25" t="s">
        <v>4891</v>
      </c>
      <c r="W487" s="25" t="s">
        <v>4892</v>
      </c>
      <c r="X487" s="59">
        <v>45776.679861111108</v>
      </c>
      <c r="Y487" s="25" t="s">
        <v>4893</v>
      </c>
      <c r="Z487" s="25">
        <v>0.6</v>
      </c>
      <c r="AA487" s="25"/>
      <c r="AB487" s="25" t="s">
        <v>2521</v>
      </c>
      <c r="AC487" s="27" t="s">
        <v>4894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3597</v>
      </c>
      <c r="H488" s="25" t="s">
        <v>2507</v>
      </c>
      <c r="I488" s="25"/>
      <c r="J488" s="25"/>
      <c r="K488" s="25"/>
      <c r="L488" s="25"/>
      <c r="M488" s="26"/>
      <c r="N488" s="25"/>
      <c r="O488" s="26"/>
      <c r="P488" s="27"/>
      <c r="Q488" s="25" t="s">
        <v>3598</v>
      </c>
      <c r="R488" s="25" t="s">
        <v>2516</v>
      </c>
      <c r="S488" s="25" t="s">
        <v>25</v>
      </c>
      <c r="T488" s="25">
        <v>1</v>
      </c>
      <c r="U488" s="25" t="s">
        <v>2517</v>
      </c>
      <c r="V488" s="25" t="s">
        <v>4895</v>
      </c>
      <c r="W488" s="25" t="s">
        <v>4896</v>
      </c>
      <c r="X488" s="59">
        <v>45776.625</v>
      </c>
      <c r="Y488" s="25"/>
      <c r="Z488" s="25">
        <v>1</v>
      </c>
      <c r="AA488" s="25"/>
      <c r="AB488" s="25" t="s">
        <v>2521</v>
      </c>
      <c r="AC488" s="27" t="s">
        <v>4501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3464</v>
      </c>
      <c r="H489" s="25" t="s">
        <v>1604</v>
      </c>
      <c r="I489" s="25"/>
      <c r="J489" s="25"/>
      <c r="K489" s="25"/>
      <c r="L489" s="25"/>
      <c r="M489" s="26"/>
      <c r="N489" s="25"/>
      <c r="O489" s="26"/>
      <c r="P489" s="27"/>
      <c r="Q489" s="25" t="s">
        <v>3467</v>
      </c>
      <c r="R489" s="25" t="s">
        <v>2516</v>
      </c>
      <c r="S489" s="25" t="s">
        <v>25</v>
      </c>
      <c r="T489" s="25">
        <v>1</v>
      </c>
      <c r="U489" s="25" t="s">
        <v>2517</v>
      </c>
      <c r="V489" s="25" t="s">
        <v>4897</v>
      </c>
      <c r="W489" s="25" t="s">
        <v>4898</v>
      </c>
      <c r="X489" s="59">
        <v>45777.59375</v>
      </c>
      <c r="Y489" s="25"/>
      <c r="Z489" s="25">
        <v>1</v>
      </c>
      <c r="AA489" s="25"/>
      <c r="AB489" s="25" t="s">
        <v>2521</v>
      </c>
      <c r="AC489" s="27" t="s">
        <v>4501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3625</v>
      </c>
      <c r="H490" s="25" t="s">
        <v>3148</v>
      </c>
      <c r="I490" s="25"/>
      <c r="J490" s="25"/>
      <c r="K490" s="25"/>
      <c r="L490" s="25"/>
      <c r="M490" s="26"/>
      <c r="N490" s="25"/>
      <c r="O490" s="26"/>
      <c r="P490" s="27"/>
      <c r="Q490" s="25" t="s">
        <v>3626</v>
      </c>
      <c r="R490" s="25" t="s">
        <v>2516</v>
      </c>
      <c r="S490" s="25" t="s">
        <v>185</v>
      </c>
      <c r="T490" s="25">
        <v>1</v>
      </c>
      <c r="U490" s="25" t="s">
        <v>2517</v>
      </c>
      <c r="V490" s="25" t="s">
        <v>4899</v>
      </c>
      <c r="W490" s="25" t="s">
        <v>4900</v>
      </c>
      <c r="X490" s="59">
        <v>45777.645833333343</v>
      </c>
      <c r="Y490" s="25"/>
      <c r="Z490" s="25">
        <v>1.5</v>
      </c>
      <c r="AA490" s="25"/>
      <c r="AB490" s="25" t="s">
        <v>2521</v>
      </c>
      <c r="AC490" s="27" t="s">
        <v>4901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4136</v>
      </c>
      <c r="H491" s="25" t="s">
        <v>1604</v>
      </c>
      <c r="I491" s="25"/>
      <c r="J491" s="25"/>
      <c r="K491" s="25"/>
      <c r="L491" s="25"/>
      <c r="M491" s="26"/>
      <c r="N491" s="25"/>
      <c r="O491" s="26"/>
      <c r="P491" s="27"/>
      <c r="Q491" s="25" t="s">
        <v>4137</v>
      </c>
      <c r="R491" s="25" t="s">
        <v>2516</v>
      </c>
      <c r="S491" s="25" t="s">
        <v>25</v>
      </c>
      <c r="T491" s="25">
        <v>1</v>
      </c>
      <c r="U491" s="25" t="s">
        <v>2517</v>
      </c>
      <c r="V491" s="25" t="s">
        <v>4902</v>
      </c>
      <c r="W491" s="25" t="s">
        <v>4903</v>
      </c>
      <c r="X491" s="59">
        <v>45777.647222222222</v>
      </c>
      <c r="Y491" s="25"/>
      <c r="Z491" s="25">
        <v>0.8</v>
      </c>
      <c r="AA491" s="25"/>
      <c r="AB491" s="25" t="s">
        <v>2521</v>
      </c>
      <c r="AC491" s="27" t="s">
        <v>4501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4904</v>
      </c>
      <c r="E492" s="25" t="s">
        <v>2504</v>
      </c>
      <c r="F492" s="25">
        <v>2403</v>
      </c>
      <c r="G492" s="25" t="s">
        <v>4288</v>
      </c>
      <c r="H492" s="25" t="s">
        <v>2609</v>
      </c>
      <c r="I492" s="25" t="s">
        <v>4905</v>
      </c>
      <c r="J492" s="25" t="s">
        <v>2536</v>
      </c>
      <c r="K492" s="25" t="s">
        <v>2510</v>
      </c>
      <c r="L492" s="25" t="s">
        <v>2595</v>
      </c>
      <c r="M492" s="26" t="s">
        <v>2596</v>
      </c>
      <c r="N492" s="25" t="s">
        <v>2597</v>
      </c>
      <c r="O492" s="26" t="s">
        <v>2598</v>
      </c>
      <c r="P492" s="27" t="s">
        <v>4906</v>
      </c>
      <c r="Q492" s="25" t="s">
        <v>4289</v>
      </c>
      <c r="R492" s="25" t="s">
        <v>2516</v>
      </c>
      <c r="S492" s="25" t="s">
        <v>173</v>
      </c>
      <c r="T492" s="25">
        <v>1</v>
      </c>
      <c r="U492" s="25" t="s">
        <v>2517</v>
      </c>
      <c r="V492" s="25" t="s">
        <v>4907</v>
      </c>
      <c r="W492" s="25" t="s">
        <v>4908</v>
      </c>
      <c r="X492" s="59">
        <v>45779.527777777781</v>
      </c>
      <c r="Y492" s="25" t="s">
        <v>4909</v>
      </c>
      <c r="Z492" s="25">
        <v>0.8</v>
      </c>
      <c r="AA492" s="25"/>
      <c r="AB492" s="25" t="s">
        <v>2521</v>
      </c>
      <c r="AC492" s="27" t="s">
        <v>4910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4911</v>
      </c>
      <c r="E493" s="25" t="s">
        <v>2504</v>
      </c>
      <c r="F493" s="25">
        <v>3052</v>
      </c>
      <c r="G493" s="25" t="s">
        <v>2692</v>
      </c>
      <c r="H493" s="25" t="s">
        <v>2659</v>
      </c>
      <c r="I493" s="25" t="s">
        <v>4912</v>
      </c>
      <c r="J493" s="25" t="s">
        <v>2536</v>
      </c>
      <c r="K493" s="25" t="s">
        <v>2510</v>
      </c>
      <c r="L493" s="25" t="s">
        <v>2511</v>
      </c>
      <c r="M493" s="26" t="s">
        <v>2512</v>
      </c>
      <c r="N493" s="25">
        <v>2304</v>
      </c>
      <c r="O493" s="26" t="s">
        <v>2513</v>
      </c>
      <c r="P493" s="27" t="s">
        <v>4913</v>
      </c>
      <c r="Q493" s="25" t="s">
        <v>2693</v>
      </c>
      <c r="R493" s="25" t="s">
        <v>2516</v>
      </c>
      <c r="S493" s="25" t="s">
        <v>185</v>
      </c>
      <c r="T493" s="25">
        <v>1</v>
      </c>
      <c r="U493" s="25" t="s">
        <v>2517</v>
      </c>
      <c r="V493" s="25" t="s">
        <v>4914</v>
      </c>
      <c r="W493" s="25" t="s">
        <v>4915</v>
      </c>
      <c r="X493" s="59">
        <v>45779.583333333343</v>
      </c>
      <c r="Y493" s="25" t="s">
        <v>4916</v>
      </c>
      <c r="Z493" s="25">
        <v>0.5</v>
      </c>
      <c r="AA493" s="25"/>
      <c r="AB493" s="25" t="s">
        <v>2521</v>
      </c>
      <c r="AC493" s="27" t="s">
        <v>4917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4918</v>
      </c>
      <c r="E494" s="25" t="s">
        <v>2504</v>
      </c>
      <c r="F494" s="25">
        <v>3052</v>
      </c>
      <c r="G494" s="25" t="s">
        <v>2692</v>
      </c>
      <c r="H494" s="25" t="s">
        <v>2659</v>
      </c>
      <c r="I494" s="25" t="s">
        <v>4919</v>
      </c>
      <c r="J494" s="25" t="s">
        <v>2536</v>
      </c>
      <c r="K494" s="25" t="s">
        <v>2510</v>
      </c>
      <c r="L494" s="25" t="s">
        <v>2511</v>
      </c>
      <c r="M494" s="26" t="s">
        <v>2512</v>
      </c>
      <c r="N494" s="25">
        <v>2305</v>
      </c>
      <c r="O494" s="26" t="s">
        <v>3035</v>
      </c>
      <c r="P494" s="27" t="s">
        <v>4920</v>
      </c>
      <c r="Q494" s="25" t="s">
        <v>2693</v>
      </c>
      <c r="R494" s="25" t="s">
        <v>2516</v>
      </c>
      <c r="S494" s="25" t="s">
        <v>185</v>
      </c>
      <c r="T494" s="25">
        <v>1</v>
      </c>
      <c r="U494" s="25" t="s">
        <v>2517</v>
      </c>
      <c r="V494" s="25" t="s">
        <v>4921</v>
      </c>
      <c r="W494" s="25" t="s">
        <v>4922</v>
      </c>
      <c r="X494" s="59">
        <v>45779.5625</v>
      </c>
      <c r="Y494" s="25" t="s">
        <v>4916</v>
      </c>
      <c r="Z494" s="25">
        <v>0.5</v>
      </c>
      <c r="AA494" s="25"/>
      <c r="AB494" s="25" t="s">
        <v>2521</v>
      </c>
      <c r="AC494" s="27" t="s">
        <v>4923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4918</v>
      </c>
      <c r="E495" s="25" t="s">
        <v>2504</v>
      </c>
      <c r="F495" s="25">
        <v>3052</v>
      </c>
      <c r="G495" s="25" t="s">
        <v>2692</v>
      </c>
      <c r="H495" s="25" t="s">
        <v>2659</v>
      </c>
      <c r="I495" s="25" t="s">
        <v>4919</v>
      </c>
      <c r="J495" s="25" t="s">
        <v>2536</v>
      </c>
      <c r="K495" s="25" t="s">
        <v>2510</v>
      </c>
      <c r="L495" s="25" t="s">
        <v>2511</v>
      </c>
      <c r="M495" s="26" t="s">
        <v>2512</v>
      </c>
      <c r="N495" s="25">
        <v>2305</v>
      </c>
      <c r="O495" s="26" t="s">
        <v>3035</v>
      </c>
      <c r="P495" s="27" t="s">
        <v>4920</v>
      </c>
      <c r="Q495" s="25" t="s">
        <v>2693</v>
      </c>
      <c r="R495" s="25" t="s">
        <v>2516</v>
      </c>
      <c r="S495" s="25" t="s">
        <v>185</v>
      </c>
      <c r="T495" s="25">
        <v>2</v>
      </c>
      <c r="U495" s="25" t="s">
        <v>2517</v>
      </c>
      <c r="V495" s="25" t="s">
        <v>4921</v>
      </c>
      <c r="W495" s="25" t="s">
        <v>4922</v>
      </c>
      <c r="X495" s="59">
        <v>45779.5625</v>
      </c>
      <c r="Y495" s="25" t="s">
        <v>4916</v>
      </c>
      <c r="Z495" s="25">
        <v>0.5</v>
      </c>
      <c r="AA495" s="25"/>
      <c r="AB495" s="25" t="s">
        <v>2521</v>
      </c>
      <c r="AC495" s="27" t="s">
        <v>4923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4924</v>
      </c>
      <c r="E496" s="25" t="s">
        <v>2504</v>
      </c>
      <c r="F496" s="25">
        <v>2042</v>
      </c>
      <c r="G496" s="25" t="s">
        <v>3544</v>
      </c>
      <c r="H496" s="25" t="s">
        <v>2507</v>
      </c>
      <c r="I496" s="25" t="s">
        <v>4925</v>
      </c>
      <c r="J496" s="25" t="s">
        <v>2536</v>
      </c>
      <c r="K496" s="25" t="s">
        <v>2510</v>
      </c>
      <c r="L496" s="25" t="s">
        <v>2511</v>
      </c>
      <c r="M496" s="26" t="s">
        <v>2512</v>
      </c>
      <c r="N496" s="25">
        <v>2301</v>
      </c>
      <c r="O496" s="26" t="s">
        <v>3953</v>
      </c>
      <c r="P496" s="27" t="s">
        <v>4926</v>
      </c>
      <c r="Q496" s="25" t="s">
        <v>3545</v>
      </c>
      <c r="R496" s="25" t="s">
        <v>2516</v>
      </c>
      <c r="S496" s="25" t="s">
        <v>25</v>
      </c>
      <c r="T496" s="25">
        <v>1</v>
      </c>
      <c r="U496" s="25" t="s">
        <v>2517</v>
      </c>
      <c r="V496" s="25" t="s">
        <v>4927</v>
      </c>
      <c r="W496" s="25" t="s">
        <v>4928</v>
      </c>
      <c r="X496" s="59">
        <v>45779.441666666673</v>
      </c>
      <c r="Y496" s="25" t="s">
        <v>4929</v>
      </c>
      <c r="Z496" s="25">
        <v>0.6</v>
      </c>
      <c r="AA496" s="25"/>
      <c r="AB496" s="25" t="s">
        <v>2521</v>
      </c>
      <c r="AC496" s="27" t="s">
        <v>4930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4931</v>
      </c>
      <c r="E497" s="25" t="s">
        <v>2504</v>
      </c>
      <c r="F497" s="25">
        <v>2042</v>
      </c>
      <c r="G497" s="25" t="s">
        <v>3544</v>
      </c>
      <c r="H497" s="25" t="s">
        <v>2507</v>
      </c>
      <c r="I497" s="25" t="s">
        <v>4932</v>
      </c>
      <c r="J497" s="25" t="s">
        <v>2835</v>
      </c>
      <c r="K497" s="25" t="s">
        <v>2568</v>
      </c>
      <c r="L497" s="25" t="s">
        <v>2537</v>
      </c>
      <c r="M497" s="26" t="s">
        <v>2538</v>
      </c>
      <c r="N497" s="25" t="s">
        <v>2539</v>
      </c>
      <c r="O497" s="26" t="s">
        <v>2540</v>
      </c>
      <c r="P497" s="27" t="s">
        <v>4933</v>
      </c>
      <c r="Q497" s="25" t="s">
        <v>3545</v>
      </c>
      <c r="R497" s="25" t="s">
        <v>2516</v>
      </c>
      <c r="S497" s="25" t="s">
        <v>25</v>
      </c>
      <c r="T497" s="25">
        <v>1</v>
      </c>
      <c r="U497" s="25" t="s">
        <v>2517</v>
      </c>
      <c r="V497" s="25" t="s">
        <v>4934</v>
      </c>
      <c r="W497" s="25" t="s">
        <v>4928</v>
      </c>
      <c r="X497" s="59">
        <v>45779.442361111112</v>
      </c>
      <c r="Y497" s="25" t="s">
        <v>4935</v>
      </c>
      <c r="Z497" s="25">
        <v>0.6</v>
      </c>
      <c r="AA497" s="25"/>
      <c r="AB497" s="25" t="s">
        <v>2521</v>
      </c>
      <c r="AC497" s="27" t="s">
        <v>4936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4937</v>
      </c>
      <c r="E498" s="25" t="s">
        <v>2504</v>
      </c>
      <c r="F498" s="25" t="s">
        <v>3563</v>
      </c>
      <c r="G498" s="25" t="s">
        <v>3564</v>
      </c>
      <c r="H498" s="25" t="s">
        <v>2507</v>
      </c>
      <c r="I498" s="25" t="s">
        <v>4938</v>
      </c>
      <c r="J498" s="25" t="s">
        <v>2835</v>
      </c>
      <c r="K498" s="25" t="s">
        <v>2510</v>
      </c>
      <c r="L498" s="25" t="s">
        <v>2537</v>
      </c>
      <c r="M498" s="26" t="s">
        <v>2538</v>
      </c>
      <c r="N498" s="25" t="s">
        <v>2539</v>
      </c>
      <c r="O498" s="26" t="s">
        <v>2540</v>
      </c>
      <c r="P498" s="27" t="s">
        <v>4939</v>
      </c>
      <c r="Q498" s="25" t="s">
        <v>3565</v>
      </c>
      <c r="R498" s="25" t="s">
        <v>2516</v>
      </c>
      <c r="S498" s="25" t="s">
        <v>25</v>
      </c>
      <c r="T498" s="25">
        <v>1</v>
      </c>
      <c r="U498" s="25" t="s">
        <v>2517</v>
      </c>
      <c r="V498" s="25" t="s">
        <v>4940</v>
      </c>
      <c r="W498" s="25" t="s">
        <v>4941</v>
      </c>
      <c r="X498" s="59">
        <v>45779.451388888891</v>
      </c>
      <c r="Y498" s="25" t="s">
        <v>4935</v>
      </c>
      <c r="Z498" s="25">
        <v>0.3</v>
      </c>
      <c r="AA498" s="25"/>
      <c r="AB498" s="25" t="s">
        <v>2521</v>
      </c>
      <c r="AC498" s="27" t="s">
        <v>4942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4943</v>
      </c>
      <c r="E499" s="25" t="s">
        <v>2504</v>
      </c>
      <c r="F499" s="25">
        <v>2535</v>
      </c>
      <c r="G499" s="25" t="s">
        <v>4483</v>
      </c>
      <c r="H499" s="25" t="s">
        <v>2996</v>
      </c>
      <c r="I499" s="25" t="s">
        <v>4944</v>
      </c>
      <c r="J499" s="25" t="s">
        <v>2567</v>
      </c>
      <c r="K499" s="25" t="s">
        <v>2568</v>
      </c>
      <c r="L499" s="25" t="s">
        <v>2511</v>
      </c>
      <c r="M499" s="26" t="s">
        <v>2512</v>
      </c>
      <c r="N499" s="25">
        <v>2305</v>
      </c>
      <c r="O499" s="26" t="s">
        <v>3035</v>
      </c>
      <c r="P499" s="27" t="s">
        <v>4945</v>
      </c>
      <c r="Q499" s="25" t="s">
        <v>4484</v>
      </c>
      <c r="R499" s="25" t="s">
        <v>2516</v>
      </c>
      <c r="S499" s="25" t="s">
        <v>185</v>
      </c>
      <c r="T499" s="25">
        <v>1</v>
      </c>
      <c r="U499" s="25" t="s">
        <v>2517</v>
      </c>
      <c r="V499" s="25" t="s">
        <v>4946</v>
      </c>
      <c r="W499" s="25" t="s">
        <v>4947</v>
      </c>
      <c r="X499" s="59">
        <v>45779.763888888891</v>
      </c>
      <c r="Y499" s="25" t="s">
        <v>4948</v>
      </c>
      <c r="Z499" s="25">
        <v>0.5</v>
      </c>
      <c r="AA499" s="25"/>
      <c r="AB499" s="25" t="s">
        <v>2521</v>
      </c>
      <c r="AC499" s="27" t="s">
        <v>4949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4288</v>
      </c>
      <c r="H500" s="25" t="s">
        <v>2609</v>
      </c>
      <c r="I500" s="25"/>
      <c r="J500" s="25"/>
      <c r="K500" s="25"/>
      <c r="L500" s="25"/>
      <c r="M500" s="26"/>
      <c r="N500" s="25"/>
      <c r="O500" s="26"/>
      <c r="P500" s="27"/>
      <c r="Q500" s="25" t="s">
        <v>4289</v>
      </c>
      <c r="R500" s="25" t="s">
        <v>2516</v>
      </c>
      <c r="S500" s="25" t="s">
        <v>173</v>
      </c>
      <c r="T500" s="25">
        <v>1</v>
      </c>
      <c r="U500" s="25" t="s">
        <v>2517</v>
      </c>
      <c r="V500" s="25" t="s">
        <v>4950</v>
      </c>
      <c r="W500" s="25" t="s">
        <v>4908</v>
      </c>
      <c r="X500" s="59">
        <v>45779.527777777781</v>
      </c>
      <c r="Y500" s="25"/>
      <c r="Z500" s="25">
        <v>0.8</v>
      </c>
      <c r="AA500" s="25"/>
      <c r="AB500" s="25" t="s">
        <v>2521</v>
      </c>
      <c r="AC500" s="27" t="s">
        <v>4565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4951</v>
      </c>
      <c r="E501" s="25" t="s">
        <v>2504</v>
      </c>
      <c r="F501" s="25">
        <v>3052</v>
      </c>
      <c r="G501" s="25" t="s">
        <v>2692</v>
      </c>
      <c r="H501" s="25" t="s">
        <v>2659</v>
      </c>
      <c r="I501" s="25" t="s">
        <v>4952</v>
      </c>
      <c r="J501" s="25" t="s">
        <v>2567</v>
      </c>
      <c r="K501" s="25" t="s">
        <v>2510</v>
      </c>
      <c r="L501" s="25" t="s">
        <v>2525</v>
      </c>
      <c r="M501" s="26" t="s">
        <v>2526</v>
      </c>
      <c r="N501" s="25">
        <v>5801</v>
      </c>
      <c r="O501" s="26" t="s">
        <v>2527</v>
      </c>
      <c r="P501" s="27" t="s">
        <v>4953</v>
      </c>
      <c r="Q501" s="25" t="s">
        <v>2693</v>
      </c>
      <c r="R501" s="25" t="s">
        <v>2516</v>
      </c>
      <c r="S501" s="25" t="s">
        <v>185</v>
      </c>
      <c r="T501" s="25">
        <v>1</v>
      </c>
      <c r="U501" s="25" t="s">
        <v>2517</v>
      </c>
      <c r="V501" s="25" t="s">
        <v>4954</v>
      </c>
      <c r="W501" s="25" t="s">
        <v>4955</v>
      </c>
      <c r="X501" s="59">
        <v>45779.59375</v>
      </c>
      <c r="Y501" s="25" t="s">
        <v>4956</v>
      </c>
      <c r="Z501" s="25">
        <v>0.3</v>
      </c>
      <c r="AA501" s="25"/>
      <c r="AB501" s="25" t="s">
        <v>2521</v>
      </c>
      <c r="AC501" s="27" t="s">
        <v>4957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2692</v>
      </c>
      <c r="H502" s="25" t="s">
        <v>2659</v>
      </c>
      <c r="I502" s="25"/>
      <c r="J502" s="25"/>
      <c r="K502" s="25"/>
      <c r="L502" s="25"/>
      <c r="M502" s="26"/>
      <c r="N502" s="25"/>
      <c r="O502" s="26"/>
      <c r="P502" s="27"/>
      <c r="Q502" s="25" t="s">
        <v>2693</v>
      </c>
      <c r="R502" s="25" t="s">
        <v>2516</v>
      </c>
      <c r="S502" s="25" t="s">
        <v>185</v>
      </c>
      <c r="T502" s="25">
        <v>1</v>
      </c>
      <c r="U502" s="25" t="s">
        <v>2517</v>
      </c>
      <c r="V502" s="25" t="s">
        <v>4958</v>
      </c>
      <c r="W502" s="25" t="s">
        <v>4959</v>
      </c>
      <c r="X502" s="59">
        <v>45779.604166666657</v>
      </c>
      <c r="Y502" s="25"/>
      <c r="Z502" s="25">
        <v>0.3</v>
      </c>
      <c r="AA502" s="25"/>
      <c r="AB502" s="25" t="s">
        <v>2521</v>
      </c>
      <c r="AC502" s="27" t="s">
        <v>4565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2505</v>
      </c>
      <c r="G503" s="25" t="s">
        <v>2506</v>
      </c>
      <c r="H503" s="25" t="s">
        <v>2507</v>
      </c>
      <c r="I503" s="25"/>
      <c r="J503" s="25"/>
      <c r="K503" s="25"/>
      <c r="L503" s="25"/>
      <c r="M503" s="26"/>
      <c r="N503" s="25"/>
      <c r="O503" s="26"/>
      <c r="P503" s="27"/>
      <c r="Q503" s="25" t="s">
        <v>2515</v>
      </c>
      <c r="R503" s="25" t="s">
        <v>2516</v>
      </c>
      <c r="S503" s="25" t="s">
        <v>25</v>
      </c>
      <c r="T503" s="25">
        <v>1</v>
      </c>
      <c r="U503" s="25" t="s">
        <v>2517</v>
      </c>
      <c r="V503" s="25" t="s">
        <v>4960</v>
      </c>
      <c r="W503" s="25" t="s">
        <v>4961</v>
      </c>
      <c r="X503" s="59">
        <v>45779.628472222219</v>
      </c>
      <c r="Y503" s="25"/>
      <c r="Z503" s="25">
        <v>0.6</v>
      </c>
      <c r="AA503" s="25"/>
      <c r="AB503" s="25" t="s">
        <v>2521</v>
      </c>
      <c r="AC503" s="29" t="s">
        <v>4565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4962</v>
      </c>
      <c r="E504" s="25" t="s">
        <v>2504</v>
      </c>
      <c r="F504" s="25">
        <v>4406</v>
      </c>
      <c r="G504" s="25" t="s">
        <v>3214</v>
      </c>
      <c r="H504" s="25" t="s">
        <v>2609</v>
      </c>
      <c r="I504" s="25" t="s">
        <v>4963</v>
      </c>
      <c r="J504" s="25" t="s">
        <v>2567</v>
      </c>
      <c r="K504" s="25" t="s">
        <v>2510</v>
      </c>
      <c r="L504" s="25" t="s">
        <v>3483</v>
      </c>
      <c r="M504" s="26" t="s">
        <v>3484</v>
      </c>
      <c r="N504" s="25">
        <v>6003</v>
      </c>
      <c r="O504" s="26" t="s">
        <v>3152</v>
      </c>
      <c r="P504" s="27" t="s">
        <v>4964</v>
      </c>
      <c r="Q504" s="25" t="s">
        <v>3217</v>
      </c>
      <c r="R504" s="25" t="s">
        <v>2516</v>
      </c>
      <c r="S504" s="25" t="s">
        <v>173</v>
      </c>
      <c r="T504" s="25">
        <v>1</v>
      </c>
      <c r="U504" s="25" t="s">
        <v>2517</v>
      </c>
      <c r="V504" s="25" t="s">
        <v>4965</v>
      </c>
      <c r="W504" s="25" t="s">
        <v>4966</v>
      </c>
      <c r="X504" s="59">
        <v>45782.65347222222</v>
      </c>
      <c r="Y504" s="25" t="s">
        <v>4967</v>
      </c>
      <c r="Z504" s="25">
        <v>0.8</v>
      </c>
      <c r="AA504" s="25"/>
      <c r="AB504" s="25" t="s">
        <v>2521</v>
      </c>
      <c r="AC504" s="27" t="s">
        <v>4968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2593</v>
      </c>
      <c r="H505" s="25" t="s">
        <v>2507</v>
      </c>
      <c r="I505" s="25"/>
      <c r="J505" s="25"/>
      <c r="K505" s="25"/>
      <c r="L505" s="25"/>
      <c r="M505" s="26"/>
      <c r="N505" s="25"/>
      <c r="O505" s="26"/>
      <c r="P505" s="27"/>
      <c r="Q505" s="25" t="s">
        <v>2600</v>
      </c>
      <c r="R505" s="25" t="s">
        <v>2516</v>
      </c>
      <c r="S505" s="25" t="s">
        <v>25</v>
      </c>
      <c r="T505" s="25">
        <v>1</v>
      </c>
      <c r="U505" s="25" t="s">
        <v>2517</v>
      </c>
      <c r="V505" s="25" t="s">
        <v>4969</v>
      </c>
      <c r="W505" s="25" t="s">
        <v>4970</v>
      </c>
      <c r="X505" s="59">
        <v>45779.662499999999</v>
      </c>
      <c r="Y505" s="25"/>
      <c r="Z505" s="25">
        <v>0.4</v>
      </c>
      <c r="AA505" s="25"/>
      <c r="AB505" s="25" t="s">
        <v>2521</v>
      </c>
      <c r="AC505" s="27" t="s">
        <v>4565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4971</v>
      </c>
      <c r="E506" s="25" t="s">
        <v>2504</v>
      </c>
      <c r="F506" s="25">
        <v>2390</v>
      </c>
      <c r="G506" s="25" t="s">
        <v>3000</v>
      </c>
      <c r="H506" s="25" t="s">
        <v>2996</v>
      </c>
      <c r="I506" s="25" t="s">
        <v>4972</v>
      </c>
      <c r="J506" s="25" t="s">
        <v>2567</v>
      </c>
      <c r="K506" s="25" t="s">
        <v>2510</v>
      </c>
      <c r="L506" s="25" t="s">
        <v>2537</v>
      </c>
      <c r="M506" s="26" t="s">
        <v>2538</v>
      </c>
      <c r="N506" s="25" t="s">
        <v>2539</v>
      </c>
      <c r="O506" s="26" t="s">
        <v>2540</v>
      </c>
      <c r="P506" s="27" t="s">
        <v>4973</v>
      </c>
      <c r="Q506" s="25" t="s">
        <v>3001</v>
      </c>
      <c r="R506" s="25" t="s">
        <v>2516</v>
      </c>
      <c r="S506" s="25" t="s">
        <v>185</v>
      </c>
      <c r="T506" s="25">
        <v>1</v>
      </c>
      <c r="U506" s="25" t="s">
        <v>2517</v>
      </c>
      <c r="V506" s="25" t="s">
        <v>4974</v>
      </c>
      <c r="W506" s="25" t="s">
        <v>4975</v>
      </c>
      <c r="X506" s="59">
        <v>45782.479166666657</v>
      </c>
      <c r="Y506" s="25" t="s">
        <v>4976</v>
      </c>
      <c r="Z506" s="25">
        <v>0.5</v>
      </c>
      <c r="AA506" s="25"/>
      <c r="AB506" s="25" t="s">
        <v>2521</v>
      </c>
      <c r="AC506" s="27" t="s">
        <v>4977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4978</v>
      </c>
      <c r="E507" s="25" t="s">
        <v>2504</v>
      </c>
      <c r="F507" s="25">
        <v>2390</v>
      </c>
      <c r="G507" s="25" t="s">
        <v>3000</v>
      </c>
      <c r="H507" s="25" t="s">
        <v>2996</v>
      </c>
      <c r="I507" s="25" t="s">
        <v>4979</v>
      </c>
      <c r="J507" s="25" t="s">
        <v>2567</v>
      </c>
      <c r="K507" s="25" t="s">
        <v>2510</v>
      </c>
      <c r="L507" s="25" t="s">
        <v>2537</v>
      </c>
      <c r="M507" s="26" t="s">
        <v>2538</v>
      </c>
      <c r="N507" s="25" t="s">
        <v>2539</v>
      </c>
      <c r="O507" s="26" t="s">
        <v>2540</v>
      </c>
      <c r="P507" s="27" t="s">
        <v>4980</v>
      </c>
      <c r="Q507" s="25" t="s">
        <v>3001</v>
      </c>
      <c r="R507" s="25" t="s">
        <v>2516</v>
      </c>
      <c r="S507" s="25" t="s">
        <v>185</v>
      </c>
      <c r="T507" s="25">
        <v>1</v>
      </c>
      <c r="U507" s="25" t="s">
        <v>2517</v>
      </c>
      <c r="V507" s="25" t="s">
        <v>4981</v>
      </c>
      <c r="W507" s="25" t="s">
        <v>4982</v>
      </c>
      <c r="X507" s="59">
        <v>45782.5</v>
      </c>
      <c r="Y507" s="25" t="s">
        <v>4983</v>
      </c>
      <c r="Z507" s="25">
        <v>0.5</v>
      </c>
      <c r="AA507" s="25"/>
      <c r="AB507" s="25" t="s">
        <v>2521</v>
      </c>
      <c r="AC507" s="27" t="s">
        <v>4984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2905</v>
      </c>
      <c r="H508" s="25" t="s">
        <v>2507</v>
      </c>
      <c r="I508" s="25"/>
      <c r="J508" s="25"/>
      <c r="K508" s="25"/>
      <c r="L508" s="25"/>
      <c r="M508" s="26"/>
      <c r="N508" s="25"/>
      <c r="O508" s="26"/>
      <c r="P508" s="27"/>
      <c r="Q508" s="25" t="s">
        <v>2906</v>
      </c>
      <c r="R508" s="25" t="s">
        <v>2516</v>
      </c>
      <c r="S508" s="25" t="s">
        <v>25</v>
      </c>
      <c r="T508" s="25">
        <v>1</v>
      </c>
      <c r="U508" s="25" t="s">
        <v>2517</v>
      </c>
      <c r="V508" s="25" t="s">
        <v>4985</v>
      </c>
      <c r="W508" s="25" t="s">
        <v>4986</v>
      </c>
      <c r="X508" s="59">
        <v>45779.697222222218</v>
      </c>
      <c r="Y508" s="25"/>
      <c r="Z508" s="25">
        <v>0.4</v>
      </c>
      <c r="AA508" s="25"/>
      <c r="AB508" s="25" t="s">
        <v>2521</v>
      </c>
      <c r="AC508" s="27" t="s">
        <v>4565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4987</v>
      </c>
      <c r="E509" s="25" t="s">
        <v>2504</v>
      </c>
      <c r="F509" s="25">
        <v>4856</v>
      </c>
      <c r="G509" s="25" t="s">
        <v>2763</v>
      </c>
      <c r="H509" s="25" t="s">
        <v>2659</v>
      </c>
      <c r="I509" s="25" t="s">
        <v>4988</v>
      </c>
      <c r="J509" s="25" t="s">
        <v>2930</v>
      </c>
      <c r="K509" s="25" t="s">
        <v>2765</v>
      </c>
      <c r="L509" s="25" t="s">
        <v>4123</v>
      </c>
      <c r="M509" s="26" t="s">
        <v>4124</v>
      </c>
      <c r="N509" s="25">
        <v>2902</v>
      </c>
      <c r="O509" s="26" t="s">
        <v>4155</v>
      </c>
      <c r="P509" s="27" t="s">
        <v>4989</v>
      </c>
      <c r="Q509" s="25" t="s">
        <v>2767</v>
      </c>
      <c r="R509" s="25" t="s">
        <v>2516</v>
      </c>
      <c r="S509" s="25" t="s">
        <v>185</v>
      </c>
      <c r="T509" s="25">
        <v>1</v>
      </c>
      <c r="U509" s="25" t="s">
        <v>2517</v>
      </c>
      <c r="V509" s="25" t="s">
        <v>4990</v>
      </c>
      <c r="W509" s="25" t="s">
        <v>4991</v>
      </c>
      <c r="X509" s="59">
        <v>45783.416666666657</v>
      </c>
      <c r="Y509" s="25" t="s">
        <v>4992</v>
      </c>
      <c r="Z509" s="25">
        <v>0.5</v>
      </c>
      <c r="AA509" s="25"/>
      <c r="AB509" s="25" t="s">
        <v>2521</v>
      </c>
      <c r="AC509" s="27" t="s">
        <v>4993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4994</v>
      </c>
      <c r="E510" s="25" t="s">
        <v>2504</v>
      </c>
      <c r="F510" s="25">
        <v>2349</v>
      </c>
      <c r="G510" s="25" t="s">
        <v>3667</v>
      </c>
      <c r="H510" s="25" t="s">
        <v>2507</v>
      </c>
      <c r="I510" s="25" t="s">
        <v>4995</v>
      </c>
      <c r="J510" s="25" t="s">
        <v>2930</v>
      </c>
      <c r="K510" s="25" t="s">
        <v>2510</v>
      </c>
      <c r="L510" s="25" t="s">
        <v>2511</v>
      </c>
      <c r="M510" s="26" t="s">
        <v>2512</v>
      </c>
      <c r="N510" s="25">
        <v>2307</v>
      </c>
      <c r="O510" s="26" t="s">
        <v>2678</v>
      </c>
      <c r="P510" s="27" t="s">
        <v>4996</v>
      </c>
      <c r="Q510" s="25" t="s">
        <v>3670</v>
      </c>
      <c r="R510" s="25" t="s">
        <v>2516</v>
      </c>
      <c r="S510" s="25" t="s">
        <v>25</v>
      </c>
      <c r="T510" s="25">
        <v>1</v>
      </c>
      <c r="U510" s="25" t="s">
        <v>2517</v>
      </c>
      <c r="V510" s="25" t="s">
        <v>4997</v>
      </c>
      <c r="W510" s="25" t="s">
        <v>4998</v>
      </c>
      <c r="X510" s="59">
        <v>45782.46875</v>
      </c>
      <c r="Y510" s="25" t="s">
        <v>4992</v>
      </c>
      <c r="Z510" s="25">
        <v>0.5</v>
      </c>
      <c r="AA510" s="25"/>
      <c r="AB510" s="25" t="s">
        <v>2521</v>
      </c>
      <c r="AC510" s="27" t="s">
        <v>4999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5000</v>
      </c>
      <c r="E511" s="25" t="s">
        <v>2504</v>
      </c>
      <c r="F511" s="25">
        <v>2321</v>
      </c>
      <c r="G511" s="25" t="s">
        <v>2791</v>
      </c>
      <c r="H511" s="25" t="s">
        <v>2507</v>
      </c>
      <c r="I511" s="25" t="s">
        <v>5001</v>
      </c>
      <c r="J511" s="25" t="s">
        <v>2930</v>
      </c>
      <c r="K511" s="25" t="s">
        <v>2717</v>
      </c>
      <c r="L511" s="25" t="s">
        <v>2525</v>
      </c>
      <c r="M511" s="26" t="s">
        <v>2526</v>
      </c>
      <c r="N511" s="25">
        <v>5804</v>
      </c>
      <c r="O511" s="26" t="s">
        <v>2582</v>
      </c>
      <c r="P511" s="27" t="s">
        <v>5002</v>
      </c>
      <c r="Q511" s="25" t="s">
        <v>2792</v>
      </c>
      <c r="R511" s="25" t="s">
        <v>2516</v>
      </c>
      <c r="S511" s="25" t="s">
        <v>25</v>
      </c>
      <c r="T511" s="25">
        <v>1</v>
      </c>
      <c r="U511" s="25" t="s">
        <v>2517</v>
      </c>
      <c r="V511" s="25" t="s">
        <v>5003</v>
      </c>
      <c r="W511" s="25" t="s">
        <v>5004</v>
      </c>
      <c r="X511" s="59">
        <v>45782.410416666673</v>
      </c>
      <c r="Y511" s="25" t="s">
        <v>4992</v>
      </c>
      <c r="Z511" s="25">
        <v>0.5</v>
      </c>
      <c r="AA511" s="25"/>
      <c r="AB511" s="25" t="s">
        <v>2521</v>
      </c>
      <c r="AC511" s="27" t="s">
        <v>5005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3667</v>
      </c>
      <c r="H512" s="25" t="s">
        <v>2507</v>
      </c>
      <c r="I512" s="25"/>
      <c r="J512" s="25"/>
      <c r="K512" s="25"/>
      <c r="L512" s="25"/>
      <c r="M512" s="26"/>
      <c r="N512" s="25"/>
      <c r="O512" s="26"/>
      <c r="P512" s="27"/>
      <c r="Q512" s="25" t="s">
        <v>3670</v>
      </c>
      <c r="R512" s="25" t="s">
        <v>2516</v>
      </c>
      <c r="S512" s="25" t="s">
        <v>25</v>
      </c>
      <c r="T512" s="25">
        <v>1</v>
      </c>
      <c r="U512" s="25" t="s">
        <v>2517</v>
      </c>
      <c r="V512" s="25" t="s">
        <v>5006</v>
      </c>
      <c r="W512" s="25" t="s">
        <v>4998</v>
      </c>
      <c r="X512" s="59">
        <v>45782.470138888893</v>
      </c>
      <c r="Y512" s="25"/>
      <c r="Z512" s="25">
        <v>0.5</v>
      </c>
      <c r="AA512" s="25"/>
      <c r="AB512" s="25" t="s">
        <v>2521</v>
      </c>
      <c r="AC512" s="27" t="s">
        <v>4565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5007</v>
      </c>
      <c r="E513" s="25" t="s">
        <v>2504</v>
      </c>
      <c r="F513" s="25" t="s">
        <v>3563</v>
      </c>
      <c r="G513" s="25" t="s">
        <v>3564</v>
      </c>
      <c r="H513" s="25" t="s">
        <v>2507</v>
      </c>
      <c r="I513" s="25" t="s">
        <v>5008</v>
      </c>
      <c r="J513" s="25" t="s">
        <v>2661</v>
      </c>
      <c r="K513" s="25" t="s">
        <v>2765</v>
      </c>
      <c r="L513" s="25" t="s">
        <v>2511</v>
      </c>
      <c r="M513" s="26" t="s">
        <v>2512</v>
      </c>
      <c r="N513" s="25">
        <v>2307</v>
      </c>
      <c r="O513" s="26" t="s">
        <v>2678</v>
      </c>
      <c r="P513" s="27" t="s">
        <v>5009</v>
      </c>
      <c r="Q513" s="25" t="s">
        <v>3565</v>
      </c>
      <c r="R513" s="25" t="s">
        <v>2516</v>
      </c>
      <c r="S513" s="25" t="s">
        <v>25</v>
      </c>
      <c r="T513" s="25">
        <v>1</v>
      </c>
      <c r="U513" s="25" t="s">
        <v>2517</v>
      </c>
      <c r="V513" s="25" t="s">
        <v>5010</v>
      </c>
      <c r="W513" s="25" t="s">
        <v>5011</v>
      </c>
      <c r="X513" s="59">
        <v>45783.577777777777</v>
      </c>
      <c r="Y513" s="25" t="s">
        <v>5012</v>
      </c>
      <c r="Z513" s="25">
        <v>2.4</v>
      </c>
      <c r="AA513" s="25"/>
      <c r="AB513" s="25" t="s">
        <v>2521</v>
      </c>
      <c r="AC513" s="27" t="s">
        <v>5013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5014</v>
      </c>
      <c r="E514" s="25" t="s">
        <v>2504</v>
      </c>
      <c r="F514" s="25" t="s">
        <v>2865</v>
      </c>
      <c r="G514" s="25" t="s">
        <v>2866</v>
      </c>
      <c r="H514" s="25" t="s">
        <v>2507</v>
      </c>
      <c r="I514" s="25" t="s">
        <v>5015</v>
      </c>
      <c r="J514" s="25" t="s">
        <v>2661</v>
      </c>
      <c r="K514" s="25" t="s">
        <v>2568</v>
      </c>
      <c r="L514" s="25" t="s">
        <v>2846</v>
      </c>
      <c r="M514" s="26" t="s">
        <v>2847</v>
      </c>
      <c r="N514" s="25">
        <v>2403</v>
      </c>
      <c r="O514" s="26" t="s">
        <v>4550</v>
      </c>
      <c r="P514" s="27" t="s">
        <v>5016</v>
      </c>
      <c r="Q514" s="25" t="s">
        <v>2867</v>
      </c>
      <c r="R514" s="25" t="s">
        <v>2516</v>
      </c>
      <c r="S514" s="25" t="s">
        <v>25</v>
      </c>
      <c r="T514" s="25">
        <v>1</v>
      </c>
      <c r="U514" s="25" t="s">
        <v>2517</v>
      </c>
      <c r="V514" s="25" t="s">
        <v>5017</v>
      </c>
      <c r="W514" s="25" t="s">
        <v>5018</v>
      </c>
      <c r="X514" s="59">
        <v>45783.417361111111</v>
      </c>
      <c r="Y514" s="25" t="s">
        <v>5019</v>
      </c>
      <c r="Z514" s="25">
        <v>0.5</v>
      </c>
      <c r="AA514" s="25"/>
      <c r="AB514" s="25" t="s">
        <v>2521</v>
      </c>
      <c r="AC514" s="27" t="s">
        <v>4555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5020</v>
      </c>
      <c r="E515" s="25" t="s">
        <v>2504</v>
      </c>
      <c r="F515" s="25">
        <v>4422</v>
      </c>
      <c r="G515" s="25" t="s">
        <v>4452</v>
      </c>
      <c r="H515" s="25" t="s">
        <v>2609</v>
      </c>
      <c r="I515" s="25" t="s">
        <v>5021</v>
      </c>
      <c r="J515" s="25" t="s">
        <v>2661</v>
      </c>
      <c r="K515" s="25" t="s">
        <v>2510</v>
      </c>
      <c r="L515" s="25" t="s">
        <v>2537</v>
      </c>
      <c r="M515" s="26" t="s">
        <v>2538</v>
      </c>
      <c r="N515" s="25" t="s">
        <v>2539</v>
      </c>
      <c r="O515" s="26" t="s">
        <v>2540</v>
      </c>
      <c r="P515" s="27" t="s">
        <v>5022</v>
      </c>
      <c r="Q515" s="25" t="s">
        <v>4453</v>
      </c>
      <c r="R515" s="25" t="s">
        <v>2516</v>
      </c>
      <c r="S515" s="25" t="s">
        <v>173</v>
      </c>
      <c r="T515" s="25">
        <v>1</v>
      </c>
      <c r="U515" s="25" t="s">
        <v>2517</v>
      </c>
      <c r="V515" s="25" t="s">
        <v>5023</v>
      </c>
      <c r="W515" s="25" t="s">
        <v>5011</v>
      </c>
      <c r="X515" s="59">
        <v>45783.495833333327</v>
      </c>
      <c r="Y515" s="25" t="s">
        <v>5024</v>
      </c>
      <c r="Z515" s="25">
        <v>0.4</v>
      </c>
      <c r="AA515" s="25"/>
      <c r="AB515" s="25" t="s">
        <v>2521</v>
      </c>
      <c r="AC515" s="27" t="s">
        <v>5025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5026</v>
      </c>
      <c r="E516" s="25" t="s">
        <v>2504</v>
      </c>
      <c r="F516" s="25">
        <v>4422</v>
      </c>
      <c r="G516" s="25" t="s">
        <v>4452</v>
      </c>
      <c r="H516" s="25" t="s">
        <v>2609</v>
      </c>
      <c r="I516" s="25" t="s">
        <v>5027</v>
      </c>
      <c r="J516" s="25" t="s">
        <v>2661</v>
      </c>
      <c r="K516" s="25" t="s">
        <v>2510</v>
      </c>
      <c r="L516" s="25" t="s">
        <v>2537</v>
      </c>
      <c r="M516" s="26" t="s">
        <v>2538</v>
      </c>
      <c r="N516" s="25" t="s">
        <v>2539</v>
      </c>
      <c r="O516" s="26" t="s">
        <v>2540</v>
      </c>
      <c r="P516" s="27" t="s">
        <v>5028</v>
      </c>
      <c r="Q516" s="25" t="s">
        <v>4453</v>
      </c>
      <c r="R516" s="25" t="s">
        <v>2516</v>
      </c>
      <c r="S516" s="25" t="s">
        <v>173</v>
      </c>
      <c r="T516" s="25">
        <v>1</v>
      </c>
      <c r="U516" s="25" t="s">
        <v>2517</v>
      </c>
      <c r="V516" s="25" t="s">
        <v>5029</v>
      </c>
      <c r="W516" s="25" t="s">
        <v>5011</v>
      </c>
      <c r="X516" s="59">
        <v>45783.49722222222</v>
      </c>
      <c r="Y516" s="25" t="s">
        <v>5030</v>
      </c>
      <c r="Z516" s="25">
        <v>0.4</v>
      </c>
      <c r="AA516" s="25"/>
      <c r="AB516" s="25" t="s">
        <v>2521</v>
      </c>
      <c r="AC516" s="27" t="s">
        <v>5031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5032</v>
      </c>
      <c r="E517" s="25" t="s">
        <v>2504</v>
      </c>
      <c r="F517" s="25">
        <v>3243</v>
      </c>
      <c r="G517" s="25" t="s">
        <v>4087</v>
      </c>
      <c r="H517" s="25" t="s">
        <v>3148</v>
      </c>
      <c r="I517" s="25" t="s">
        <v>5033</v>
      </c>
      <c r="J517" s="25" t="s">
        <v>2509</v>
      </c>
      <c r="K517" s="25" t="s">
        <v>2568</v>
      </c>
      <c r="L517" s="25" t="s">
        <v>2611</v>
      </c>
      <c r="M517" s="26" t="s">
        <v>2612</v>
      </c>
      <c r="N517" s="25" t="s">
        <v>2892</v>
      </c>
      <c r="O517" s="26" t="s">
        <v>2893</v>
      </c>
      <c r="P517" s="27" t="s">
        <v>5034</v>
      </c>
      <c r="Q517" s="25" t="s">
        <v>4088</v>
      </c>
      <c r="R517" s="25" t="s">
        <v>2516</v>
      </c>
      <c r="S517" s="25" t="s">
        <v>185</v>
      </c>
      <c r="T517" s="25">
        <v>1</v>
      </c>
      <c r="U517" s="25" t="s">
        <v>2517</v>
      </c>
      <c r="V517" s="25" t="s">
        <v>5035</v>
      </c>
      <c r="W517" s="25" t="s">
        <v>4992</v>
      </c>
      <c r="X517" s="59">
        <v>45783.5625</v>
      </c>
      <c r="Y517" s="25" t="s">
        <v>5036</v>
      </c>
      <c r="Z517" s="25">
        <v>0.5</v>
      </c>
      <c r="AA517" s="25"/>
      <c r="AB517" s="25" t="s">
        <v>2521</v>
      </c>
      <c r="AC517" s="27" t="s">
        <v>5037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2763</v>
      </c>
      <c r="H518" s="25" t="s">
        <v>2659</v>
      </c>
      <c r="I518" s="25"/>
      <c r="J518" s="25"/>
      <c r="K518" s="25"/>
      <c r="L518" s="25"/>
      <c r="M518" s="26"/>
      <c r="N518" s="25"/>
      <c r="O518" s="26"/>
      <c r="P518" s="27"/>
      <c r="Q518" s="25" t="s">
        <v>2767</v>
      </c>
      <c r="R518" s="25" t="s">
        <v>2516</v>
      </c>
      <c r="S518" s="25" t="s">
        <v>185</v>
      </c>
      <c r="T518" s="25">
        <v>1</v>
      </c>
      <c r="U518" s="25" t="s">
        <v>2517</v>
      </c>
      <c r="V518" s="25" t="s">
        <v>5038</v>
      </c>
      <c r="W518" s="25" t="s">
        <v>5039</v>
      </c>
      <c r="X518" s="59">
        <v>45783.4375</v>
      </c>
      <c r="Y518" s="25"/>
      <c r="Z518" s="25">
        <v>0.5</v>
      </c>
      <c r="AA518" s="25"/>
      <c r="AB518" s="25" t="s">
        <v>2521</v>
      </c>
      <c r="AC518" s="27" t="s">
        <v>4565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3334</v>
      </c>
      <c r="H519" s="25" t="s">
        <v>2996</v>
      </c>
      <c r="I519" s="25"/>
      <c r="J519" s="25"/>
      <c r="K519" s="25"/>
      <c r="L519" s="25"/>
      <c r="M519" s="26"/>
      <c r="N519" s="25"/>
      <c r="O519" s="26"/>
      <c r="P519" s="27"/>
      <c r="Q519" s="25" t="s">
        <v>3335</v>
      </c>
      <c r="R519" s="25" t="s">
        <v>2516</v>
      </c>
      <c r="S519" s="25" t="s">
        <v>185</v>
      </c>
      <c r="T519" s="25">
        <v>1</v>
      </c>
      <c r="U519" s="25" t="s">
        <v>2517</v>
      </c>
      <c r="V519" s="25" t="s">
        <v>5040</v>
      </c>
      <c r="W519" s="25" t="s">
        <v>5041</v>
      </c>
      <c r="X519" s="59">
        <v>45783.489583333343</v>
      </c>
      <c r="Y519" s="25"/>
      <c r="Z519" s="25">
        <v>0.5</v>
      </c>
      <c r="AA519" s="25"/>
      <c r="AB519" s="25" t="s">
        <v>2521</v>
      </c>
      <c r="AC519" s="27" t="s">
        <v>4565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4087</v>
      </c>
      <c r="H520" s="25" t="s">
        <v>3148</v>
      </c>
      <c r="I520" s="25"/>
      <c r="J520" s="25"/>
      <c r="K520" s="25"/>
      <c r="L520" s="25"/>
      <c r="M520" s="26"/>
      <c r="N520" s="25"/>
      <c r="O520" s="26"/>
      <c r="P520" s="27"/>
      <c r="Q520" s="25" t="s">
        <v>4088</v>
      </c>
      <c r="R520" s="25" t="s">
        <v>2516</v>
      </c>
      <c r="S520" s="25" t="s">
        <v>185</v>
      </c>
      <c r="T520" s="25">
        <v>1</v>
      </c>
      <c r="U520" s="25" t="s">
        <v>2517</v>
      </c>
      <c r="V520" s="25" t="s">
        <v>5042</v>
      </c>
      <c r="W520" s="25" t="s">
        <v>5043</v>
      </c>
      <c r="X520" s="59">
        <v>45783.572916666657</v>
      </c>
      <c r="Y520" s="25"/>
      <c r="Z520" s="25">
        <v>0.3</v>
      </c>
      <c r="AA520" s="25"/>
      <c r="AB520" s="25" t="s">
        <v>2521</v>
      </c>
      <c r="AC520" s="27" t="s">
        <v>4565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3563</v>
      </c>
      <c r="G521" s="25" t="s">
        <v>3564</v>
      </c>
      <c r="H521" s="25" t="s">
        <v>2507</v>
      </c>
      <c r="I521" s="25"/>
      <c r="J521" s="25"/>
      <c r="K521" s="25"/>
      <c r="L521" s="25"/>
      <c r="M521" s="26"/>
      <c r="N521" s="25"/>
      <c r="O521" s="26"/>
      <c r="P521" s="27"/>
      <c r="Q521" s="25" t="s">
        <v>3565</v>
      </c>
      <c r="R521" s="25" t="s">
        <v>2516</v>
      </c>
      <c r="S521" s="25" t="s">
        <v>25</v>
      </c>
      <c r="T521" s="25">
        <v>1</v>
      </c>
      <c r="U521" s="25" t="s">
        <v>2517</v>
      </c>
      <c r="V521" s="25" t="s">
        <v>5044</v>
      </c>
      <c r="W521" s="25" t="s">
        <v>5045</v>
      </c>
      <c r="X521" s="59">
        <v>45783.57916666667</v>
      </c>
      <c r="Y521" s="25"/>
      <c r="Z521" s="25">
        <v>0.6</v>
      </c>
      <c r="AA521" s="25"/>
      <c r="AB521" s="25" t="s">
        <v>2521</v>
      </c>
      <c r="AC521" s="27" t="s">
        <v>4565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3621</v>
      </c>
      <c r="H522" s="25" t="s">
        <v>3148</v>
      </c>
      <c r="I522" s="25"/>
      <c r="J522" s="25"/>
      <c r="K522" s="25"/>
      <c r="L522" s="25"/>
      <c r="M522" s="26"/>
      <c r="N522" s="25"/>
      <c r="O522" s="26"/>
      <c r="P522" s="27"/>
      <c r="Q522" s="25" t="s">
        <v>3622</v>
      </c>
      <c r="R522" s="25" t="s">
        <v>2516</v>
      </c>
      <c r="S522" s="25" t="s">
        <v>185</v>
      </c>
      <c r="T522" s="25">
        <v>1</v>
      </c>
      <c r="U522" s="25" t="s">
        <v>2517</v>
      </c>
      <c r="V522" s="25" t="s">
        <v>5046</v>
      </c>
      <c r="W522" s="25" t="s">
        <v>5047</v>
      </c>
      <c r="X522" s="59">
        <v>45783.604166666657</v>
      </c>
      <c r="Y522" s="25"/>
      <c r="Z522" s="25">
        <v>0.5</v>
      </c>
      <c r="AA522" s="25"/>
      <c r="AB522" s="25" t="s">
        <v>2521</v>
      </c>
      <c r="AC522" s="27" t="s">
        <v>4565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3088</v>
      </c>
      <c r="H523" s="25" t="s">
        <v>2507</v>
      </c>
      <c r="I523" s="25"/>
      <c r="J523" s="25"/>
      <c r="K523" s="25"/>
      <c r="L523" s="25"/>
      <c r="M523" s="26"/>
      <c r="N523" s="25"/>
      <c r="O523" s="26"/>
      <c r="P523" s="27"/>
      <c r="Q523" s="25" t="s">
        <v>3089</v>
      </c>
      <c r="R523" s="25" t="s">
        <v>2516</v>
      </c>
      <c r="S523" s="25" t="s">
        <v>25</v>
      </c>
      <c r="T523" s="25">
        <v>1</v>
      </c>
      <c r="U523" s="25" t="s">
        <v>2517</v>
      </c>
      <c r="V523" s="25" t="s">
        <v>5048</v>
      </c>
      <c r="W523" s="25" t="s">
        <v>5049</v>
      </c>
      <c r="X523" s="59">
        <v>45783.611805555563</v>
      </c>
      <c r="Y523" s="25"/>
      <c r="Z523" s="25">
        <v>0.4</v>
      </c>
      <c r="AA523" s="25"/>
      <c r="AB523" s="25" t="s">
        <v>2521</v>
      </c>
      <c r="AC523" s="27" t="s">
        <v>4565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2565</v>
      </c>
      <c r="H524" s="25" t="s">
        <v>2507</v>
      </c>
      <c r="I524" s="25"/>
      <c r="J524" s="25"/>
      <c r="K524" s="25"/>
      <c r="L524" s="25"/>
      <c r="M524" s="26"/>
      <c r="N524" s="25"/>
      <c r="O524" s="26"/>
      <c r="P524" s="27"/>
      <c r="Q524" s="25" t="s">
        <v>2573</v>
      </c>
      <c r="R524" s="25" t="s">
        <v>2516</v>
      </c>
      <c r="S524" s="25" t="s">
        <v>25</v>
      </c>
      <c r="T524" s="25">
        <v>1</v>
      </c>
      <c r="U524" s="25" t="s">
        <v>2517</v>
      </c>
      <c r="V524" s="25" t="s">
        <v>5050</v>
      </c>
      <c r="W524" s="25" t="s">
        <v>5051</v>
      </c>
      <c r="X524" s="59">
        <v>45783.632638888892</v>
      </c>
      <c r="Y524" s="25"/>
      <c r="Z524" s="25">
        <v>0.4</v>
      </c>
      <c r="AA524" s="25"/>
      <c r="AB524" s="25" t="s">
        <v>2521</v>
      </c>
      <c r="AC524" s="27" t="s">
        <v>4565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3629</v>
      </c>
      <c r="H525" s="25" t="s">
        <v>3148</v>
      </c>
      <c r="I525" s="25"/>
      <c r="J525" s="25"/>
      <c r="K525" s="25"/>
      <c r="L525" s="25"/>
      <c r="M525" s="26"/>
      <c r="N525" s="25"/>
      <c r="O525" s="26"/>
      <c r="P525" s="27"/>
      <c r="Q525" s="25" t="s">
        <v>3630</v>
      </c>
      <c r="R525" s="25" t="s">
        <v>2516</v>
      </c>
      <c r="S525" s="25" t="s">
        <v>185</v>
      </c>
      <c r="T525" s="25">
        <v>1</v>
      </c>
      <c r="U525" s="25" t="s">
        <v>2517</v>
      </c>
      <c r="V525" s="25" t="s">
        <v>5052</v>
      </c>
      <c r="W525" s="25" t="s">
        <v>5053</v>
      </c>
      <c r="X525" s="59">
        <v>45783.635416666657</v>
      </c>
      <c r="Y525" s="25"/>
      <c r="Z525" s="25">
        <v>0.5</v>
      </c>
      <c r="AA525" s="25"/>
      <c r="AB525" s="25" t="s">
        <v>2521</v>
      </c>
      <c r="AC525" s="27" t="s">
        <v>4565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5054</v>
      </c>
      <c r="E526" s="25" t="s">
        <v>2504</v>
      </c>
      <c r="F526" s="25">
        <v>4834</v>
      </c>
      <c r="G526" s="25" t="s">
        <v>3629</v>
      </c>
      <c r="H526" s="25" t="s">
        <v>3148</v>
      </c>
      <c r="I526" s="25" t="s">
        <v>5055</v>
      </c>
      <c r="J526" s="25" t="s">
        <v>2509</v>
      </c>
      <c r="K526" s="25" t="s">
        <v>2510</v>
      </c>
      <c r="L526" s="25" t="s">
        <v>2525</v>
      </c>
      <c r="M526" s="26" t="s">
        <v>2526</v>
      </c>
      <c r="N526" s="25">
        <v>5801</v>
      </c>
      <c r="O526" s="26" t="s">
        <v>2527</v>
      </c>
      <c r="P526" s="27" t="s">
        <v>5056</v>
      </c>
      <c r="Q526" s="25" t="s">
        <v>3630</v>
      </c>
      <c r="R526" s="25" t="s">
        <v>2516</v>
      </c>
      <c r="S526" s="25" t="s">
        <v>185</v>
      </c>
      <c r="T526" s="25">
        <v>1</v>
      </c>
      <c r="U526" s="25" t="s">
        <v>2517</v>
      </c>
      <c r="V526" s="25" t="s">
        <v>5057</v>
      </c>
      <c r="W526" s="25" t="s">
        <v>5058</v>
      </c>
      <c r="X526" s="59">
        <v>45783.698611111111</v>
      </c>
      <c r="Y526" s="25" t="s">
        <v>5059</v>
      </c>
      <c r="Z526" s="25">
        <v>0.5</v>
      </c>
      <c r="AA526" s="25"/>
      <c r="AB526" s="25" t="s">
        <v>2521</v>
      </c>
      <c r="AC526" s="27" t="s">
        <v>5060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3096</v>
      </c>
      <c r="H527" s="25" t="s">
        <v>2507</v>
      </c>
      <c r="I527" s="25"/>
      <c r="J527" s="25"/>
      <c r="K527" s="25"/>
      <c r="L527" s="25"/>
      <c r="M527" s="26"/>
      <c r="N527" s="25"/>
      <c r="O527" s="26"/>
      <c r="P527" s="27"/>
      <c r="Q527" s="25" t="s">
        <v>3097</v>
      </c>
      <c r="R527" s="25" t="s">
        <v>2516</v>
      </c>
      <c r="S527" s="25" t="s">
        <v>25</v>
      </c>
      <c r="T527" s="25">
        <v>1</v>
      </c>
      <c r="U527" s="25" t="s">
        <v>2517</v>
      </c>
      <c r="V527" s="25" t="s">
        <v>5061</v>
      </c>
      <c r="W527" s="25" t="s">
        <v>5062</v>
      </c>
      <c r="X527" s="59">
        <v>45783.678472222222</v>
      </c>
      <c r="Y527" s="25"/>
      <c r="Z527" s="25">
        <v>0.5</v>
      </c>
      <c r="AA527" s="25"/>
      <c r="AB527" s="25" t="s">
        <v>2521</v>
      </c>
      <c r="AC527" s="27" t="s">
        <v>4565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3096</v>
      </c>
      <c r="H528" s="25" t="s">
        <v>2507</v>
      </c>
      <c r="I528" s="25"/>
      <c r="J528" s="25"/>
      <c r="K528" s="25"/>
      <c r="L528" s="25"/>
      <c r="M528" s="26"/>
      <c r="N528" s="25"/>
      <c r="O528" s="26"/>
      <c r="P528" s="27"/>
      <c r="Q528" s="25" t="s">
        <v>3097</v>
      </c>
      <c r="R528" s="25" t="s">
        <v>2516</v>
      </c>
      <c r="S528" s="25" t="s">
        <v>25</v>
      </c>
      <c r="T528" s="25">
        <v>1</v>
      </c>
      <c r="U528" s="25" t="s">
        <v>2517</v>
      </c>
      <c r="V528" s="25" t="s">
        <v>5063</v>
      </c>
      <c r="W528" s="25" t="s">
        <v>5062</v>
      </c>
      <c r="X528" s="59">
        <v>45783.678472222222</v>
      </c>
      <c r="Y528" s="25"/>
      <c r="Z528" s="25">
        <v>0.5</v>
      </c>
      <c r="AA528" s="25"/>
      <c r="AB528" s="25" t="s">
        <v>2521</v>
      </c>
      <c r="AC528" s="27" t="s">
        <v>4565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2534</v>
      </c>
      <c r="H529" s="25" t="s">
        <v>2507</v>
      </c>
      <c r="I529" s="25"/>
      <c r="J529" s="25"/>
      <c r="K529" s="25"/>
      <c r="L529" s="25"/>
      <c r="M529" s="26"/>
      <c r="N529" s="25"/>
      <c r="O529" s="26"/>
      <c r="P529" s="27"/>
      <c r="Q529" s="25" t="s">
        <v>2542</v>
      </c>
      <c r="R529" s="25" t="s">
        <v>2516</v>
      </c>
      <c r="S529" s="25" t="s">
        <v>25</v>
      </c>
      <c r="T529" s="25">
        <v>1</v>
      </c>
      <c r="U529" s="25" t="s">
        <v>2517</v>
      </c>
      <c r="V529" s="25" t="s">
        <v>5064</v>
      </c>
      <c r="W529" s="25" t="s">
        <v>5065</v>
      </c>
      <c r="X529" s="59">
        <v>45784.458333333343</v>
      </c>
      <c r="Y529" s="25"/>
      <c r="Z529" s="25">
        <v>0.3</v>
      </c>
      <c r="AA529" s="25"/>
      <c r="AB529" s="25" t="s">
        <v>2521</v>
      </c>
      <c r="AC529" s="27" t="s">
        <v>4565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5066</v>
      </c>
      <c r="E530" s="25" t="s">
        <v>2504</v>
      </c>
      <c r="F530" s="25">
        <v>2209</v>
      </c>
      <c r="G530" s="25" t="s">
        <v>2855</v>
      </c>
      <c r="H530" s="25" t="s">
        <v>2507</v>
      </c>
      <c r="I530" s="25" t="s">
        <v>5067</v>
      </c>
      <c r="J530" s="25" t="s">
        <v>2536</v>
      </c>
      <c r="K530" s="25" t="s">
        <v>2568</v>
      </c>
      <c r="L530" s="25" t="s">
        <v>2846</v>
      </c>
      <c r="M530" s="26" t="s">
        <v>2847</v>
      </c>
      <c r="N530" s="25">
        <v>2403</v>
      </c>
      <c r="O530" s="26" t="s">
        <v>4550</v>
      </c>
      <c r="P530" s="27" t="s">
        <v>5068</v>
      </c>
      <c r="Q530" s="25" t="s">
        <v>2856</v>
      </c>
      <c r="R530" s="25" t="s">
        <v>2516</v>
      </c>
      <c r="S530" s="25" t="s">
        <v>25</v>
      </c>
      <c r="T530" s="25">
        <v>1</v>
      </c>
      <c r="U530" s="25" t="s">
        <v>2517</v>
      </c>
      <c r="V530" s="25" t="s">
        <v>5069</v>
      </c>
      <c r="W530" s="25" t="s">
        <v>5070</v>
      </c>
      <c r="X530" s="59">
        <v>45785.436805555553</v>
      </c>
      <c r="Y530" s="25" t="s">
        <v>5071</v>
      </c>
      <c r="Z530" s="25">
        <v>0.5</v>
      </c>
      <c r="AA530" s="25"/>
      <c r="AB530" s="25" t="s">
        <v>2521</v>
      </c>
      <c r="AC530" s="27" t="s">
        <v>4555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2855</v>
      </c>
      <c r="H531" s="25" t="s">
        <v>2507</v>
      </c>
      <c r="I531" s="25"/>
      <c r="J531" s="25"/>
      <c r="K531" s="25"/>
      <c r="L531" s="25"/>
      <c r="M531" s="26"/>
      <c r="N531" s="25"/>
      <c r="O531" s="26"/>
      <c r="P531" s="27"/>
      <c r="Q531" s="25" t="s">
        <v>2856</v>
      </c>
      <c r="R531" s="25" t="s">
        <v>2516</v>
      </c>
      <c r="S531" s="25" t="s">
        <v>25</v>
      </c>
      <c r="T531" s="25">
        <v>1</v>
      </c>
      <c r="U531" s="25" t="s">
        <v>2517</v>
      </c>
      <c r="V531" s="25" t="s">
        <v>5072</v>
      </c>
      <c r="W531" s="25" t="s">
        <v>5073</v>
      </c>
      <c r="X531" s="59">
        <v>45784.496527777781</v>
      </c>
      <c r="Y531" s="25"/>
      <c r="Z531" s="25">
        <v>0.4</v>
      </c>
      <c r="AA531" s="25"/>
      <c r="AB531" s="25" t="s">
        <v>2521</v>
      </c>
      <c r="AC531" s="27" t="s">
        <v>4565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3851</v>
      </c>
      <c r="H532" s="25" t="s">
        <v>2507</v>
      </c>
      <c r="I532" s="25"/>
      <c r="J532" s="25"/>
      <c r="K532" s="25"/>
      <c r="L532" s="25"/>
      <c r="M532" s="26"/>
      <c r="N532" s="25"/>
      <c r="O532" s="26"/>
      <c r="P532" s="27"/>
      <c r="Q532" s="25" t="s">
        <v>3852</v>
      </c>
      <c r="R532" s="25" t="s">
        <v>2516</v>
      </c>
      <c r="S532" s="25" t="s">
        <v>25</v>
      </c>
      <c r="T532" s="25">
        <v>1</v>
      </c>
      <c r="U532" s="25" t="s">
        <v>2517</v>
      </c>
      <c r="V532" s="25" t="s">
        <v>5074</v>
      </c>
      <c r="W532" s="25" t="s">
        <v>5075</v>
      </c>
      <c r="X532" s="59">
        <v>45784.527777777781</v>
      </c>
      <c r="Y532" s="25"/>
      <c r="Z532" s="25">
        <v>0.4</v>
      </c>
      <c r="AA532" s="25"/>
      <c r="AB532" s="25" t="s">
        <v>2521</v>
      </c>
      <c r="AC532" s="27" t="s">
        <v>4565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3568</v>
      </c>
      <c r="H533" s="25" t="s">
        <v>2507</v>
      </c>
      <c r="I533" s="25"/>
      <c r="J533" s="25"/>
      <c r="K533" s="25"/>
      <c r="L533" s="25"/>
      <c r="M533" s="26"/>
      <c r="N533" s="25"/>
      <c r="O533" s="26"/>
      <c r="P533" s="27"/>
      <c r="Q533" s="25" t="s">
        <v>3569</v>
      </c>
      <c r="R533" s="25" t="s">
        <v>2516</v>
      </c>
      <c r="S533" s="25" t="s">
        <v>25</v>
      </c>
      <c r="T533" s="25">
        <v>1</v>
      </c>
      <c r="U533" s="25" t="s">
        <v>2517</v>
      </c>
      <c r="V533" s="25" t="s">
        <v>5076</v>
      </c>
      <c r="W533" s="25" t="s">
        <v>5077</v>
      </c>
      <c r="X533" s="59">
        <v>45784.618055555547</v>
      </c>
      <c r="Y533" s="25"/>
      <c r="Z533" s="25">
        <v>0.5</v>
      </c>
      <c r="AA533" s="25"/>
      <c r="AB533" s="25" t="s">
        <v>2521</v>
      </c>
      <c r="AC533" s="27" t="s">
        <v>4565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3593</v>
      </c>
      <c r="H534" s="25" t="s">
        <v>2507</v>
      </c>
      <c r="I534" s="25"/>
      <c r="J534" s="25"/>
      <c r="K534" s="25"/>
      <c r="L534" s="25"/>
      <c r="M534" s="26"/>
      <c r="N534" s="25"/>
      <c r="O534" s="26"/>
      <c r="P534" s="27"/>
      <c r="Q534" s="25" t="s">
        <v>3594</v>
      </c>
      <c r="R534" s="25" t="s">
        <v>2516</v>
      </c>
      <c r="S534" s="25" t="s">
        <v>25</v>
      </c>
      <c r="T534" s="25">
        <v>1</v>
      </c>
      <c r="U534" s="25" t="s">
        <v>2517</v>
      </c>
      <c r="V534" s="25" t="s">
        <v>5078</v>
      </c>
      <c r="W534" s="25" t="s">
        <v>5079</v>
      </c>
      <c r="X534" s="59">
        <v>45784.63958333333</v>
      </c>
      <c r="Y534" s="25"/>
      <c r="Z534" s="25">
        <v>0.4</v>
      </c>
      <c r="AA534" s="25"/>
      <c r="AB534" s="25" t="s">
        <v>2521</v>
      </c>
      <c r="AC534" s="27" t="s">
        <v>4565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3229</v>
      </c>
      <c r="H535" s="25" t="s">
        <v>2507</v>
      </c>
      <c r="I535" s="25"/>
      <c r="J535" s="25"/>
      <c r="K535" s="25"/>
      <c r="L535" s="25"/>
      <c r="M535" s="26"/>
      <c r="N535" s="25"/>
      <c r="O535" s="26"/>
      <c r="P535" s="27"/>
      <c r="Q535" s="25" t="s">
        <v>3232</v>
      </c>
      <c r="R535" s="25" t="s">
        <v>2516</v>
      </c>
      <c r="S535" s="25" t="s">
        <v>25</v>
      </c>
      <c r="T535" s="25">
        <v>1</v>
      </c>
      <c r="U535" s="25" t="s">
        <v>2517</v>
      </c>
      <c r="V535" s="25" t="s">
        <v>5080</v>
      </c>
      <c r="W535" s="25" t="s">
        <v>5081</v>
      </c>
      <c r="X535" s="59">
        <v>45785.459722222222</v>
      </c>
      <c r="Y535" s="25"/>
      <c r="Z535" s="25">
        <v>0.3</v>
      </c>
      <c r="AA535" s="25"/>
      <c r="AB535" s="25" t="s">
        <v>2521</v>
      </c>
      <c r="AC535" s="27" t="s">
        <v>4565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3890</v>
      </c>
      <c r="G536" s="25" t="s">
        <v>3891</v>
      </c>
      <c r="H536" s="25" t="s">
        <v>2641</v>
      </c>
      <c r="I536" s="25"/>
      <c r="J536" s="25"/>
      <c r="K536" s="25"/>
      <c r="L536" s="25"/>
      <c r="M536" s="26"/>
      <c r="N536" s="25"/>
      <c r="O536" s="26"/>
      <c r="P536" s="27"/>
      <c r="Q536" s="25" t="s">
        <v>3892</v>
      </c>
      <c r="R536" s="25" t="s">
        <v>2516</v>
      </c>
      <c r="S536" s="25" t="s">
        <v>25</v>
      </c>
      <c r="T536" s="25">
        <v>1</v>
      </c>
      <c r="U536" s="25" t="s">
        <v>2517</v>
      </c>
      <c r="V536" s="25" t="s">
        <v>5082</v>
      </c>
      <c r="W536" s="25" t="s">
        <v>5083</v>
      </c>
      <c r="X536" s="59">
        <v>45785.497916666667</v>
      </c>
      <c r="Y536" s="25"/>
      <c r="Z536" s="25">
        <v>0.3</v>
      </c>
      <c r="AA536" s="25"/>
      <c r="AB536" s="25" t="s">
        <v>2521</v>
      </c>
      <c r="AC536" s="27" t="s">
        <v>4684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2729</v>
      </c>
      <c r="H537" s="25" t="s">
        <v>2641</v>
      </c>
      <c r="I537" s="25"/>
      <c r="J537" s="25"/>
      <c r="K537" s="25"/>
      <c r="L537" s="25"/>
      <c r="M537" s="26"/>
      <c r="N537" s="25"/>
      <c r="O537" s="26"/>
      <c r="P537" s="27"/>
      <c r="Q537" s="25" t="s">
        <v>2730</v>
      </c>
      <c r="R537" s="25" t="s">
        <v>2516</v>
      </c>
      <c r="S537" s="25" t="s">
        <v>25</v>
      </c>
      <c r="T537" s="25">
        <v>1</v>
      </c>
      <c r="U537" s="25" t="s">
        <v>2517</v>
      </c>
      <c r="V537" s="25" t="s">
        <v>5084</v>
      </c>
      <c r="W537" s="25" t="s">
        <v>5085</v>
      </c>
      <c r="X537" s="59">
        <v>45785.518750000003</v>
      </c>
      <c r="Y537" s="25"/>
      <c r="Z537" s="25">
        <v>0.3</v>
      </c>
      <c r="AA537" s="25"/>
      <c r="AB537" s="25" t="s">
        <v>2521</v>
      </c>
      <c r="AC537" s="27" t="s">
        <v>4565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3709</v>
      </c>
      <c r="H538" s="25" t="s">
        <v>2641</v>
      </c>
      <c r="I538" s="25"/>
      <c r="J538" s="25"/>
      <c r="K538" s="25"/>
      <c r="L538" s="25"/>
      <c r="M538" s="26"/>
      <c r="N538" s="25"/>
      <c r="O538" s="26"/>
      <c r="P538" s="27"/>
      <c r="Q538" s="25" t="s">
        <v>3710</v>
      </c>
      <c r="R538" s="25" t="s">
        <v>2516</v>
      </c>
      <c r="S538" s="25" t="s">
        <v>25</v>
      </c>
      <c r="T538" s="25">
        <v>1</v>
      </c>
      <c r="U538" s="25" t="s">
        <v>2517</v>
      </c>
      <c r="V538" s="25" t="s">
        <v>5086</v>
      </c>
      <c r="W538" s="25" t="s">
        <v>5087</v>
      </c>
      <c r="X538" s="59">
        <v>45785.534722222219</v>
      </c>
      <c r="Y538" s="25"/>
      <c r="Z538" s="25">
        <v>0.3</v>
      </c>
      <c r="AA538" s="25"/>
      <c r="AB538" s="25" t="s">
        <v>2521</v>
      </c>
      <c r="AC538" s="27" t="s">
        <v>4565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3092</v>
      </c>
      <c r="H539" s="25" t="s">
        <v>2641</v>
      </c>
      <c r="I539" s="25"/>
      <c r="J539" s="25"/>
      <c r="K539" s="25"/>
      <c r="L539" s="25"/>
      <c r="M539" s="26"/>
      <c r="N539" s="25"/>
      <c r="O539" s="26"/>
      <c r="P539" s="27"/>
      <c r="Q539" s="25" t="s">
        <v>3093</v>
      </c>
      <c r="R539" s="25" t="s">
        <v>2516</v>
      </c>
      <c r="S539" s="25" t="s">
        <v>25</v>
      </c>
      <c r="T539" s="25">
        <v>1</v>
      </c>
      <c r="U539" s="25" t="s">
        <v>2517</v>
      </c>
      <c r="V539" s="25" t="s">
        <v>5088</v>
      </c>
      <c r="W539" s="25" t="s">
        <v>5089</v>
      </c>
      <c r="X539" s="59">
        <v>45785.598611111112</v>
      </c>
      <c r="Y539" s="25"/>
      <c r="Z539" s="25">
        <v>0.4</v>
      </c>
      <c r="AA539" s="25"/>
      <c r="AB539" s="25" t="s">
        <v>2521</v>
      </c>
      <c r="AC539" s="27" t="s">
        <v>4565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5090</v>
      </c>
      <c r="E540" s="25" t="s">
        <v>2504</v>
      </c>
      <c r="F540" s="25">
        <v>5316</v>
      </c>
      <c r="G540" s="25" t="s">
        <v>4356</v>
      </c>
      <c r="H540" s="25" t="s">
        <v>2507</v>
      </c>
      <c r="I540" s="25" t="s">
        <v>5091</v>
      </c>
      <c r="J540" s="25" t="s">
        <v>2567</v>
      </c>
      <c r="K540" s="25" t="s">
        <v>2510</v>
      </c>
      <c r="L540" s="25" t="s">
        <v>3497</v>
      </c>
      <c r="M540" s="26" t="s">
        <v>3498</v>
      </c>
      <c r="N540" s="25">
        <v>3404</v>
      </c>
      <c r="O540" s="26" t="s">
        <v>3499</v>
      </c>
      <c r="P540" s="27" t="s">
        <v>5092</v>
      </c>
      <c r="Q540" s="25" t="s">
        <v>4357</v>
      </c>
      <c r="R540" s="25" t="s">
        <v>2516</v>
      </c>
      <c r="S540" s="25" t="s">
        <v>25</v>
      </c>
      <c r="T540" s="25">
        <v>1</v>
      </c>
      <c r="U540" s="25" t="s">
        <v>2517</v>
      </c>
      <c r="V540" s="25" t="s">
        <v>5093</v>
      </c>
      <c r="W540" s="25" t="s">
        <v>5094</v>
      </c>
      <c r="X540" s="59">
        <v>45786.517361111109</v>
      </c>
      <c r="Y540" s="25" t="s">
        <v>5095</v>
      </c>
      <c r="Z540" s="25">
        <v>0.5</v>
      </c>
      <c r="AA540" s="25"/>
      <c r="AB540" s="25" t="s">
        <v>2521</v>
      </c>
      <c r="AC540" s="30" t="s">
        <v>5096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3863</v>
      </c>
      <c r="G541" s="25" t="s">
        <v>3864</v>
      </c>
      <c r="H541" s="25" t="s">
        <v>2507</v>
      </c>
      <c r="I541" s="25"/>
      <c r="J541" s="25"/>
      <c r="K541" s="25"/>
      <c r="L541" s="25"/>
      <c r="M541" s="26"/>
      <c r="N541" s="25"/>
      <c r="O541" s="26"/>
      <c r="P541" s="27"/>
      <c r="Q541" s="25" t="s">
        <v>3865</v>
      </c>
      <c r="R541" s="25" t="s">
        <v>2516</v>
      </c>
      <c r="S541" s="25" t="s">
        <v>25</v>
      </c>
      <c r="T541" s="25">
        <v>1</v>
      </c>
      <c r="U541" s="25" t="s">
        <v>2517</v>
      </c>
      <c r="V541" s="25" t="s">
        <v>5097</v>
      </c>
      <c r="W541" s="25" t="s">
        <v>5098</v>
      </c>
      <c r="X541" s="59">
        <v>45786.604166666657</v>
      </c>
      <c r="Y541" s="25"/>
      <c r="Z541" s="25">
        <v>0.5</v>
      </c>
      <c r="AA541" s="25"/>
      <c r="AB541" s="25" t="s">
        <v>2521</v>
      </c>
      <c r="AC541" s="27" t="s">
        <v>4565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3697</v>
      </c>
      <c r="G542" s="25" t="s">
        <v>3698</v>
      </c>
      <c r="H542" s="25" t="s">
        <v>2507</v>
      </c>
      <c r="I542" s="25"/>
      <c r="J542" s="25"/>
      <c r="K542" s="25"/>
      <c r="L542" s="25"/>
      <c r="M542" s="26"/>
      <c r="N542" s="25"/>
      <c r="O542" s="26"/>
      <c r="P542" s="27"/>
      <c r="Q542" s="25" t="s">
        <v>3699</v>
      </c>
      <c r="R542" s="25" t="s">
        <v>2516</v>
      </c>
      <c r="S542" s="25" t="s">
        <v>25</v>
      </c>
      <c r="T542" s="25">
        <v>1</v>
      </c>
      <c r="U542" s="25" t="s">
        <v>2517</v>
      </c>
      <c r="V542" s="25" t="s">
        <v>5099</v>
      </c>
      <c r="W542" s="25" t="s">
        <v>5100</v>
      </c>
      <c r="X542" s="59">
        <v>45786.625</v>
      </c>
      <c r="Y542" s="25"/>
      <c r="Z542" s="25">
        <v>0.3</v>
      </c>
      <c r="AA542" s="25"/>
      <c r="AB542" s="25" t="s">
        <v>2521</v>
      </c>
      <c r="AC542" s="27" t="s">
        <v>4565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3409</v>
      </c>
      <c r="H543" s="25" t="s">
        <v>2659</v>
      </c>
      <c r="I543" s="25"/>
      <c r="J543" s="25"/>
      <c r="K543" s="25"/>
      <c r="L543" s="25"/>
      <c r="M543" s="26"/>
      <c r="N543" s="25"/>
      <c r="O543" s="26"/>
      <c r="P543" s="27"/>
      <c r="Q543" s="25" t="s">
        <v>3410</v>
      </c>
      <c r="R543" s="25" t="s">
        <v>2516</v>
      </c>
      <c r="S543" s="25" t="s">
        <v>185</v>
      </c>
      <c r="T543" s="25">
        <v>1</v>
      </c>
      <c r="U543" s="25" t="s">
        <v>2517</v>
      </c>
      <c r="V543" s="25" t="s">
        <v>5101</v>
      </c>
      <c r="W543" s="25" t="s">
        <v>5102</v>
      </c>
      <c r="X543" s="59">
        <v>45786.638888888891</v>
      </c>
      <c r="Y543" s="25"/>
      <c r="Z543" s="25">
        <v>0.5</v>
      </c>
      <c r="AA543" s="25"/>
      <c r="AB543" s="25" t="s">
        <v>2521</v>
      </c>
      <c r="AC543" s="27" t="s">
        <v>4565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3400</v>
      </c>
      <c r="H544" s="25" t="s">
        <v>2659</v>
      </c>
      <c r="I544" s="25"/>
      <c r="J544" s="25"/>
      <c r="K544" s="25"/>
      <c r="L544" s="25"/>
      <c r="M544" s="26"/>
      <c r="N544" s="25"/>
      <c r="O544" s="26"/>
      <c r="P544" s="27"/>
      <c r="Q544" s="25" t="s">
        <v>3401</v>
      </c>
      <c r="R544" s="25" t="s">
        <v>2516</v>
      </c>
      <c r="S544" s="25" t="s">
        <v>185</v>
      </c>
      <c r="T544" s="25">
        <v>1</v>
      </c>
      <c r="U544" s="25" t="s">
        <v>2517</v>
      </c>
      <c r="V544" s="25" t="s">
        <v>5103</v>
      </c>
      <c r="W544" s="25" t="s">
        <v>5104</v>
      </c>
      <c r="X544" s="59">
        <v>45786.652777777781</v>
      </c>
      <c r="Y544" s="25"/>
      <c r="Z544" s="25">
        <v>0.3</v>
      </c>
      <c r="AA544" s="25"/>
      <c r="AB544" s="25" t="s">
        <v>2521</v>
      </c>
      <c r="AC544" s="27" t="s">
        <v>4565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3693</v>
      </c>
      <c r="H545" s="25" t="s">
        <v>2507</v>
      </c>
      <c r="I545" s="25"/>
      <c r="J545" s="25"/>
      <c r="K545" s="25"/>
      <c r="L545" s="25"/>
      <c r="M545" s="26"/>
      <c r="N545" s="25"/>
      <c r="O545" s="26"/>
      <c r="P545" s="27"/>
      <c r="Q545" s="25" t="s">
        <v>3694</v>
      </c>
      <c r="R545" s="25" t="s">
        <v>2516</v>
      </c>
      <c r="S545" s="25" t="s">
        <v>25</v>
      </c>
      <c r="T545" s="25">
        <v>1</v>
      </c>
      <c r="U545" s="25" t="s">
        <v>2517</v>
      </c>
      <c r="V545" s="25" t="s">
        <v>5105</v>
      </c>
      <c r="W545" s="25" t="s">
        <v>5104</v>
      </c>
      <c r="X545" s="59">
        <v>45786.65625</v>
      </c>
      <c r="Y545" s="25"/>
      <c r="Z545" s="25">
        <v>0.4</v>
      </c>
      <c r="AA545" s="25"/>
      <c r="AB545" s="25" t="s">
        <v>2521</v>
      </c>
      <c r="AC545" s="27" t="s">
        <v>4565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3689</v>
      </c>
      <c r="H546" s="25" t="s">
        <v>2507</v>
      </c>
      <c r="I546" s="25"/>
      <c r="J546" s="25"/>
      <c r="K546" s="25"/>
      <c r="L546" s="25"/>
      <c r="M546" s="26"/>
      <c r="N546" s="25"/>
      <c r="O546" s="26"/>
      <c r="P546" s="27"/>
      <c r="Q546" s="25" t="s">
        <v>3690</v>
      </c>
      <c r="R546" s="25" t="s">
        <v>2516</v>
      </c>
      <c r="S546" s="25" t="s">
        <v>25</v>
      </c>
      <c r="T546" s="25">
        <v>1</v>
      </c>
      <c r="U546" s="25" t="s">
        <v>2517</v>
      </c>
      <c r="V546" s="25" t="s">
        <v>5106</v>
      </c>
      <c r="W546" s="25" t="s">
        <v>5107</v>
      </c>
      <c r="X546" s="59">
        <v>45786.679861111108</v>
      </c>
      <c r="Y546" s="25"/>
      <c r="Z546" s="25">
        <v>0.3</v>
      </c>
      <c r="AA546" s="25"/>
      <c r="AB546" s="25" t="s">
        <v>2521</v>
      </c>
      <c r="AC546" s="27" t="s">
        <v>4565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3394</v>
      </c>
      <c r="H547" s="25" t="s">
        <v>2659</v>
      </c>
      <c r="I547" s="25"/>
      <c r="J547" s="25"/>
      <c r="K547" s="25"/>
      <c r="L547" s="25"/>
      <c r="M547" s="26"/>
      <c r="N547" s="25"/>
      <c r="O547" s="26"/>
      <c r="P547" s="27"/>
      <c r="Q547" s="25" t="s">
        <v>3395</v>
      </c>
      <c r="R547" s="25" t="s">
        <v>2516</v>
      </c>
      <c r="S547" s="25" t="s">
        <v>185</v>
      </c>
      <c r="T547" s="25">
        <v>1</v>
      </c>
      <c r="U547" s="25" t="s">
        <v>2517</v>
      </c>
      <c r="V547" s="25" t="s">
        <v>5108</v>
      </c>
      <c r="W547" s="25" t="s">
        <v>5109</v>
      </c>
      <c r="X547" s="59">
        <v>45786.666666666657</v>
      </c>
      <c r="Y547" s="25"/>
      <c r="Z547" s="25">
        <v>0.3</v>
      </c>
      <c r="AA547" s="25"/>
      <c r="AB547" s="25" t="s">
        <v>2521</v>
      </c>
      <c r="AC547" s="27" t="s">
        <v>4565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5110</v>
      </c>
      <c r="E548" s="25" t="s">
        <v>2504</v>
      </c>
      <c r="F548" s="25">
        <v>4208</v>
      </c>
      <c r="G548" s="25" t="s">
        <v>3400</v>
      </c>
      <c r="H548" s="25" t="s">
        <v>2659</v>
      </c>
      <c r="I548" s="25" t="s">
        <v>5111</v>
      </c>
      <c r="J548" s="25" t="s">
        <v>2930</v>
      </c>
      <c r="K548" s="25" t="s">
        <v>2765</v>
      </c>
      <c r="L548" s="25" t="s">
        <v>2537</v>
      </c>
      <c r="M548" s="26" t="s">
        <v>2538</v>
      </c>
      <c r="N548" s="25" t="s">
        <v>2539</v>
      </c>
      <c r="O548" s="26" t="s">
        <v>2540</v>
      </c>
      <c r="P548" s="27" t="s">
        <v>5112</v>
      </c>
      <c r="Q548" s="25" t="s">
        <v>3401</v>
      </c>
      <c r="R548" s="25" t="s">
        <v>2516</v>
      </c>
      <c r="S548" s="25" t="s">
        <v>185</v>
      </c>
      <c r="T548" s="25">
        <v>1</v>
      </c>
      <c r="U548" s="25" t="s">
        <v>2517</v>
      </c>
      <c r="V548" s="25" t="s">
        <v>5113</v>
      </c>
      <c r="W548" s="25" t="s">
        <v>5114</v>
      </c>
      <c r="X548" s="59">
        <v>45789.4375</v>
      </c>
      <c r="Y548" s="25" t="s">
        <v>5115</v>
      </c>
      <c r="Z548" s="25">
        <v>0.5</v>
      </c>
      <c r="AA548" s="25"/>
      <c r="AB548" s="25" t="s">
        <v>2521</v>
      </c>
      <c r="AC548" s="27" t="s">
        <v>5116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5117</v>
      </c>
      <c r="E549" s="25" t="s">
        <v>2504</v>
      </c>
      <c r="F549" s="25">
        <v>4208</v>
      </c>
      <c r="G549" s="25" t="s">
        <v>3400</v>
      </c>
      <c r="H549" s="25" t="s">
        <v>2659</v>
      </c>
      <c r="I549" s="25" t="s">
        <v>5118</v>
      </c>
      <c r="J549" s="25" t="s">
        <v>2930</v>
      </c>
      <c r="K549" s="25" t="s">
        <v>2568</v>
      </c>
      <c r="L549" s="25" t="s">
        <v>2537</v>
      </c>
      <c r="M549" s="26" t="s">
        <v>2538</v>
      </c>
      <c r="N549" s="25" t="s">
        <v>2539</v>
      </c>
      <c r="O549" s="26" t="s">
        <v>2540</v>
      </c>
      <c r="P549" s="27" t="s">
        <v>5119</v>
      </c>
      <c r="Q549" s="25" t="s">
        <v>3401</v>
      </c>
      <c r="R549" s="25" t="s">
        <v>2516</v>
      </c>
      <c r="S549" s="25" t="s">
        <v>185</v>
      </c>
      <c r="T549" s="25">
        <v>1</v>
      </c>
      <c r="U549" s="25" t="s">
        <v>2517</v>
      </c>
      <c r="V549" s="25" t="s">
        <v>5120</v>
      </c>
      <c r="W549" s="25" t="s">
        <v>5121</v>
      </c>
      <c r="X549" s="59">
        <v>45789.458333333343</v>
      </c>
      <c r="Y549" s="25" t="s">
        <v>5115</v>
      </c>
      <c r="Z549" s="25">
        <v>0.5</v>
      </c>
      <c r="AA549" s="25"/>
      <c r="AB549" s="25" t="s">
        <v>2521</v>
      </c>
      <c r="AC549" s="27" t="s">
        <v>5122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5123</v>
      </c>
      <c r="E550" s="25" t="s">
        <v>2504</v>
      </c>
      <c r="F550" s="25">
        <v>2403</v>
      </c>
      <c r="G550" s="25" t="s">
        <v>4288</v>
      </c>
      <c r="H550" s="25" t="s">
        <v>2609</v>
      </c>
      <c r="I550" s="25" t="s">
        <v>5124</v>
      </c>
      <c r="J550" s="25" t="s">
        <v>2930</v>
      </c>
      <c r="K550" s="25" t="s">
        <v>2568</v>
      </c>
      <c r="L550" s="25" t="s">
        <v>2511</v>
      </c>
      <c r="M550" s="26" t="s">
        <v>2512</v>
      </c>
      <c r="N550" s="25">
        <v>2306</v>
      </c>
      <c r="O550" s="26" t="s">
        <v>2893</v>
      </c>
      <c r="P550" s="27" t="s">
        <v>5125</v>
      </c>
      <c r="Q550" s="25" t="s">
        <v>4289</v>
      </c>
      <c r="R550" s="25" t="s">
        <v>2516</v>
      </c>
      <c r="S550" s="25" t="s">
        <v>173</v>
      </c>
      <c r="T550" s="25">
        <v>1</v>
      </c>
      <c r="U550" s="25" t="s">
        <v>2517</v>
      </c>
      <c r="V550" s="25" t="s">
        <v>5126</v>
      </c>
      <c r="W550" s="25" t="s">
        <v>5127</v>
      </c>
      <c r="X550" s="59">
        <v>45790.5</v>
      </c>
      <c r="Y550" s="25" t="s">
        <v>5115</v>
      </c>
      <c r="Z550" s="25">
        <v>0.7</v>
      </c>
      <c r="AA550" s="25"/>
      <c r="AB550" s="25" t="s">
        <v>2521</v>
      </c>
      <c r="AC550" s="27" t="s">
        <v>5128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5129</v>
      </c>
      <c r="E551" s="25" t="s">
        <v>2843</v>
      </c>
      <c r="F551" s="25">
        <v>4528</v>
      </c>
      <c r="G551" s="25" t="s">
        <v>2986</v>
      </c>
      <c r="H551" s="25" t="s">
        <v>2987</v>
      </c>
      <c r="I551" s="25" t="s">
        <v>5130</v>
      </c>
      <c r="J551" s="25" t="s">
        <v>2643</v>
      </c>
      <c r="K551" s="25" t="s">
        <v>2510</v>
      </c>
      <c r="L551" s="25" t="s">
        <v>2611</v>
      </c>
      <c r="M551" s="26" t="s">
        <v>2612</v>
      </c>
      <c r="N551" s="25" t="s">
        <v>5131</v>
      </c>
      <c r="O551" s="26" t="s">
        <v>5132</v>
      </c>
      <c r="P551" s="27" t="s">
        <v>5133</v>
      </c>
      <c r="Q551" s="25" t="s">
        <v>2990</v>
      </c>
      <c r="R551" s="25" t="s">
        <v>2516</v>
      </c>
      <c r="S551" s="25" t="s">
        <v>173</v>
      </c>
      <c r="T551" s="25">
        <v>1</v>
      </c>
      <c r="U551" s="25" t="s">
        <v>2517</v>
      </c>
      <c r="V551" s="25" t="s">
        <v>5134</v>
      </c>
      <c r="W551" s="25" t="s">
        <v>5135</v>
      </c>
      <c r="X551" s="59">
        <v>45789.306250000001</v>
      </c>
      <c r="Y551" s="25" t="s">
        <v>5136</v>
      </c>
      <c r="Z551" s="25">
        <v>0.5</v>
      </c>
      <c r="AA551" s="25"/>
      <c r="AB551" s="25" t="s">
        <v>2915</v>
      </c>
      <c r="AC551" s="27" t="s">
        <v>2684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3936</v>
      </c>
      <c r="H552" s="25" t="s">
        <v>2659</v>
      </c>
      <c r="I552" s="25"/>
      <c r="J552" s="25"/>
      <c r="K552" s="25"/>
      <c r="L552" s="25"/>
      <c r="M552" s="26"/>
      <c r="N552" s="25"/>
      <c r="O552" s="26"/>
      <c r="P552" s="27"/>
      <c r="Q552" s="25" t="s">
        <v>3937</v>
      </c>
      <c r="R552" s="25" t="s">
        <v>2516</v>
      </c>
      <c r="S552" s="25" t="s">
        <v>185</v>
      </c>
      <c r="T552" s="25">
        <v>1</v>
      </c>
      <c r="U552" s="25" t="s">
        <v>2517</v>
      </c>
      <c r="V552" s="25" t="s">
        <v>5137</v>
      </c>
      <c r="W552" s="25" t="s">
        <v>5138</v>
      </c>
      <c r="X552" s="59">
        <v>45789.472222222219</v>
      </c>
      <c r="Y552" s="25"/>
      <c r="Z552" s="25">
        <v>0.3</v>
      </c>
      <c r="AA552" s="25"/>
      <c r="AB552" s="25" t="s">
        <v>2521</v>
      </c>
      <c r="AC552" s="27" t="s">
        <v>4565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3310</v>
      </c>
      <c r="H553" s="25" t="s">
        <v>1604</v>
      </c>
      <c r="I553" s="25"/>
      <c r="J553" s="25"/>
      <c r="K553" s="25"/>
      <c r="L553" s="25"/>
      <c r="M553" s="26"/>
      <c r="N553" s="25"/>
      <c r="O553" s="26"/>
      <c r="P553" s="27"/>
      <c r="Q553" s="25" t="s">
        <v>3311</v>
      </c>
      <c r="R553" s="25" t="s">
        <v>2516</v>
      </c>
      <c r="S553" s="25" t="s">
        <v>25</v>
      </c>
      <c r="T553" s="25">
        <v>1</v>
      </c>
      <c r="U553" s="25" t="s">
        <v>2517</v>
      </c>
      <c r="V553" s="25" t="s">
        <v>5139</v>
      </c>
      <c r="W553" s="25" t="s">
        <v>5140</v>
      </c>
      <c r="X553" s="59">
        <v>45789.555555555547</v>
      </c>
      <c r="Y553" s="25"/>
      <c r="Z553" s="25">
        <v>0.3</v>
      </c>
      <c r="AA553" s="25"/>
      <c r="AB553" s="25" t="s">
        <v>2521</v>
      </c>
      <c r="AC553" s="27" t="s">
        <v>4565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3314</v>
      </c>
      <c r="H554" s="25" t="s">
        <v>1604</v>
      </c>
      <c r="I554" s="25"/>
      <c r="J554" s="25"/>
      <c r="K554" s="25"/>
      <c r="L554" s="25"/>
      <c r="M554" s="26"/>
      <c r="N554" s="25"/>
      <c r="O554" s="26"/>
      <c r="P554" s="27"/>
      <c r="Q554" s="25" t="s">
        <v>3315</v>
      </c>
      <c r="R554" s="25" t="s">
        <v>2516</v>
      </c>
      <c r="S554" s="25" t="s">
        <v>25</v>
      </c>
      <c r="T554" s="25">
        <v>1</v>
      </c>
      <c r="U554" s="25" t="s">
        <v>2517</v>
      </c>
      <c r="V554" s="25" t="s">
        <v>5141</v>
      </c>
      <c r="W554" s="25" t="s">
        <v>5142</v>
      </c>
      <c r="X554" s="59">
        <v>45789.583333333343</v>
      </c>
      <c r="Y554" s="25"/>
      <c r="Z554" s="25">
        <v>0.3</v>
      </c>
      <c r="AA554" s="25"/>
      <c r="AB554" s="25" t="s">
        <v>2521</v>
      </c>
      <c r="AC554" s="27" t="s">
        <v>4565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3000</v>
      </c>
      <c r="H555" s="25" t="s">
        <v>2996</v>
      </c>
      <c r="I555" s="25"/>
      <c r="J555" s="25"/>
      <c r="K555" s="25"/>
      <c r="L555" s="25"/>
      <c r="M555" s="26"/>
      <c r="N555" s="25"/>
      <c r="O555" s="26"/>
      <c r="P555" s="27"/>
      <c r="Q555" s="25" t="s">
        <v>3001</v>
      </c>
      <c r="R555" s="25" t="s">
        <v>2516</v>
      </c>
      <c r="S555" s="25" t="s">
        <v>185</v>
      </c>
      <c r="T555" s="25">
        <v>1</v>
      </c>
      <c r="U555" s="25" t="s">
        <v>2517</v>
      </c>
      <c r="V555" s="25" t="s">
        <v>5143</v>
      </c>
      <c r="W555" s="25" t="s">
        <v>5144</v>
      </c>
      <c r="X555" s="59">
        <v>45789.604166666657</v>
      </c>
      <c r="Y555" s="25"/>
      <c r="Z555" s="25">
        <v>0.5</v>
      </c>
      <c r="AA555" s="25"/>
      <c r="AB555" s="25" t="s">
        <v>2521</v>
      </c>
      <c r="AC555" s="27" t="s">
        <v>4565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3330</v>
      </c>
      <c r="H556" s="25" t="s">
        <v>3248</v>
      </c>
      <c r="I556" s="25"/>
      <c r="J556" s="25"/>
      <c r="K556" s="25"/>
      <c r="L556" s="25"/>
      <c r="M556" s="26"/>
      <c r="N556" s="25"/>
      <c r="O556" s="26"/>
      <c r="P556" s="27"/>
      <c r="Q556" s="25" t="s">
        <v>3331</v>
      </c>
      <c r="R556" s="25" t="s">
        <v>2516</v>
      </c>
      <c r="S556" s="25" t="s">
        <v>25</v>
      </c>
      <c r="T556" s="25">
        <v>1</v>
      </c>
      <c r="U556" s="25" t="s">
        <v>2517</v>
      </c>
      <c r="V556" s="25" t="s">
        <v>5145</v>
      </c>
      <c r="W556" s="25" t="s">
        <v>5146</v>
      </c>
      <c r="X556" s="59">
        <v>45789.621527777781</v>
      </c>
      <c r="Y556" s="25"/>
      <c r="Z556" s="25">
        <v>0.4</v>
      </c>
      <c r="AA556" s="25"/>
      <c r="AB556" s="25" t="s">
        <v>2521</v>
      </c>
      <c r="AC556" s="27" t="s">
        <v>4565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2995</v>
      </c>
      <c r="H557" s="25" t="s">
        <v>2996</v>
      </c>
      <c r="I557" s="25"/>
      <c r="J557" s="25"/>
      <c r="K557" s="25"/>
      <c r="L557" s="25"/>
      <c r="M557" s="26"/>
      <c r="N557" s="25"/>
      <c r="O557" s="26"/>
      <c r="P557" s="27"/>
      <c r="Q557" s="25" t="s">
        <v>2997</v>
      </c>
      <c r="R557" s="25" t="s">
        <v>2516</v>
      </c>
      <c r="S557" s="25" t="s">
        <v>185</v>
      </c>
      <c r="T557" s="25">
        <v>1</v>
      </c>
      <c r="U557" s="25" t="s">
        <v>2517</v>
      </c>
      <c r="V557" s="25" t="s">
        <v>5147</v>
      </c>
      <c r="W557" s="25" t="s">
        <v>5146</v>
      </c>
      <c r="X557" s="59">
        <v>45789.625</v>
      </c>
      <c r="Y557" s="25"/>
      <c r="Z557" s="25">
        <v>0.5</v>
      </c>
      <c r="AA557" s="25"/>
      <c r="AB557" s="25" t="s">
        <v>2521</v>
      </c>
      <c r="AC557" s="27" t="s">
        <v>4565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3247</v>
      </c>
      <c r="H558" s="25" t="s">
        <v>3248</v>
      </c>
      <c r="I558" s="25"/>
      <c r="J558" s="25"/>
      <c r="K558" s="25"/>
      <c r="L558" s="25"/>
      <c r="M558" s="26"/>
      <c r="N558" s="25"/>
      <c r="O558" s="26"/>
      <c r="P558" s="27"/>
      <c r="Q558" s="25" t="s">
        <v>3251</v>
      </c>
      <c r="R558" s="25" t="s">
        <v>2516</v>
      </c>
      <c r="S558" s="25" t="s">
        <v>25</v>
      </c>
      <c r="T558" s="25">
        <v>1</v>
      </c>
      <c r="U558" s="25" t="s">
        <v>2517</v>
      </c>
      <c r="V558" s="25" t="s">
        <v>5148</v>
      </c>
      <c r="W558" s="25" t="s">
        <v>5149</v>
      </c>
      <c r="X558" s="59">
        <v>45789.679166666669</v>
      </c>
      <c r="Y558" s="25"/>
      <c r="Z558" s="25">
        <v>0.3</v>
      </c>
      <c r="AA558" s="25"/>
      <c r="AB558" s="25" t="s">
        <v>2521</v>
      </c>
      <c r="AC558" s="27" t="s">
        <v>4565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4045</v>
      </c>
      <c r="H559" s="25" t="s">
        <v>1604</v>
      </c>
      <c r="I559" s="25"/>
      <c r="J559" s="25"/>
      <c r="K559" s="25"/>
      <c r="L559" s="25"/>
      <c r="M559" s="26"/>
      <c r="N559" s="25"/>
      <c r="O559" s="26"/>
      <c r="P559" s="27"/>
      <c r="Q559" s="25" t="s">
        <v>4048</v>
      </c>
      <c r="R559" s="25" t="s">
        <v>2516</v>
      </c>
      <c r="S559" s="25" t="s">
        <v>25</v>
      </c>
      <c r="T559" s="25">
        <v>1</v>
      </c>
      <c r="U559" s="25" t="s">
        <v>2517</v>
      </c>
      <c r="V559" s="25" t="s">
        <v>5150</v>
      </c>
      <c r="W559" s="25" t="s">
        <v>5151</v>
      </c>
      <c r="X559" s="59">
        <v>45789.707638888889</v>
      </c>
      <c r="Y559" s="25"/>
      <c r="Z559" s="25">
        <v>0.5</v>
      </c>
      <c r="AA559" s="25"/>
      <c r="AB559" s="25" t="s">
        <v>2521</v>
      </c>
      <c r="AC559" s="27" t="s">
        <v>4565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5152</v>
      </c>
      <c r="E560" s="25" t="s">
        <v>2504</v>
      </c>
      <c r="F560" s="25" t="s">
        <v>2505</v>
      </c>
      <c r="G560" s="25" t="s">
        <v>2506</v>
      </c>
      <c r="H560" s="25" t="s">
        <v>2507</v>
      </c>
      <c r="I560" s="25" t="s">
        <v>5153</v>
      </c>
      <c r="J560" s="25" t="s">
        <v>2509</v>
      </c>
      <c r="K560" s="25" t="s">
        <v>2568</v>
      </c>
      <c r="L560" s="25" t="s">
        <v>2511</v>
      </c>
      <c r="M560" s="26" t="s">
        <v>2512</v>
      </c>
      <c r="N560" s="25">
        <v>2307</v>
      </c>
      <c r="O560" s="26" t="s">
        <v>2678</v>
      </c>
      <c r="P560" s="27" t="s">
        <v>5154</v>
      </c>
      <c r="Q560" s="25" t="s">
        <v>2515</v>
      </c>
      <c r="R560" s="25" t="s">
        <v>2516</v>
      </c>
      <c r="S560" s="25" t="s">
        <v>25</v>
      </c>
      <c r="T560" s="25">
        <v>1</v>
      </c>
      <c r="U560" s="25" t="s">
        <v>2517</v>
      </c>
      <c r="V560" s="25" t="s">
        <v>5155</v>
      </c>
      <c r="W560" s="25" t="s">
        <v>5156</v>
      </c>
      <c r="X560" s="59">
        <v>45790.491666666669</v>
      </c>
      <c r="Y560" s="25" t="s">
        <v>5157</v>
      </c>
      <c r="Z560" s="25">
        <v>0.8</v>
      </c>
      <c r="AA560" s="25"/>
      <c r="AB560" s="25" t="s">
        <v>2521</v>
      </c>
      <c r="AC560" s="27" t="s">
        <v>5158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3342</v>
      </c>
      <c r="H561" s="25" t="s">
        <v>3248</v>
      </c>
      <c r="I561" s="25"/>
      <c r="J561" s="25"/>
      <c r="K561" s="25"/>
      <c r="L561" s="25"/>
      <c r="M561" s="26"/>
      <c r="N561" s="25"/>
      <c r="O561" s="26"/>
      <c r="P561" s="27"/>
      <c r="Q561" s="25" t="s">
        <v>3343</v>
      </c>
      <c r="R561" s="25" t="s">
        <v>2516</v>
      </c>
      <c r="S561" s="25" t="s">
        <v>25</v>
      </c>
      <c r="T561" s="25">
        <v>1</v>
      </c>
      <c r="U561" s="25" t="s">
        <v>2517</v>
      </c>
      <c r="V561" s="25" t="s">
        <v>5159</v>
      </c>
      <c r="W561" s="25" t="s">
        <v>5160</v>
      </c>
      <c r="X561" s="59">
        <v>45790.420138888891</v>
      </c>
      <c r="Y561" s="25"/>
      <c r="Z561" s="25">
        <v>0.3</v>
      </c>
      <c r="AA561" s="25"/>
      <c r="AB561" s="25" t="s">
        <v>2521</v>
      </c>
      <c r="AC561" s="27" t="s">
        <v>4565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5161</v>
      </c>
      <c r="E562" s="25" t="s">
        <v>2504</v>
      </c>
      <c r="F562" s="25">
        <v>5291</v>
      </c>
      <c r="G562" s="25" t="s">
        <v>3936</v>
      </c>
      <c r="H562" s="25" t="s">
        <v>2659</v>
      </c>
      <c r="I562" s="25" t="s">
        <v>5162</v>
      </c>
      <c r="J562" s="25" t="s">
        <v>2509</v>
      </c>
      <c r="K562" s="25" t="s">
        <v>2568</v>
      </c>
      <c r="L562" s="25" t="s">
        <v>3483</v>
      </c>
      <c r="M562" s="26" t="s">
        <v>3484</v>
      </c>
      <c r="N562" s="25">
        <v>6003</v>
      </c>
      <c r="O562" s="26" t="s">
        <v>3152</v>
      </c>
      <c r="P562" s="27" t="s">
        <v>5163</v>
      </c>
      <c r="Q562" s="25" t="s">
        <v>3937</v>
      </c>
      <c r="R562" s="25" t="s">
        <v>2516</v>
      </c>
      <c r="S562" s="25" t="s">
        <v>185</v>
      </c>
      <c r="T562" s="25">
        <v>1</v>
      </c>
      <c r="U562" s="25" t="s">
        <v>2517</v>
      </c>
      <c r="V562" s="25" t="s">
        <v>5164</v>
      </c>
      <c r="W562" s="25" t="s">
        <v>5165</v>
      </c>
      <c r="X562" s="59">
        <v>45790.719444444447</v>
      </c>
      <c r="Y562" s="25" t="s">
        <v>5166</v>
      </c>
      <c r="Z562" s="25">
        <v>0.5</v>
      </c>
      <c r="AA562" s="25"/>
      <c r="AB562" s="25" t="s">
        <v>2521</v>
      </c>
      <c r="AC562" s="27" t="s">
        <v>5167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5168</v>
      </c>
      <c r="E563" s="25" t="s">
        <v>2504</v>
      </c>
      <c r="F563" s="25">
        <v>5291</v>
      </c>
      <c r="G563" s="25" t="s">
        <v>3936</v>
      </c>
      <c r="H563" s="25" t="s">
        <v>2659</v>
      </c>
      <c r="I563" s="25" t="s">
        <v>5169</v>
      </c>
      <c r="J563" s="25" t="s">
        <v>2509</v>
      </c>
      <c r="K563" s="25" t="s">
        <v>2510</v>
      </c>
      <c r="L563" s="25" t="s">
        <v>3497</v>
      </c>
      <c r="M563" s="26" t="s">
        <v>3498</v>
      </c>
      <c r="N563" s="25">
        <v>3404</v>
      </c>
      <c r="O563" s="26" t="s">
        <v>3499</v>
      </c>
      <c r="P563" s="27" t="s">
        <v>5170</v>
      </c>
      <c r="Q563" s="25" t="s">
        <v>3937</v>
      </c>
      <c r="R563" s="25" t="s">
        <v>2516</v>
      </c>
      <c r="S563" s="25" t="s">
        <v>185</v>
      </c>
      <c r="T563" s="25">
        <v>1</v>
      </c>
      <c r="U563" s="25" t="s">
        <v>2517</v>
      </c>
      <c r="V563" s="25" t="s">
        <v>5171</v>
      </c>
      <c r="W563" s="25" t="s">
        <v>5172</v>
      </c>
      <c r="X563" s="59">
        <v>45790.725694444453</v>
      </c>
      <c r="Y563" s="25" t="s">
        <v>5173</v>
      </c>
      <c r="Z563" s="25">
        <v>0.1</v>
      </c>
      <c r="AA563" s="25"/>
      <c r="AB563" s="25" t="s">
        <v>2521</v>
      </c>
      <c r="AC563" s="27" t="s">
        <v>5174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5175</v>
      </c>
      <c r="E564" s="25" t="s">
        <v>2504</v>
      </c>
      <c r="F564" s="25">
        <v>2349</v>
      </c>
      <c r="G564" s="25" t="s">
        <v>3667</v>
      </c>
      <c r="H564" s="25" t="s">
        <v>2507</v>
      </c>
      <c r="I564" s="25" t="s">
        <v>5176</v>
      </c>
      <c r="J564" s="25" t="s">
        <v>2536</v>
      </c>
      <c r="K564" s="25" t="s">
        <v>2568</v>
      </c>
      <c r="L564" s="25" t="s">
        <v>2511</v>
      </c>
      <c r="M564" s="26" t="s">
        <v>2512</v>
      </c>
      <c r="N564" s="25">
        <v>2308</v>
      </c>
      <c r="O564" s="26" t="s">
        <v>2963</v>
      </c>
      <c r="P564" s="27" t="s">
        <v>5177</v>
      </c>
      <c r="Q564" s="25" t="s">
        <v>3670</v>
      </c>
      <c r="R564" s="25" t="s">
        <v>2516</v>
      </c>
      <c r="S564" s="25" t="s">
        <v>25</v>
      </c>
      <c r="T564" s="25">
        <v>1</v>
      </c>
      <c r="U564" s="25" t="s">
        <v>2517</v>
      </c>
      <c r="V564" s="25" t="s">
        <v>5178</v>
      </c>
      <c r="W564" s="25" t="s">
        <v>5179</v>
      </c>
      <c r="X564" s="59">
        <v>45791.533333333333</v>
      </c>
      <c r="Y564" s="25" t="s">
        <v>5180</v>
      </c>
      <c r="Z564" s="25">
        <v>1.8</v>
      </c>
      <c r="AA564" s="25"/>
      <c r="AB564" s="25" t="s">
        <v>2521</v>
      </c>
      <c r="AC564" s="27" t="s">
        <v>5181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5182</v>
      </c>
      <c r="E565" s="25" t="s">
        <v>2843</v>
      </c>
      <c r="F565" s="25">
        <v>2349</v>
      </c>
      <c r="G565" s="25" t="s">
        <v>3667</v>
      </c>
      <c r="H565" s="25" t="s">
        <v>2507</v>
      </c>
      <c r="I565" s="25" t="s">
        <v>5183</v>
      </c>
      <c r="J565" s="25" t="s">
        <v>2536</v>
      </c>
      <c r="K565" s="25" t="s">
        <v>2568</v>
      </c>
      <c r="L565" s="25" t="s">
        <v>2511</v>
      </c>
      <c r="M565" s="26" t="s">
        <v>2512</v>
      </c>
      <c r="N565" s="25">
        <v>2308</v>
      </c>
      <c r="O565" s="26" t="s">
        <v>2963</v>
      </c>
      <c r="P565" s="27" t="s">
        <v>5184</v>
      </c>
      <c r="Q565" s="25" t="s">
        <v>3670</v>
      </c>
      <c r="R565" s="25" t="s">
        <v>2516</v>
      </c>
      <c r="S565" s="25" t="s">
        <v>25</v>
      </c>
      <c r="T565" s="25">
        <v>1</v>
      </c>
      <c r="U565" s="25" t="s">
        <v>2517</v>
      </c>
      <c r="V565" s="25" t="s">
        <v>5185</v>
      </c>
      <c r="W565" s="25" t="s">
        <v>5179</v>
      </c>
      <c r="X565" s="59">
        <v>45791.531944444447</v>
      </c>
      <c r="Y565" s="25" t="s">
        <v>5186</v>
      </c>
      <c r="Z565" s="25">
        <v>1.8</v>
      </c>
      <c r="AA565" s="25"/>
      <c r="AB565" s="25" t="s">
        <v>2521</v>
      </c>
      <c r="AC565" s="27" t="s">
        <v>5181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5187</v>
      </c>
      <c r="E566" s="25" t="s">
        <v>2504</v>
      </c>
      <c r="F566" s="25" t="s">
        <v>3404</v>
      </c>
      <c r="G566" s="25" t="s">
        <v>3405</v>
      </c>
      <c r="H566" s="25" t="s">
        <v>2507</v>
      </c>
      <c r="I566" s="25" t="s">
        <v>5188</v>
      </c>
      <c r="J566" s="25" t="s">
        <v>2536</v>
      </c>
      <c r="K566" s="25" t="s">
        <v>2568</v>
      </c>
      <c r="L566" s="25" t="s">
        <v>2511</v>
      </c>
      <c r="M566" s="26" t="s">
        <v>2512</v>
      </c>
      <c r="N566" s="25">
        <v>2305</v>
      </c>
      <c r="O566" s="26" t="s">
        <v>3035</v>
      </c>
      <c r="P566" s="27" t="s">
        <v>5189</v>
      </c>
      <c r="Q566" s="25" t="s">
        <v>3406</v>
      </c>
      <c r="R566" s="25" t="s">
        <v>2516</v>
      </c>
      <c r="S566" s="25" t="s">
        <v>25</v>
      </c>
      <c r="T566" s="25">
        <v>1</v>
      </c>
      <c r="U566" s="25" t="s">
        <v>2517</v>
      </c>
      <c r="V566" s="25" t="s">
        <v>5190</v>
      </c>
      <c r="W566" s="25" t="s">
        <v>5191</v>
      </c>
      <c r="X566" s="59">
        <v>45792.430555555547</v>
      </c>
      <c r="Y566" s="25" t="s">
        <v>5192</v>
      </c>
      <c r="Z566" s="25">
        <v>0.3</v>
      </c>
      <c r="AA566" s="25"/>
      <c r="AB566" s="25" t="s">
        <v>2521</v>
      </c>
      <c r="AC566" s="27" t="s">
        <v>5193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5194</v>
      </c>
      <c r="E567" s="25" t="s">
        <v>2504</v>
      </c>
      <c r="F567" s="25" t="s">
        <v>3404</v>
      </c>
      <c r="G567" s="25" t="s">
        <v>3405</v>
      </c>
      <c r="H567" s="25" t="s">
        <v>2507</v>
      </c>
      <c r="I567" s="25" t="s">
        <v>5195</v>
      </c>
      <c r="J567" s="25" t="s">
        <v>2536</v>
      </c>
      <c r="K567" s="25" t="s">
        <v>2568</v>
      </c>
      <c r="L567" s="25" t="s">
        <v>2611</v>
      </c>
      <c r="M567" s="26" t="s">
        <v>2612</v>
      </c>
      <c r="N567" s="25" t="s">
        <v>2613</v>
      </c>
      <c r="O567" s="26" t="s">
        <v>2614</v>
      </c>
      <c r="P567" s="27" t="s">
        <v>5196</v>
      </c>
      <c r="Q567" s="25" t="s">
        <v>3406</v>
      </c>
      <c r="R567" s="25" t="s">
        <v>2516</v>
      </c>
      <c r="S567" s="25" t="s">
        <v>25</v>
      </c>
      <c r="T567" s="25">
        <v>1</v>
      </c>
      <c r="U567" s="25" t="s">
        <v>2517</v>
      </c>
      <c r="V567" s="25" t="s">
        <v>5197</v>
      </c>
      <c r="W567" s="25" t="s">
        <v>5198</v>
      </c>
      <c r="X567" s="59">
        <v>45792.472222222219</v>
      </c>
      <c r="Y567" s="25" t="s">
        <v>5199</v>
      </c>
      <c r="Z567" s="25">
        <v>0.3</v>
      </c>
      <c r="AA567" s="25"/>
      <c r="AB567" s="25" t="s">
        <v>2521</v>
      </c>
      <c r="AC567" s="27" t="s">
        <v>5200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3544</v>
      </c>
      <c r="H568" s="25" t="s">
        <v>2507</v>
      </c>
      <c r="I568" s="25"/>
      <c r="J568" s="25"/>
      <c r="K568" s="25"/>
      <c r="L568" s="25"/>
      <c r="M568" s="26"/>
      <c r="N568" s="25"/>
      <c r="O568" s="26"/>
      <c r="P568" s="27"/>
      <c r="Q568" s="25" t="s">
        <v>3545</v>
      </c>
      <c r="R568" s="25" t="s">
        <v>2516</v>
      </c>
      <c r="S568" s="25" t="s">
        <v>25</v>
      </c>
      <c r="T568" s="25">
        <v>1</v>
      </c>
      <c r="U568" s="25" t="s">
        <v>2517</v>
      </c>
      <c r="V568" s="25" t="s">
        <v>5201</v>
      </c>
      <c r="W568" s="25" t="s">
        <v>5202</v>
      </c>
      <c r="X568" s="59">
        <v>45791.570833333331</v>
      </c>
      <c r="Y568" s="25"/>
      <c r="Z568" s="25">
        <v>0.4</v>
      </c>
      <c r="AA568" s="25"/>
      <c r="AB568" s="25" t="s">
        <v>2521</v>
      </c>
      <c r="AC568" s="27" t="s">
        <v>4565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3544</v>
      </c>
      <c r="H569" s="25" t="s">
        <v>2507</v>
      </c>
      <c r="I569" s="25"/>
      <c r="J569" s="25"/>
      <c r="K569" s="25"/>
      <c r="L569" s="25"/>
      <c r="M569" s="26"/>
      <c r="N569" s="25"/>
      <c r="O569" s="26"/>
      <c r="P569" s="27"/>
      <c r="Q569" s="25" t="s">
        <v>3545</v>
      </c>
      <c r="R569" s="25" t="s">
        <v>2516</v>
      </c>
      <c r="S569" s="25" t="s">
        <v>25</v>
      </c>
      <c r="T569" s="25">
        <v>1</v>
      </c>
      <c r="U569" s="25" t="s">
        <v>2517</v>
      </c>
      <c r="V569" s="25" t="s">
        <v>5203</v>
      </c>
      <c r="W569" s="25" t="s">
        <v>5202</v>
      </c>
      <c r="X569" s="59">
        <v>45791.570833333331</v>
      </c>
      <c r="Y569" s="25"/>
      <c r="Z569" s="25">
        <v>0.4</v>
      </c>
      <c r="AA569" s="25"/>
      <c r="AB569" s="25" t="s">
        <v>2521</v>
      </c>
      <c r="AC569" s="27" t="s">
        <v>4565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3880</v>
      </c>
      <c r="H570" s="25" t="s">
        <v>2507</v>
      </c>
      <c r="I570" s="25"/>
      <c r="J570" s="25"/>
      <c r="K570" s="25"/>
      <c r="L570" s="25"/>
      <c r="M570" s="26"/>
      <c r="N570" s="25"/>
      <c r="O570" s="26"/>
      <c r="P570" s="27"/>
      <c r="Q570" s="25" t="s">
        <v>3881</v>
      </c>
      <c r="R570" s="25" t="s">
        <v>2516</v>
      </c>
      <c r="S570" s="25" t="s">
        <v>25</v>
      </c>
      <c r="T570" s="25">
        <v>1</v>
      </c>
      <c r="U570" s="25" t="s">
        <v>2517</v>
      </c>
      <c r="V570" s="25" t="s">
        <v>5204</v>
      </c>
      <c r="W570" s="25" t="s">
        <v>5205</v>
      </c>
      <c r="X570" s="59">
        <v>45791.595138888893</v>
      </c>
      <c r="Y570" s="25"/>
      <c r="Z570" s="25">
        <v>0.5</v>
      </c>
      <c r="AA570" s="25"/>
      <c r="AB570" s="25" t="s">
        <v>2521</v>
      </c>
      <c r="AC570" s="27" t="s">
        <v>4565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2943</v>
      </c>
      <c r="H571" s="25" t="s">
        <v>2507</v>
      </c>
      <c r="I571" s="25"/>
      <c r="J571" s="25"/>
      <c r="K571" s="25"/>
      <c r="L571" s="25"/>
      <c r="M571" s="26"/>
      <c r="N571" s="25"/>
      <c r="O571" s="26"/>
      <c r="P571" s="27"/>
      <c r="Q571" s="25" t="s">
        <v>2950</v>
      </c>
      <c r="R571" s="25" t="s">
        <v>2516</v>
      </c>
      <c r="S571" s="25" t="s">
        <v>25</v>
      </c>
      <c r="T571" s="25">
        <v>1</v>
      </c>
      <c r="U571" s="25" t="s">
        <v>2517</v>
      </c>
      <c r="V571" s="25" t="s">
        <v>5206</v>
      </c>
      <c r="W571" s="25" t="s">
        <v>5207</v>
      </c>
      <c r="X571" s="59">
        <v>45791.613888888889</v>
      </c>
      <c r="Y571" s="25"/>
      <c r="Z571" s="25">
        <v>0.3</v>
      </c>
      <c r="AA571" s="25"/>
      <c r="AB571" s="25" t="s">
        <v>2521</v>
      </c>
      <c r="AC571" s="27" t="s">
        <v>4565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3647</v>
      </c>
      <c r="H572" s="25" t="s">
        <v>2507</v>
      </c>
      <c r="I572" s="25"/>
      <c r="J572" s="25"/>
      <c r="K572" s="25"/>
      <c r="L572" s="25"/>
      <c r="M572" s="26"/>
      <c r="N572" s="25"/>
      <c r="O572" s="26"/>
      <c r="P572" s="27"/>
      <c r="Q572" s="25" t="s">
        <v>3650</v>
      </c>
      <c r="R572" s="25" t="s">
        <v>2516</v>
      </c>
      <c r="S572" s="25" t="s">
        <v>25</v>
      </c>
      <c r="T572" s="25">
        <v>1</v>
      </c>
      <c r="U572" s="25" t="s">
        <v>2517</v>
      </c>
      <c r="V572" s="25" t="s">
        <v>5208</v>
      </c>
      <c r="W572" s="25" t="s">
        <v>5209</v>
      </c>
      <c r="X572" s="59">
        <v>45791.634722222218</v>
      </c>
      <c r="Y572" s="25"/>
      <c r="Z572" s="25">
        <v>0.3</v>
      </c>
      <c r="AA572" s="25"/>
      <c r="AB572" s="25" t="s">
        <v>2521</v>
      </c>
      <c r="AC572" s="27" t="s">
        <v>4565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5210</v>
      </c>
      <c r="E573" s="25" t="s">
        <v>2504</v>
      </c>
      <c r="F573" s="25">
        <v>4856</v>
      </c>
      <c r="G573" s="25" t="s">
        <v>2763</v>
      </c>
      <c r="H573" s="25" t="s">
        <v>2659</v>
      </c>
      <c r="I573" s="25" t="s">
        <v>5211</v>
      </c>
      <c r="J573" s="25" t="s">
        <v>2536</v>
      </c>
      <c r="K573" s="25" t="s">
        <v>2717</v>
      </c>
      <c r="L573" s="25" t="s">
        <v>2611</v>
      </c>
      <c r="M573" s="26" t="s">
        <v>2612</v>
      </c>
      <c r="N573" s="25" t="s">
        <v>2972</v>
      </c>
      <c r="O573" s="26" t="s">
        <v>2973</v>
      </c>
      <c r="P573" s="27" t="s">
        <v>5212</v>
      </c>
      <c r="Q573" s="25" t="s">
        <v>2767</v>
      </c>
      <c r="R573" s="25" t="s">
        <v>2516</v>
      </c>
      <c r="S573" s="25" t="s">
        <v>185</v>
      </c>
      <c r="T573" s="25">
        <v>1</v>
      </c>
      <c r="U573" s="25" t="s">
        <v>2517</v>
      </c>
      <c r="V573" s="25" t="s">
        <v>5213</v>
      </c>
      <c r="W573" s="25" t="s">
        <v>5214</v>
      </c>
      <c r="X573" s="59">
        <v>45792.520833333343</v>
      </c>
      <c r="Y573" s="25" t="s">
        <v>5215</v>
      </c>
      <c r="Z573" s="25">
        <v>1</v>
      </c>
      <c r="AA573" s="25"/>
      <c r="AB573" s="25" t="s">
        <v>2521</v>
      </c>
      <c r="AC573" s="27" t="s">
        <v>5216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5217</v>
      </c>
      <c r="E574" s="25" t="s">
        <v>2504</v>
      </c>
      <c r="F574" s="25">
        <v>2535</v>
      </c>
      <c r="G574" s="25" t="s">
        <v>4483</v>
      </c>
      <c r="H574" s="25" t="s">
        <v>2996</v>
      </c>
      <c r="I574" s="25" t="s">
        <v>5218</v>
      </c>
      <c r="J574" s="25" t="s">
        <v>2835</v>
      </c>
      <c r="K574" s="25" t="s">
        <v>2568</v>
      </c>
      <c r="L574" s="25" t="s">
        <v>2611</v>
      </c>
      <c r="M574" s="26" t="s">
        <v>2612</v>
      </c>
      <c r="N574" s="25" t="s">
        <v>3526</v>
      </c>
      <c r="O574" s="26" t="s">
        <v>3152</v>
      </c>
      <c r="P574" s="27" t="s">
        <v>5219</v>
      </c>
      <c r="Q574" s="25" t="s">
        <v>4484</v>
      </c>
      <c r="R574" s="25" t="s">
        <v>2516</v>
      </c>
      <c r="S574" s="25" t="s">
        <v>185</v>
      </c>
      <c r="T574" s="25">
        <v>1</v>
      </c>
      <c r="U574" s="25" t="s">
        <v>2517</v>
      </c>
      <c r="V574" s="25" t="s">
        <v>5220</v>
      </c>
      <c r="W574" s="25" t="s">
        <v>5221</v>
      </c>
      <c r="X574" s="59">
        <v>45793.395833333343</v>
      </c>
      <c r="Y574" s="25" t="s">
        <v>5222</v>
      </c>
      <c r="Z574" s="25">
        <v>1</v>
      </c>
      <c r="AA574" s="25"/>
      <c r="AB574" s="25" t="s">
        <v>2521</v>
      </c>
      <c r="AC574" s="27" t="s">
        <v>5223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5224</v>
      </c>
      <c r="E575" s="25" t="s">
        <v>2504</v>
      </c>
      <c r="F575" s="25">
        <v>4036</v>
      </c>
      <c r="G575" s="25" t="s">
        <v>2640</v>
      </c>
      <c r="H575" s="25" t="s">
        <v>2641</v>
      </c>
      <c r="I575" s="25" t="s">
        <v>5225</v>
      </c>
      <c r="J575" s="25" t="s">
        <v>2835</v>
      </c>
      <c r="K575" s="25" t="s">
        <v>2568</v>
      </c>
      <c r="L575" s="25" t="s">
        <v>2525</v>
      </c>
      <c r="M575" s="26" t="s">
        <v>2526</v>
      </c>
      <c r="N575" s="25">
        <v>5804</v>
      </c>
      <c r="O575" s="26" t="s">
        <v>2582</v>
      </c>
      <c r="P575" s="27" t="s">
        <v>5226</v>
      </c>
      <c r="Q575" s="25" t="s">
        <v>2645</v>
      </c>
      <c r="R575" s="25" t="s">
        <v>2516</v>
      </c>
      <c r="S575" s="25" t="s">
        <v>25</v>
      </c>
      <c r="T575" s="25">
        <v>1</v>
      </c>
      <c r="U575" s="25" t="s">
        <v>2517</v>
      </c>
      <c r="V575" s="25" t="s">
        <v>5227</v>
      </c>
      <c r="W575" s="25" t="s">
        <v>5228</v>
      </c>
      <c r="X575" s="59">
        <v>45792.576388888891</v>
      </c>
      <c r="Y575" s="25" t="s">
        <v>5229</v>
      </c>
      <c r="Z575" s="25">
        <v>0.5</v>
      </c>
      <c r="AA575" s="25"/>
      <c r="AB575" s="25" t="s">
        <v>2521</v>
      </c>
      <c r="AC575" s="27" t="s">
        <v>5230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3404</v>
      </c>
      <c r="G576" s="25" t="s">
        <v>3405</v>
      </c>
      <c r="H576" s="25" t="s">
        <v>2507</v>
      </c>
      <c r="I576" s="25"/>
      <c r="J576" s="25"/>
      <c r="K576" s="25"/>
      <c r="L576" s="25"/>
      <c r="M576" s="26"/>
      <c r="N576" s="25"/>
      <c r="O576" s="26"/>
      <c r="P576" s="27"/>
      <c r="Q576" s="25" t="s">
        <v>3406</v>
      </c>
      <c r="R576" s="25" t="s">
        <v>2516</v>
      </c>
      <c r="S576" s="25" t="s">
        <v>25</v>
      </c>
      <c r="T576" s="25">
        <v>1</v>
      </c>
      <c r="U576" s="25" t="s">
        <v>2517</v>
      </c>
      <c r="V576" s="25" t="s">
        <v>5231</v>
      </c>
      <c r="W576" s="25" t="s">
        <v>5232</v>
      </c>
      <c r="X576" s="59">
        <v>45792.493750000001</v>
      </c>
      <c r="Y576" s="25"/>
      <c r="Z576" s="25">
        <v>0.5</v>
      </c>
      <c r="AA576" s="25"/>
      <c r="AB576" s="25" t="s">
        <v>2521</v>
      </c>
      <c r="AC576" s="27" t="s">
        <v>4565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5233</v>
      </c>
      <c r="E577" s="25" t="s">
        <v>2504</v>
      </c>
      <c r="F577" s="25">
        <v>5057</v>
      </c>
      <c r="G577" s="25" t="s">
        <v>4190</v>
      </c>
      <c r="H577" s="25" t="s">
        <v>2659</v>
      </c>
      <c r="I577" s="25" t="s">
        <v>5234</v>
      </c>
      <c r="J577" s="25" t="s">
        <v>2835</v>
      </c>
      <c r="K577" s="25" t="s">
        <v>2510</v>
      </c>
      <c r="L577" s="25" t="s">
        <v>2569</v>
      </c>
      <c r="M577" s="26" t="s">
        <v>2570</v>
      </c>
      <c r="N577" s="25">
        <v>2501</v>
      </c>
      <c r="O577" s="26" t="s">
        <v>2571</v>
      </c>
      <c r="P577" s="27" t="s">
        <v>5235</v>
      </c>
      <c r="Q577" s="25" t="s">
        <v>4191</v>
      </c>
      <c r="R577" s="25" t="s">
        <v>2516</v>
      </c>
      <c r="S577" s="25" t="s">
        <v>185</v>
      </c>
      <c r="T577" s="25">
        <v>1</v>
      </c>
      <c r="U577" s="25" t="s">
        <v>2517</v>
      </c>
      <c r="V577" s="25" t="s">
        <v>5236</v>
      </c>
      <c r="W577" s="25" t="s">
        <v>5237</v>
      </c>
      <c r="X577" s="59">
        <v>45793.40625</v>
      </c>
      <c r="Y577" s="25" t="s">
        <v>5238</v>
      </c>
      <c r="Z577" s="25">
        <v>0.3</v>
      </c>
      <c r="AA577" s="25"/>
      <c r="AB577" s="25" t="s">
        <v>2521</v>
      </c>
      <c r="AC577" s="27" t="s">
        <v>5239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2640</v>
      </c>
      <c r="H578" s="25" t="s">
        <v>2641</v>
      </c>
      <c r="I578" s="25"/>
      <c r="J578" s="25"/>
      <c r="K578" s="25"/>
      <c r="L578" s="25"/>
      <c r="M578" s="26"/>
      <c r="N578" s="25"/>
      <c r="O578" s="26"/>
      <c r="P578" s="27"/>
      <c r="Q578" s="25" t="s">
        <v>2645</v>
      </c>
      <c r="R578" s="25" t="s">
        <v>2516</v>
      </c>
      <c r="S578" s="25" t="s">
        <v>25</v>
      </c>
      <c r="T578" s="25">
        <v>1</v>
      </c>
      <c r="U578" s="25" t="s">
        <v>2517</v>
      </c>
      <c r="V578" s="25" t="s">
        <v>5240</v>
      </c>
      <c r="W578" s="25" t="s">
        <v>5241</v>
      </c>
      <c r="X578" s="59">
        <v>45792.577777777777</v>
      </c>
      <c r="Y578" s="25"/>
      <c r="Z578" s="25">
        <v>0.6</v>
      </c>
      <c r="AA578" s="25"/>
      <c r="AB578" s="25" t="s">
        <v>2521</v>
      </c>
      <c r="AC578" s="27" t="s">
        <v>4565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2733</v>
      </c>
      <c r="H579" s="25" t="s">
        <v>2641</v>
      </c>
      <c r="I579" s="25"/>
      <c r="J579" s="25"/>
      <c r="K579" s="25"/>
      <c r="L579" s="25"/>
      <c r="M579" s="26"/>
      <c r="N579" s="25"/>
      <c r="O579" s="26"/>
      <c r="P579" s="27"/>
      <c r="Q579" s="25" t="s">
        <v>2734</v>
      </c>
      <c r="R579" s="25" t="s">
        <v>2516</v>
      </c>
      <c r="S579" s="25" t="s">
        <v>25</v>
      </c>
      <c r="T579" s="25">
        <v>1</v>
      </c>
      <c r="U579" s="25" t="s">
        <v>2517</v>
      </c>
      <c r="V579" s="25" t="s">
        <v>5242</v>
      </c>
      <c r="W579" s="25" t="s">
        <v>5243</v>
      </c>
      <c r="X579" s="59">
        <v>45792.606249999997</v>
      </c>
      <c r="Y579" s="25"/>
      <c r="Z579" s="25">
        <v>0.4</v>
      </c>
      <c r="AA579" s="25"/>
      <c r="AB579" s="25" t="s">
        <v>2521</v>
      </c>
      <c r="AC579" s="27" t="s">
        <v>4565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3656</v>
      </c>
      <c r="H580" s="25" t="s">
        <v>2641</v>
      </c>
      <c r="I580" s="25"/>
      <c r="J580" s="25"/>
      <c r="K580" s="25"/>
      <c r="L580" s="25"/>
      <c r="M580" s="26"/>
      <c r="N580" s="25"/>
      <c r="O580" s="26"/>
      <c r="P580" s="27"/>
      <c r="Q580" s="25" t="s">
        <v>3659</v>
      </c>
      <c r="R580" s="25" t="s">
        <v>2516</v>
      </c>
      <c r="S580" s="25" t="s">
        <v>25</v>
      </c>
      <c r="T580" s="25">
        <v>1</v>
      </c>
      <c r="U580" s="25" t="s">
        <v>2517</v>
      </c>
      <c r="V580" s="25" t="s">
        <v>5244</v>
      </c>
      <c r="W580" s="25" t="s">
        <v>5245</v>
      </c>
      <c r="X580" s="59">
        <v>45792.627083333333</v>
      </c>
      <c r="Y580" s="25"/>
      <c r="Z580" s="25">
        <v>0.4</v>
      </c>
      <c r="AA580" s="25"/>
      <c r="AB580" s="25" t="s">
        <v>2521</v>
      </c>
      <c r="AC580" s="27" t="s">
        <v>4565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4190</v>
      </c>
      <c r="H581" s="25" t="s">
        <v>2659</v>
      </c>
      <c r="I581" s="25"/>
      <c r="J581" s="25"/>
      <c r="K581" s="25"/>
      <c r="L581" s="25"/>
      <c r="M581" s="26"/>
      <c r="N581" s="25"/>
      <c r="O581" s="26"/>
      <c r="P581" s="27"/>
      <c r="Q581" s="25" t="s">
        <v>4191</v>
      </c>
      <c r="R581" s="25" t="s">
        <v>2516</v>
      </c>
      <c r="S581" s="25" t="s">
        <v>185</v>
      </c>
      <c r="T581" s="25">
        <v>1</v>
      </c>
      <c r="U581" s="25" t="s">
        <v>2517</v>
      </c>
      <c r="V581" s="25" t="s">
        <v>5246</v>
      </c>
      <c r="W581" s="25" t="s">
        <v>5237</v>
      </c>
      <c r="X581" s="59">
        <v>45793.416666666657</v>
      </c>
      <c r="Y581" s="25"/>
      <c r="Z581" s="25">
        <v>0.5</v>
      </c>
      <c r="AA581" s="25"/>
      <c r="AB581" s="25" t="s">
        <v>2521</v>
      </c>
      <c r="AC581" s="27" t="s">
        <v>4565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5247</v>
      </c>
      <c r="E582" s="25" t="s">
        <v>2504</v>
      </c>
      <c r="F582" s="25">
        <v>2349</v>
      </c>
      <c r="G582" s="25" t="s">
        <v>3667</v>
      </c>
      <c r="H582" s="25" t="s">
        <v>2507</v>
      </c>
      <c r="I582" s="25" t="s">
        <v>5248</v>
      </c>
      <c r="J582" s="25" t="s">
        <v>2567</v>
      </c>
      <c r="K582" s="25" t="s">
        <v>2510</v>
      </c>
      <c r="L582" s="25" t="s">
        <v>2511</v>
      </c>
      <c r="M582" s="26" t="s">
        <v>2512</v>
      </c>
      <c r="N582" s="25">
        <v>2306</v>
      </c>
      <c r="O582" s="26" t="s">
        <v>2893</v>
      </c>
      <c r="P582" s="27" t="s">
        <v>5249</v>
      </c>
      <c r="Q582" s="25" t="s">
        <v>3670</v>
      </c>
      <c r="R582" s="25" t="s">
        <v>2516</v>
      </c>
      <c r="S582" s="25" t="s">
        <v>25</v>
      </c>
      <c r="T582" s="25">
        <v>1</v>
      </c>
      <c r="U582" s="25" t="s">
        <v>2517</v>
      </c>
      <c r="V582" s="25" t="s">
        <v>5250</v>
      </c>
      <c r="W582" s="25" t="s">
        <v>5251</v>
      </c>
      <c r="X582" s="59">
        <v>45796.468055555553</v>
      </c>
      <c r="Y582" s="25" t="s">
        <v>5252</v>
      </c>
      <c r="Z582" s="25">
        <v>0.5</v>
      </c>
      <c r="AA582" s="25"/>
      <c r="AB582" s="25" t="s">
        <v>2521</v>
      </c>
      <c r="AC582" s="27" t="s">
        <v>5253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5254</v>
      </c>
      <c r="E583" s="25" t="s">
        <v>2504</v>
      </c>
      <c r="F583" s="25" t="s">
        <v>2817</v>
      </c>
      <c r="G583" s="25" t="s">
        <v>2818</v>
      </c>
      <c r="H583" s="25" t="s">
        <v>2507</v>
      </c>
      <c r="I583" s="25" t="s">
        <v>5255</v>
      </c>
      <c r="J583" s="25" t="s">
        <v>2661</v>
      </c>
      <c r="K583" s="25" t="s">
        <v>2568</v>
      </c>
      <c r="L583" s="25" t="s">
        <v>2511</v>
      </c>
      <c r="M583" s="26" t="s">
        <v>2512</v>
      </c>
      <c r="N583" s="25">
        <v>2307</v>
      </c>
      <c r="O583" s="26" t="s">
        <v>2678</v>
      </c>
      <c r="P583" s="27" t="s">
        <v>5256</v>
      </c>
      <c r="Q583" s="25" t="s">
        <v>2819</v>
      </c>
      <c r="R583" s="25" t="s">
        <v>2516</v>
      </c>
      <c r="S583" s="25" t="s">
        <v>25</v>
      </c>
      <c r="T583" s="25">
        <v>1</v>
      </c>
      <c r="U583" s="25" t="s">
        <v>2517</v>
      </c>
      <c r="V583" s="25" t="s">
        <v>5257</v>
      </c>
      <c r="W583" s="25" t="s">
        <v>5258</v>
      </c>
      <c r="X583" s="59">
        <v>45797.430555555547</v>
      </c>
      <c r="Y583" s="25" t="s">
        <v>5259</v>
      </c>
      <c r="Z583" s="25">
        <v>1.4</v>
      </c>
      <c r="AA583" s="25"/>
      <c r="AB583" s="25" t="s">
        <v>2521</v>
      </c>
      <c r="AC583" s="27" t="s">
        <v>5260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2763</v>
      </c>
      <c r="H584" s="25" t="s">
        <v>2659</v>
      </c>
      <c r="I584" s="25"/>
      <c r="J584" s="25"/>
      <c r="K584" s="25"/>
      <c r="L584" s="25"/>
      <c r="M584" s="26"/>
      <c r="N584" s="25"/>
      <c r="O584" s="26"/>
      <c r="P584" s="27"/>
      <c r="Q584" s="25" t="s">
        <v>2767</v>
      </c>
      <c r="R584" s="25" t="s">
        <v>2516</v>
      </c>
      <c r="S584" s="25" t="s">
        <v>185</v>
      </c>
      <c r="T584" s="25">
        <v>1</v>
      </c>
      <c r="U584" s="25" t="s">
        <v>2517</v>
      </c>
      <c r="V584" s="25" t="s">
        <v>5261</v>
      </c>
      <c r="W584" s="25" t="s">
        <v>5262</v>
      </c>
      <c r="X584" s="59">
        <v>45796.555555555547</v>
      </c>
      <c r="Y584" s="25"/>
      <c r="Z584" s="25">
        <v>0.3</v>
      </c>
      <c r="AA584" s="25"/>
      <c r="AB584" s="25" t="s">
        <v>2521</v>
      </c>
      <c r="AC584" s="27" t="s">
        <v>5263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2710</v>
      </c>
      <c r="H585" s="25" t="s">
        <v>2659</v>
      </c>
      <c r="I585" s="25"/>
      <c r="J585" s="25"/>
      <c r="K585" s="25"/>
      <c r="L585" s="25"/>
      <c r="M585" s="26"/>
      <c r="N585" s="25"/>
      <c r="O585" s="26"/>
      <c r="P585" s="27"/>
      <c r="Q585" s="25" t="s">
        <v>2711</v>
      </c>
      <c r="R585" s="25" t="s">
        <v>2516</v>
      </c>
      <c r="S585" s="25" t="s">
        <v>185</v>
      </c>
      <c r="T585" s="25">
        <v>1</v>
      </c>
      <c r="U585" s="25" t="s">
        <v>2517</v>
      </c>
      <c r="V585" s="25" t="s">
        <v>5264</v>
      </c>
      <c r="W585" s="25" t="s">
        <v>5265</v>
      </c>
      <c r="X585" s="59">
        <v>45796.576388888891</v>
      </c>
      <c r="Y585" s="25"/>
      <c r="Z585" s="25">
        <v>0.5</v>
      </c>
      <c r="AA585" s="25"/>
      <c r="AB585" s="25" t="s">
        <v>2521</v>
      </c>
      <c r="AC585" s="27" t="s">
        <v>4501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3436</v>
      </c>
      <c r="H586" s="25" t="s">
        <v>2609</v>
      </c>
      <c r="I586" s="25"/>
      <c r="J586" s="25"/>
      <c r="K586" s="25"/>
      <c r="L586" s="25"/>
      <c r="M586" s="26"/>
      <c r="N586" s="25"/>
      <c r="O586" s="26"/>
      <c r="P586" s="27"/>
      <c r="Q586" s="25" t="s">
        <v>3439</v>
      </c>
      <c r="R586" s="25" t="s">
        <v>2516</v>
      </c>
      <c r="S586" s="25" t="s">
        <v>173</v>
      </c>
      <c r="T586" s="25">
        <v>1</v>
      </c>
      <c r="U586" s="25" t="s">
        <v>2517</v>
      </c>
      <c r="V586" s="25" t="s">
        <v>5266</v>
      </c>
      <c r="W586" s="25" t="s">
        <v>5267</v>
      </c>
      <c r="X586" s="59">
        <v>45796.663194444453</v>
      </c>
      <c r="Y586" s="25"/>
      <c r="Z586" s="25">
        <v>0.8</v>
      </c>
      <c r="AA586" s="25"/>
      <c r="AB586" s="25" t="s">
        <v>2521</v>
      </c>
      <c r="AC586" s="27" t="s">
        <v>4501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5268</v>
      </c>
      <c r="E587" s="25" t="s">
        <v>2504</v>
      </c>
      <c r="F587" s="25">
        <v>3818</v>
      </c>
      <c r="G587" s="25" t="s">
        <v>2875</v>
      </c>
      <c r="H587" s="25" t="s">
        <v>2609</v>
      </c>
      <c r="I587" s="25" t="s">
        <v>5269</v>
      </c>
      <c r="J587" s="25" t="s">
        <v>2509</v>
      </c>
      <c r="K587" s="25" t="s">
        <v>2568</v>
      </c>
      <c r="L587" s="25" t="s">
        <v>2511</v>
      </c>
      <c r="M587" s="26" t="s">
        <v>2512</v>
      </c>
      <c r="N587" s="25">
        <v>2305</v>
      </c>
      <c r="O587" s="26" t="s">
        <v>3035</v>
      </c>
      <c r="P587" s="27" t="s">
        <v>5270</v>
      </c>
      <c r="Q587" s="25" t="s">
        <v>2878</v>
      </c>
      <c r="R587" s="25" t="s">
        <v>2516</v>
      </c>
      <c r="S587" s="25" t="s">
        <v>173</v>
      </c>
      <c r="T587" s="25">
        <v>1</v>
      </c>
      <c r="U587" s="25" t="s">
        <v>2517</v>
      </c>
      <c r="V587" s="25" t="s">
        <v>5271</v>
      </c>
      <c r="W587" s="25" t="s">
        <v>5272</v>
      </c>
      <c r="X587" s="59">
        <v>45798.520833333343</v>
      </c>
      <c r="Y587" s="25" t="s">
        <v>5273</v>
      </c>
      <c r="Z587" s="25">
        <v>0.6</v>
      </c>
      <c r="AA587" s="25"/>
      <c r="AB587" s="25" t="s">
        <v>2521</v>
      </c>
      <c r="AC587" s="27" t="s">
        <v>5274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5275</v>
      </c>
      <c r="E588" s="25" t="s">
        <v>2504</v>
      </c>
      <c r="F588" s="25" t="s">
        <v>3863</v>
      </c>
      <c r="G588" s="25" t="s">
        <v>3864</v>
      </c>
      <c r="H588" s="25" t="s">
        <v>2507</v>
      </c>
      <c r="I588" s="25" t="s">
        <v>5276</v>
      </c>
      <c r="J588" s="25" t="s">
        <v>2509</v>
      </c>
      <c r="K588" s="25" t="s">
        <v>2765</v>
      </c>
      <c r="L588" s="25" t="s">
        <v>2945</v>
      </c>
      <c r="M588" s="26" t="s">
        <v>2946</v>
      </c>
      <c r="N588" s="25" t="s">
        <v>3782</v>
      </c>
      <c r="O588" s="26" t="s">
        <v>2582</v>
      </c>
      <c r="P588" s="27" t="s">
        <v>5277</v>
      </c>
      <c r="Q588" s="25" t="s">
        <v>3865</v>
      </c>
      <c r="R588" s="25" t="s">
        <v>2516</v>
      </c>
      <c r="S588" s="25" t="s">
        <v>25</v>
      </c>
      <c r="T588" s="25">
        <v>1</v>
      </c>
      <c r="U588" s="25" t="s">
        <v>2517</v>
      </c>
      <c r="V588" s="25" t="s">
        <v>5278</v>
      </c>
      <c r="W588" s="25" t="s">
        <v>5279</v>
      </c>
      <c r="X588" s="59">
        <v>45798.486111111109</v>
      </c>
      <c r="Y588" s="25" t="s">
        <v>5280</v>
      </c>
      <c r="Z588" s="25">
        <v>0.5</v>
      </c>
      <c r="AA588" s="25"/>
      <c r="AB588" s="25" t="s">
        <v>2521</v>
      </c>
      <c r="AC588" s="27" t="s">
        <v>5281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5282</v>
      </c>
      <c r="E589" s="25" t="s">
        <v>2504</v>
      </c>
      <c r="F589" s="25" t="s">
        <v>2747</v>
      </c>
      <c r="G589" s="25" t="s">
        <v>2748</v>
      </c>
      <c r="H589" s="25" t="s">
        <v>2507</v>
      </c>
      <c r="I589" s="25" t="s">
        <v>5283</v>
      </c>
      <c r="J589" s="25" t="s">
        <v>2509</v>
      </c>
      <c r="K589" s="25" t="s">
        <v>2568</v>
      </c>
      <c r="L589" s="25" t="s">
        <v>2511</v>
      </c>
      <c r="M589" s="26" t="s">
        <v>2512</v>
      </c>
      <c r="N589" s="25">
        <v>2305</v>
      </c>
      <c r="O589" s="26" t="s">
        <v>3035</v>
      </c>
      <c r="P589" s="27" t="s">
        <v>5284</v>
      </c>
      <c r="Q589" s="25" t="s">
        <v>2749</v>
      </c>
      <c r="R589" s="25" t="s">
        <v>2516</v>
      </c>
      <c r="S589" s="25" t="s">
        <v>25</v>
      </c>
      <c r="T589" s="25">
        <v>1</v>
      </c>
      <c r="U589" s="25" t="s">
        <v>2517</v>
      </c>
      <c r="V589" s="25" t="s">
        <v>5285</v>
      </c>
      <c r="W589" s="25" t="s">
        <v>5286</v>
      </c>
      <c r="X589" s="59">
        <v>45797.440972222219</v>
      </c>
      <c r="Y589" s="25" t="s">
        <v>5280</v>
      </c>
      <c r="Z589" s="25">
        <v>0.5</v>
      </c>
      <c r="AA589" s="25"/>
      <c r="AB589" s="25" t="s">
        <v>2521</v>
      </c>
      <c r="AC589" s="27" t="s">
        <v>5287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5288</v>
      </c>
      <c r="E590" s="25" t="s">
        <v>2504</v>
      </c>
      <c r="F590" s="25" t="s">
        <v>3353</v>
      </c>
      <c r="G590" s="25" t="s">
        <v>3354</v>
      </c>
      <c r="H590" s="25" t="s">
        <v>2507</v>
      </c>
      <c r="I590" s="25" t="s">
        <v>5289</v>
      </c>
      <c r="J590" s="25" t="s">
        <v>2509</v>
      </c>
      <c r="K590" s="25" t="s">
        <v>2765</v>
      </c>
      <c r="L590" s="25" t="s">
        <v>2569</v>
      </c>
      <c r="M590" s="26" t="s">
        <v>2570</v>
      </c>
      <c r="N590" s="25">
        <v>2501</v>
      </c>
      <c r="O590" s="26" t="s">
        <v>2571</v>
      </c>
      <c r="P590" s="27" t="s">
        <v>5290</v>
      </c>
      <c r="Q590" s="25" t="s">
        <v>3357</v>
      </c>
      <c r="R590" s="25" t="s">
        <v>2516</v>
      </c>
      <c r="S590" s="25" t="s">
        <v>25</v>
      </c>
      <c r="T590" s="25">
        <v>1</v>
      </c>
      <c r="U590" s="25" t="s">
        <v>2517</v>
      </c>
      <c r="V590" s="25" t="s">
        <v>5291</v>
      </c>
      <c r="W590" s="25" t="s">
        <v>5292</v>
      </c>
      <c r="X590" s="59">
        <v>45797.651388888888</v>
      </c>
      <c r="Y590" s="25" t="s">
        <v>5293</v>
      </c>
      <c r="Z590" s="25">
        <v>0.5</v>
      </c>
      <c r="AA590" s="25"/>
      <c r="AB590" s="25" t="s">
        <v>2521</v>
      </c>
      <c r="AC590" s="27" t="s">
        <v>5294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5295</v>
      </c>
      <c r="E591" s="25" t="s">
        <v>2504</v>
      </c>
      <c r="F591" s="25">
        <v>3380</v>
      </c>
      <c r="G591" s="25" t="s">
        <v>2710</v>
      </c>
      <c r="H591" s="25" t="s">
        <v>2659</v>
      </c>
      <c r="I591" s="25" t="s">
        <v>5296</v>
      </c>
      <c r="J591" s="25" t="s">
        <v>2509</v>
      </c>
      <c r="K591" s="25" t="s">
        <v>2568</v>
      </c>
      <c r="L591" s="25" t="s">
        <v>2525</v>
      </c>
      <c r="M591" s="26" t="s">
        <v>2526</v>
      </c>
      <c r="N591" s="25">
        <v>5802</v>
      </c>
      <c r="O591" s="26" t="s">
        <v>5297</v>
      </c>
      <c r="P591" s="27" t="s">
        <v>5298</v>
      </c>
      <c r="Q591" s="25" t="s">
        <v>2711</v>
      </c>
      <c r="R591" s="25" t="s">
        <v>2516</v>
      </c>
      <c r="S591" s="25" t="s">
        <v>185</v>
      </c>
      <c r="T591" s="25">
        <v>1</v>
      </c>
      <c r="U591" s="25" t="s">
        <v>2517</v>
      </c>
      <c r="V591" s="25" t="s">
        <v>5299</v>
      </c>
      <c r="W591" s="25" t="s">
        <v>5300</v>
      </c>
      <c r="X591" s="59">
        <v>45797.583333333343</v>
      </c>
      <c r="Y591" s="25" t="s">
        <v>5301</v>
      </c>
      <c r="Z591" s="25">
        <v>1</v>
      </c>
      <c r="AA591" s="25"/>
      <c r="AB591" s="25" t="s">
        <v>2521</v>
      </c>
      <c r="AC591" s="27" t="s">
        <v>5302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2685</v>
      </c>
      <c r="G592" s="25" t="s">
        <v>2686</v>
      </c>
      <c r="H592" s="25" t="s">
        <v>2609</v>
      </c>
      <c r="I592" s="25"/>
      <c r="J592" s="25"/>
      <c r="K592" s="25"/>
      <c r="L592" s="25"/>
      <c r="M592" s="26"/>
      <c r="N592" s="25"/>
      <c r="O592" s="26"/>
      <c r="P592" s="27"/>
      <c r="Q592" s="25" t="s">
        <v>2687</v>
      </c>
      <c r="R592" s="25" t="s">
        <v>2516</v>
      </c>
      <c r="S592" s="25" t="s">
        <v>173</v>
      </c>
      <c r="T592" s="25">
        <v>1</v>
      </c>
      <c r="U592" s="25" t="s">
        <v>2517</v>
      </c>
      <c r="V592" s="25" t="s">
        <v>5303</v>
      </c>
      <c r="W592" s="25" t="s">
        <v>5304</v>
      </c>
      <c r="X592" s="59">
        <v>45797.510416666657</v>
      </c>
      <c r="Y592" s="25"/>
      <c r="Z592" s="25">
        <v>0.6</v>
      </c>
      <c r="AA592" s="25"/>
      <c r="AB592" s="25" t="s">
        <v>2521</v>
      </c>
      <c r="AC592" s="27" t="s">
        <v>4501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5305</v>
      </c>
      <c r="H593" s="25" t="s">
        <v>2507</v>
      </c>
      <c r="I593" s="25"/>
      <c r="J593" s="25"/>
      <c r="K593" s="25"/>
      <c r="L593" s="25"/>
      <c r="M593" s="26"/>
      <c r="N593" s="25"/>
      <c r="O593" s="26"/>
      <c r="P593" s="27"/>
      <c r="Q593" s="25" t="s">
        <v>2788</v>
      </c>
      <c r="R593" s="25" t="s">
        <v>2516</v>
      </c>
      <c r="S593" s="25" t="s">
        <v>25</v>
      </c>
      <c r="T593" s="25">
        <v>1</v>
      </c>
      <c r="U593" s="25" t="s">
        <v>2517</v>
      </c>
      <c r="V593" s="25" t="s">
        <v>5306</v>
      </c>
      <c r="W593" s="25" t="s">
        <v>5307</v>
      </c>
      <c r="X593" s="59">
        <v>45797.625694444447</v>
      </c>
      <c r="Y593" s="25"/>
      <c r="Z593" s="25">
        <v>1</v>
      </c>
      <c r="AA593" s="25"/>
      <c r="AB593" s="25" t="s">
        <v>2521</v>
      </c>
      <c r="AC593" s="27" t="s">
        <v>5308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3353</v>
      </c>
      <c r="G594" s="25" t="s">
        <v>3354</v>
      </c>
      <c r="H594" s="25" t="s">
        <v>2507</v>
      </c>
      <c r="I594" s="25"/>
      <c r="J594" s="25"/>
      <c r="K594" s="25"/>
      <c r="L594" s="25"/>
      <c r="M594" s="26"/>
      <c r="N594" s="25"/>
      <c r="O594" s="26"/>
      <c r="P594" s="27"/>
      <c r="Q594" s="25" t="s">
        <v>3357</v>
      </c>
      <c r="R594" s="25" t="s">
        <v>2516</v>
      </c>
      <c r="S594" s="25" t="s">
        <v>25</v>
      </c>
      <c r="T594" s="25">
        <v>1</v>
      </c>
      <c r="U594" s="25" t="s">
        <v>2517</v>
      </c>
      <c r="V594" s="25" t="s">
        <v>5309</v>
      </c>
      <c r="W594" s="25" t="s">
        <v>5310</v>
      </c>
      <c r="X594" s="59">
        <v>45797.682638888888</v>
      </c>
      <c r="Y594" s="25"/>
      <c r="Z594" s="25">
        <v>1.1000000000000001</v>
      </c>
      <c r="AA594" s="25"/>
      <c r="AB594" s="25" t="s">
        <v>2521</v>
      </c>
      <c r="AC594" s="27" t="s">
        <v>4501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3863</v>
      </c>
      <c r="G595" s="25" t="s">
        <v>3864</v>
      </c>
      <c r="H595" s="25" t="s">
        <v>2507</v>
      </c>
      <c r="I595" s="25"/>
      <c r="J595" s="25"/>
      <c r="K595" s="25"/>
      <c r="L595" s="25"/>
      <c r="M595" s="26"/>
      <c r="N595" s="25"/>
      <c r="O595" s="26"/>
      <c r="P595" s="27"/>
      <c r="Q595" s="25" t="s">
        <v>3865</v>
      </c>
      <c r="R595" s="25" t="s">
        <v>2516</v>
      </c>
      <c r="S595" s="25" t="s">
        <v>25</v>
      </c>
      <c r="T595" s="25">
        <v>1</v>
      </c>
      <c r="U595" s="25" t="s">
        <v>2517</v>
      </c>
      <c r="V595" s="25" t="s">
        <v>5311</v>
      </c>
      <c r="W595" s="25" t="s">
        <v>5312</v>
      </c>
      <c r="X595" s="59">
        <v>45798.487500000003</v>
      </c>
      <c r="Y595" s="25"/>
      <c r="Z595" s="25">
        <v>0.9</v>
      </c>
      <c r="AA595" s="25"/>
      <c r="AB595" s="25"/>
      <c r="AC595" s="27" t="s">
        <v>5313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4075</v>
      </c>
      <c r="H596" s="25" t="s">
        <v>3148</v>
      </c>
      <c r="I596" s="25"/>
      <c r="J596" s="25"/>
      <c r="K596" s="25"/>
      <c r="L596" s="25"/>
      <c r="M596" s="26"/>
      <c r="N596" s="25"/>
      <c r="O596" s="26"/>
      <c r="P596" s="27"/>
      <c r="Q596" s="25" t="s">
        <v>4076</v>
      </c>
      <c r="R596" s="25" t="s">
        <v>2516</v>
      </c>
      <c r="S596" s="25" t="s">
        <v>185</v>
      </c>
      <c r="T596" s="25">
        <v>1</v>
      </c>
      <c r="U596" s="25" t="s">
        <v>2517</v>
      </c>
      <c r="V596" s="25" t="s">
        <v>5314</v>
      </c>
      <c r="W596" s="25" t="s">
        <v>5315</v>
      </c>
      <c r="X596" s="59">
        <v>45798.5</v>
      </c>
      <c r="Y596" s="25"/>
      <c r="Z596" s="25">
        <v>1</v>
      </c>
      <c r="AA596" s="25"/>
      <c r="AB596" s="25" t="s">
        <v>2521</v>
      </c>
      <c r="AC596" s="27" t="s">
        <v>4501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3625</v>
      </c>
      <c r="H597" s="25" t="s">
        <v>3148</v>
      </c>
      <c r="I597" s="25"/>
      <c r="J597" s="25"/>
      <c r="K597" s="25"/>
      <c r="L597" s="25"/>
      <c r="M597" s="26"/>
      <c r="N597" s="25"/>
      <c r="O597" s="26"/>
      <c r="P597" s="27"/>
      <c r="Q597" s="25" t="s">
        <v>3626</v>
      </c>
      <c r="R597" s="25" t="s">
        <v>2516</v>
      </c>
      <c r="S597" s="25" t="s">
        <v>185</v>
      </c>
      <c r="T597" s="25">
        <v>1</v>
      </c>
      <c r="U597" s="25" t="s">
        <v>2517</v>
      </c>
      <c r="V597" s="25" t="s">
        <v>5316</v>
      </c>
      <c r="W597" s="25" t="s">
        <v>5317</v>
      </c>
      <c r="X597" s="59">
        <v>45798.604166666657</v>
      </c>
      <c r="Y597" s="25"/>
      <c r="Z597" s="25">
        <v>1.5</v>
      </c>
      <c r="AA597" s="25"/>
      <c r="AB597" s="25" t="s">
        <v>2521</v>
      </c>
      <c r="AC597" s="27" t="s">
        <v>5318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3404</v>
      </c>
      <c r="G598" s="25" t="s">
        <v>3405</v>
      </c>
      <c r="H598" s="25" t="s">
        <v>2507</v>
      </c>
      <c r="I598" s="25"/>
      <c r="J598" s="25"/>
      <c r="K598" s="25"/>
      <c r="L598" s="25"/>
      <c r="M598" s="26"/>
      <c r="N598" s="25"/>
      <c r="O598" s="26"/>
      <c r="P598" s="27"/>
      <c r="Q598" s="25" t="s">
        <v>3406</v>
      </c>
      <c r="R598" s="25" t="s">
        <v>2516</v>
      </c>
      <c r="S598" s="25" t="s">
        <v>25</v>
      </c>
      <c r="T598" s="25">
        <v>1</v>
      </c>
      <c r="U598" s="25" t="s">
        <v>2517</v>
      </c>
      <c r="V598" s="25" t="s">
        <v>5319</v>
      </c>
      <c r="W598" s="25" t="s">
        <v>5320</v>
      </c>
      <c r="X598" s="59">
        <v>45798.604166666657</v>
      </c>
      <c r="Y598" s="25"/>
      <c r="Z598" s="25">
        <v>0.5</v>
      </c>
      <c r="AA598" s="25"/>
      <c r="AB598" s="25" t="s">
        <v>2521</v>
      </c>
      <c r="AC598" s="27" t="s">
        <v>5313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3370</v>
      </c>
      <c r="H599" s="25" t="s">
        <v>3148</v>
      </c>
      <c r="I599" s="25"/>
      <c r="J599" s="25"/>
      <c r="K599" s="25"/>
      <c r="L599" s="25"/>
      <c r="M599" s="26"/>
      <c r="N599" s="25"/>
      <c r="O599" s="26"/>
      <c r="P599" s="27"/>
      <c r="Q599" s="25" t="s">
        <v>3371</v>
      </c>
      <c r="R599" s="25" t="s">
        <v>2516</v>
      </c>
      <c r="S599" s="25" t="s">
        <v>185</v>
      </c>
      <c r="T599" s="25">
        <v>1</v>
      </c>
      <c r="U599" s="25" t="s">
        <v>2517</v>
      </c>
      <c r="V599" s="25" t="s">
        <v>5321</v>
      </c>
      <c r="W599" s="25" t="s">
        <v>5322</v>
      </c>
      <c r="X599" s="59">
        <v>45798.618055555547</v>
      </c>
      <c r="Y599" s="25"/>
      <c r="Z599" s="25">
        <v>0.3</v>
      </c>
      <c r="AA599" s="25"/>
      <c r="AB599" s="25" t="s">
        <v>2521</v>
      </c>
      <c r="AC599" s="27" t="s">
        <v>4565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4091</v>
      </c>
      <c r="H600" s="25" t="s">
        <v>3138</v>
      </c>
      <c r="I600" s="25"/>
      <c r="J600" s="25"/>
      <c r="K600" s="25"/>
      <c r="L600" s="25"/>
      <c r="M600" s="26"/>
      <c r="N600" s="25"/>
      <c r="O600" s="26"/>
      <c r="P600" s="27"/>
      <c r="Q600" s="25" t="s">
        <v>4092</v>
      </c>
      <c r="R600" s="25" t="s">
        <v>2516</v>
      </c>
      <c r="S600" s="25" t="s">
        <v>185</v>
      </c>
      <c r="T600" s="25">
        <v>1</v>
      </c>
      <c r="U600" s="25" t="s">
        <v>2517</v>
      </c>
      <c r="V600" s="25" t="s">
        <v>5323</v>
      </c>
      <c r="W600" s="25" t="s">
        <v>5324</v>
      </c>
      <c r="X600" s="59">
        <v>45798.635416666657</v>
      </c>
      <c r="Y600" s="25"/>
      <c r="Z600" s="25">
        <v>0.3</v>
      </c>
      <c r="AA600" s="25"/>
      <c r="AB600" s="25" t="s">
        <v>2521</v>
      </c>
      <c r="AC600" s="27" t="s">
        <v>4565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3303</v>
      </c>
      <c r="H601" s="25" t="s">
        <v>2507</v>
      </c>
      <c r="I601" s="25"/>
      <c r="J601" s="25"/>
      <c r="K601" s="25"/>
      <c r="L601" s="25"/>
      <c r="M601" s="26"/>
      <c r="N601" s="25"/>
      <c r="O601" s="26"/>
      <c r="P601" s="27"/>
      <c r="Q601" s="25" t="s">
        <v>3304</v>
      </c>
      <c r="R601" s="25" t="s">
        <v>2516</v>
      </c>
      <c r="S601" s="25" t="s">
        <v>25</v>
      </c>
      <c r="T601" s="25">
        <v>1</v>
      </c>
      <c r="U601" s="25" t="s">
        <v>2517</v>
      </c>
      <c r="V601" s="25" t="s">
        <v>5325</v>
      </c>
      <c r="W601" s="25" t="s">
        <v>5326</v>
      </c>
      <c r="X601" s="59">
        <v>45798.665972222218</v>
      </c>
      <c r="Y601" s="25"/>
      <c r="Z601" s="25">
        <v>0.5</v>
      </c>
      <c r="AA601" s="25"/>
      <c r="AB601" s="25" t="s">
        <v>2521</v>
      </c>
      <c r="AC601" s="27" t="s">
        <v>4565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4075</v>
      </c>
      <c r="H602" s="25" t="s">
        <v>3148</v>
      </c>
      <c r="I602" s="25"/>
      <c r="J602" s="25"/>
      <c r="K602" s="25"/>
      <c r="L602" s="25"/>
      <c r="M602" s="26"/>
      <c r="N602" s="25"/>
      <c r="O602" s="26"/>
      <c r="P602" s="27"/>
      <c r="Q602" s="25" t="s">
        <v>4076</v>
      </c>
      <c r="R602" s="25" t="s">
        <v>2516</v>
      </c>
      <c r="S602" s="25" t="s">
        <v>185</v>
      </c>
      <c r="T602" s="25">
        <v>1</v>
      </c>
      <c r="U602" s="25" t="s">
        <v>2517</v>
      </c>
      <c r="V602" s="25" t="s">
        <v>5327</v>
      </c>
      <c r="W602" s="25" t="s">
        <v>5328</v>
      </c>
      <c r="X602" s="59">
        <v>45798.70416666667</v>
      </c>
      <c r="Y602" s="25"/>
      <c r="Z602" s="25">
        <v>0.3</v>
      </c>
      <c r="AA602" s="25"/>
      <c r="AB602" s="25" t="s">
        <v>2521</v>
      </c>
      <c r="AC602" s="27" t="s">
        <v>5329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3625</v>
      </c>
      <c r="H603" s="25" t="s">
        <v>3148</v>
      </c>
      <c r="I603" s="25"/>
      <c r="J603" s="25"/>
      <c r="K603" s="25"/>
      <c r="L603" s="25"/>
      <c r="M603" s="26"/>
      <c r="N603" s="25"/>
      <c r="O603" s="26"/>
      <c r="P603" s="27"/>
      <c r="Q603" s="25" t="s">
        <v>3626</v>
      </c>
      <c r="R603" s="25" t="s">
        <v>2516</v>
      </c>
      <c r="S603" s="25" t="s">
        <v>185</v>
      </c>
      <c r="T603" s="25">
        <v>1</v>
      </c>
      <c r="U603" s="25" t="s">
        <v>2517</v>
      </c>
      <c r="V603" s="25" t="s">
        <v>5330</v>
      </c>
      <c r="W603" s="25" t="s">
        <v>5331</v>
      </c>
      <c r="X603" s="59">
        <v>45799.493055555547</v>
      </c>
      <c r="Y603" s="25"/>
      <c r="Z603" s="25">
        <v>0.8</v>
      </c>
      <c r="AA603" s="25"/>
      <c r="AB603" s="25" t="s">
        <v>2521</v>
      </c>
      <c r="AC603" s="27" t="s">
        <v>5332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5333</v>
      </c>
      <c r="E604" s="25" t="s">
        <v>2504</v>
      </c>
      <c r="F604" s="25">
        <v>3890</v>
      </c>
      <c r="G604" s="25" t="s">
        <v>2548</v>
      </c>
      <c r="H604" s="25" t="s">
        <v>2507</v>
      </c>
      <c r="I604" s="25" t="s">
        <v>5334</v>
      </c>
      <c r="J604" s="25" t="s">
        <v>2835</v>
      </c>
      <c r="K604" s="25" t="s">
        <v>2510</v>
      </c>
      <c r="L604" s="25" t="s">
        <v>2511</v>
      </c>
      <c r="M604" s="26" t="s">
        <v>2512</v>
      </c>
      <c r="N604" s="25">
        <v>2307</v>
      </c>
      <c r="O604" s="26" t="s">
        <v>2678</v>
      </c>
      <c r="P604" s="27" t="s">
        <v>5335</v>
      </c>
      <c r="Q604" s="25" t="s">
        <v>2552</v>
      </c>
      <c r="R604" s="25" t="s">
        <v>2516</v>
      </c>
      <c r="S604" s="25" t="s">
        <v>25</v>
      </c>
      <c r="T604" s="25">
        <v>1</v>
      </c>
      <c r="U604" s="25" t="s">
        <v>2517</v>
      </c>
      <c r="V604" s="25" t="s">
        <v>5336</v>
      </c>
      <c r="W604" s="25" t="s">
        <v>5337</v>
      </c>
      <c r="X604" s="59">
        <v>45800.493055555547</v>
      </c>
      <c r="Y604" s="25" t="s">
        <v>5338</v>
      </c>
      <c r="Z604" s="25">
        <v>1.3</v>
      </c>
      <c r="AA604" s="25"/>
      <c r="AB604" s="25" t="s">
        <v>2521</v>
      </c>
      <c r="AC604" s="27" t="s">
        <v>5339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5340</v>
      </c>
      <c r="E605" s="25" t="s">
        <v>2504</v>
      </c>
      <c r="F605" s="25">
        <v>5352</v>
      </c>
      <c r="G605" s="25" t="s">
        <v>4867</v>
      </c>
      <c r="H605" s="25" t="s">
        <v>2507</v>
      </c>
      <c r="I605" s="25" t="s">
        <v>5341</v>
      </c>
      <c r="J605" s="25" t="s">
        <v>2835</v>
      </c>
      <c r="K605" s="25" t="s">
        <v>2510</v>
      </c>
      <c r="L605" s="25" t="s">
        <v>2611</v>
      </c>
      <c r="M605" s="26" t="s">
        <v>2612</v>
      </c>
      <c r="N605" s="25" t="s">
        <v>2892</v>
      </c>
      <c r="O605" s="26" t="s">
        <v>2893</v>
      </c>
      <c r="P605" s="27" t="s">
        <v>5342</v>
      </c>
      <c r="Q605" s="25" t="s">
        <v>4868</v>
      </c>
      <c r="R605" s="25" t="s">
        <v>2516</v>
      </c>
      <c r="S605" s="25" t="s">
        <v>25</v>
      </c>
      <c r="T605" s="25">
        <v>1</v>
      </c>
      <c r="U605" s="25" t="s">
        <v>2517</v>
      </c>
      <c r="V605" s="25" t="s">
        <v>5343</v>
      </c>
      <c r="W605" s="25" t="s">
        <v>5344</v>
      </c>
      <c r="X605" s="59">
        <v>45799.677777777782</v>
      </c>
      <c r="Y605" s="25" t="s">
        <v>5345</v>
      </c>
      <c r="Z605" s="25">
        <v>0.5</v>
      </c>
      <c r="AA605" s="25"/>
      <c r="AB605" s="25" t="s">
        <v>2915</v>
      </c>
      <c r="AC605" s="27" t="s">
        <v>2684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2548</v>
      </c>
      <c r="H606" s="25" t="s">
        <v>2507</v>
      </c>
      <c r="I606" s="25"/>
      <c r="J606" s="25"/>
      <c r="K606" s="25"/>
      <c r="L606" s="25"/>
      <c r="M606" s="26"/>
      <c r="N606" s="25"/>
      <c r="O606" s="26"/>
      <c r="P606" s="27"/>
      <c r="Q606" s="25" t="s">
        <v>2552</v>
      </c>
      <c r="R606" s="25" t="s">
        <v>2516</v>
      </c>
      <c r="S606" s="25" t="s">
        <v>25</v>
      </c>
      <c r="T606" s="25">
        <v>1</v>
      </c>
      <c r="U606" s="25" t="s">
        <v>2517</v>
      </c>
      <c r="V606" s="25" t="s">
        <v>5346</v>
      </c>
      <c r="W606" s="25" t="s">
        <v>5337</v>
      </c>
      <c r="X606" s="59">
        <v>45800.494444444441</v>
      </c>
      <c r="Y606" s="25"/>
      <c r="Z606" s="25">
        <v>1.4</v>
      </c>
      <c r="AA606" s="25"/>
      <c r="AB606" s="25" t="s">
        <v>2521</v>
      </c>
      <c r="AC606" s="27" t="s">
        <v>4501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3601</v>
      </c>
      <c r="H607" s="25" t="s">
        <v>2507</v>
      </c>
      <c r="I607" s="25"/>
      <c r="J607" s="25"/>
      <c r="K607" s="25"/>
      <c r="L607" s="25"/>
      <c r="M607" s="26"/>
      <c r="N607" s="25"/>
      <c r="O607" s="26"/>
      <c r="P607" s="27"/>
      <c r="Q607" s="25" t="s">
        <v>3602</v>
      </c>
      <c r="R607" s="25" t="s">
        <v>2516</v>
      </c>
      <c r="S607" s="25" t="s">
        <v>25</v>
      </c>
      <c r="T607" s="25">
        <v>1</v>
      </c>
      <c r="U607" s="25" t="s">
        <v>2517</v>
      </c>
      <c r="V607" s="25" t="s">
        <v>5347</v>
      </c>
      <c r="W607" s="25" t="s">
        <v>5348</v>
      </c>
      <c r="X607" s="59">
        <v>45800.67083333333</v>
      </c>
      <c r="Y607" s="25"/>
      <c r="Z607" s="25">
        <v>1.1000000000000001</v>
      </c>
      <c r="AA607" s="25"/>
      <c r="AB607" s="25" t="s">
        <v>2521</v>
      </c>
      <c r="AC607" s="27" t="s">
        <v>4501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5349</v>
      </c>
      <c r="E608" s="25" t="s">
        <v>2843</v>
      </c>
      <c r="F608" s="25">
        <v>2259</v>
      </c>
      <c r="G608" s="25" t="s">
        <v>2631</v>
      </c>
      <c r="H608" s="25" t="s">
        <v>2507</v>
      </c>
      <c r="I608" s="25" t="s">
        <v>5350</v>
      </c>
      <c r="J608" s="25" t="s">
        <v>2930</v>
      </c>
      <c r="K608" s="25" t="s">
        <v>2568</v>
      </c>
      <c r="L608" s="25" t="s">
        <v>2846</v>
      </c>
      <c r="M608" s="26" t="s">
        <v>2847</v>
      </c>
      <c r="N608" s="25">
        <v>2405</v>
      </c>
      <c r="O608" s="26" t="s">
        <v>2963</v>
      </c>
      <c r="P608" s="27" t="s">
        <v>5351</v>
      </c>
      <c r="Q608" s="25" t="s">
        <v>2632</v>
      </c>
      <c r="R608" s="25" t="s">
        <v>2516</v>
      </c>
      <c r="S608" s="25" t="s">
        <v>185</v>
      </c>
      <c r="T608" s="25">
        <v>1</v>
      </c>
      <c r="U608" s="25" t="s">
        <v>2517</v>
      </c>
      <c r="V608" s="25" t="s">
        <v>5352</v>
      </c>
      <c r="W608" s="25" t="s">
        <v>5353</v>
      </c>
      <c r="X608" s="59">
        <v>45801.600694444453</v>
      </c>
      <c r="Y608" s="25" t="s">
        <v>5354</v>
      </c>
      <c r="Z608" s="25">
        <v>1.9</v>
      </c>
      <c r="AA608" s="25"/>
      <c r="AB608" s="25" t="s">
        <v>2521</v>
      </c>
      <c r="AC608" s="27" t="s">
        <v>5355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5356</v>
      </c>
      <c r="E609" s="25" t="s">
        <v>2504</v>
      </c>
      <c r="F609" s="25">
        <v>5080</v>
      </c>
      <c r="G609" s="25" t="s">
        <v>3247</v>
      </c>
      <c r="H609" s="25" t="s">
        <v>3248</v>
      </c>
      <c r="I609" s="25" t="s">
        <v>5357</v>
      </c>
      <c r="J609" s="25" t="s">
        <v>2930</v>
      </c>
      <c r="K609" s="25" t="s">
        <v>2568</v>
      </c>
      <c r="L609" s="25" t="s">
        <v>2525</v>
      </c>
      <c r="M609" s="26" t="s">
        <v>2526</v>
      </c>
      <c r="N609" s="25">
        <v>5804</v>
      </c>
      <c r="O609" s="26" t="s">
        <v>2582</v>
      </c>
      <c r="P609" s="27" t="s">
        <v>5358</v>
      </c>
      <c r="Q609" s="25" t="s">
        <v>3251</v>
      </c>
      <c r="R609" s="25" t="s">
        <v>2516</v>
      </c>
      <c r="S609" s="25" t="s">
        <v>25</v>
      </c>
      <c r="T609" s="25">
        <v>1</v>
      </c>
      <c r="U609" s="25" t="s">
        <v>2517</v>
      </c>
      <c r="V609" s="25" t="s">
        <v>5359</v>
      </c>
      <c r="W609" s="25" t="s">
        <v>5360</v>
      </c>
      <c r="X609" s="59">
        <v>45803.469444444447</v>
      </c>
      <c r="Y609" s="25" t="s">
        <v>5361</v>
      </c>
      <c r="Z609" s="25">
        <v>0.5</v>
      </c>
      <c r="AA609" s="25"/>
      <c r="AB609" s="25" t="s">
        <v>2521</v>
      </c>
      <c r="AC609" s="27" t="s">
        <v>5362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4297</v>
      </c>
      <c r="H610" s="25" t="s">
        <v>2659</v>
      </c>
      <c r="I610" s="25"/>
      <c r="J610" s="25"/>
      <c r="K610" s="25"/>
      <c r="L610" s="25"/>
      <c r="M610" s="26"/>
      <c r="N610" s="25"/>
      <c r="O610" s="26"/>
      <c r="P610" s="27"/>
      <c r="Q610" s="25" t="s">
        <v>4298</v>
      </c>
      <c r="R610" s="25" t="s">
        <v>2516</v>
      </c>
      <c r="S610" s="25" t="s">
        <v>185</v>
      </c>
      <c r="T610" s="25">
        <v>1</v>
      </c>
      <c r="U610" s="25" t="s">
        <v>2517</v>
      </c>
      <c r="V610" s="25" t="s">
        <v>5363</v>
      </c>
      <c r="W610" s="25" t="s">
        <v>5364</v>
      </c>
      <c r="X610" s="59">
        <v>45803.5</v>
      </c>
      <c r="Y610" s="25"/>
      <c r="Z610" s="25">
        <v>1</v>
      </c>
      <c r="AA610" s="25"/>
      <c r="AB610" s="25" t="s">
        <v>2521</v>
      </c>
      <c r="AC610" s="27" t="s">
        <v>4501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3979</v>
      </c>
      <c r="H611" s="25" t="s">
        <v>1604</v>
      </c>
      <c r="I611" s="25"/>
      <c r="J611" s="25"/>
      <c r="K611" s="25"/>
      <c r="L611" s="25"/>
      <c r="M611" s="26"/>
      <c r="N611" s="25"/>
      <c r="O611" s="26"/>
      <c r="P611" s="27"/>
      <c r="Q611" s="25" t="s">
        <v>3980</v>
      </c>
      <c r="R611" s="25" t="s">
        <v>2516</v>
      </c>
      <c r="S611" s="25" t="s">
        <v>25</v>
      </c>
      <c r="T611" s="25">
        <v>1</v>
      </c>
      <c r="U611" s="25" t="s">
        <v>2517</v>
      </c>
      <c r="V611" s="25" t="s">
        <v>5365</v>
      </c>
      <c r="W611" s="25" t="s">
        <v>5366</v>
      </c>
      <c r="X611" s="59">
        <v>45803.519444444442</v>
      </c>
      <c r="Y611" s="25"/>
      <c r="Z611" s="25">
        <v>1.1000000000000001</v>
      </c>
      <c r="AA611" s="25"/>
      <c r="AB611" s="25" t="s">
        <v>2521</v>
      </c>
      <c r="AC611" s="27" t="s">
        <v>4501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3797</v>
      </c>
      <c r="H612" s="25" t="s">
        <v>1604</v>
      </c>
      <c r="I612" s="25"/>
      <c r="J612" s="25"/>
      <c r="K612" s="25"/>
      <c r="L612" s="25"/>
      <c r="M612" s="26"/>
      <c r="N612" s="25"/>
      <c r="O612" s="26"/>
      <c r="P612" s="27"/>
      <c r="Q612" s="25" t="s">
        <v>3800</v>
      </c>
      <c r="R612" s="25" t="s">
        <v>2516</v>
      </c>
      <c r="S612" s="25" t="s">
        <v>25</v>
      </c>
      <c r="T612" s="25">
        <v>1</v>
      </c>
      <c r="U612" s="25" t="s">
        <v>2517</v>
      </c>
      <c r="V612" s="25" t="s">
        <v>5367</v>
      </c>
      <c r="W612" s="25" t="s">
        <v>5368</v>
      </c>
      <c r="X612" s="59">
        <v>45803.555555555547</v>
      </c>
      <c r="Y612" s="25"/>
      <c r="Z612" s="25">
        <v>0.6</v>
      </c>
      <c r="AA612" s="25"/>
      <c r="AB612" s="25" t="s">
        <v>2521</v>
      </c>
      <c r="AC612" s="27" t="s">
        <v>4501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4379</v>
      </c>
      <c r="H613" s="25" t="s">
        <v>2659</v>
      </c>
      <c r="I613" s="25"/>
      <c r="J613" s="25"/>
      <c r="K613" s="25"/>
      <c r="L613" s="25"/>
      <c r="M613" s="26"/>
      <c r="N613" s="25"/>
      <c r="O613" s="26"/>
      <c r="P613" s="27"/>
      <c r="Q613" s="25" t="s">
        <v>4380</v>
      </c>
      <c r="R613" s="25" t="s">
        <v>2516</v>
      </c>
      <c r="S613" s="25" t="s">
        <v>185</v>
      </c>
      <c r="T613" s="25">
        <v>1</v>
      </c>
      <c r="U613" s="25" t="s">
        <v>2517</v>
      </c>
      <c r="V613" s="25" t="s">
        <v>5369</v>
      </c>
      <c r="W613" s="25" t="s">
        <v>5370</v>
      </c>
      <c r="X613" s="59">
        <v>45803.5625</v>
      </c>
      <c r="Y613" s="25"/>
      <c r="Z613" s="25">
        <v>1</v>
      </c>
      <c r="AA613" s="25"/>
      <c r="AB613" s="25" t="s">
        <v>2521</v>
      </c>
      <c r="AC613" s="27" t="s">
        <v>4501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5371</v>
      </c>
      <c r="E614" s="25" t="s">
        <v>2504</v>
      </c>
      <c r="F614" s="25" t="s">
        <v>2747</v>
      </c>
      <c r="G614" s="25" t="s">
        <v>2748</v>
      </c>
      <c r="H614" s="25" t="s">
        <v>2507</v>
      </c>
      <c r="I614" s="25" t="s">
        <v>5372</v>
      </c>
      <c r="J614" s="25" t="s">
        <v>2661</v>
      </c>
      <c r="K614" s="25" t="s">
        <v>2510</v>
      </c>
      <c r="L614" s="25" t="s">
        <v>2511</v>
      </c>
      <c r="M614" s="26" t="s">
        <v>2512</v>
      </c>
      <c r="N614" s="25">
        <v>2304</v>
      </c>
      <c r="O614" s="26" t="s">
        <v>2513</v>
      </c>
      <c r="P614" s="27" t="s">
        <v>5373</v>
      </c>
      <c r="Q614" s="25" t="s">
        <v>2749</v>
      </c>
      <c r="R614" s="25" t="s">
        <v>2516</v>
      </c>
      <c r="S614" s="25" t="s">
        <v>25</v>
      </c>
      <c r="T614" s="25">
        <v>1</v>
      </c>
      <c r="U614" s="25" t="s">
        <v>2517</v>
      </c>
      <c r="V614" s="25" t="s">
        <v>5374</v>
      </c>
      <c r="W614" s="25" t="s">
        <v>5375</v>
      </c>
      <c r="X614" s="59">
        <v>45804.52847222222</v>
      </c>
      <c r="Y614" s="25" t="s">
        <v>5376</v>
      </c>
      <c r="Z614" s="25">
        <v>1.7</v>
      </c>
      <c r="AA614" s="25"/>
      <c r="AB614" s="25" t="s">
        <v>2521</v>
      </c>
      <c r="AC614" s="27" t="s">
        <v>5377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4147</v>
      </c>
      <c r="H615" s="25" t="s">
        <v>1604</v>
      </c>
      <c r="I615" s="25"/>
      <c r="J615" s="25"/>
      <c r="K615" s="25"/>
      <c r="L615" s="25"/>
      <c r="M615" s="26"/>
      <c r="N615" s="25"/>
      <c r="O615" s="26"/>
      <c r="P615" s="27"/>
      <c r="Q615" s="25" t="s">
        <v>4148</v>
      </c>
      <c r="R615" s="25" t="s">
        <v>2516</v>
      </c>
      <c r="S615" s="25" t="s">
        <v>25</v>
      </c>
      <c r="T615" s="25">
        <v>1</v>
      </c>
      <c r="U615" s="25" t="s">
        <v>2517</v>
      </c>
      <c r="V615" s="25" t="s">
        <v>5378</v>
      </c>
      <c r="W615" s="25" t="s">
        <v>5379</v>
      </c>
      <c r="X615" s="59">
        <v>45803.603472222218</v>
      </c>
      <c r="Y615" s="25"/>
      <c r="Z615" s="25">
        <v>0.8</v>
      </c>
      <c r="AA615" s="25"/>
      <c r="AB615" s="25" t="s">
        <v>2521</v>
      </c>
      <c r="AC615" s="27" t="s">
        <v>4501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5380</v>
      </c>
      <c r="E616" s="25" t="s">
        <v>2504</v>
      </c>
      <c r="F616" s="25" t="s">
        <v>3950</v>
      </c>
      <c r="G616" s="25" t="s">
        <v>3951</v>
      </c>
      <c r="H616" s="25" t="s">
        <v>2609</v>
      </c>
      <c r="I616" s="25" t="s">
        <v>5381</v>
      </c>
      <c r="J616" s="25" t="s">
        <v>2661</v>
      </c>
      <c r="K616" s="25" t="s">
        <v>2510</v>
      </c>
      <c r="L616" s="25" t="s">
        <v>3150</v>
      </c>
      <c r="M616" s="26" t="s">
        <v>3151</v>
      </c>
      <c r="N616" s="25">
        <v>5901</v>
      </c>
      <c r="O616" s="26" t="s">
        <v>2598</v>
      </c>
      <c r="P616" s="27" t="s">
        <v>5382</v>
      </c>
      <c r="Q616" s="25" t="s">
        <v>3955</v>
      </c>
      <c r="R616" s="25" t="s">
        <v>2516</v>
      </c>
      <c r="S616" s="25" t="s">
        <v>173</v>
      </c>
      <c r="T616" s="25">
        <v>1</v>
      </c>
      <c r="U616" s="25" t="s">
        <v>2517</v>
      </c>
      <c r="V616" s="25" t="s">
        <v>5383</v>
      </c>
      <c r="W616" s="25" t="s">
        <v>5384</v>
      </c>
      <c r="X616" s="59">
        <v>45804.552083333343</v>
      </c>
      <c r="Y616" s="25" t="s">
        <v>5385</v>
      </c>
      <c r="Z616" s="25">
        <v>0.3</v>
      </c>
      <c r="AA616" s="25"/>
      <c r="AB616" s="25" t="s">
        <v>2521</v>
      </c>
      <c r="AC616" s="27" t="s">
        <v>5386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3269</v>
      </c>
      <c r="H617" s="25" t="s">
        <v>1604</v>
      </c>
      <c r="I617" s="25"/>
      <c r="J617" s="25"/>
      <c r="K617" s="25"/>
      <c r="L617" s="25"/>
      <c r="M617" s="26"/>
      <c r="N617" s="25"/>
      <c r="O617" s="26"/>
      <c r="P617" s="27"/>
      <c r="Q617" s="25" t="s">
        <v>3276</v>
      </c>
      <c r="R617" s="25" t="s">
        <v>2516</v>
      </c>
      <c r="S617" s="25" t="s">
        <v>25</v>
      </c>
      <c r="T617" s="25">
        <v>1</v>
      </c>
      <c r="U617" s="25" t="s">
        <v>2517</v>
      </c>
      <c r="V617" s="25" t="s">
        <v>5387</v>
      </c>
      <c r="W617" s="25" t="s">
        <v>5388</v>
      </c>
      <c r="X617" s="59">
        <v>45803.660416666673</v>
      </c>
      <c r="Y617" s="25"/>
      <c r="Z617" s="25">
        <v>0.9</v>
      </c>
      <c r="AA617" s="25"/>
      <c r="AB617" s="25" t="s">
        <v>2521</v>
      </c>
      <c r="AC617" s="27" t="s">
        <v>4501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4161</v>
      </c>
      <c r="H618" s="25" t="s">
        <v>1604</v>
      </c>
      <c r="I618" s="25"/>
      <c r="J618" s="25"/>
      <c r="K618" s="25"/>
      <c r="L618" s="25"/>
      <c r="M618" s="26"/>
      <c r="N618" s="25"/>
      <c r="O618" s="26"/>
      <c r="P618" s="27"/>
      <c r="Q618" s="25" t="s">
        <v>4162</v>
      </c>
      <c r="R618" s="25" t="s">
        <v>2516</v>
      </c>
      <c r="S618" s="25" t="s">
        <v>25</v>
      </c>
      <c r="T618" s="25">
        <v>1</v>
      </c>
      <c r="U618" s="25" t="s">
        <v>2517</v>
      </c>
      <c r="V618" s="25" t="s">
        <v>5389</v>
      </c>
      <c r="W618" s="25" t="s">
        <v>5390</v>
      </c>
      <c r="X618" s="59">
        <v>45803.708333333343</v>
      </c>
      <c r="Y618" s="25"/>
      <c r="Z618" s="25">
        <v>1</v>
      </c>
      <c r="AA618" s="25"/>
      <c r="AB618" s="25" t="s">
        <v>2521</v>
      </c>
      <c r="AC618" s="27" t="s">
        <v>4501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4172</v>
      </c>
      <c r="H619" s="25" t="s">
        <v>1604</v>
      </c>
      <c r="I619" s="25"/>
      <c r="J619" s="25"/>
      <c r="K619" s="25"/>
      <c r="L619" s="25"/>
      <c r="M619" s="26"/>
      <c r="N619" s="25"/>
      <c r="O619" s="26"/>
      <c r="P619" s="27"/>
      <c r="Q619" s="25" t="s">
        <v>4173</v>
      </c>
      <c r="R619" s="25" t="s">
        <v>2516</v>
      </c>
      <c r="S619" s="25" t="s">
        <v>25</v>
      </c>
      <c r="T619" s="25">
        <v>1</v>
      </c>
      <c r="U619" s="25" t="s">
        <v>2517</v>
      </c>
      <c r="V619" s="25" t="s">
        <v>5391</v>
      </c>
      <c r="W619" s="25" t="s">
        <v>5392</v>
      </c>
      <c r="X619" s="59">
        <v>45803.756944444453</v>
      </c>
      <c r="Y619" s="25"/>
      <c r="Z619" s="25">
        <v>0.8</v>
      </c>
      <c r="AA619" s="25"/>
      <c r="AB619" s="25" t="s">
        <v>2521</v>
      </c>
      <c r="AC619" s="27" t="s">
        <v>4501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5393</v>
      </c>
      <c r="E620" s="25" t="s">
        <v>2504</v>
      </c>
      <c r="F620" s="25">
        <v>4834</v>
      </c>
      <c r="G620" s="25" t="s">
        <v>3629</v>
      </c>
      <c r="H620" s="25" t="s">
        <v>3148</v>
      </c>
      <c r="I620" s="25" t="s">
        <v>5394</v>
      </c>
      <c r="J620" s="25" t="s">
        <v>2661</v>
      </c>
      <c r="K620" s="25" t="s">
        <v>2717</v>
      </c>
      <c r="L620" s="25" t="s">
        <v>2511</v>
      </c>
      <c r="M620" s="26" t="s">
        <v>2512</v>
      </c>
      <c r="N620" s="25">
        <v>2304</v>
      </c>
      <c r="O620" s="26" t="s">
        <v>2513</v>
      </c>
      <c r="P620" s="27" t="s">
        <v>5395</v>
      </c>
      <c r="Q620" s="25" t="s">
        <v>3630</v>
      </c>
      <c r="R620" s="25" t="s">
        <v>2516</v>
      </c>
      <c r="S620" s="25" t="s">
        <v>185</v>
      </c>
      <c r="T620" s="25">
        <v>1</v>
      </c>
      <c r="U620" s="25" t="s">
        <v>2517</v>
      </c>
      <c r="V620" s="25" t="s">
        <v>5396</v>
      </c>
      <c r="W620" s="25" t="s">
        <v>5361</v>
      </c>
      <c r="X620" s="59">
        <v>45804.555555555547</v>
      </c>
      <c r="Y620" s="25" t="s">
        <v>5397</v>
      </c>
      <c r="Z620" s="25">
        <v>0.3</v>
      </c>
      <c r="AA620" s="25"/>
      <c r="AB620" s="25" t="s">
        <v>2521</v>
      </c>
      <c r="AC620" s="27" t="s">
        <v>5398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5399</v>
      </c>
      <c r="E621" s="25" t="s">
        <v>2504</v>
      </c>
      <c r="F621" s="25">
        <v>4834</v>
      </c>
      <c r="G621" s="25" t="s">
        <v>3629</v>
      </c>
      <c r="H621" s="25" t="s">
        <v>3148</v>
      </c>
      <c r="I621" s="25" t="s">
        <v>5400</v>
      </c>
      <c r="J621" s="25" t="s">
        <v>2509</v>
      </c>
      <c r="K621" s="25" t="s">
        <v>2568</v>
      </c>
      <c r="L621" s="25" t="s">
        <v>2511</v>
      </c>
      <c r="M621" s="26" t="s">
        <v>2512</v>
      </c>
      <c r="N621" s="25">
        <v>2304</v>
      </c>
      <c r="O621" s="26" t="s">
        <v>2513</v>
      </c>
      <c r="P621" s="27" t="s">
        <v>5401</v>
      </c>
      <c r="Q621" s="25" t="s">
        <v>3630</v>
      </c>
      <c r="R621" s="25" t="s">
        <v>2516</v>
      </c>
      <c r="S621" s="25" t="s">
        <v>185</v>
      </c>
      <c r="T621" s="25">
        <v>1</v>
      </c>
      <c r="U621" s="25" t="s">
        <v>2517</v>
      </c>
      <c r="V621" s="25" t="s">
        <v>5402</v>
      </c>
      <c r="W621" s="25" t="s">
        <v>5403</v>
      </c>
      <c r="X621" s="59">
        <v>45804.569444444453</v>
      </c>
      <c r="Y621" s="25" t="s">
        <v>5397</v>
      </c>
      <c r="Z621" s="25">
        <v>0.3</v>
      </c>
      <c r="AA621" s="25"/>
      <c r="AB621" s="25" t="s">
        <v>2521</v>
      </c>
      <c r="AC621" s="27" t="s">
        <v>5404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5405</v>
      </c>
      <c r="E622" s="25" t="s">
        <v>2504</v>
      </c>
      <c r="F622" s="25">
        <v>4834</v>
      </c>
      <c r="G622" s="25" t="s">
        <v>3629</v>
      </c>
      <c r="H622" s="25" t="s">
        <v>3148</v>
      </c>
      <c r="I622" s="25" t="s">
        <v>5406</v>
      </c>
      <c r="J622" s="25" t="s">
        <v>2661</v>
      </c>
      <c r="K622" s="25" t="s">
        <v>2717</v>
      </c>
      <c r="L622" s="25" t="s">
        <v>2537</v>
      </c>
      <c r="M622" s="26" t="s">
        <v>2538</v>
      </c>
      <c r="N622" s="25" t="s">
        <v>2539</v>
      </c>
      <c r="O622" s="26" t="s">
        <v>2540</v>
      </c>
      <c r="P622" s="27" t="s">
        <v>5407</v>
      </c>
      <c r="Q622" s="25" t="s">
        <v>3630</v>
      </c>
      <c r="R622" s="25" t="s">
        <v>2516</v>
      </c>
      <c r="S622" s="25" t="s">
        <v>185</v>
      </c>
      <c r="T622" s="25">
        <v>1</v>
      </c>
      <c r="U622" s="25" t="s">
        <v>2517</v>
      </c>
      <c r="V622" s="25" t="s">
        <v>5408</v>
      </c>
      <c r="W622" s="25" t="s">
        <v>5409</v>
      </c>
      <c r="X622" s="59">
        <v>45804.583333333343</v>
      </c>
      <c r="Y622" s="25" t="s">
        <v>5410</v>
      </c>
      <c r="Z622" s="25">
        <v>0.3</v>
      </c>
      <c r="AA622" s="25"/>
      <c r="AB622" s="25" t="s">
        <v>2521</v>
      </c>
      <c r="AC622" s="27" t="s">
        <v>5411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5412</v>
      </c>
      <c r="E623" s="25" t="s">
        <v>2504</v>
      </c>
      <c r="F623" s="25">
        <v>4834</v>
      </c>
      <c r="G623" s="25" t="s">
        <v>3629</v>
      </c>
      <c r="H623" s="25" t="s">
        <v>3148</v>
      </c>
      <c r="I623" s="25" t="s">
        <v>5413</v>
      </c>
      <c r="J623" s="25" t="s">
        <v>2509</v>
      </c>
      <c r="K623" s="25" t="s">
        <v>2568</v>
      </c>
      <c r="L623" s="25" t="s">
        <v>2537</v>
      </c>
      <c r="M623" s="26" t="s">
        <v>2538</v>
      </c>
      <c r="N623" s="25" t="s">
        <v>2539</v>
      </c>
      <c r="O623" s="26" t="s">
        <v>2540</v>
      </c>
      <c r="P623" s="27" t="s">
        <v>5414</v>
      </c>
      <c r="Q623" s="25" t="s">
        <v>3630</v>
      </c>
      <c r="R623" s="25" t="s">
        <v>2516</v>
      </c>
      <c r="S623" s="25" t="s">
        <v>185</v>
      </c>
      <c r="T623" s="25">
        <v>1</v>
      </c>
      <c r="U623" s="25" t="s">
        <v>2517</v>
      </c>
      <c r="V623" s="25" t="s">
        <v>5415</v>
      </c>
      <c r="W623" s="25" t="s">
        <v>5416</v>
      </c>
      <c r="X623" s="59">
        <v>45804.597222222219</v>
      </c>
      <c r="Y623" s="25" t="s">
        <v>5410</v>
      </c>
      <c r="Z623" s="25">
        <v>0.3</v>
      </c>
      <c r="AA623" s="25"/>
      <c r="AB623" s="25" t="s">
        <v>2521</v>
      </c>
      <c r="AC623" s="27" t="s">
        <v>5417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5418</v>
      </c>
      <c r="E624" s="25" t="s">
        <v>2504</v>
      </c>
      <c r="F624" s="25">
        <v>4538</v>
      </c>
      <c r="G624" s="25" t="s">
        <v>3362</v>
      </c>
      <c r="H624" s="25" t="s">
        <v>3148</v>
      </c>
      <c r="I624" s="25" t="s">
        <v>5419</v>
      </c>
      <c r="J624" s="25" t="s">
        <v>2661</v>
      </c>
      <c r="K624" s="25" t="s">
        <v>2717</v>
      </c>
      <c r="L624" s="25" t="s">
        <v>2537</v>
      </c>
      <c r="M624" s="26" t="s">
        <v>2538</v>
      </c>
      <c r="N624" s="25" t="s">
        <v>2539</v>
      </c>
      <c r="O624" s="26" t="s">
        <v>2540</v>
      </c>
      <c r="P624" s="27" t="s">
        <v>5420</v>
      </c>
      <c r="Q624" s="25" t="s">
        <v>3363</v>
      </c>
      <c r="R624" s="25" t="s">
        <v>2516</v>
      </c>
      <c r="S624" s="25" t="s">
        <v>185</v>
      </c>
      <c r="T624" s="25">
        <v>1</v>
      </c>
      <c r="U624" s="25" t="s">
        <v>2517</v>
      </c>
      <c r="V624" s="25" t="s">
        <v>5421</v>
      </c>
      <c r="W624" s="25" t="s">
        <v>5375</v>
      </c>
      <c r="X624" s="59">
        <v>45804.479166666657</v>
      </c>
      <c r="Y624" s="25" t="s">
        <v>5422</v>
      </c>
      <c r="Z624" s="25">
        <v>0.5</v>
      </c>
      <c r="AA624" s="25"/>
      <c r="AB624" s="25" t="s">
        <v>2521</v>
      </c>
      <c r="AC624" s="27" t="s">
        <v>5423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5424</v>
      </c>
      <c r="E625" s="25" t="s">
        <v>2504</v>
      </c>
      <c r="F625" s="25">
        <v>4538</v>
      </c>
      <c r="G625" s="25" t="s">
        <v>3362</v>
      </c>
      <c r="H625" s="25" t="s">
        <v>3148</v>
      </c>
      <c r="I625" s="25" t="s">
        <v>5425</v>
      </c>
      <c r="J625" s="25" t="s">
        <v>2661</v>
      </c>
      <c r="K625" s="25" t="s">
        <v>2717</v>
      </c>
      <c r="L625" s="25" t="s">
        <v>2846</v>
      </c>
      <c r="M625" s="26" t="s">
        <v>2847</v>
      </c>
      <c r="N625" s="25">
        <v>2402</v>
      </c>
      <c r="O625" s="26" t="s">
        <v>3741</v>
      </c>
      <c r="P625" s="27" t="s">
        <v>5426</v>
      </c>
      <c r="Q625" s="25" t="s">
        <v>3363</v>
      </c>
      <c r="R625" s="25" t="s">
        <v>2516</v>
      </c>
      <c r="S625" s="25" t="s">
        <v>185</v>
      </c>
      <c r="T625" s="25">
        <v>1</v>
      </c>
      <c r="U625" s="25" t="s">
        <v>2517</v>
      </c>
      <c r="V625" s="25" t="s">
        <v>5427</v>
      </c>
      <c r="W625" s="25" t="s">
        <v>5428</v>
      </c>
      <c r="X625" s="59">
        <v>45804.5</v>
      </c>
      <c r="Y625" s="25" t="s">
        <v>5429</v>
      </c>
      <c r="Z625" s="25">
        <v>0.5</v>
      </c>
      <c r="AA625" s="25"/>
      <c r="AB625" s="25" t="s">
        <v>2521</v>
      </c>
      <c r="AC625" s="27" t="s">
        <v>5430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5431</v>
      </c>
      <c r="E626" s="25" t="s">
        <v>2504</v>
      </c>
      <c r="F626" s="25">
        <v>5352</v>
      </c>
      <c r="G626" s="25" t="s">
        <v>4867</v>
      </c>
      <c r="H626" s="25" t="s">
        <v>2507</v>
      </c>
      <c r="I626" s="25" t="s">
        <v>5432</v>
      </c>
      <c r="J626" s="25" t="s">
        <v>2509</v>
      </c>
      <c r="K626" s="25" t="s">
        <v>2568</v>
      </c>
      <c r="L626" s="25" t="s">
        <v>2846</v>
      </c>
      <c r="M626" s="26" t="s">
        <v>2847</v>
      </c>
      <c r="N626" s="25">
        <v>2405</v>
      </c>
      <c r="O626" s="26" t="s">
        <v>2963</v>
      </c>
      <c r="P626" s="27" t="s">
        <v>5433</v>
      </c>
      <c r="Q626" s="25" t="s">
        <v>4868</v>
      </c>
      <c r="R626" s="25" t="s">
        <v>2516</v>
      </c>
      <c r="S626" s="25" t="s">
        <v>25</v>
      </c>
      <c r="T626" s="25">
        <v>1</v>
      </c>
      <c r="U626" s="25" t="s">
        <v>2517</v>
      </c>
      <c r="V626" s="25" t="s">
        <v>5434</v>
      </c>
      <c r="W626" s="25" t="s">
        <v>5435</v>
      </c>
      <c r="X626" s="59">
        <v>45804.87222222222</v>
      </c>
      <c r="Y626" s="25" t="s">
        <v>5436</v>
      </c>
      <c r="Z626" s="25">
        <v>2.6</v>
      </c>
      <c r="AA626" s="25"/>
      <c r="AB626" s="25" t="s">
        <v>2521</v>
      </c>
      <c r="AC626" s="27" t="s">
        <v>5437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5438</v>
      </c>
      <c r="E627" s="25" t="s">
        <v>2504</v>
      </c>
      <c r="F627" s="25">
        <v>2209</v>
      </c>
      <c r="G627" s="25" t="s">
        <v>2855</v>
      </c>
      <c r="H627" s="25" t="s">
        <v>2507</v>
      </c>
      <c r="I627" s="25" t="s">
        <v>5439</v>
      </c>
      <c r="J627" s="25" t="s">
        <v>2509</v>
      </c>
      <c r="K627" s="25" t="s">
        <v>2510</v>
      </c>
      <c r="L627" s="25" t="s">
        <v>2611</v>
      </c>
      <c r="M627" s="26" t="s">
        <v>2612</v>
      </c>
      <c r="N627" s="25" t="s">
        <v>3526</v>
      </c>
      <c r="O627" s="26" t="s">
        <v>3152</v>
      </c>
      <c r="P627" s="27" t="s">
        <v>5440</v>
      </c>
      <c r="Q627" s="25" t="s">
        <v>2856</v>
      </c>
      <c r="R627" s="25" t="s">
        <v>2516</v>
      </c>
      <c r="S627" s="25" t="s">
        <v>25</v>
      </c>
      <c r="T627" s="25">
        <v>1</v>
      </c>
      <c r="U627" s="25" t="s">
        <v>2517</v>
      </c>
      <c r="V627" s="25" t="s">
        <v>5441</v>
      </c>
      <c r="W627" s="25" t="s">
        <v>5442</v>
      </c>
      <c r="X627" s="59">
        <v>45804.544444444437</v>
      </c>
      <c r="Y627" s="25" t="s">
        <v>5443</v>
      </c>
      <c r="Z627" s="25">
        <v>0.5</v>
      </c>
      <c r="AA627" s="25"/>
      <c r="AB627" s="25" t="s">
        <v>2521</v>
      </c>
      <c r="AC627" s="27" t="s">
        <v>5444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3362</v>
      </c>
      <c r="H628" s="25" t="s">
        <v>3148</v>
      </c>
      <c r="I628" s="25"/>
      <c r="J628" s="25"/>
      <c r="K628" s="25"/>
      <c r="L628" s="25"/>
      <c r="M628" s="26"/>
      <c r="N628" s="25"/>
      <c r="O628" s="26"/>
      <c r="P628" s="27"/>
      <c r="Q628" s="25" t="s">
        <v>3363</v>
      </c>
      <c r="R628" s="25" t="s">
        <v>2516</v>
      </c>
      <c r="S628" s="25" t="s">
        <v>185</v>
      </c>
      <c r="T628" s="25">
        <v>1</v>
      </c>
      <c r="U628" s="25" t="s">
        <v>2517</v>
      </c>
      <c r="V628" s="25" t="s">
        <v>5445</v>
      </c>
      <c r="W628" s="25" t="s">
        <v>5446</v>
      </c>
      <c r="X628" s="59">
        <v>45804.510416666657</v>
      </c>
      <c r="Y628" s="25"/>
      <c r="Z628" s="25">
        <v>0.3</v>
      </c>
      <c r="AA628" s="25"/>
      <c r="AB628" s="25" t="s">
        <v>2521</v>
      </c>
      <c r="AC628" s="27" t="s">
        <v>4565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2747</v>
      </c>
      <c r="G629" s="25" t="s">
        <v>2748</v>
      </c>
      <c r="H629" s="25" t="s">
        <v>2507</v>
      </c>
      <c r="I629" s="25"/>
      <c r="J629" s="25"/>
      <c r="K629" s="25"/>
      <c r="L629" s="25"/>
      <c r="M629" s="26"/>
      <c r="N629" s="25"/>
      <c r="O629" s="26"/>
      <c r="P629" s="27"/>
      <c r="Q629" s="25" t="s">
        <v>2749</v>
      </c>
      <c r="R629" s="25" t="s">
        <v>2516</v>
      </c>
      <c r="S629" s="25" t="s">
        <v>25</v>
      </c>
      <c r="T629" s="25">
        <v>1</v>
      </c>
      <c r="U629" s="25" t="s">
        <v>2517</v>
      </c>
      <c r="V629" s="25" t="s">
        <v>5447</v>
      </c>
      <c r="W629" s="25" t="s">
        <v>5375</v>
      </c>
      <c r="X629" s="59">
        <v>45804.527777777781</v>
      </c>
      <c r="Y629" s="25"/>
      <c r="Z629" s="25">
        <v>1.7</v>
      </c>
      <c r="AA629" s="25"/>
      <c r="AB629" s="25" t="s">
        <v>2521</v>
      </c>
      <c r="AC629" s="27" t="s">
        <v>4501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4327</v>
      </c>
      <c r="H630" s="25" t="s">
        <v>2609</v>
      </c>
      <c r="I630" s="25"/>
      <c r="J630" s="25"/>
      <c r="K630" s="25"/>
      <c r="L630" s="25"/>
      <c r="M630" s="26"/>
      <c r="N630" s="25"/>
      <c r="O630" s="26"/>
      <c r="P630" s="27"/>
      <c r="Q630" s="25" t="s">
        <v>4328</v>
      </c>
      <c r="R630" s="25" t="s">
        <v>2516</v>
      </c>
      <c r="S630" s="25" t="s">
        <v>173</v>
      </c>
      <c r="T630" s="25">
        <v>1</v>
      </c>
      <c r="U630" s="25" t="s">
        <v>2517</v>
      </c>
      <c r="V630" s="25" t="s">
        <v>5448</v>
      </c>
      <c r="W630" s="25" t="s">
        <v>5449</v>
      </c>
      <c r="X630" s="59">
        <v>45804.583333333343</v>
      </c>
      <c r="Y630" s="25"/>
      <c r="Z630" s="25">
        <v>0.4</v>
      </c>
      <c r="AA630" s="25"/>
      <c r="AB630" s="25" t="s">
        <v>2521</v>
      </c>
      <c r="AC630" s="27" t="s">
        <v>4501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5450</v>
      </c>
      <c r="E631" s="25" t="s">
        <v>2843</v>
      </c>
      <c r="F631" s="25">
        <v>4101</v>
      </c>
      <c r="G631" s="25" t="s">
        <v>3229</v>
      </c>
      <c r="H631" s="25" t="s">
        <v>2507</v>
      </c>
      <c r="I631" s="25" t="s">
        <v>5451</v>
      </c>
      <c r="J631" s="25" t="s">
        <v>2509</v>
      </c>
      <c r="K631" s="25" t="s">
        <v>2510</v>
      </c>
      <c r="L631" s="25" t="s">
        <v>2846</v>
      </c>
      <c r="M631" s="26" t="s">
        <v>2847</v>
      </c>
      <c r="N631" s="25">
        <v>2405</v>
      </c>
      <c r="O631" s="26" t="s">
        <v>2963</v>
      </c>
      <c r="P631" s="27" t="s">
        <v>5452</v>
      </c>
      <c r="Q631" s="25" t="s">
        <v>3232</v>
      </c>
      <c r="R631" s="25" t="s">
        <v>2516</v>
      </c>
      <c r="S631" s="25" t="s">
        <v>173</v>
      </c>
      <c r="T631" s="25">
        <v>1</v>
      </c>
      <c r="U631" s="25" t="s">
        <v>2517</v>
      </c>
      <c r="V631" s="25" t="s">
        <v>5453</v>
      </c>
      <c r="W631" s="25" t="s">
        <v>5454</v>
      </c>
      <c r="X631" s="59">
        <v>45804.784722222219</v>
      </c>
      <c r="Y631" s="25" t="s">
        <v>5455</v>
      </c>
      <c r="Z631" s="25">
        <v>1</v>
      </c>
      <c r="AA631" s="25"/>
      <c r="AB631" s="25" t="s">
        <v>2521</v>
      </c>
      <c r="AC631" s="27" t="s">
        <v>5456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5457</v>
      </c>
      <c r="E632" s="25" t="s">
        <v>2504</v>
      </c>
      <c r="F632" s="25">
        <v>4834</v>
      </c>
      <c r="G632" s="25" t="s">
        <v>3629</v>
      </c>
      <c r="H632" s="25" t="s">
        <v>3148</v>
      </c>
      <c r="I632" s="25" t="s">
        <v>5458</v>
      </c>
      <c r="J632" s="25" t="s">
        <v>2509</v>
      </c>
      <c r="K632" s="25" t="s">
        <v>2717</v>
      </c>
      <c r="L632" s="25" t="s">
        <v>2945</v>
      </c>
      <c r="M632" s="26" t="s">
        <v>2946</v>
      </c>
      <c r="N632" s="25" t="s">
        <v>3782</v>
      </c>
      <c r="O632" s="26" t="s">
        <v>2582</v>
      </c>
      <c r="P632" s="27" t="s">
        <v>5459</v>
      </c>
      <c r="Q632" s="25" t="s">
        <v>3630</v>
      </c>
      <c r="R632" s="25" t="s">
        <v>2516</v>
      </c>
      <c r="S632" s="25" t="s">
        <v>185</v>
      </c>
      <c r="T632" s="25">
        <v>1</v>
      </c>
      <c r="U632" s="25" t="s">
        <v>2517</v>
      </c>
      <c r="V632" s="25" t="s">
        <v>5460</v>
      </c>
      <c r="W632" s="25" t="s">
        <v>5461</v>
      </c>
      <c r="X632" s="59">
        <v>45805.451388888891</v>
      </c>
      <c r="Y632" s="25" t="s">
        <v>5462</v>
      </c>
      <c r="Z632" s="25">
        <v>0.3</v>
      </c>
      <c r="AA632" s="25"/>
      <c r="AB632" s="25" t="s">
        <v>2521</v>
      </c>
      <c r="AC632" s="27" t="s">
        <v>5463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5464</v>
      </c>
      <c r="E633" s="25" t="s">
        <v>2504</v>
      </c>
      <c r="F633" s="25" t="s">
        <v>3298</v>
      </c>
      <c r="G633" s="25" t="s">
        <v>3299</v>
      </c>
      <c r="H633" s="25" t="s">
        <v>2507</v>
      </c>
      <c r="I633" s="25" t="s">
        <v>5465</v>
      </c>
      <c r="J633" s="25" t="s">
        <v>2536</v>
      </c>
      <c r="K633" s="25" t="s">
        <v>2510</v>
      </c>
      <c r="L633" s="25" t="s">
        <v>2511</v>
      </c>
      <c r="M633" s="26" t="s">
        <v>2512</v>
      </c>
      <c r="N633" s="25">
        <v>2306</v>
      </c>
      <c r="O633" s="26" t="s">
        <v>2893</v>
      </c>
      <c r="P633" s="27" t="s">
        <v>5466</v>
      </c>
      <c r="Q633" s="25" t="s">
        <v>3300</v>
      </c>
      <c r="R633" s="25" t="s">
        <v>2516</v>
      </c>
      <c r="S633" s="25" t="s">
        <v>25</v>
      </c>
      <c r="T633" s="25">
        <v>1</v>
      </c>
      <c r="U633" s="25" t="s">
        <v>2517</v>
      </c>
      <c r="V633" s="25" t="s">
        <v>5467</v>
      </c>
      <c r="W633" s="25" t="s">
        <v>5468</v>
      </c>
      <c r="X633" s="59">
        <v>45805.644444444442</v>
      </c>
      <c r="Y633" s="25" t="s">
        <v>5469</v>
      </c>
      <c r="Z633" s="25">
        <v>0.5</v>
      </c>
      <c r="AA633" s="25"/>
      <c r="AB633" s="25" t="s">
        <v>2915</v>
      </c>
      <c r="AC633" s="27" t="s">
        <v>5470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5471</v>
      </c>
      <c r="E634" s="25" t="s">
        <v>2504</v>
      </c>
      <c r="F634" s="25" t="s">
        <v>3697</v>
      </c>
      <c r="G634" s="25" t="s">
        <v>3698</v>
      </c>
      <c r="H634" s="25" t="s">
        <v>2507</v>
      </c>
      <c r="I634" s="25" t="s">
        <v>5472</v>
      </c>
      <c r="J634" s="25" t="s">
        <v>2536</v>
      </c>
      <c r="K634" s="25" t="s">
        <v>2510</v>
      </c>
      <c r="L634" s="25" t="s">
        <v>2662</v>
      </c>
      <c r="M634" s="26" t="s">
        <v>2663</v>
      </c>
      <c r="N634" s="25">
        <v>2701</v>
      </c>
      <c r="O634" s="26" t="s">
        <v>2664</v>
      </c>
      <c r="P634" s="27" t="s">
        <v>5473</v>
      </c>
      <c r="Q634" s="25" t="s">
        <v>3699</v>
      </c>
      <c r="R634" s="25" t="s">
        <v>2516</v>
      </c>
      <c r="S634" s="25" t="s">
        <v>25</v>
      </c>
      <c r="T634" s="25">
        <v>1</v>
      </c>
      <c r="U634" s="25" t="s">
        <v>2517</v>
      </c>
      <c r="V634" s="25" t="s">
        <v>5474</v>
      </c>
      <c r="W634" s="25" t="s">
        <v>5475</v>
      </c>
      <c r="X634" s="59">
        <v>45805.675000000003</v>
      </c>
      <c r="Y634" s="25" t="s">
        <v>5476</v>
      </c>
      <c r="Z634" s="25">
        <v>0.5</v>
      </c>
      <c r="AA634" s="25"/>
      <c r="AB634" s="25" t="s">
        <v>2521</v>
      </c>
      <c r="AC634" s="27" t="s">
        <v>5477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3147</v>
      </c>
      <c r="H635" s="25" t="s">
        <v>3148</v>
      </c>
      <c r="I635" s="25"/>
      <c r="J635" s="25"/>
      <c r="K635" s="25"/>
      <c r="L635" s="25"/>
      <c r="M635" s="26"/>
      <c r="N635" s="25"/>
      <c r="O635" s="26"/>
      <c r="P635" s="27"/>
      <c r="Q635" s="25" t="s">
        <v>3154</v>
      </c>
      <c r="R635" s="25" t="s">
        <v>2516</v>
      </c>
      <c r="S635" s="25" t="s">
        <v>185</v>
      </c>
      <c r="T635" s="25">
        <v>1</v>
      </c>
      <c r="U635" s="25" t="s">
        <v>2517</v>
      </c>
      <c r="V635" s="25" t="s">
        <v>5478</v>
      </c>
      <c r="W635" s="25" t="s">
        <v>5479</v>
      </c>
      <c r="X635" s="59">
        <v>45805.583333333343</v>
      </c>
      <c r="Y635" s="25"/>
      <c r="Z635" s="25">
        <v>1</v>
      </c>
      <c r="AA635" s="25"/>
      <c r="AB635" s="25" t="s">
        <v>2521</v>
      </c>
      <c r="AC635" s="27" t="s">
        <v>4501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3147</v>
      </c>
      <c r="H636" s="25" t="s">
        <v>3148</v>
      </c>
      <c r="I636" s="25"/>
      <c r="J636" s="25"/>
      <c r="K636" s="25"/>
      <c r="L636" s="25"/>
      <c r="M636" s="26"/>
      <c r="N636" s="25"/>
      <c r="O636" s="26"/>
      <c r="P636" s="27"/>
      <c r="Q636" s="25" t="s">
        <v>3154</v>
      </c>
      <c r="R636" s="25" t="s">
        <v>2516</v>
      </c>
      <c r="S636" s="25" t="s">
        <v>185</v>
      </c>
      <c r="T636" s="25">
        <v>1</v>
      </c>
      <c r="U636" s="25" t="s">
        <v>2517</v>
      </c>
      <c r="V636" s="25" t="s">
        <v>5480</v>
      </c>
      <c r="W636" s="25" t="s">
        <v>5481</v>
      </c>
      <c r="X636" s="59">
        <v>45805.590277777781</v>
      </c>
      <c r="Y636" s="25"/>
      <c r="Z636" s="25">
        <v>0.2</v>
      </c>
      <c r="AA636" s="25"/>
      <c r="AB636" s="25" t="s">
        <v>2521</v>
      </c>
      <c r="AC636" s="27" t="s">
        <v>5329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5482</v>
      </c>
      <c r="E637" s="25" t="s">
        <v>2504</v>
      </c>
      <c r="F637" s="25" t="s">
        <v>3950</v>
      </c>
      <c r="G637" s="25" t="s">
        <v>3951</v>
      </c>
      <c r="H637" s="25" t="s">
        <v>2609</v>
      </c>
      <c r="I637" s="25" t="s">
        <v>5483</v>
      </c>
      <c r="J637" s="25" t="s">
        <v>2536</v>
      </c>
      <c r="K637" s="25" t="s">
        <v>2510</v>
      </c>
      <c r="L637" s="25" t="s">
        <v>2846</v>
      </c>
      <c r="M637" s="26" t="s">
        <v>2847</v>
      </c>
      <c r="N637" s="25">
        <v>2402</v>
      </c>
      <c r="O637" s="26" t="s">
        <v>3741</v>
      </c>
      <c r="P637" s="27" t="s">
        <v>5484</v>
      </c>
      <c r="Q637" s="25" t="s">
        <v>3955</v>
      </c>
      <c r="R637" s="25" t="s">
        <v>2516</v>
      </c>
      <c r="S637" s="25" t="s">
        <v>173</v>
      </c>
      <c r="T637" s="25">
        <v>1</v>
      </c>
      <c r="U637" s="25" t="s">
        <v>2517</v>
      </c>
      <c r="V637" s="25" t="s">
        <v>5485</v>
      </c>
      <c r="W637" s="25" t="s">
        <v>5486</v>
      </c>
      <c r="X637" s="59">
        <v>45806.552083333343</v>
      </c>
      <c r="Y637" s="25" t="s">
        <v>5487</v>
      </c>
      <c r="Z637" s="25">
        <v>0.7</v>
      </c>
      <c r="AA637" s="25"/>
      <c r="AB637" s="25" t="s">
        <v>2521</v>
      </c>
      <c r="AC637" s="27" t="s">
        <v>5488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5489</v>
      </c>
      <c r="E638" s="25" t="s">
        <v>2504</v>
      </c>
      <c r="F638" s="25" t="s">
        <v>3950</v>
      </c>
      <c r="G638" s="25" t="s">
        <v>3951</v>
      </c>
      <c r="H638" s="25" t="s">
        <v>2609</v>
      </c>
      <c r="I638" s="25" t="s">
        <v>5490</v>
      </c>
      <c r="J638" s="25" t="s">
        <v>2536</v>
      </c>
      <c r="K638" s="25" t="s">
        <v>2510</v>
      </c>
      <c r="L638" s="25" t="s">
        <v>2846</v>
      </c>
      <c r="M638" s="26" t="s">
        <v>2847</v>
      </c>
      <c r="N638" s="25">
        <v>2402</v>
      </c>
      <c r="O638" s="26" t="s">
        <v>3741</v>
      </c>
      <c r="P638" s="27" t="s">
        <v>5491</v>
      </c>
      <c r="Q638" s="25" t="s">
        <v>3955</v>
      </c>
      <c r="R638" s="25" t="s">
        <v>2516</v>
      </c>
      <c r="S638" s="25" t="s">
        <v>173</v>
      </c>
      <c r="T638" s="25">
        <v>1</v>
      </c>
      <c r="U638" s="25" t="s">
        <v>2517</v>
      </c>
      <c r="V638" s="25" t="s">
        <v>5492</v>
      </c>
      <c r="W638" s="25" t="s">
        <v>5486</v>
      </c>
      <c r="X638" s="59">
        <v>45806.552083333343</v>
      </c>
      <c r="Y638" s="25" t="s">
        <v>5493</v>
      </c>
      <c r="Z638" s="25">
        <v>0.7</v>
      </c>
      <c r="AA638" s="25"/>
      <c r="AB638" s="25" t="s">
        <v>2521</v>
      </c>
      <c r="AC638" s="27" t="s">
        <v>5488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5494</v>
      </c>
      <c r="E639" s="25" t="s">
        <v>2504</v>
      </c>
      <c r="F639" s="25">
        <v>4145</v>
      </c>
      <c r="G639" s="25" t="s">
        <v>2676</v>
      </c>
      <c r="H639" s="25" t="s">
        <v>2609</v>
      </c>
      <c r="I639" s="25" t="s">
        <v>5495</v>
      </c>
      <c r="J639" s="25" t="s">
        <v>2536</v>
      </c>
      <c r="K639" s="25" t="s">
        <v>2510</v>
      </c>
      <c r="L639" s="25" t="s">
        <v>2511</v>
      </c>
      <c r="M639" s="26" t="s">
        <v>2512</v>
      </c>
      <c r="N639" s="25">
        <v>2307</v>
      </c>
      <c r="O639" s="26" t="s">
        <v>2678</v>
      </c>
      <c r="P639" s="27" t="s">
        <v>5496</v>
      </c>
      <c r="Q639" s="25" t="s">
        <v>2680</v>
      </c>
      <c r="R639" s="25" t="s">
        <v>2516</v>
      </c>
      <c r="S639" s="25" t="s">
        <v>173</v>
      </c>
      <c r="T639" s="25">
        <v>1</v>
      </c>
      <c r="U639" s="25" t="s">
        <v>2517</v>
      </c>
      <c r="V639" s="25" t="s">
        <v>5497</v>
      </c>
      <c r="W639" s="25" t="s">
        <v>5498</v>
      </c>
      <c r="X639" s="59">
        <v>45806.597222222219</v>
      </c>
      <c r="Y639" s="25" t="s">
        <v>5499</v>
      </c>
      <c r="Z639" s="25">
        <v>0.8</v>
      </c>
      <c r="AA639" s="25"/>
      <c r="AB639" s="25" t="s">
        <v>2521</v>
      </c>
      <c r="AC639" s="27" t="s">
        <v>5500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5501</v>
      </c>
      <c r="E640" s="25" t="s">
        <v>2504</v>
      </c>
      <c r="F640" s="25" t="s">
        <v>3950</v>
      </c>
      <c r="G640" s="25" t="s">
        <v>3951</v>
      </c>
      <c r="H640" s="25" t="s">
        <v>2609</v>
      </c>
      <c r="I640" s="25" t="s">
        <v>5502</v>
      </c>
      <c r="J640" s="25" t="s">
        <v>2536</v>
      </c>
      <c r="K640" s="25" t="s">
        <v>2510</v>
      </c>
      <c r="L640" s="25" t="s">
        <v>2569</v>
      </c>
      <c r="M640" s="26" t="s">
        <v>2570</v>
      </c>
      <c r="N640" s="25">
        <v>2501</v>
      </c>
      <c r="O640" s="26" t="s">
        <v>2571</v>
      </c>
      <c r="P640" s="27" t="s">
        <v>5503</v>
      </c>
      <c r="Q640" s="25" t="s">
        <v>3955</v>
      </c>
      <c r="R640" s="25" t="s">
        <v>2516</v>
      </c>
      <c r="S640" s="25" t="s">
        <v>173</v>
      </c>
      <c r="T640" s="25">
        <v>1</v>
      </c>
      <c r="U640" s="25" t="s">
        <v>2517</v>
      </c>
      <c r="V640" s="25" t="s">
        <v>5504</v>
      </c>
      <c r="W640" s="25" t="s">
        <v>5505</v>
      </c>
      <c r="X640" s="59">
        <v>45805.76458333333</v>
      </c>
      <c r="Y640" s="25" t="s">
        <v>5506</v>
      </c>
      <c r="Z640" s="25">
        <v>0.5</v>
      </c>
      <c r="AA640" s="25"/>
      <c r="AB640" s="25" t="s">
        <v>2915</v>
      </c>
      <c r="AC640" s="27" t="s">
        <v>2684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5507</v>
      </c>
      <c r="E641" s="25" t="s">
        <v>2504</v>
      </c>
      <c r="F641" s="25" t="s">
        <v>3950</v>
      </c>
      <c r="G641" s="25" t="s">
        <v>3951</v>
      </c>
      <c r="H641" s="25" t="s">
        <v>2609</v>
      </c>
      <c r="I641" s="25" t="s">
        <v>5508</v>
      </c>
      <c r="J641" s="25" t="s">
        <v>2835</v>
      </c>
      <c r="K641" s="25" t="s">
        <v>2510</v>
      </c>
      <c r="L641" s="25" t="s">
        <v>2846</v>
      </c>
      <c r="M641" s="26" t="s">
        <v>2847</v>
      </c>
      <c r="N641" s="25">
        <v>2403</v>
      </c>
      <c r="O641" s="26" t="s">
        <v>4550</v>
      </c>
      <c r="P641" s="27" t="s">
        <v>5509</v>
      </c>
      <c r="Q641" s="25" t="s">
        <v>3955</v>
      </c>
      <c r="R641" s="25" t="s">
        <v>2516</v>
      </c>
      <c r="S641" s="25" t="s">
        <v>173</v>
      </c>
      <c r="T641" s="25">
        <v>1</v>
      </c>
      <c r="U641" s="25" t="s">
        <v>2517</v>
      </c>
      <c r="V641" s="25" t="s">
        <v>5510</v>
      </c>
      <c r="W641" s="25" t="s">
        <v>5486</v>
      </c>
      <c r="X641" s="59">
        <v>45806.551388888889</v>
      </c>
      <c r="Y641" s="25" t="s">
        <v>5511</v>
      </c>
      <c r="Z641" s="25">
        <v>0.6</v>
      </c>
      <c r="AA641" s="25"/>
      <c r="AB641" s="25" t="s">
        <v>2521</v>
      </c>
      <c r="AC641" s="27" t="s">
        <v>5512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3191</v>
      </c>
      <c r="H642" s="25" t="s">
        <v>1604</v>
      </c>
      <c r="I642" s="25"/>
      <c r="J642" s="25"/>
      <c r="K642" s="25"/>
      <c r="L642" s="25"/>
      <c r="M642" s="26"/>
      <c r="N642" s="25"/>
      <c r="O642" s="26"/>
      <c r="P642" s="27"/>
      <c r="Q642" s="25" t="s">
        <v>3194</v>
      </c>
      <c r="R642" s="25" t="s">
        <v>2516</v>
      </c>
      <c r="S642" s="25" t="s">
        <v>25</v>
      </c>
      <c r="T642" s="25">
        <v>1</v>
      </c>
      <c r="U642" s="25" t="s">
        <v>2517</v>
      </c>
      <c r="V642" s="25" t="s">
        <v>5513</v>
      </c>
      <c r="W642" s="25" t="s">
        <v>5514</v>
      </c>
      <c r="X642" s="59">
        <v>45806.6</v>
      </c>
      <c r="Y642" s="25"/>
      <c r="Z642" s="25">
        <v>0.4</v>
      </c>
      <c r="AA642" s="25"/>
      <c r="AB642" s="25" t="s">
        <v>2521</v>
      </c>
      <c r="AC642" s="27" t="s">
        <v>4565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2676</v>
      </c>
      <c r="H643" s="25" t="s">
        <v>2609</v>
      </c>
      <c r="I643" s="25"/>
      <c r="J643" s="25"/>
      <c r="K643" s="25"/>
      <c r="L643" s="25"/>
      <c r="M643" s="26"/>
      <c r="N643" s="25"/>
      <c r="O643" s="26"/>
      <c r="P643" s="27"/>
      <c r="Q643" s="25" t="s">
        <v>2680</v>
      </c>
      <c r="R643" s="25" t="s">
        <v>2516</v>
      </c>
      <c r="S643" s="25" t="s">
        <v>173</v>
      </c>
      <c r="T643" s="25">
        <v>1</v>
      </c>
      <c r="U643" s="25" t="s">
        <v>2517</v>
      </c>
      <c r="V643" s="25" t="s">
        <v>5515</v>
      </c>
      <c r="W643" s="25" t="s">
        <v>5498</v>
      </c>
      <c r="X643" s="59">
        <v>45806.597222222219</v>
      </c>
      <c r="Y643" s="25"/>
      <c r="Z643" s="25">
        <v>0.8</v>
      </c>
      <c r="AA643" s="25"/>
      <c r="AB643" s="25" t="s">
        <v>2521</v>
      </c>
      <c r="AC643" s="27" t="s">
        <v>4501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4178</v>
      </c>
      <c r="H644" s="25" t="s">
        <v>1604</v>
      </c>
      <c r="I644" s="25"/>
      <c r="J644" s="25"/>
      <c r="K644" s="25"/>
      <c r="L644" s="25"/>
      <c r="M644" s="26"/>
      <c r="N644" s="25"/>
      <c r="O644" s="26"/>
      <c r="P644" s="27"/>
      <c r="Q644" s="25" t="s">
        <v>4179</v>
      </c>
      <c r="R644" s="25" t="s">
        <v>2516</v>
      </c>
      <c r="S644" s="25" t="s">
        <v>25</v>
      </c>
      <c r="T644" s="25">
        <v>1</v>
      </c>
      <c r="U644" s="25" t="s">
        <v>2517</v>
      </c>
      <c r="V644" s="25" t="s">
        <v>5516</v>
      </c>
      <c r="W644" s="25" t="s">
        <v>5517</v>
      </c>
      <c r="X644" s="59">
        <v>45806.695833333331</v>
      </c>
      <c r="Y644" s="25"/>
      <c r="Z644" s="25">
        <v>1</v>
      </c>
      <c r="AA644" s="25"/>
      <c r="AB644" s="25" t="s">
        <v>2521</v>
      </c>
      <c r="AC644" s="27" t="s">
        <v>4565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5518</v>
      </c>
      <c r="E645" s="25" t="s">
        <v>2504</v>
      </c>
      <c r="F645" s="25">
        <v>2302</v>
      </c>
      <c r="G645" s="25" t="s">
        <v>3908</v>
      </c>
      <c r="H645" s="25" t="s">
        <v>2507</v>
      </c>
      <c r="I645" s="25" t="s">
        <v>5519</v>
      </c>
      <c r="J645" s="25" t="s">
        <v>2835</v>
      </c>
      <c r="K645" s="25" t="s">
        <v>2510</v>
      </c>
      <c r="L645" s="25" t="s">
        <v>2569</v>
      </c>
      <c r="M645" s="26" t="s">
        <v>2570</v>
      </c>
      <c r="N645" s="25">
        <v>2501</v>
      </c>
      <c r="O645" s="26" t="s">
        <v>2571</v>
      </c>
      <c r="P645" s="27" t="s">
        <v>5520</v>
      </c>
      <c r="Q645" s="25" t="s">
        <v>3909</v>
      </c>
      <c r="R645" s="25" t="s">
        <v>2516</v>
      </c>
      <c r="S645" s="25" t="s">
        <v>25</v>
      </c>
      <c r="T645" s="25">
        <v>1</v>
      </c>
      <c r="U645" s="25" t="s">
        <v>2517</v>
      </c>
      <c r="V645" s="25" t="s">
        <v>5521</v>
      </c>
      <c r="W645" s="25" t="s">
        <v>5522</v>
      </c>
      <c r="X645" s="59">
        <v>45810.45416666667</v>
      </c>
      <c r="Y645" s="25" t="s">
        <v>5523</v>
      </c>
      <c r="Z645" s="25">
        <v>0.7</v>
      </c>
      <c r="AA645" s="25"/>
      <c r="AB645" s="25" t="s">
        <v>2521</v>
      </c>
      <c r="AC645" s="27" t="s">
        <v>5524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5525</v>
      </c>
      <c r="E646" s="25" t="s">
        <v>2504</v>
      </c>
      <c r="F646" s="25">
        <v>4098</v>
      </c>
      <c r="G646" s="25" t="s">
        <v>3884</v>
      </c>
      <c r="H646" s="25" t="s">
        <v>2507</v>
      </c>
      <c r="I646" s="25" t="s">
        <v>5526</v>
      </c>
      <c r="J646" s="25" t="s">
        <v>2567</v>
      </c>
      <c r="K646" s="25" t="s">
        <v>2568</v>
      </c>
      <c r="L646" s="25" t="s">
        <v>2569</v>
      </c>
      <c r="M646" s="26" t="s">
        <v>2570</v>
      </c>
      <c r="N646" s="25">
        <v>2501</v>
      </c>
      <c r="O646" s="26" t="s">
        <v>2571</v>
      </c>
      <c r="P646" s="27" t="s">
        <v>5527</v>
      </c>
      <c r="Q646" s="25" t="s">
        <v>3885</v>
      </c>
      <c r="R646" s="25" t="s">
        <v>2516</v>
      </c>
      <c r="S646" s="25" t="s">
        <v>25</v>
      </c>
      <c r="T646" s="25">
        <v>1</v>
      </c>
      <c r="U646" s="25" t="s">
        <v>2517</v>
      </c>
      <c r="V646" s="25" t="s">
        <v>5528</v>
      </c>
      <c r="W646" s="25" t="s">
        <v>5529</v>
      </c>
      <c r="X646" s="59">
        <v>45810.480555555558</v>
      </c>
      <c r="Y646" s="25" t="s">
        <v>5530</v>
      </c>
      <c r="Z646" s="25">
        <v>0.5</v>
      </c>
      <c r="AA646" s="25"/>
      <c r="AB646" s="25" t="s">
        <v>2521</v>
      </c>
      <c r="AC646" s="27" t="s">
        <v>5531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3884</v>
      </c>
      <c r="H647" s="25" t="s">
        <v>2507</v>
      </c>
      <c r="I647" s="25"/>
      <c r="J647" s="25"/>
      <c r="K647" s="25"/>
      <c r="L647" s="25"/>
      <c r="M647" s="26"/>
      <c r="N647" s="25"/>
      <c r="O647" s="26"/>
      <c r="P647" s="27"/>
      <c r="Q647" s="25" t="s">
        <v>3885</v>
      </c>
      <c r="R647" s="25" t="s">
        <v>2516</v>
      </c>
      <c r="S647" s="25" t="s">
        <v>25</v>
      </c>
      <c r="T647" s="25">
        <v>1</v>
      </c>
      <c r="U647" s="25" t="s">
        <v>2517</v>
      </c>
      <c r="V647" s="25" t="s">
        <v>5532</v>
      </c>
      <c r="W647" s="25" t="s">
        <v>5533</v>
      </c>
      <c r="X647" s="59">
        <v>45810.500694444447</v>
      </c>
      <c r="Y647" s="25"/>
      <c r="Z647" s="25">
        <v>0.8</v>
      </c>
      <c r="AA647" s="25"/>
      <c r="AB647" s="25" t="s">
        <v>2521</v>
      </c>
      <c r="AC647" s="27" t="s">
        <v>4501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2724</v>
      </c>
      <c r="G648" s="25" t="s">
        <v>2725</v>
      </c>
      <c r="H648" s="25" t="s">
        <v>2641</v>
      </c>
      <c r="I648" s="25"/>
      <c r="J648" s="25"/>
      <c r="K648" s="25"/>
      <c r="L648" s="25"/>
      <c r="M648" s="26"/>
      <c r="N648" s="25"/>
      <c r="O648" s="26"/>
      <c r="P648" s="27"/>
      <c r="Q648" s="25" t="s">
        <v>2726</v>
      </c>
      <c r="R648" s="25" t="s">
        <v>2516</v>
      </c>
      <c r="S648" s="25" t="s">
        <v>25</v>
      </c>
      <c r="T648" s="25">
        <v>1</v>
      </c>
      <c r="U648" s="25" t="s">
        <v>2517</v>
      </c>
      <c r="V648" s="25" t="s">
        <v>5534</v>
      </c>
      <c r="W648" s="25" t="s">
        <v>5535</v>
      </c>
      <c r="X648" s="59">
        <v>45810.620833333327</v>
      </c>
      <c r="Y648" s="25"/>
      <c r="Z648" s="25">
        <v>0.9</v>
      </c>
      <c r="AA648" s="25"/>
      <c r="AB648" s="25" t="s">
        <v>2521</v>
      </c>
      <c r="AC648" s="27" t="s">
        <v>4501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3771</v>
      </c>
      <c r="H649" s="25" t="s">
        <v>2659</v>
      </c>
      <c r="I649" s="25"/>
      <c r="J649" s="25"/>
      <c r="K649" s="25"/>
      <c r="L649" s="25"/>
      <c r="M649" s="26"/>
      <c r="N649" s="25"/>
      <c r="O649" s="26"/>
      <c r="P649" s="27"/>
      <c r="Q649" s="25" t="s">
        <v>3772</v>
      </c>
      <c r="R649" s="25" t="s">
        <v>2516</v>
      </c>
      <c r="S649" s="25" t="s">
        <v>185</v>
      </c>
      <c r="T649" s="25">
        <v>1</v>
      </c>
      <c r="U649" s="25" t="s">
        <v>2517</v>
      </c>
      <c r="V649" s="25" t="s">
        <v>5536</v>
      </c>
      <c r="W649" s="25" t="s">
        <v>5537</v>
      </c>
      <c r="X649" s="59">
        <v>45810.645833333343</v>
      </c>
      <c r="Y649" s="25"/>
      <c r="Z649" s="25">
        <v>0.5</v>
      </c>
      <c r="AA649" s="25"/>
      <c r="AB649" s="25" t="s">
        <v>2521</v>
      </c>
      <c r="AC649" s="27" t="s">
        <v>4501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2961</v>
      </c>
      <c r="H650" s="25" t="s">
        <v>2609</v>
      </c>
      <c r="I650" s="25"/>
      <c r="J650" s="25"/>
      <c r="K650" s="25"/>
      <c r="L650" s="25"/>
      <c r="M650" s="26"/>
      <c r="N650" s="25"/>
      <c r="O650" s="26"/>
      <c r="P650" s="27"/>
      <c r="Q650" s="25" t="s">
        <v>2965</v>
      </c>
      <c r="R650" s="25" t="s">
        <v>2516</v>
      </c>
      <c r="S650" s="25" t="s">
        <v>173</v>
      </c>
      <c r="T650" s="25">
        <v>1</v>
      </c>
      <c r="U650" s="25" t="s">
        <v>2517</v>
      </c>
      <c r="V650" s="25" t="s">
        <v>5538</v>
      </c>
      <c r="W650" s="25" t="s">
        <v>5539</v>
      </c>
      <c r="X650" s="59">
        <v>45810.65625</v>
      </c>
      <c r="Y650" s="25"/>
      <c r="Z650" s="25">
        <v>0.3</v>
      </c>
      <c r="AA650" s="25"/>
      <c r="AB650" s="25" t="s">
        <v>2521</v>
      </c>
      <c r="AC650" s="27" t="s">
        <v>4565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3613</v>
      </c>
      <c r="H651" s="25" t="s">
        <v>2641</v>
      </c>
      <c r="I651" s="25"/>
      <c r="J651" s="25"/>
      <c r="K651" s="25"/>
      <c r="L651" s="25"/>
      <c r="M651" s="26"/>
      <c r="N651" s="25"/>
      <c r="O651" s="26"/>
      <c r="P651" s="27"/>
      <c r="Q651" s="25" t="s">
        <v>3616</v>
      </c>
      <c r="R651" s="25" t="s">
        <v>2516</v>
      </c>
      <c r="S651" s="25" t="s">
        <v>25</v>
      </c>
      <c r="T651" s="25">
        <v>1</v>
      </c>
      <c r="U651" s="25" t="s">
        <v>2517</v>
      </c>
      <c r="V651" s="25" t="s">
        <v>5540</v>
      </c>
      <c r="W651" s="25" t="s">
        <v>5541</v>
      </c>
      <c r="X651" s="59">
        <v>45810.67083333333</v>
      </c>
      <c r="Y651" s="25"/>
      <c r="Z651" s="25">
        <v>0.9</v>
      </c>
      <c r="AA651" s="25"/>
      <c r="AB651" s="25" t="s">
        <v>2521</v>
      </c>
      <c r="AC651" s="27" t="s">
        <v>4501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3452</v>
      </c>
      <c r="H652" s="25" t="s">
        <v>2609</v>
      </c>
      <c r="I652" s="25"/>
      <c r="J652" s="25"/>
      <c r="K652" s="25"/>
      <c r="L652" s="25"/>
      <c r="M652" s="26"/>
      <c r="N652" s="25"/>
      <c r="O652" s="26"/>
      <c r="P652" s="27"/>
      <c r="Q652" s="25" t="s">
        <v>3455</v>
      </c>
      <c r="R652" s="25" t="s">
        <v>2516</v>
      </c>
      <c r="S652" s="25" t="s">
        <v>173</v>
      </c>
      <c r="T652" s="25">
        <v>1</v>
      </c>
      <c r="U652" s="25" t="s">
        <v>2517</v>
      </c>
      <c r="V652" s="25" t="s">
        <v>5542</v>
      </c>
      <c r="W652" s="25" t="s">
        <v>5543</v>
      </c>
      <c r="X652" s="59">
        <v>45810.690972222219</v>
      </c>
      <c r="Y652" s="25"/>
      <c r="Z652" s="25">
        <v>0.6</v>
      </c>
      <c r="AA652" s="25"/>
      <c r="AB652" s="25" t="s">
        <v>2521</v>
      </c>
      <c r="AC652" s="27" t="s">
        <v>4501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3613</v>
      </c>
      <c r="H653" s="25" t="s">
        <v>2641</v>
      </c>
      <c r="I653" s="25"/>
      <c r="J653" s="25"/>
      <c r="K653" s="25"/>
      <c r="L653" s="25"/>
      <c r="M653" s="26"/>
      <c r="N653" s="25"/>
      <c r="O653" s="26"/>
      <c r="P653" s="27"/>
      <c r="Q653" s="25" t="s">
        <v>3616</v>
      </c>
      <c r="R653" s="25" t="s">
        <v>2516</v>
      </c>
      <c r="S653" s="25" t="s">
        <v>25</v>
      </c>
      <c r="T653" s="25">
        <v>1</v>
      </c>
      <c r="U653" s="25" t="s">
        <v>2517</v>
      </c>
      <c r="V653" s="25" t="s">
        <v>5544</v>
      </c>
      <c r="W653" s="25" t="s">
        <v>5541</v>
      </c>
      <c r="X653" s="59">
        <v>45810.666666666657</v>
      </c>
      <c r="Y653" s="25"/>
      <c r="Z653" s="25">
        <v>0.8</v>
      </c>
      <c r="AA653" s="25"/>
      <c r="AB653" s="25" t="s">
        <v>2521</v>
      </c>
      <c r="AC653" s="27" t="s">
        <v>4501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5545</v>
      </c>
      <c r="E654" s="25" t="s">
        <v>2504</v>
      </c>
      <c r="F654" s="25">
        <v>4698</v>
      </c>
      <c r="G654" s="25" t="s">
        <v>3417</v>
      </c>
      <c r="H654" s="25" t="s">
        <v>2507</v>
      </c>
      <c r="I654" s="25" t="s">
        <v>5546</v>
      </c>
      <c r="J654" s="25" t="s">
        <v>2661</v>
      </c>
      <c r="K654" s="25" t="s">
        <v>2717</v>
      </c>
      <c r="L654" s="25" t="s">
        <v>2611</v>
      </c>
      <c r="M654" s="26" t="s">
        <v>2612</v>
      </c>
      <c r="N654" s="25" t="s">
        <v>2972</v>
      </c>
      <c r="O654" s="26" t="s">
        <v>2973</v>
      </c>
      <c r="P654" s="27" t="s">
        <v>5547</v>
      </c>
      <c r="Q654" s="25" t="s">
        <v>3418</v>
      </c>
      <c r="R654" s="25" t="s">
        <v>2516</v>
      </c>
      <c r="S654" s="25" t="s">
        <v>25</v>
      </c>
      <c r="T654" s="25">
        <v>1</v>
      </c>
      <c r="U654" s="25" t="s">
        <v>2517</v>
      </c>
      <c r="V654" s="25" t="s">
        <v>5548</v>
      </c>
      <c r="W654" s="25" t="s">
        <v>5549</v>
      </c>
      <c r="X654" s="59">
        <v>45811.652777777781</v>
      </c>
      <c r="Y654" s="25" t="s">
        <v>5550</v>
      </c>
      <c r="Z654" s="25">
        <v>0.7</v>
      </c>
      <c r="AA654" s="25"/>
      <c r="AB654" s="25" t="s">
        <v>2521</v>
      </c>
      <c r="AC654" s="27" t="s">
        <v>5551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3549</v>
      </c>
      <c r="H655" s="25" t="s">
        <v>2659</v>
      </c>
      <c r="I655" s="25"/>
      <c r="J655" s="25"/>
      <c r="K655" s="25"/>
      <c r="L655" s="25"/>
      <c r="M655" s="26"/>
      <c r="N655" s="25"/>
      <c r="O655" s="26"/>
      <c r="P655" s="27"/>
      <c r="Q655" s="25" t="s">
        <v>3552</v>
      </c>
      <c r="R655" s="25" t="s">
        <v>2516</v>
      </c>
      <c r="S655" s="25" t="s">
        <v>185</v>
      </c>
      <c r="T655" s="25">
        <v>1</v>
      </c>
      <c r="U655" s="25" t="s">
        <v>2517</v>
      </c>
      <c r="V655" s="25" t="s">
        <v>5552</v>
      </c>
      <c r="W655" s="25" t="s">
        <v>5553</v>
      </c>
      <c r="X655" s="59">
        <v>45811.5</v>
      </c>
      <c r="Y655" s="25"/>
      <c r="Z655" s="25">
        <v>1</v>
      </c>
      <c r="AA655" s="25"/>
      <c r="AB655" s="25" t="s">
        <v>2521</v>
      </c>
      <c r="AC655" s="27" t="s">
        <v>4501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3973</v>
      </c>
      <c r="H656" s="25" t="s">
        <v>1604</v>
      </c>
      <c r="I656" s="25"/>
      <c r="J656" s="25"/>
      <c r="K656" s="25"/>
      <c r="L656" s="25"/>
      <c r="M656" s="26"/>
      <c r="N656" s="25"/>
      <c r="O656" s="26"/>
      <c r="P656" s="27"/>
      <c r="Q656" s="25" t="s">
        <v>3974</v>
      </c>
      <c r="R656" s="25" t="s">
        <v>2516</v>
      </c>
      <c r="S656" s="25" t="s">
        <v>25</v>
      </c>
      <c r="T656" s="25">
        <v>1</v>
      </c>
      <c r="U656" s="25" t="s">
        <v>2517</v>
      </c>
      <c r="V656" s="25" t="s">
        <v>5554</v>
      </c>
      <c r="W656" s="25" t="s">
        <v>5555</v>
      </c>
      <c r="X656" s="59">
        <v>45811.566666666673</v>
      </c>
      <c r="Y656" s="25"/>
      <c r="Z656" s="25">
        <v>0.3</v>
      </c>
      <c r="AA656" s="25"/>
      <c r="AB656" s="25" t="s">
        <v>2521</v>
      </c>
      <c r="AC656" s="27" t="s">
        <v>4565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3014</v>
      </c>
      <c r="H657" s="25" t="s">
        <v>2996</v>
      </c>
      <c r="I657" s="25"/>
      <c r="J657" s="25"/>
      <c r="K657" s="25"/>
      <c r="L657" s="25"/>
      <c r="M657" s="26"/>
      <c r="N657" s="25"/>
      <c r="O657" s="26"/>
      <c r="P657" s="27"/>
      <c r="Q657" s="25" t="s">
        <v>3015</v>
      </c>
      <c r="R657" s="25" t="s">
        <v>2516</v>
      </c>
      <c r="S657" s="25" t="s">
        <v>185</v>
      </c>
      <c r="T657" s="25">
        <v>1</v>
      </c>
      <c r="U657" s="25" t="s">
        <v>2517</v>
      </c>
      <c r="V657" s="25" t="s">
        <v>5556</v>
      </c>
      <c r="W657" s="25" t="s">
        <v>5557</v>
      </c>
      <c r="X657" s="59">
        <v>45811.618055555547</v>
      </c>
      <c r="Y657" s="25"/>
      <c r="Z657" s="25">
        <v>0.7</v>
      </c>
      <c r="AA657" s="25"/>
      <c r="AB657" s="25" t="s">
        <v>2521</v>
      </c>
      <c r="AC657" s="27" t="s">
        <v>4501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3417</v>
      </c>
      <c r="H658" s="25" t="s">
        <v>2507</v>
      </c>
      <c r="I658" s="25"/>
      <c r="J658" s="25"/>
      <c r="K658" s="25"/>
      <c r="L658" s="25"/>
      <c r="M658" s="26"/>
      <c r="N658" s="25"/>
      <c r="O658" s="26"/>
      <c r="P658" s="27"/>
      <c r="Q658" s="25" t="s">
        <v>3418</v>
      </c>
      <c r="R658" s="25" t="s">
        <v>2516</v>
      </c>
      <c r="S658" s="25" t="s">
        <v>25</v>
      </c>
      <c r="T658" s="25">
        <v>1</v>
      </c>
      <c r="U658" s="25" t="s">
        <v>2517</v>
      </c>
      <c r="V658" s="25" t="s">
        <v>5558</v>
      </c>
      <c r="W658" s="25" t="s">
        <v>5549</v>
      </c>
      <c r="X658" s="59">
        <v>45811.654861111107</v>
      </c>
      <c r="Y658" s="25"/>
      <c r="Z658" s="25">
        <v>0.7</v>
      </c>
      <c r="AA658" s="25"/>
      <c r="AB658" s="25" t="s">
        <v>2521</v>
      </c>
      <c r="AC658" s="27" t="s">
        <v>4501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3018</v>
      </c>
      <c r="H659" s="25" t="s">
        <v>2996</v>
      </c>
      <c r="I659" s="25"/>
      <c r="J659" s="25"/>
      <c r="K659" s="25"/>
      <c r="L659" s="25"/>
      <c r="M659" s="26"/>
      <c r="N659" s="25"/>
      <c r="O659" s="26"/>
      <c r="P659" s="27"/>
      <c r="Q659" s="25" t="s">
        <v>3019</v>
      </c>
      <c r="R659" s="25" t="s">
        <v>2516</v>
      </c>
      <c r="S659" s="25" t="s">
        <v>185</v>
      </c>
      <c r="T659" s="25">
        <v>1</v>
      </c>
      <c r="U659" s="25" t="s">
        <v>2517</v>
      </c>
      <c r="V659" s="25" t="s">
        <v>5559</v>
      </c>
      <c r="W659" s="25" t="s">
        <v>5549</v>
      </c>
      <c r="X659" s="59">
        <v>45811.659722222219</v>
      </c>
      <c r="Y659" s="25"/>
      <c r="Z659" s="25">
        <v>0.8</v>
      </c>
      <c r="AA659" s="25"/>
      <c r="AB659" s="25" t="s">
        <v>2521</v>
      </c>
      <c r="AC659" s="27" t="s">
        <v>4501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5560</v>
      </c>
      <c r="E660" s="25" t="s">
        <v>2504</v>
      </c>
      <c r="F660" s="25">
        <v>3999</v>
      </c>
      <c r="G660" s="25" t="s">
        <v>3771</v>
      </c>
      <c r="H660" s="25" t="s">
        <v>2659</v>
      </c>
      <c r="I660" s="25" t="s">
        <v>5561</v>
      </c>
      <c r="J660" s="25" t="s">
        <v>2567</v>
      </c>
      <c r="K660" s="25" t="s">
        <v>2568</v>
      </c>
      <c r="L660" s="25" t="s">
        <v>2537</v>
      </c>
      <c r="M660" s="26" t="s">
        <v>2538</v>
      </c>
      <c r="N660" s="25" t="s">
        <v>2539</v>
      </c>
      <c r="O660" s="26" t="s">
        <v>2540</v>
      </c>
      <c r="P660" s="27" t="s">
        <v>5562</v>
      </c>
      <c r="Q660" s="25" t="s">
        <v>3772</v>
      </c>
      <c r="R660" s="25" t="s">
        <v>2516</v>
      </c>
      <c r="S660" s="25" t="s">
        <v>185</v>
      </c>
      <c r="T660" s="25">
        <v>1</v>
      </c>
      <c r="U660" s="25" t="s">
        <v>2517</v>
      </c>
      <c r="V660" s="25" t="s">
        <v>5563</v>
      </c>
      <c r="W660" s="25" t="s">
        <v>5535</v>
      </c>
      <c r="X660" s="59">
        <v>45810.604166666657</v>
      </c>
      <c r="Y660" s="25" t="s">
        <v>5530</v>
      </c>
      <c r="Z660" s="25">
        <v>0.5</v>
      </c>
      <c r="AA660" s="25"/>
      <c r="AB660" s="25" t="s">
        <v>2521</v>
      </c>
      <c r="AC660" s="27" t="s">
        <v>5564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5565</v>
      </c>
      <c r="E661" s="25" t="s">
        <v>2504</v>
      </c>
      <c r="F661" s="25">
        <v>3999</v>
      </c>
      <c r="G661" s="25" t="s">
        <v>3771</v>
      </c>
      <c r="H661" s="25" t="s">
        <v>2659</v>
      </c>
      <c r="I661" s="25" t="s">
        <v>5566</v>
      </c>
      <c r="J661" s="25" t="s">
        <v>2567</v>
      </c>
      <c r="K661" s="25" t="s">
        <v>2568</v>
      </c>
      <c r="L661" s="25" t="s">
        <v>2537</v>
      </c>
      <c r="M661" s="26" t="s">
        <v>2538</v>
      </c>
      <c r="N661" s="25" t="s">
        <v>2539</v>
      </c>
      <c r="O661" s="26" t="s">
        <v>2540</v>
      </c>
      <c r="P661" s="27" t="s">
        <v>5567</v>
      </c>
      <c r="Q661" s="25" t="s">
        <v>3772</v>
      </c>
      <c r="R661" s="25" t="s">
        <v>2516</v>
      </c>
      <c r="S661" s="25" t="s">
        <v>185</v>
      </c>
      <c r="T661" s="25">
        <v>1</v>
      </c>
      <c r="U661" s="25" t="s">
        <v>2517</v>
      </c>
      <c r="V661" s="25" t="s">
        <v>5568</v>
      </c>
      <c r="W661" s="25" t="s">
        <v>5569</v>
      </c>
      <c r="X661" s="59">
        <v>45810.625</v>
      </c>
      <c r="Y661" s="25" t="s">
        <v>5530</v>
      </c>
      <c r="Z661" s="25">
        <v>0.5</v>
      </c>
      <c r="AA661" s="25"/>
      <c r="AB661" s="25" t="s">
        <v>2521</v>
      </c>
      <c r="AC661" s="27" t="s">
        <v>5570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5571</v>
      </c>
      <c r="E662" s="25" t="s">
        <v>2504</v>
      </c>
      <c r="F662" s="25" t="s">
        <v>2817</v>
      </c>
      <c r="G662" s="25" t="s">
        <v>2818</v>
      </c>
      <c r="H662" s="25" t="s">
        <v>2507</v>
      </c>
      <c r="I662" s="25" t="s">
        <v>5572</v>
      </c>
      <c r="J662" s="25" t="s">
        <v>2661</v>
      </c>
      <c r="K662" s="25" t="s">
        <v>2510</v>
      </c>
      <c r="L662" s="25" t="s">
        <v>2511</v>
      </c>
      <c r="M662" s="26" t="s">
        <v>2512</v>
      </c>
      <c r="N662" s="25">
        <v>2303</v>
      </c>
      <c r="O662" s="26" t="s">
        <v>5573</v>
      </c>
      <c r="P662" s="27" t="s">
        <v>5574</v>
      </c>
      <c r="Q662" s="25" t="s">
        <v>2819</v>
      </c>
      <c r="R662" s="25" t="s">
        <v>2516</v>
      </c>
      <c r="S662" s="25" t="s">
        <v>25</v>
      </c>
      <c r="T662" s="25">
        <v>1</v>
      </c>
      <c r="U662" s="25" t="s">
        <v>2517</v>
      </c>
      <c r="V662" s="25" t="s">
        <v>5575</v>
      </c>
      <c r="W662" s="25" t="s">
        <v>5576</v>
      </c>
      <c r="X662" s="59">
        <v>45811.464583333327</v>
      </c>
      <c r="Y662" s="25" t="s">
        <v>5577</v>
      </c>
      <c r="Z662" s="25">
        <v>0.5</v>
      </c>
      <c r="AA662" s="25"/>
      <c r="AB662" s="25" t="s">
        <v>2521</v>
      </c>
      <c r="AC662" s="27" t="s">
        <v>5578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5579</v>
      </c>
      <c r="E663" s="25" t="s">
        <v>2504</v>
      </c>
      <c r="F663" s="25">
        <v>5060</v>
      </c>
      <c r="G663" s="25" t="s">
        <v>4186</v>
      </c>
      <c r="H663" s="25" t="s">
        <v>1604</v>
      </c>
      <c r="I663" s="25" t="s">
        <v>5580</v>
      </c>
      <c r="J663" s="25" t="s">
        <v>2509</v>
      </c>
      <c r="K663" s="25" t="s">
        <v>2510</v>
      </c>
      <c r="L663" s="25" t="s">
        <v>2945</v>
      </c>
      <c r="M663" s="26" t="s">
        <v>2946</v>
      </c>
      <c r="N663" s="25" t="s">
        <v>3782</v>
      </c>
      <c r="O663" s="26" t="s">
        <v>2582</v>
      </c>
      <c r="P663" s="27" t="s">
        <v>5581</v>
      </c>
      <c r="Q663" s="25" t="s">
        <v>4187</v>
      </c>
      <c r="R663" s="25" t="s">
        <v>2516</v>
      </c>
      <c r="S663" s="25" t="s">
        <v>25</v>
      </c>
      <c r="T663" s="25">
        <v>1</v>
      </c>
      <c r="U663" s="25" t="s">
        <v>2517</v>
      </c>
      <c r="V663" s="25" t="s">
        <v>5582</v>
      </c>
      <c r="W663" s="25" t="s">
        <v>5583</v>
      </c>
      <c r="X663" s="59">
        <v>45812.472916666673</v>
      </c>
      <c r="Y663" s="25" t="s">
        <v>5584</v>
      </c>
      <c r="Z663" s="25">
        <v>0.5</v>
      </c>
      <c r="AA663" s="25"/>
      <c r="AB663" s="25" t="s">
        <v>2521</v>
      </c>
      <c r="AC663" s="27" t="s">
        <v>5585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5586</v>
      </c>
      <c r="E664" s="25" t="s">
        <v>2504</v>
      </c>
      <c r="F664" s="25">
        <v>5197</v>
      </c>
      <c r="G664" s="25" t="s">
        <v>3092</v>
      </c>
      <c r="H664" s="25" t="s">
        <v>2641</v>
      </c>
      <c r="I664" s="25" t="s">
        <v>5587</v>
      </c>
      <c r="J664" s="25" t="s">
        <v>2536</v>
      </c>
      <c r="K664" s="25" t="s">
        <v>2568</v>
      </c>
      <c r="L664" s="25" t="s">
        <v>2511</v>
      </c>
      <c r="M664" s="26" t="s">
        <v>2512</v>
      </c>
      <c r="N664" s="25">
        <v>2307</v>
      </c>
      <c r="O664" s="26" t="s">
        <v>2678</v>
      </c>
      <c r="P664" s="27" t="s">
        <v>5588</v>
      </c>
      <c r="Q664" s="25" t="s">
        <v>3093</v>
      </c>
      <c r="R664" s="25" t="s">
        <v>2516</v>
      </c>
      <c r="S664" s="25" t="s">
        <v>25</v>
      </c>
      <c r="T664" s="25">
        <v>1</v>
      </c>
      <c r="U664" s="25" t="s">
        <v>2517</v>
      </c>
      <c r="V664" s="25" t="s">
        <v>5589</v>
      </c>
      <c r="W664" s="25" t="s">
        <v>5590</v>
      </c>
      <c r="X664" s="59">
        <v>45812.676388888889</v>
      </c>
      <c r="Y664" s="25" t="s">
        <v>5591</v>
      </c>
      <c r="Z664" s="25">
        <v>0.5</v>
      </c>
      <c r="AA664" s="25"/>
      <c r="AB664" s="25" t="s">
        <v>2521</v>
      </c>
      <c r="AC664" s="27" t="s">
        <v>5592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4062</v>
      </c>
      <c r="G665" s="25" t="s">
        <v>4063</v>
      </c>
      <c r="H665" s="25" t="s">
        <v>3148</v>
      </c>
      <c r="I665" s="25"/>
      <c r="J665" s="25"/>
      <c r="K665" s="25"/>
      <c r="L665" s="25"/>
      <c r="M665" s="26"/>
      <c r="N665" s="25"/>
      <c r="O665" s="26"/>
      <c r="P665" s="27"/>
      <c r="Q665" s="25" t="s">
        <v>4064</v>
      </c>
      <c r="R665" s="25" t="s">
        <v>2516</v>
      </c>
      <c r="S665" s="25" t="s">
        <v>185</v>
      </c>
      <c r="T665" s="25">
        <v>1</v>
      </c>
      <c r="U665" s="25" t="s">
        <v>2517</v>
      </c>
      <c r="V665" s="25" t="s">
        <v>5593</v>
      </c>
      <c r="W665" s="25" t="s">
        <v>5594</v>
      </c>
      <c r="X665" s="59">
        <v>45812.458333333343</v>
      </c>
      <c r="Y665" s="25"/>
      <c r="Z665" s="25">
        <v>0.3</v>
      </c>
      <c r="AA665" s="25"/>
      <c r="AB665" s="25" t="s">
        <v>2521</v>
      </c>
      <c r="AC665" s="27" t="s">
        <v>4684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4070</v>
      </c>
      <c r="G666" s="25" t="s">
        <v>4071</v>
      </c>
      <c r="H666" s="25" t="s">
        <v>3148</v>
      </c>
      <c r="I666" s="25"/>
      <c r="J666" s="25"/>
      <c r="K666" s="25"/>
      <c r="L666" s="25"/>
      <c r="M666" s="26"/>
      <c r="N666" s="25"/>
      <c r="O666" s="26"/>
      <c r="P666" s="27"/>
      <c r="Q666" s="25" t="s">
        <v>4072</v>
      </c>
      <c r="R666" s="25" t="s">
        <v>2516</v>
      </c>
      <c r="S666" s="25" t="s">
        <v>185</v>
      </c>
      <c r="T666" s="25">
        <v>1</v>
      </c>
      <c r="U666" s="25" t="s">
        <v>2517</v>
      </c>
      <c r="V666" s="25" t="s">
        <v>5595</v>
      </c>
      <c r="W666" s="25" t="s">
        <v>5596</v>
      </c>
      <c r="X666" s="59">
        <v>45812.472222222219</v>
      </c>
      <c r="Y666" s="25"/>
      <c r="Z666" s="25">
        <v>0.3</v>
      </c>
      <c r="AA666" s="25"/>
      <c r="AB666" s="25" t="s">
        <v>2521</v>
      </c>
      <c r="AC666" s="27" t="s">
        <v>4684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5597</v>
      </c>
      <c r="E667" s="25" t="s">
        <v>2843</v>
      </c>
      <c r="F667" s="25">
        <v>3965</v>
      </c>
      <c r="G667" s="25" t="s">
        <v>4015</v>
      </c>
      <c r="H667" s="25" t="s">
        <v>2609</v>
      </c>
      <c r="I667" s="25" t="s">
        <v>5598</v>
      </c>
      <c r="J667" s="25" t="s">
        <v>2536</v>
      </c>
      <c r="K667" s="25" t="s">
        <v>2510</v>
      </c>
      <c r="L667" s="25" t="s">
        <v>2846</v>
      </c>
      <c r="M667" s="26" t="s">
        <v>2847</v>
      </c>
      <c r="N667" s="25">
        <v>2405</v>
      </c>
      <c r="O667" s="26" t="s">
        <v>2963</v>
      </c>
      <c r="P667" s="27" t="s">
        <v>5599</v>
      </c>
      <c r="Q667" s="25" t="s">
        <v>4018</v>
      </c>
      <c r="R667" s="25" t="s">
        <v>2516</v>
      </c>
      <c r="S667" s="25" t="s">
        <v>173</v>
      </c>
      <c r="T667" s="25">
        <v>1</v>
      </c>
      <c r="U667" s="25" t="s">
        <v>2517</v>
      </c>
      <c r="V667" s="25" t="s">
        <v>5600</v>
      </c>
      <c r="W667" s="25" t="s">
        <v>5601</v>
      </c>
      <c r="X667" s="59">
        <v>45812.743055555547</v>
      </c>
      <c r="Y667" s="25" t="s">
        <v>5602</v>
      </c>
      <c r="Z667" s="25">
        <v>2.2999999999999998</v>
      </c>
      <c r="AA667" s="25"/>
      <c r="AB667" s="25" t="s">
        <v>2521</v>
      </c>
      <c r="AC667" s="27" t="s">
        <v>5603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4015</v>
      </c>
      <c r="H668" s="25" t="s">
        <v>2609</v>
      </c>
      <c r="I668" s="25"/>
      <c r="J668" s="25"/>
      <c r="K668" s="25"/>
      <c r="L668" s="25"/>
      <c r="M668" s="26"/>
      <c r="N668" s="25"/>
      <c r="O668" s="26"/>
      <c r="P668" s="27"/>
      <c r="Q668" s="25" t="s">
        <v>4018</v>
      </c>
      <c r="R668" s="25" t="s">
        <v>2516</v>
      </c>
      <c r="S668" s="25" t="s">
        <v>173</v>
      </c>
      <c r="T668" s="25">
        <v>1</v>
      </c>
      <c r="U668" s="25" t="s">
        <v>2517</v>
      </c>
      <c r="V668" s="25" t="s">
        <v>5604</v>
      </c>
      <c r="W668" s="25" t="s">
        <v>5601</v>
      </c>
      <c r="X668" s="59">
        <v>45812.743055555547</v>
      </c>
      <c r="Y668" s="25"/>
      <c r="Z668" s="25">
        <v>2.2999999999999998</v>
      </c>
      <c r="AA668" s="25"/>
      <c r="AB668" s="25" t="s">
        <v>2521</v>
      </c>
      <c r="AC668" s="27" t="s">
        <v>4501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3160</v>
      </c>
      <c r="H669" s="25" t="s">
        <v>2641</v>
      </c>
      <c r="I669" s="25"/>
      <c r="J669" s="25"/>
      <c r="K669" s="25"/>
      <c r="L669" s="25"/>
      <c r="M669" s="26"/>
      <c r="N669" s="25"/>
      <c r="O669" s="26"/>
      <c r="P669" s="27"/>
      <c r="Q669" s="25" t="s">
        <v>3163</v>
      </c>
      <c r="R669" s="25" t="s">
        <v>2516</v>
      </c>
      <c r="S669" s="25" t="s">
        <v>25</v>
      </c>
      <c r="T669" s="25">
        <v>1</v>
      </c>
      <c r="U669" s="25" t="s">
        <v>2517</v>
      </c>
      <c r="V669" s="25" t="s">
        <v>5605</v>
      </c>
      <c r="W669" s="25" t="s">
        <v>5606</v>
      </c>
      <c r="X669" s="59">
        <v>45813.472222222219</v>
      </c>
      <c r="Y669" s="25"/>
      <c r="Z669" s="25">
        <v>0.3</v>
      </c>
      <c r="AA669" s="25"/>
      <c r="AB669" s="25" t="s">
        <v>2521</v>
      </c>
      <c r="AC669" s="27" t="s">
        <v>4501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3904</v>
      </c>
      <c r="H670" s="25" t="s">
        <v>2641</v>
      </c>
      <c r="I670" s="25"/>
      <c r="J670" s="25"/>
      <c r="K670" s="25"/>
      <c r="L670" s="25"/>
      <c r="M670" s="26"/>
      <c r="N670" s="25"/>
      <c r="O670" s="26"/>
      <c r="P670" s="27"/>
      <c r="Q670" s="25" t="s">
        <v>3905</v>
      </c>
      <c r="R670" s="25" t="s">
        <v>2516</v>
      </c>
      <c r="S670" s="25" t="s">
        <v>25</v>
      </c>
      <c r="T670" s="25">
        <v>1</v>
      </c>
      <c r="U670" s="25" t="s">
        <v>2517</v>
      </c>
      <c r="V670" s="25" t="s">
        <v>5607</v>
      </c>
      <c r="W670" s="25" t="s">
        <v>5608</v>
      </c>
      <c r="X670" s="59">
        <v>45813.529861111107</v>
      </c>
      <c r="Y670" s="25"/>
      <c r="Z670" s="25">
        <v>0.7</v>
      </c>
      <c r="AA670" s="25"/>
      <c r="AB670" s="25" t="s">
        <v>2521</v>
      </c>
      <c r="AC670" s="27" t="s">
        <v>4501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3338</v>
      </c>
      <c r="H671" s="25" t="s">
        <v>2996</v>
      </c>
      <c r="I671" s="25"/>
      <c r="J671" s="25"/>
      <c r="K671" s="25"/>
      <c r="L671" s="25"/>
      <c r="M671" s="26"/>
      <c r="N671" s="25"/>
      <c r="O671" s="26"/>
      <c r="P671" s="27"/>
      <c r="Q671" s="25" t="s">
        <v>3339</v>
      </c>
      <c r="R671" s="25" t="s">
        <v>2516</v>
      </c>
      <c r="S671" s="25" t="s">
        <v>185</v>
      </c>
      <c r="T671" s="25">
        <v>1</v>
      </c>
      <c r="U671" s="25" t="s">
        <v>2517</v>
      </c>
      <c r="V671" s="25" t="s">
        <v>5609</v>
      </c>
      <c r="W671" s="25" t="s">
        <v>5610</v>
      </c>
      <c r="X671" s="59">
        <v>45813.576388888891</v>
      </c>
      <c r="Y671" s="25"/>
      <c r="Z671" s="25">
        <v>0.3</v>
      </c>
      <c r="AA671" s="25"/>
      <c r="AB671" s="25" t="s">
        <v>2521</v>
      </c>
      <c r="AC671" s="27" t="s">
        <v>4565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3200</v>
      </c>
      <c r="H672" s="25" t="s">
        <v>2641</v>
      </c>
      <c r="I672" s="25"/>
      <c r="J672" s="25"/>
      <c r="K672" s="25"/>
      <c r="L672" s="25"/>
      <c r="M672" s="26"/>
      <c r="N672" s="25"/>
      <c r="O672" s="26"/>
      <c r="P672" s="27"/>
      <c r="Q672" s="25" t="s">
        <v>3203</v>
      </c>
      <c r="R672" s="25" t="s">
        <v>2516</v>
      </c>
      <c r="S672" s="25" t="s">
        <v>25</v>
      </c>
      <c r="T672" s="25">
        <v>1</v>
      </c>
      <c r="U672" s="25" t="s">
        <v>2517</v>
      </c>
      <c r="V672" s="25" t="s">
        <v>5611</v>
      </c>
      <c r="W672" s="25" t="s">
        <v>5612</v>
      </c>
      <c r="X672" s="59">
        <v>45813.5625</v>
      </c>
      <c r="Y672" s="25"/>
      <c r="Z672" s="25">
        <v>0.5</v>
      </c>
      <c r="AA672" s="25"/>
      <c r="AB672" s="25" t="s">
        <v>2521</v>
      </c>
      <c r="AC672" s="27" t="s">
        <v>4501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4409</v>
      </c>
      <c r="G673" s="25" t="s">
        <v>4410</v>
      </c>
      <c r="H673" s="25" t="s">
        <v>2609</v>
      </c>
      <c r="I673" s="25"/>
      <c r="J673" s="25"/>
      <c r="K673" s="25"/>
      <c r="L673" s="25"/>
      <c r="M673" s="26"/>
      <c r="N673" s="25"/>
      <c r="O673" s="26"/>
      <c r="P673" s="27"/>
      <c r="Q673" s="25" t="s">
        <v>4411</v>
      </c>
      <c r="R673" s="25" t="s">
        <v>2516</v>
      </c>
      <c r="S673" s="25" t="s">
        <v>173</v>
      </c>
      <c r="T673" s="25">
        <v>1</v>
      </c>
      <c r="U673" s="25" t="s">
        <v>2517</v>
      </c>
      <c r="V673" s="25" t="s">
        <v>5613</v>
      </c>
      <c r="W673" s="25" t="s">
        <v>5614</v>
      </c>
      <c r="X673" s="59">
        <v>45813.597222222219</v>
      </c>
      <c r="Y673" s="25"/>
      <c r="Z673" s="25">
        <v>0.4</v>
      </c>
      <c r="AA673" s="25"/>
      <c r="AB673" s="25" t="s">
        <v>2521</v>
      </c>
      <c r="AC673" s="27" t="s">
        <v>4565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3728</v>
      </c>
      <c r="H674" s="25" t="s">
        <v>2641</v>
      </c>
      <c r="I674" s="25"/>
      <c r="J674" s="25"/>
      <c r="K674" s="25"/>
      <c r="L674" s="25"/>
      <c r="M674" s="26"/>
      <c r="N674" s="25"/>
      <c r="O674" s="26"/>
      <c r="P674" s="27"/>
      <c r="Q674" s="25" t="s">
        <v>3729</v>
      </c>
      <c r="R674" s="25" t="s">
        <v>2516</v>
      </c>
      <c r="S674" s="25" t="s">
        <v>25</v>
      </c>
      <c r="T674" s="25">
        <v>1</v>
      </c>
      <c r="U674" s="25" t="s">
        <v>2517</v>
      </c>
      <c r="V674" s="25" t="s">
        <v>5615</v>
      </c>
      <c r="W674" s="25" t="s">
        <v>5616</v>
      </c>
      <c r="X674" s="59">
        <v>45813.599999999999</v>
      </c>
      <c r="Y674" s="25"/>
      <c r="Z674" s="25">
        <v>0.6</v>
      </c>
      <c r="AA674" s="25"/>
      <c r="AB674" s="25" t="s">
        <v>2521</v>
      </c>
      <c r="AC674" s="27" t="s">
        <v>4501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3008</v>
      </c>
      <c r="H675" s="25" t="s">
        <v>2996</v>
      </c>
      <c r="I675" s="25"/>
      <c r="J675" s="25"/>
      <c r="K675" s="25"/>
      <c r="L675" s="25"/>
      <c r="M675" s="26"/>
      <c r="N675" s="25"/>
      <c r="O675" s="26"/>
      <c r="P675" s="27"/>
      <c r="Q675" s="25" t="s">
        <v>3009</v>
      </c>
      <c r="R675" s="25" t="s">
        <v>2516</v>
      </c>
      <c r="S675" s="25" t="s">
        <v>185</v>
      </c>
      <c r="T675" s="25">
        <v>1</v>
      </c>
      <c r="U675" s="25" t="s">
        <v>2517</v>
      </c>
      <c r="V675" s="25" t="s">
        <v>5617</v>
      </c>
      <c r="W675" s="25" t="s">
        <v>5618</v>
      </c>
      <c r="X675" s="59">
        <v>45813.611111111109</v>
      </c>
      <c r="Y675" s="25"/>
      <c r="Z675" s="25">
        <v>0.7</v>
      </c>
      <c r="AA675" s="25"/>
      <c r="AB675" s="25" t="s">
        <v>2521</v>
      </c>
      <c r="AC675" s="27" t="s">
        <v>4501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4421</v>
      </c>
      <c r="H676" s="25" t="s">
        <v>2609</v>
      </c>
      <c r="I676" s="25"/>
      <c r="J676" s="25"/>
      <c r="K676" s="25"/>
      <c r="L676" s="25"/>
      <c r="M676" s="26"/>
      <c r="N676" s="25"/>
      <c r="O676" s="26"/>
      <c r="P676" s="27"/>
      <c r="Q676" s="25" t="s">
        <v>4422</v>
      </c>
      <c r="R676" s="25" t="s">
        <v>2516</v>
      </c>
      <c r="S676" s="25" t="s">
        <v>173</v>
      </c>
      <c r="T676" s="25">
        <v>1</v>
      </c>
      <c r="U676" s="25" t="s">
        <v>2517</v>
      </c>
      <c r="V676" s="25" t="s">
        <v>5619</v>
      </c>
      <c r="W676" s="25" t="s">
        <v>5620</v>
      </c>
      <c r="X676" s="59">
        <v>45813.621527777781</v>
      </c>
      <c r="Y676" s="25"/>
      <c r="Z676" s="25">
        <v>0.4</v>
      </c>
      <c r="AA676" s="25"/>
      <c r="AB676" s="25" t="s">
        <v>2521</v>
      </c>
      <c r="AC676" s="27" t="s">
        <v>4501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3724</v>
      </c>
      <c r="H677" s="25" t="s">
        <v>2641</v>
      </c>
      <c r="I677" s="25"/>
      <c r="J677" s="25"/>
      <c r="K677" s="25"/>
      <c r="L677" s="25"/>
      <c r="M677" s="26"/>
      <c r="N677" s="25"/>
      <c r="O677" s="26"/>
      <c r="P677" s="27"/>
      <c r="Q677" s="25" t="s">
        <v>3725</v>
      </c>
      <c r="R677" s="25" t="s">
        <v>2516</v>
      </c>
      <c r="S677" s="25" t="s">
        <v>25</v>
      </c>
      <c r="T677" s="25">
        <v>1</v>
      </c>
      <c r="U677" s="25" t="s">
        <v>2517</v>
      </c>
      <c r="V677" s="25" t="s">
        <v>5621</v>
      </c>
      <c r="W677" s="25" t="s">
        <v>5622</v>
      </c>
      <c r="X677" s="59">
        <v>45813.643055555563</v>
      </c>
      <c r="Y677" s="25"/>
      <c r="Z677" s="25">
        <v>0.6</v>
      </c>
      <c r="AA677" s="25"/>
      <c r="AB677" s="25" t="s">
        <v>2521</v>
      </c>
      <c r="AC677" s="27" t="s">
        <v>4501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3004</v>
      </c>
      <c r="H678" s="25" t="s">
        <v>2996</v>
      </c>
      <c r="I678" s="25"/>
      <c r="J678" s="25"/>
      <c r="K678" s="25"/>
      <c r="L678" s="25"/>
      <c r="M678" s="26"/>
      <c r="N678" s="25"/>
      <c r="O678" s="26"/>
      <c r="P678" s="27"/>
      <c r="Q678" s="25" t="s">
        <v>3005</v>
      </c>
      <c r="R678" s="25" t="s">
        <v>2516</v>
      </c>
      <c r="S678" s="25" t="s">
        <v>185</v>
      </c>
      <c r="T678" s="25">
        <v>1</v>
      </c>
      <c r="U678" s="25" t="s">
        <v>2517</v>
      </c>
      <c r="V678" s="25" t="s">
        <v>5623</v>
      </c>
      <c r="W678" s="25" t="s">
        <v>5624</v>
      </c>
      <c r="X678" s="59">
        <v>45813.645833333343</v>
      </c>
      <c r="Y678" s="25"/>
      <c r="Z678" s="25">
        <v>0.7</v>
      </c>
      <c r="AA678" s="25"/>
      <c r="AB678" s="25" t="s">
        <v>2521</v>
      </c>
      <c r="AC678" s="27" t="s">
        <v>4501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3713</v>
      </c>
      <c r="H679" s="25" t="s">
        <v>2641</v>
      </c>
      <c r="I679" s="25"/>
      <c r="J679" s="25"/>
      <c r="K679" s="25"/>
      <c r="L679" s="25"/>
      <c r="M679" s="26"/>
      <c r="N679" s="25"/>
      <c r="O679" s="26"/>
      <c r="P679" s="27"/>
      <c r="Q679" s="25" t="s">
        <v>3714</v>
      </c>
      <c r="R679" s="25" t="s">
        <v>2516</v>
      </c>
      <c r="S679" s="25" t="s">
        <v>25</v>
      </c>
      <c r="T679" s="25">
        <v>1</v>
      </c>
      <c r="U679" s="25" t="s">
        <v>2517</v>
      </c>
      <c r="V679" s="25" t="s">
        <v>5625</v>
      </c>
      <c r="W679" s="25" t="s">
        <v>5626</v>
      </c>
      <c r="X679" s="59">
        <v>45813.708333333343</v>
      </c>
      <c r="Y679" s="25"/>
      <c r="Z679" s="25">
        <v>0.8</v>
      </c>
      <c r="AA679" s="25"/>
      <c r="AB679" s="25" t="s">
        <v>2521</v>
      </c>
      <c r="AC679" s="27" t="s">
        <v>4501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5627</v>
      </c>
      <c r="E680" s="25" t="s">
        <v>2504</v>
      </c>
      <c r="F680" s="25">
        <v>4259</v>
      </c>
      <c r="G680" s="25" t="s">
        <v>3042</v>
      </c>
      <c r="H680" s="25" t="s">
        <v>2987</v>
      </c>
      <c r="I680" s="25" t="s">
        <v>5628</v>
      </c>
      <c r="J680" s="25" t="s">
        <v>2835</v>
      </c>
      <c r="K680" s="25" t="s">
        <v>2568</v>
      </c>
      <c r="L680" s="25" t="s">
        <v>2846</v>
      </c>
      <c r="M680" s="26" t="s">
        <v>2847</v>
      </c>
      <c r="N680" s="25">
        <v>2405</v>
      </c>
      <c r="O680" s="26" t="s">
        <v>2963</v>
      </c>
      <c r="P680" s="27" t="s">
        <v>5629</v>
      </c>
      <c r="Q680" s="25" t="s">
        <v>3043</v>
      </c>
      <c r="R680" s="25" t="s">
        <v>2516</v>
      </c>
      <c r="S680" s="25" t="s">
        <v>25</v>
      </c>
      <c r="T680" s="25">
        <v>1</v>
      </c>
      <c r="U680" s="25" t="s">
        <v>2517</v>
      </c>
      <c r="V680" s="25" t="s">
        <v>5630</v>
      </c>
      <c r="W680" s="25" t="s">
        <v>5631</v>
      </c>
      <c r="X680" s="59">
        <v>45814.545138888891</v>
      </c>
      <c r="Y680" s="25" t="s">
        <v>5632</v>
      </c>
      <c r="Z680" s="25">
        <v>2.1</v>
      </c>
      <c r="AA680" s="25"/>
      <c r="AB680" s="25" t="s">
        <v>2521</v>
      </c>
      <c r="AC680" s="27" t="s">
        <v>5437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5633</v>
      </c>
      <c r="E681" s="25" t="s">
        <v>2504</v>
      </c>
      <c r="F681" s="25">
        <v>3840</v>
      </c>
      <c r="G681" s="25" t="s">
        <v>3851</v>
      </c>
      <c r="H681" s="25" t="s">
        <v>2507</v>
      </c>
      <c r="I681" s="25" t="s">
        <v>5634</v>
      </c>
      <c r="J681" s="25" t="s">
        <v>2567</v>
      </c>
      <c r="K681" s="25" t="s">
        <v>2510</v>
      </c>
      <c r="L681" s="25" t="s">
        <v>2945</v>
      </c>
      <c r="M681" s="26" t="s">
        <v>2946</v>
      </c>
      <c r="N681" s="25" t="s">
        <v>3782</v>
      </c>
      <c r="O681" s="26" t="s">
        <v>2582</v>
      </c>
      <c r="P681" s="27" t="s">
        <v>5635</v>
      </c>
      <c r="Q681" s="25" t="s">
        <v>3852</v>
      </c>
      <c r="R681" s="25" t="s">
        <v>2516</v>
      </c>
      <c r="S681" s="25" t="s">
        <v>25</v>
      </c>
      <c r="T681" s="25">
        <v>1</v>
      </c>
      <c r="U681" s="25" t="s">
        <v>2517</v>
      </c>
      <c r="V681" s="25" t="s">
        <v>5636</v>
      </c>
      <c r="W681" s="25" t="s">
        <v>5637</v>
      </c>
      <c r="X681" s="59">
        <v>45817.484027777777</v>
      </c>
      <c r="Y681" s="25" t="s">
        <v>5638</v>
      </c>
      <c r="Z681" s="25">
        <v>0.5</v>
      </c>
      <c r="AA681" s="25"/>
      <c r="AB681" s="25" t="s">
        <v>2521</v>
      </c>
      <c r="AC681" s="27" t="s">
        <v>5639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5640</v>
      </c>
      <c r="E682" s="25" t="s">
        <v>2504</v>
      </c>
      <c r="F682" s="25">
        <v>3785</v>
      </c>
      <c r="G682" s="25" t="s">
        <v>3413</v>
      </c>
      <c r="H682" s="25" t="s">
        <v>2659</v>
      </c>
      <c r="I682" s="25" t="s">
        <v>5641</v>
      </c>
      <c r="J682" s="25" t="s">
        <v>2567</v>
      </c>
      <c r="K682" s="25" t="s">
        <v>2510</v>
      </c>
      <c r="L682" s="25" t="s">
        <v>2525</v>
      </c>
      <c r="M682" s="26" t="s">
        <v>2526</v>
      </c>
      <c r="N682" s="25">
        <v>5804</v>
      </c>
      <c r="O682" s="26" t="s">
        <v>2582</v>
      </c>
      <c r="P682" s="27" t="s">
        <v>5642</v>
      </c>
      <c r="Q682" s="25" t="s">
        <v>3414</v>
      </c>
      <c r="R682" s="25" t="s">
        <v>2516</v>
      </c>
      <c r="S682" s="25" t="s">
        <v>185</v>
      </c>
      <c r="T682" s="25">
        <v>1</v>
      </c>
      <c r="U682" s="25" t="s">
        <v>2517</v>
      </c>
      <c r="V682" s="25" t="s">
        <v>5643</v>
      </c>
      <c r="W682" s="25" t="s">
        <v>5644</v>
      </c>
      <c r="X682" s="59">
        <v>45817.458333333343</v>
      </c>
      <c r="Y682" s="25" t="s">
        <v>5645</v>
      </c>
      <c r="Z682" s="25">
        <v>1</v>
      </c>
      <c r="AA682" s="25"/>
      <c r="AB682" s="25" t="s">
        <v>2521</v>
      </c>
      <c r="AC682" s="27" t="s">
        <v>5646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5647</v>
      </c>
      <c r="E683" s="25" t="s">
        <v>2504</v>
      </c>
      <c r="F683" s="25">
        <v>2222</v>
      </c>
      <c r="G683" s="25" t="s">
        <v>3827</v>
      </c>
      <c r="H683" s="25" t="s">
        <v>2507</v>
      </c>
      <c r="I683" s="25" t="s">
        <v>5648</v>
      </c>
      <c r="J683" s="25" t="s">
        <v>2930</v>
      </c>
      <c r="K683" s="25" t="s">
        <v>2765</v>
      </c>
      <c r="L683" s="25" t="s">
        <v>2611</v>
      </c>
      <c r="M683" s="26" t="s">
        <v>2612</v>
      </c>
      <c r="N683" s="25" t="s">
        <v>2972</v>
      </c>
      <c r="O683" s="26" t="s">
        <v>2973</v>
      </c>
      <c r="P683" s="27" t="s">
        <v>5649</v>
      </c>
      <c r="Q683" s="25" t="s">
        <v>3828</v>
      </c>
      <c r="R683" s="25" t="s">
        <v>2516</v>
      </c>
      <c r="S683" s="25" t="s">
        <v>25</v>
      </c>
      <c r="T683" s="25">
        <v>1</v>
      </c>
      <c r="U683" s="25" t="s">
        <v>2517</v>
      </c>
      <c r="V683" s="25" t="s">
        <v>5650</v>
      </c>
      <c r="W683" s="25" t="s">
        <v>5651</v>
      </c>
      <c r="X683" s="59">
        <v>45817.539583333331</v>
      </c>
      <c r="Y683" s="25" t="s">
        <v>5652</v>
      </c>
      <c r="Z683" s="25">
        <v>1</v>
      </c>
      <c r="AA683" s="25"/>
      <c r="AB683" s="25" t="s">
        <v>2521</v>
      </c>
      <c r="AC683" s="27" t="s">
        <v>5653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5654</v>
      </c>
      <c r="E684" s="25" t="s">
        <v>2504</v>
      </c>
      <c r="F684" s="25">
        <v>3627</v>
      </c>
      <c r="G684" s="25" t="s">
        <v>2774</v>
      </c>
      <c r="H684" s="25" t="s">
        <v>2507</v>
      </c>
      <c r="I684" s="25" t="s">
        <v>5655</v>
      </c>
      <c r="J684" s="25" t="s">
        <v>2930</v>
      </c>
      <c r="K684" s="25" t="s">
        <v>2568</v>
      </c>
      <c r="L684" s="25" t="s">
        <v>2525</v>
      </c>
      <c r="M684" s="26" t="s">
        <v>2526</v>
      </c>
      <c r="N684" s="25">
        <v>5804</v>
      </c>
      <c r="O684" s="26" t="s">
        <v>2582</v>
      </c>
      <c r="P684" s="27" t="s">
        <v>5656</v>
      </c>
      <c r="Q684" s="25" t="s">
        <v>2775</v>
      </c>
      <c r="R684" s="25" t="s">
        <v>2516</v>
      </c>
      <c r="S684" s="25" t="s">
        <v>25</v>
      </c>
      <c r="T684" s="25">
        <v>1</v>
      </c>
      <c r="U684" s="25" t="s">
        <v>2517</v>
      </c>
      <c r="V684" s="25" t="s">
        <v>5657</v>
      </c>
      <c r="W684" s="25" t="s">
        <v>5658</v>
      </c>
      <c r="X684" s="59">
        <v>45817.430555555547</v>
      </c>
      <c r="Y684" s="25" t="s">
        <v>5652</v>
      </c>
      <c r="Z684" s="25">
        <v>0.5</v>
      </c>
      <c r="AA684" s="25"/>
      <c r="AB684" s="25" t="s">
        <v>2521</v>
      </c>
      <c r="AC684" s="27" t="s">
        <v>5659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5660</v>
      </c>
      <c r="E685" s="25" t="s">
        <v>2504</v>
      </c>
      <c r="F685" s="25">
        <v>4762</v>
      </c>
      <c r="G685" s="25" t="s">
        <v>3775</v>
      </c>
      <c r="H685" s="25" t="s">
        <v>2659</v>
      </c>
      <c r="I685" s="25" t="s">
        <v>5661</v>
      </c>
      <c r="J685" s="25" t="s">
        <v>2661</v>
      </c>
      <c r="K685" s="25" t="s">
        <v>2568</v>
      </c>
      <c r="L685" s="25" t="s">
        <v>2525</v>
      </c>
      <c r="M685" s="26" t="s">
        <v>2526</v>
      </c>
      <c r="N685" s="25">
        <v>5804</v>
      </c>
      <c r="O685" s="26" t="s">
        <v>2582</v>
      </c>
      <c r="P685" s="27" t="s">
        <v>5662</v>
      </c>
      <c r="Q685" s="25" t="s">
        <v>3776</v>
      </c>
      <c r="R685" s="25" t="s">
        <v>2516</v>
      </c>
      <c r="S685" s="25" t="s">
        <v>185</v>
      </c>
      <c r="T685" s="25">
        <v>1</v>
      </c>
      <c r="U685" s="25" t="s">
        <v>2517</v>
      </c>
      <c r="V685" s="25" t="s">
        <v>5663</v>
      </c>
      <c r="W685" s="25" t="s">
        <v>5664</v>
      </c>
      <c r="X685" s="59">
        <v>45817.496527777781</v>
      </c>
      <c r="Y685" s="25" t="s">
        <v>5665</v>
      </c>
      <c r="Z685" s="25">
        <v>0.5</v>
      </c>
      <c r="AA685" s="25"/>
      <c r="AB685" s="25" t="s">
        <v>2521</v>
      </c>
      <c r="AC685" s="27" t="s">
        <v>5666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3413</v>
      </c>
      <c r="H686" s="25" t="s">
        <v>2659</v>
      </c>
      <c r="I686" s="25"/>
      <c r="J686" s="25"/>
      <c r="K686" s="25"/>
      <c r="L686" s="25"/>
      <c r="M686" s="26"/>
      <c r="N686" s="25"/>
      <c r="O686" s="26"/>
      <c r="P686" s="27"/>
      <c r="Q686" s="25" t="s">
        <v>3414</v>
      </c>
      <c r="R686" s="25" t="s">
        <v>2516</v>
      </c>
      <c r="S686" s="25" t="s">
        <v>185</v>
      </c>
      <c r="T686" s="25">
        <v>1</v>
      </c>
      <c r="U686" s="25" t="s">
        <v>2517</v>
      </c>
      <c r="V686" s="25" t="s">
        <v>5667</v>
      </c>
      <c r="W686" s="25" t="s">
        <v>5668</v>
      </c>
      <c r="X686" s="59">
        <v>45817.472222222219</v>
      </c>
      <c r="Y686" s="25"/>
      <c r="Z686" s="25">
        <v>0.3</v>
      </c>
      <c r="AA686" s="25"/>
      <c r="AB686" s="25" t="s">
        <v>2521</v>
      </c>
      <c r="AC686" s="27" t="s">
        <v>4565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3851</v>
      </c>
      <c r="H687" s="25" t="s">
        <v>2507</v>
      </c>
      <c r="I687" s="25"/>
      <c r="J687" s="25"/>
      <c r="K687" s="25"/>
      <c r="L687" s="25"/>
      <c r="M687" s="26"/>
      <c r="N687" s="25"/>
      <c r="O687" s="26"/>
      <c r="P687" s="27"/>
      <c r="Q687" s="25" t="s">
        <v>3852</v>
      </c>
      <c r="R687" s="25" t="s">
        <v>2516</v>
      </c>
      <c r="S687" s="25" t="s">
        <v>25</v>
      </c>
      <c r="T687" s="25">
        <v>1</v>
      </c>
      <c r="U687" s="25" t="s">
        <v>2517</v>
      </c>
      <c r="V687" s="25" t="s">
        <v>5669</v>
      </c>
      <c r="W687" s="25" t="s">
        <v>5668</v>
      </c>
      <c r="X687" s="59">
        <v>45817.487500000003</v>
      </c>
      <c r="Y687" s="25"/>
      <c r="Z687" s="25">
        <v>0.7</v>
      </c>
      <c r="AA687" s="25"/>
      <c r="AB687" s="25" t="s">
        <v>2521</v>
      </c>
      <c r="AC687" s="27" t="s">
        <v>4469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3827</v>
      </c>
      <c r="H688" s="25" t="s">
        <v>2507</v>
      </c>
      <c r="I688" s="25"/>
      <c r="J688" s="25"/>
      <c r="K688" s="25"/>
      <c r="L688" s="25"/>
      <c r="M688" s="26"/>
      <c r="N688" s="25"/>
      <c r="O688" s="26"/>
      <c r="P688" s="27"/>
      <c r="Q688" s="25" t="s">
        <v>3828</v>
      </c>
      <c r="R688" s="25" t="s">
        <v>2516</v>
      </c>
      <c r="S688" s="25" t="s">
        <v>25</v>
      </c>
      <c r="T688" s="25">
        <v>1</v>
      </c>
      <c r="U688" s="25" t="s">
        <v>2517</v>
      </c>
      <c r="V688" s="25" t="s">
        <v>5670</v>
      </c>
      <c r="W688" s="25" t="s">
        <v>5651</v>
      </c>
      <c r="X688" s="59">
        <v>45817.541666666657</v>
      </c>
      <c r="Y688" s="25"/>
      <c r="Z688" s="25">
        <v>1</v>
      </c>
      <c r="AA688" s="25"/>
      <c r="AB688" s="25" t="s">
        <v>2521</v>
      </c>
      <c r="AC688" s="27" t="s">
        <v>4501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3481</v>
      </c>
      <c r="H689" s="25" t="s">
        <v>2659</v>
      </c>
      <c r="I689" s="25"/>
      <c r="J689" s="25"/>
      <c r="K689" s="25"/>
      <c r="L689" s="25"/>
      <c r="M689" s="26"/>
      <c r="N689" s="25"/>
      <c r="O689" s="26"/>
      <c r="P689" s="27"/>
      <c r="Q689" s="25" t="s">
        <v>3486</v>
      </c>
      <c r="R689" s="25" t="s">
        <v>2516</v>
      </c>
      <c r="S689" s="25" t="s">
        <v>185</v>
      </c>
      <c r="T689" s="25">
        <v>1</v>
      </c>
      <c r="U689" s="25" t="s">
        <v>2517</v>
      </c>
      <c r="V689" s="25" t="s">
        <v>5671</v>
      </c>
      <c r="W689" s="25" t="s">
        <v>5672</v>
      </c>
      <c r="X689" s="59">
        <v>45817.572916666657</v>
      </c>
      <c r="Y689" s="25"/>
      <c r="Z689" s="25">
        <v>0.8</v>
      </c>
      <c r="AA689" s="25"/>
      <c r="AB689" s="25" t="s">
        <v>2521</v>
      </c>
      <c r="AC689" s="27" t="s">
        <v>4501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3281</v>
      </c>
      <c r="H690" s="25" t="s">
        <v>2659</v>
      </c>
      <c r="I690" s="25"/>
      <c r="J690" s="25"/>
      <c r="K690" s="25"/>
      <c r="L690" s="25"/>
      <c r="M690" s="26"/>
      <c r="N690" s="25"/>
      <c r="O690" s="26"/>
      <c r="P690" s="27"/>
      <c r="Q690" s="25" t="s">
        <v>3284</v>
      </c>
      <c r="R690" s="25" t="s">
        <v>2516</v>
      </c>
      <c r="S690" s="25" t="s">
        <v>185</v>
      </c>
      <c r="T690" s="25">
        <v>1</v>
      </c>
      <c r="U690" s="25" t="s">
        <v>2517</v>
      </c>
      <c r="V690" s="25" t="s">
        <v>5673</v>
      </c>
      <c r="W690" s="25" t="s">
        <v>5674</v>
      </c>
      <c r="X690" s="59">
        <v>45817.614583333343</v>
      </c>
      <c r="Y690" s="25"/>
      <c r="Z690" s="25">
        <v>0.8</v>
      </c>
      <c r="AA690" s="25"/>
      <c r="AB690" s="25" t="s">
        <v>2521</v>
      </c>
      <c r="AC690" s="27" t="s">
        <v>4501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3481</v>
      </c>
      <c r="H691" s="25" t="s">
        <v>2659</v>
      </c>
      <c r="I691" s="25"/>
      <c r="J691" s="25"/>
      <c r="K691" s="25"/>
      <c r="L691" s="25"/>
      <c r="M691" s="26"/>
      <c r="N691" s="25"/>
      <c r="O691" s="26"/>
      <c r="P691" s="27"/>
      <c r="Q691" s="25" t="s">
        <v>3486</v>
      </c>
      <c r="R691" s="25" t="s">
        <v>2516</v>
      </c>
      <c r="S691" s="25" t="s">
        <v>185</v>
      </c>
      <c r="T691" s="25">
        <v>1</v>
      </c>
      <c r="U691" s="25" t="s">
        <v>2517</v>
      </c>
      <c r="V691" s="25" t="s">
        <v>5675</v>
      </c>
      <c r="W691" s="25" t="s">
        <v>5676</v>
      </c>
      <c r="X691" s="59">
        <v>45817.618750000001</v>
      </c>
      <c r="Y691" s="25"/>
      <c r="Z691" s="25">
        <v>0.3</v>
      </c>
      <c r="AA691" s="25"/>
      <c r="AB691" s="25" t="s">
        <v>2521</v>
      </c>
      <c r="AC691" s="27" t="s">
        <v>5677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5678</v>
      </c>
      <c r="E692" s="25" t="s">
        <v>2504</v>
      </c>
      <c r="F692" s="25">
        <v>3890</v>
      </c>
      <c r="G692" s="25" t="s">
        <v>2548</v>
      </c>
      <c r="H692" s="25" t="s">
        <v>2507</v>
      </c>
      <c r="I692" s="25" t="s">
        <v>5679</v>
      </c>
      <c r="J692" s="25" t="s">
        <v>2930</v>
      </c>
      <c r="K692" s="25" t="s">
        <v>2510</v>
      </c>
      <c r="L692" s="25" t="s">
        <v>2511</v>
      </c>
      <c r="M692" s="26" t="s">
        <v>2512</v>
      </c>
      <c r="N692" s="25">
        <v>2307</v>
      </c>
      <c r="O692" s="26" t="s">
        <v>2678</v>
      </c>
      <c r="P692" s="27" t="s">
        <v>5680</v>
      </c>
      <c r="Q692" s="25" t="s">
        <v>2552</v>
      </c>
      <c r="R692" s="25" t="s">
        <v>2516</v>
      </c>
      <c r="S692" s="25" t="s">
        <v>25</v>
      </c>
      <c r="T692" s="25">
        <v>1</v>
      </c>
      <c r="U692" s="25" t="s">
        <v>2517</v>
      </c>
      <c r="V692" s="25" t="s">
        <v>5681</v>
      </c>
      <c r="W692" s="25" t="s">
        <v>5682</v>
      </c>
      <c r="X692" s="59">
        <v>45818.454861111109</v>
      </c>
      <c r="Y692" s="25" t="s">
        <v>5652</v>
      </c>
      <c r="Z692" s="25">
        <v>0.5</v>
      </c>
      <c r="AA692" s="25"/>
      <c r="AB692" s="25" t="s">
        <v>2521</v>
      </c>
      <c r="AC692" s="27" t="s">
        <v>5683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5684</v>
      </c>
      <c r="E693" s="25" t="s">
        <v>2504</v>
      </c>
      <c r="F693" s="25">
        <v>3840</v>
      </c>
      <c r="G693" s="25" t="s">
        <v>3851</v>
      </c>
      <c r="H693" s="25" t="s">
        <v>2507</v>
      </c>
      <c r="I693" s="25" t="s">
        <v>5685</v>
      </c>
      <c r="J693" s="25" t="s">
        <v>2661</v>
      </c>
      <c r="K693" s="25" t="s">
        <v>2510</v>
      </c>
      <c r="L693" s="25" t="s">
        <v>2945</v>
      </c>
      <c r="M693" s="26" t="s">
        <v>2946</v>
      </c>
      <c r="N693" s="25" t="s">
        <v>3782</v>
      </c>
      <c r="O693" s="26" t="s">
        <v>2582</v>
      </c>
      <c r="P693" s="27" t="s">
        <v>5686</v>
      </c>
      <c r="Q693" s="25" t="s">
        <v>3852</v>
      </c>
      <c r="R693" s="25" t="s">
        <v>2516</v>
      </c>
      <c r="S693" s="25" t="s">
        <v>25</v>
      </c>
      <c r="T693" s="25">
        <v>1</v>
      </c>
      <c r="U693" s="25" t="s">
        <v>2517</v>
      </c>
      <c r="V693" s="25" t="s">
        <v>5687</v>
      </c>
      <c r="W693" s="25" t="s">
        <v>5688</v>
      </c>
      <c r="X693" s="59">
        <v>45818.495833333327</v>
      </c>
      <c r="Y693" s="25" t="s">
        <v>5689</v>
      </c>
      <c r="Z693" s="25">
        <v>0.5</v>
      </c>
      <c r="AA693" s="25"/>
      <c r="AB693" s="25" t="s">
        <v>2521</v>
      </c>
      <c r="AC693" s="27" t="s">
        <v>5690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5691</v>
      </c>
      <c r="E694" s="25" t="s">
        <v>2504</v>
      </c>
      <c r="F694" s="25">
        <v>2209</v>
      </c>
      <c r="G694" s="25" t="s">
        <v>2855</v>
      </c>
      <c r="H694" s="25" t="s">
        <v>2507</v>
      </c>
      <c r="I694" s="25" t="s">
        <v>5692</v>
      </c>
      <c r="J694" s="25" t="s">
        <v>2661</v>
      </c>
      <c r="K694" s="25" t="s">
        <v>2510</v>
      </c>
      <c r="L694" s="25" t="s">
        <v>2846</v>
      </c>
      <c r="M694" s="26" t="s">
        <v>2847</v>
      </c>
      <c r="N694" s="25">
        <v>2402</v>
      </c>
      <c r="O694" s="26" t="s">
        <v>3741</v>
      </c>
      <c r="P694" s="27" t="s">
        <v>5693</v>
      </c>
      <c r="Q694" s="25" t="s">
        <v>2856</v>
      </c>
      <c r="R694" s="25" t="s">
        <v>2516</v>
      </c>
      <c r="S694" s="25" t="s">
        <v>25</v>
      </c>
      <c r="T694" s="25">
        <v>1</v>
      </c>
      <c r="U694" s="25" t="s">
        <v>2517</v>
      </c>
      <c r="V694" s="25" t="s">
        <v>5694</v>
      </c>
      <c r="W694" s="25" t="s">
        <v>5695</v>
      </c>
      <c r="X694" s="59">
        <v>45818.534722222219</v>
      </c>
      <c r="Y694" s="25" t="s">
        <v>5696</v>
      </c>
      <c r="Z694" s="25">
        <v>0.5</v>
      </c>
      <c r="AA694" s="25"/>
      <c r="AB694" s="25" t="s">
        <v>2521</v>
      </c>
      <c r="AC694" s="27" t="s">
        <v>5430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5697</v>
      </c>
      <c r="H695" s="25" t="s">
        <v>2507</v>
      </c>
      <c r="I695" s="25"/>
      <c r="J695" s="25"/>
      <c r="K695" s="25"/>
      <c r="L695" s="25"/>
      <c r="M695" s="26"/>
      <c r="N695" s="25"/>
      <c r="O695" s="26"/>
      <c r="P695" s="27"/>
      <c r="Q695" s="25" t="s">
        <v>2856</v>
      </c>
      <c r="R695" s="25" t="s">
        <v>2516</v>
      </c>
      <c r="S695" s="25" t="s">
        <v>25</v>
      </c>
      <c r="T695" s="25">
        <v>1</v>
      </c>
      <c r="U695" s="25" t="s">
        <v>2517</v>
      </c>
      <c r="V695" s="25" t="s">
        <v>5698</v>
      </c>
      <c r="W695" s="25" t="s">
        <v>5699</v>
      </c>
      <c r="X695" s="59">
        <v>45818.540277777778</v>
      </c>
      <c r="Y695" s="25"/>
      <c r="Z695" s="25">
        <v>0.8</v>
      </c>
      <c r="AA695" s="25"/>
      <c r="AB695" s="25" t="s">
        <v>2521</v>
      </c>
      <c r="AC695" s="27" t="s">
        <v>4469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5700</v>
      </c>
      <c r="H696" s="25" t="s">
        <v>3148</v>
      </c>
      <c r="I696" s="25"/>
      <c r="J696" s="25"/>
      <c r="K696" s="25"/>
      <c r="L696" s="25"/>
      <c r="M696" s="26"/>
      <c r="N696" s="25"/>
      <c r="O696" s="26"/>
      <c r="P696" s="27"/>
      <c r="Q696" s="25" t="s">
        <v>5701</v>
      </c>
      <c r="R696" s="25" t="s">
        <v>2516</v>
      </c>
      <c r="S696" s="25" t="s">
        <v>185</v>
      </c>
      <c r="T696" s="25">
        <v>1</v>
      </c>
      <c r="U696" s="25" t="s">
        <v>2517</v>
      </c>
      <c r="V696" s="25" t="s">
        <v>5702</v>
      </c>
      <c r="W696" s="25" t="s">
        <v>5703</v>
      </c>
      <c r="X696" s="59">
        <v>45818.5625</v>
      </c>
      <c r="Y696" s="25"/>
      <c r="Z696" s="25">
        <v>3.5</v>
      </c>
      <c r="AA696" s="25"/>
      <c r="AB696" s="25" t="s">
        <v>2521</v>
      </c>
      <c r="AC696" s="27" t="s">
        <v>3948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4067</v>
      </c>
      <c r="H697" s="25" t="s">
        <v>3148</v>
      </c>
      <c r="I697" s="25"/>
      <c r="J697" s="25"/>
      <c r="K697" s="25"/>
      <c r="L697" s="25"/>
      <c r="M697" s="26"/>
      <c r="N697" s="25"/>
      <c r="O697" s="26"/>
      <c r="P697" s="27"/>
      <c r="Q697" s="25" t="s">
        <v>4068</v>
      </c>
      <c r="R697" s="25" t="s">
        <v>2516</v>
      </c>
      <c r="S697" s="25" t="s">
        <v>185</v>
      </c>
      <c r="T697" s="25">
        <v>1</v>
      </c>
      <c r="U697" s="25" t="s">
        <v>2517</v>
      </c>
      <c r="V697" s="25" t="s">
        <v>5704</v>
      </c>
      <c r="W697" s="25" t="s">
        <v>5705</v>
      </c>
      <c r="X697" s="59">
        <v>45819.444444444453</v>
      </c>
      <c r="Y697" s="25"/>
      <c r="Z697" s="25">
        <v>0.7</v>
      </c>
      <c r="AA697" s="25"/>
      <c r="AB697" s="25" t="s">
        <v>2521</v>
      </c>
      <c r="AC697" s="27" t="s">
        <v>4501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4087</v>
      </c>
      <c r="H698" s="25" t="s">
        <v>3148</v>
      </c>
      <c r="I698" s="25"/>
      <c r="J698" s="25"/>
      <c r="K698" s="25"/>
      <c r="L698" s="25"/>
      <c r="M698" s="26"/>
      <c r="N698" s="25"/>
      <c r="O698" s="26"/>
      <c r="P698" s="27"/>
      <c r="Q698" s="25" t="s">
        <v>4088</v>
      </c>
      <c r="R698" s="25" t="s">
        <v>2516</v>
      </c>
      <c r="S698" s="25" t="s">
        <v>185</v>
      </c>
      <c r="T698" s="25">
        <v>1</v>
      </c>
      <c r="U698" s="25" t="s">
        <v>2517</v>
      </c>
      <c r="V698" s="25" t="s">
        <v>5706</v>
      </c>
      <c r="W698" s="25" t="s">
        <v>5707</v>
      </c>
      <c r="X698" s="59">
        <v>45819.479166666657</v>
      </c>
      <c r="Y698" s="25"/>
      <c r="Z698" s="25">
        <v>0.7</v>
      </c>
      <c r="AA698" s="25"/>
      <c r="AB698" s="25" t="s">
        <v>2521</v>
      </c>
      <c r="AC698" s="27" t="s">
        <v>5313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3859</v>
      </c>
      <c r="H699" s="25" t="s">
        <v>2507</v>
      </c>
      <c r="I699" s="25"/>
      <c r="J699" s="25"/>
      <c r="K699" s="25"/>
      <c r="L699" s="25"/>
      <c r="M699" s="26"/>
      <c r="N699" s="25"/>
      <c r="O699" s="26"/>
      <c r="P699" s="27"/>
      <c r="Q699" s="25" t="s">
        <v>3860</v>
      </c>
      <c r="R699" s="25" t="s">
        <v>2516</v>
      </c>
      <c r="S699" s="25" t="s">
        <v>25</v>
      </c>
      <c r="T699" s="25">
        <v>1</v>
      </c>
      <c r="U699" s="25" t="s">
        <v>2517</v>
      </c>
      <c r="V699" s="25" t="s">
        <v>5708</v>
      </c>
      <c r="W699" s="25" t="s">
        <v>5709</v>
      </c>
      <c r="X699" s="59">
        <v>45819.5</v>
      </c>
      <c r="Y699" s="25"/>
      <c r="Z699" s="25">
        <v>1</v>
      </c>
      <c r="AA699" s="25"/>
      <c r="AB699" s="25" t="s">
        <v>2521</v>
      </c>
      <c r="AC699" s="27" t="s">
        <v>4501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4292</v>
      </c>
      <c r="G700" s="25" t="s">
        <v>4293</v>
      </c>
      <c r="H700" s="25" t="s">
        <v>2609</v>
      </c>
      <c r="I700" s="25"/>
      <c r="J700" s="25"/>
      <c r="K700" s="25"/>
      <c r="L700" s="25"/>
      <c r="M700" s="26"/>
      <c r="N700" s="25"/>
      <c r="O700" s="26"/>
      <c r="P700" s="27"/>
      <c r="Q700" s="25" t="s">
        <v>4294</v>
      </c>
      <c r="R700" s="25" t="s">
        <v>2516</v>
      </c>
      <c r="S700" s="25" t="s">
        <v>173</v>
      </c>
      <c r="T700" s="25">
        <v>1</v>
      </c>
      <c r="U700" s="25" t="s">
        <v>2517</v>
      </c>
      <c r="V700" s="25" t="s">
        <v>5710</v>
      </c>
      <c r="W700" s="25" t="s">
        <v>5711</v>
      </c>
      <c r="X700" s="59">
        <v>45819.526388888888</v>
      </c>
      <c r="Y700" s="25"/>
      <c r="Z700" s="25">
        <v>0.6</v>
      </c>
      <c r="AA700" s="25"/>
      <c r="AB700" s="25" t="s">
        <v>2521</v>
      </c>
      <c r="AC700" s="27" t="s">
        <v>4501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3780</v>
      </c>
      <c r="H701" s="25" t="s">
        <v>2507</v>
      </c>
      <c r="I701" s="25"/>
      <c r="J701" s="25"/>
      <c r="K701" s="25"/>
      <c r="L701" s="25"/>
      <c r="M701" s="26"/>
      <c r="N701" s="25"/>
      <c r="O701" s="26"/>
      <c r="P701" s="27"/>
      <c r="Q701" s="25" t="s">
        <v>3784</v>
      </c>
      <c r="R701" s="25" t="s">
        <v>2516</v>
      </c>
      <c r="S701" s="25" t="s">
        <v>25</v>
      </c>
      <c r="T701" s="25">
        <v>1</v>
      </c>
      <c r="U701" s="25" t="s">
        <v>2517</v>
      </c>
      <c r="V701" s="25" t="s">
        <v>5712</v>
      </c>
      <c r="W701" s="25" t="s">
        <v>5713</v>
      </c>
      <c r="X701" s="59">
        <v>45819.54791666667</v>
      </c>
      <c r="Y701" s="25"/>
      <c r="Z701" s="25">
        <v>1</v>
      </c>
      <c r="AA701" s="25"/>
      <c r="AB701" s="25" t="s">
        <v>2521</v>
      </c>
      <c r="AC701" s="27" t="s">
        <v>4501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4452</v>
      </c>
      <c r="H702" s="25" t="s">
        <v>2609</v>
      </c>
      <c r="I702" s="25"/>
      <c r="J702" s="25"/>
      <c r="K702" s="25"/>
      <c r="L702" s="25"/>
      <c r="M702" s="26"/>
      <c r="N702" s="25"/>
      <c r="O702" s="26"/>
      <c r="P702" s="27"/>
      <c r="Q702" s="25" t="s">
        <v>4453</v>
      </c>
      <c r="R702" s="25" t="s">
        <v>2516</v>
      </c>
      <c r="S702" s="25" t="s">
        <v>173</v>
      </c>
      <c r="T702" s="25">
        <v>1</v>
      </c>
      <c r="U702" s="25" t="s">
        <v>2517</v>
      </c>
      <c r="V702" s="25" t="s">
        <v>5714</v>
      </c>
      <c r="W702" s="25" t="s">
        <v>5715</v>
      </c>
      <c r="X702" s="59">
        <v>45819.552083333343</v>
      </c>
      <c r="Y702" s="25"/>
      <c r="Z702" s="25">
        <v>0.3</v>
      </c>
      <c r="AA702" s="25"/>
      <c r="AB702" s="25" t="s">
        <v>2521</v>
      </c>
      <c r="AC702" s="27" t="s">
        <v>4565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3842</v>
      </c>
      <c r="H703" s="25" t="s">
        <v>2507</v>
      </c>
      <c r="I703" s="25"/>
      <c r="J703" s="25"/>
      <c r="K703" s="25"/>
      <c r="L703" s="25"/>
      <c r="M703" s="26"/>
      <c r="N703" s="25"/>
      <c r="O703" s="26"/>
      <c r="P703" s="27"/>
      <c r="Q703" s="25" t="s">
        <v>3845</v>
      </c>
      <c r="R703" s="25" t="s">
        <v>2516</v>
      </c>
      <c r="S703" s="25" t="s">
        <v>25</v>
      </c>
      <c r="T703" s="25">
        <v>1</v>
      </c>
      <c r="U703" s="25" t="s">
        <v>2517</v>
      </c>
      <c r="V703" s="25" t="s">
        <v>5716</v>
      </c>
      <c r="W703" s="25" t="s">
        <v>5717</v>
      </c>
      <c r="X703" s="59">
        <v>45819.673611111109</v>
      </c>
      <c r="Y703" s="25"/>
      <c r="Z703" s="25">
        <v>0.8</v>
      </c>
      <c r="AA703" s="25"/>
      <c r="AB703" s="25" t="s">
        <v>2521</v>
      </c>
      <c r="AC703" s="27" t="s">
        <v>4501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5718</v>
      </c>
      <c r="E704" s="25" t="s">
        <v>2504</v>
      </c>
      <c r="F704" s="25">
        <v>4923</v>
      </c>
      <c r="G704" s="25" t="s">
        <v>3656</v>
      </c>
      <c r="H704" s="25" t="s">
        <v>2641</v>
      </c>
      <c r="I704" s="25" t="s">
        <v>5719</v>
      </c>
      <c r="J704" s="25" t="s">
        <v>2835</v>
      </c>
      <c r="K704" s="25" t="s">
        <v>2568</v>
      </c>
      <c r="L704" s="25" t="s">
        <v>2611</v>
      </c>
      <c r="M704" s="26" t="s">
        <v>2612</v>
      </c>
      <c r="N704" s="25" t="s">
        <v>5720</v>
      </c>
      <c r="O704" s="26" t="s">
        <v>5721</v>
      </c>
      <c r="P704" s="27" t="s">
        <v>5722</v>
      </c>
      <c r="Q704" s="25" t="s">
        <v>3659</v>
      </c>
      <c r="R704" s="25" t="s">
        <v>2516</v>
      </c>
      <c r="S704" s="25" t="s">
        <v>25</v>
      </c>
      <c r="T704" s="25">
        <v>1</v>
      </c>
      <c r="U704" s="25" t="s">
        <v>2517</v>
      </c>
      <c r="V704" s="25" t="s">
        <v>5723</v>
      </c>
      <c r="W704" s="25" t="s">
        <v>5724</v>
      </c>
      <c r="X704" s="59">
        <v>45821.476388888892</v>
      </c>
      <c r="Y704" s="25" t="s">
        <v>5725</v>
      </c>
      <c r="Z704" s="25">
        <v>0.9</v>
      </c>
      <c r="AA704" s="25"/>
      <c r="AB704" s="25" t="s">
        <v>2521</v>
      </c>
      <c r="AC704" s="27" t="s">
        <v>5726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3684</v>
      </c>
      <c r="G705" s="25" t="s">
        <v>3685</v>
      </c>
      <c r="H705" s="25" t="s">
        <v>2507</v>
      </c>
      <c r="I705" s="25"/>
      <c r="J705" s="25"/>
      <c r="K705" s="25"/>
      <c r="L705" s="25"/>
      <c r="M705" s="26"/>
      <c r="N705" s="25"/>
      <c r="O705" s="26"/>
      <c r="P705" s="27"/>
      <c r="Q705" s="25" t="s">
        <v>3686</v>
      </c>
      <c r="R705" s="25" t="s">
        <v>2516</v>
      </c>
      <c r="S705" s="25" t="s">
        <v>25</v>
      </c>
      <c r="T705" s="25">
        <v>1</v>
      </c>
      <c r="U705" s="25" t="s">
        <v>2517</v>
      </c>
      <c r="V705" s="25" t="s">
        <v>5727</v>
      </c>
      <c r="W705" s="25" t="s">
        <v>5728</v>
      </c>
      <c r="X705" s="59">
        <v>45820.491666666669</v>
      </c>
      <c r="Y705" s="25"/>
      <c r="Z705" s="25">
        <v>1</v>
      </c>
      <c r="AA705" s="25"/>
      <c r="AB705" s="25" t="s">
        <v>2521</v>
      </c>
      <c r="AC705" s="27" t="s">
        <v>4501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5700</v>
      </c>
      <c r="H706" s="25" t="s">
        <v>3148</v>
      </c>
      <c r="I706" s="25"/>
      <c r="J706" s="25"/>
      <c r="K706" s="25"/>
      <c r="L706" s="25"/>
      <c r="M706" s="26"/>
      <c r="N706" s="25"/>
      <c r="O706" s="26"/>
      <c r="P706" s="27"/>
      <c r="Q706" s="25" t="s">
        <v>5701</v>
      </c>
      <c r="R706" s="25" t="s">
        <v>2516</v>
      </c>
      <c r="S706" s="25" t="s">
        <v>185</v>
      </c>
      <c r="T706" s="25">
        <v>1</v>
      </c>
      <c r="U706" s="25" t="s">
        <v>2517</v>
      </c>
      <c r="V706" s="25" t="s">
        <v>5729</v>
      </c>
      <c r="W706" s="25" t="s">
        <v>5730</v>
      </c>
      <c r="X706" s="59">
        <v>45820.493055555547</v>
      </c>
      <c r="Y706" s="25"/>
      <c r="Z706" s="25">
        <v>0.3</v>
      </c>
      <c r="AA706" s="25"/>
      <c r="AB706" s="25" t="s">
        <v>2521</v>
      </c>
      <c r="AC706" s="27" t="s">
        <v>5731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3000</v>
      </c>
      <c r="H707" s="25" t="s">
        <v>2996</v>
      </c>
      <c r="I707" s="25"/>
      <c r="J707" s="25"/>
      <c r="K707" s="25"/>
      <c r="L707" s="25"/>
      <c r="M707" s="26"/>
      <c r="N707" s="25"/>
      <c r="O707" s="26"/>
      <c r="P707" s="27"/>
      <c r="Q707" s="25" t="s">
        <v>3001</v>
      </c>
      <c r="R707" s="25" t="s">
        <v>2516</v>
      </c>
      <c r="S707" s="25" t="s">
        <v>185</v>
      </c>
      <c r="T707" s="25">
        <v>1</v>
      </c>
      <c r="U707" s="25" t="s">
        <v>2517</v>
      </c>
      <c r="V707" s="25" t="s">
        <v>5732</v>
      </c>
      <c r="W707" s="25" t="s">
        <v>5733</v>
      </c>
      <c r="X707" s="59">
        <v>45820.631944444453</v>
      </c>
      <c r="Y707" s="25"/>
      <c r="Z707" s="25">
        <v>0.5</v>
      </c>
      <c r="AA707" s="25"/>
      <c r="AB707" s="25" t="s">
        <v>2521</v>
      </c>
      <c r="AC707" s="27" t="s">
        <v>5313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5734</v>
      </c>
      <c r="E708" s="25" t="s">
        <v>2504</v>
      </c>
      <c r="F708" s="25" t="s">
        <v>3950</v>
      </c>
      <c r="G708" s="25" t="s">
        <v>3951</v>
      </c>
      <c r="H708" s="25" t="s">
        <v>2609</v>
      </c>
      <c r="I708" s="25" t="s">
        <v>5735</v>
      </c>
      <c r="J708" s="25" t="s">
        <v>2835</v>
      </c>
      <c r="K708" s="25" t="s">
        <v>2510</v>
      </c>
      <c r="L708" s="25" t="s">
        <v>2511</v>
      </c>
      <c r="M708" s="26" t="s">
        <v>2512</v>
      </c>
      <c r="N708" s="25">
        <v>2305</v>
      </c>
      <c r="O708" s="26" t="s">
        <v>3035</v>
      </c>
      <c r="P708" s="27" t="s">
        <v>5736</v>
      </c>
      <c r="Q708" s="25" t="s">
        <v>3955</v>
      </c>
      <c r="R708" s="25" t="s">
        <v>2516</v>
      </c>
      <c r="S708" s="25" t="s">
        <v>173</v>
      </c>
      <c r="T708" s="25">
        <v>1</v>
      </c>
      <c r="U708" s="25" t="s">
        <v>2517</v>
      </c>
      <c r="V708" s="25" t="s">
        <v>5737</v>
      </c>
      <c r="W708" s="25" t="s">
        <v>5738</v>
      </c>
      <c r="X708" s="59">
        <v>45821.600694444453</v>
      </c>
      <c r="Y708" s="25" t="s">
        <v>5739</v>
      </c>
      <c r="Z708" s="25">
        <v>0.5</v>
      </c>
      <c r="AA708" s="25"/>
      <c r="AB708" s="25" t="s">
        <v>2521</v>
      </c>
      <c r="AC708" s="27" t="s">
        <v>5740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2995</v>
      </c>
      <c r="H709" s="25" t="s">
        <v>2996</v>
      </c>
      <c r="I709" s="25"/>
      <c r="J709" s="25"/>
      <c r="K709" s="25"/>
      <c r="L709" s="25"/>
      <c r="M709" s="26"/>
      <c r="N709" s="25"/>
      <c r="O709" s="26"/>
      <c r="P709" s="27"/>
      <c r="Q709" s="25" t="s">
        <v>2997</v>
      </c>
      <c r="R709" s="25" t="s">
        <v>2516</v>
      </c>
      <c r="S709" s="25" t="s">
        <v>185</v>
      </c>
      <c r="T709" s="25">
        <v>1</v>
      </c>
      <c r="U709" s="25" t="s">
        <v>2517</v>
      </c>
      <c r="V709" s="25" t="s">
        <v>5741</v>
      </c>
      <c r="W709" s="25" t="s">
        <v>5742</v>
      </c>
      <c r="X709" s="59">
        <v>45820.663194444453</v>
      </c>
      <c r="Y709" s="25"/>
      <c r="Z709" s="25">
        <v>0.6</v>
      </c>
      <c r="AA709" s="25"/>
      <c r="AB709" s="25" t="s">
        <v>2521</v>
      </c>
      <c r="AC709" s="27" t="s">
        <v>5313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5743</v>
      </c>
      <c r="E710" s="25" t="s">
        <v>2504</v>
      </c>
      <c r="F710" s="25">
        <v>3623</v>
      </c>
      <c r="G710" s="25" t="s">
        <v>3597</v>
      </c>
      <c r="H710" s="25" t="s">
        <v>2507</v>
      </c>
      <c r="I710" s="25" t="s">
        <v>5744</v>
      </c>
      <c r="J710" s="25" t="s">
        <v>2835</v>
      </c>
      <c r="K710" s="25" t="s">
        <v>2510</v>
      </c>
      <c r="L710" s="25" t="s">
        <v>2525</v>
      </c>
      <c r="M710" s="26" t="s">
        <v>2526</v>
      </c>
      <c r="N710" s="25">
        <v>5802</v>
      </c>
      <c r="O710" s="26" t="s">
        <v>5297</v>
      </c>
      <c r="P710" s="27" t="s">
        <v>5745</v>
      </c>
      <c r="Q710" s="25" t="s">
        <v>3598</v>
      </c>
      <c r="R710" s="25" t="s">
        <v>2516</v>
      </c>
      <c r="S710" s="25" t="s">
        <v>25</v>
      </c>
      <c r="T710" s="25">
        <v>1</v>
      </c>
      <c r="U710" s="25" t="s">
        <v>2517</v>
      </c>
      <c r="V710" s="25" t="s">
        <v>5746</v>
      </c>
      <c r="W710" s="25" t="s">
        <v>5747</v>
      </c>
      <c r="X710" s="59">
        <v>45820.703472222223</v>
      </c>
      <c r="Y710" s="25" t="s">
        <v>5748</v>
      </c>
      <c r="Z710" s="25">
        <v>0.5</v>
      </c>
      <c r="AA710" s="25"/>
      <c r="AB710" s="25" t="s">
        <v>2521</v>
      </c>
      <c r="AC710" s="27" t="s">
        <v>5749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4483</v>
      </c>
      <c r="H711" s="25" t="s">
        <v>2996</v>
      </c>
      <c r="I711" s="25"/>
      <c r="J711" s="25"/>
      <c r="K711" s="25"/>
      <c r="L711" s="25"/>
      <c r="M711" s="26"/>
      <c r="N711" s="25"/>
      <c r="O711" s="26"/>
      <c r="P711" s="27"/>
      <c r="Q711" s="25" t="s">
        <v>4484</v>
      </c>
      <c r="R711" s="25" t="s">
        <v>2516</v>
      </c>
      <c r="S711" s="25" t="s">
        <v>185</v>
      </c>
      <c r="T711" s="25">
        <v>1</v>
      </c>
      <c r="U711" s="25" t="s">
        <v>2517</v>
      </c>
      <c r="V711" s="25" t="s">
        <v>5750</v>
      </c>
      <c r="W711" s="25" t="s">
        <v>5751</v>
      </c>
      <c r="X711" s="59">
        <v>45820.6875</v>
      </c>
      <c r="Y711" s="25"/>
      <c r="Z711" s="25">
        <v>0.5</v>
      </c>
      <c r="AA711" s="25"/>
      <c r="AB711" s="25" t="s">
        <v>2521</v>
      </c>
      <c r="AC711" s="27" t="s">
        <v>4501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3656</v>
      </c>
      <c r="H712" s="25" t="s">
        <v>2641</v>
      </c>
      <c r="I712" s="25"/>
      <c r="J712" s="25"/>
      <c r="K712" s="25"/>
      <c r="L712" s="25"/>
      <c r="M712" s="26"/>
      <c r="N712" s="25"/>
      <c r="O712" s="26"/>
      <c r="P712" s="27"/>
      <c r="Q712" s="25" t="s">
        <v>3659</v>
      </c>
      <c r="R712" s="25" t="s">
        <v>2516</v>
      </c>
      <c r="S712" s="25" t="s">
        <v>25</v>
      </c>
      <c r="T712" s="25">
        <v>1</v>
      </c>
      <c r="U712" s="25" t="s">
        <v>2517</v>
      </c>
      <c r="V712" s="25" t="s">
        <v>5752</v>
      </c>
      <c r="W712" s="25" t="s">
        <v>5724</v>
      </c>
      <c r="X712" s="59">
        <v>45821.478472222218</v>
      </c>
      <c r="Y712" s="25"/>
      <c r="Z712" s="25">
        <v>1</v>
      </c>
      <c r="AA712" s="25"/>
      <c r="AB712" s="25" t="s">
        <v>2521</v>
      </c>
      <c r="AC712" s="27" t="s">
        <v>4469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3394</v>
      </c>
      <c r="H713" s="25" t="s">
        <v>2659</v>
      </c>
      <c r="I713" s="25"/>
      <c r="J713" s="25"/>
      <c r="K713" s="25"/>
      <c r="L713" s="25"/>
      <c r="M713" s="26"/>
      <c r="N713" s="25"/>
      <c r="O713" s="26"/>
      <c r="P713" s="27"/>
      <c r="Q713" s="25" t="s">
        <v>3395</v>
      </c>
      <c r="R713" s="25" t="s">
        <v>2516</v>
      </c>
      <c r="S713" s="25" t="s">
        <v>185</v>
      </c>
      <c r="T713" s="25">
        <v>1</v>
      </c>
      <c r="U713" s="25" t="s">
        <v>2517</v>
      </c>
      <c r="V713" s="25" t="s">
        <v>5753</v>
      </c>
      <c r="W713" s="25" t="s">
        <v>5754</v>
      </c>
      <c r="X713" s="59">
        <v>45821.583333333343</v>
      </c>
      <c r="Y713" s="25"/>
      <c r="Z713" s="25">
        <v>1</v>
      </c>
      <c r="AA713" s="25"/>
      <c r="AB713" s="25" t="s">
        <v>2521</v>
      </c>
      <c r="AC713" s="27" t="s">
        <v>5313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3409</v>
      </c>
      <c r="H714" s="25" t="s">
        <v>2659</v>
      </c>
      <c r="I714" s="25"/>
      <c r="J714" s="25"/>
      <c r="K714" s="25"/>
      <c r="L714" s="25"/>
      <c r="M714" s="26"/>
      <c r="N714" s="25"/>
      <c r="O714" s="26"/>
      <c r="P714" s="27"/>
      <c r="Q714" s="25" t="s">
        <v>3410</v>
      </c>
      <c r="R714" s="25" t="s">
        <v>2516</v>
      </c>
      <c r="S714" s="25" t="s">
        <v>185</v>
      </c>
      <c r="T714" s="25">
        <v>1</v>
      </c>
      <c r="U714" s="25" t="s">
        <v>2517</v>
      </c>
      <c r="V714" s="25" t="s">
        <v>5755</v>
      </c>
      <c r="W714" s="25" t="s">
        <v>5756</v>
      </c>
      <c r="X714" s="59">
        <v>45821.611111111109</v>
      </c>
      <c r="Y714" s="25"/>
      <c r="Z714" s="25">
        <v>0.5</v>
      </c>
      <c r="AA714" s="25"/>
      <c r="AB714" s="25" t="s">
        <v>2521</v>
      </c>
      <c r="AC714" s="27" t="s">
        <v>5313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4404</v>
      </c>
      <c r="G715" s="25" t="s">
        <v>4405</v>
      </c>
      <c r="H715" s="25" t="s">
        <v>2609</v>
      </c>
      <c r="I715" s="25"/>
      <c r="J715" s="25"/>
      <c r="K715" s="25"/>
      <c r="L715" s="25"/>
      <c r="M715" s="26"/>
      <c r="N715" s="25"/>
      <c r="O715" s="26"/>
      <c r="P715" s="27"/>
      <c r="Q715" s="25" t="s">
        <v>4406</v>
      </c>
      <c r="R715" s="25" t="s">
        <v>2516</v>
      </c>
      <c r="S715" s="25" t="s">
        <v>173</v>
      </c>
      <c r="T715" s="25">
        <v>1</v>
      </c>
      <c r="U715" s="25" t="s">
        <v>2517</v>
      </c>
      <c r="V715" s="25" t="s">
        <v>5757</v>
      </c>
      <c r="W715" s="25" t="s">
        <v>5758</v>
      </c>
      <c r="X715" s="59">
        <v>45821.628472222219</v>
      </c>
      <c r="Y715" s="25"/>
      <c r="Z715" s="25">
        <v>0.5</v>
      </c>
      <c r="AA715" s="25"/>
      <c r="AB715" s="25" t="s">
        <v>2521</v>
      </c>
      <c r="AC715" s="27" t="s">
        <v>4501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3108</v>
      </c>
      <c r="H716" s="25" t="s">
        <v>2609</v>
      </c>
      <c r="I716" s="25"/>
      <c r="J716" s="25"/>
      <c r="K716" s="25"/>
      <c r="L716" s="25"/>
      <c r="M716" s="26"/>
      <c r="N716" s="25"/>
      <c r="O716" s="26"/>
      <c r="P716" s="27"/>
      <c r="Q716" s="25" t="s">
        <v>3113</v>
      </c>
      <c r="R716" s="25" t="s">
        <v>2516</v>
      </c>
      <c r="S716" s="25" t="s">
        <v>173</v>
      </c>
      <c r="T716" s="25">
        <v>1</v>
      </c>
      <c r="U716" s="25" t="s">
        <v>2517</v>
      </c>
      <c r="V716" s="25" t="s">
        <v>5759</v>
      </c>
      <c r="W716" s="25" t="s">
        <v>5760</v>
      </c>
      <c r="X716" s="59">
        <v>45821.65625</v>
      </c>
      <c r="Y716" s="25"/>
      <c r="Z716" s="25">
        <v>0.4</v>
      </c>
      <c r="AA716" s="25"/>
      <c r="AB716" s="25" t="s">
        <v>2521</v>
      </c>
      <c r="AC716" s="27" t="s">
        <v>4565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5761</v>
      </c>
      <c r="E717" s="25" t="s">
        <v>2504</v>
      </c>
      <c r="F717" s="25">
        <v>4093</v>
      </c>
      <c r="G717" s="25" t="s">
        <v>3797</v>
      </c>
      <c r="H717" s="25" t="s">
        <v>1604</v>
      </c>
      <c r="I717" s="25" t="s">
        <v>5762</v>
      </c>
      <c r="J717" s="25" t="s">
        <v>2643</v>
      </c>
      <c r="K717" s="25" t="s">
        <v>2568</v>
      </c>
      <c r="L717" s="25" t="s">
        <v>2611</v>
      </c>
      <c r="M717" s="26" t="s">
        <v>2612</v>
      </c>
      <c r="N717" s="25" t="s">
        <v>3526</v>
      </c>
      <c r="O717" s="26" t="s">
        <v>3152</v>
      </c>
      <c r="P717" s="27" t="s">
        <v>5763</v>
      </c>
      <c r="Q717" s="25" t="s">
        <v>3800</v>
      </c>
      <c r="R717" s="25" t="s">
        <v>2516</v>
      </c>
      <c r="S717" s="25" t="s">
        <v>25</v>
      </c>
      <c r="T717" s="25">
        <v>1</v>
      </c>
      <c r="U717" s="25" t="s">
        <v>2517</v>
      </c>
      <c r="V717" s="25" t="s">
        <v>5764</v>
      </c>
      <c r="W717" s="25" t="s">
        <v>5765</v>
      </c>
      <c r="X717" s="59">
        <v>45824.527777777781</v>
      </c>
      <c r="Y717" s="25" t="s">
        <v>5766</v>
      </c>
      <c r="Z717" s="25">
        <v>0.5</v>
      </c>
      <c r="AA717" s="25"/>
      <c r="AB717" s="25" t="s">
        <v>2521</v>
      </c>
      <c r="AC717" s="27" t="s">
        <v>5767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5768</v>
      </c>
      <c r="E718" s="25" t="s">
        <v>2504</v>
      </c>
      <c r="F718" s="25">
        <v>5074</v>
      </c>
      <c r="G718" s="25" t="s">
        <v>3051</v>
      </c>
      <c r="H718" s="25" t="s">
        <v>2987</v>
      </c>
      <c r="I718" s="25" t="s">
        <v>5769</v>
      </c>
      <c r="J718" s="25" t="s">
        <v>2643</v>
      </c>
      <c r="K718" s="25" t="s">
        <v>2510</v>
      </c>
      <c r="L718" s="25" t="s">
        <v>2537</v>
      </c>
      <c r="M718" s="26" t="s">
        <v>2538</v>
      </c>
      <c r="N718" s="25" t="s">
        <v>2539</v>
      </c>
      <c r="O718" s="26" t="s">
        <v>2540</v>
      </c>
      <c r="P718" s="27" t="s">
        <v>5770</v>
      </c>
      <c r="Q718" s="25" t="s">
        <v>3052</v>
      </c>
      <c r="R718" s="25" t="s">
        <v>2516</v>
      </c>
      <c r="S718" s="25" t="s">
        <v>25</v>
      </c>
      <c r="T718" s="25">
        <v>1</v>
      </c>
      <c r="U718" s="25" t="s">
        <v>2517</v>
      </c>
      <c r="V718" s="25" t="s">
        <v>5771</v>
      </c>
      <c r="W718" s="25" t="s">
        <v>5772</v>
      </c>
      <c r="X718" s="59">
        <v>45824.458333333343</v>
      </c>
      <c r="Y718" s="25" t="s">
        <v>5766</v>
      </c>
      <c r="Z718" s="25">
        <v>0.5</v>
      </c>
      <c r="AA718" s="25"/>
      <c r="AB718" s="25" t="s">
        <v>2521</v>
      </c>
      <c r="AC718" s="27" t="s">
        <v>5773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5774</v>
      </c>
      <c r="E719" s="25" t="s">
        <v>2504</v>
      </c>
      <c r="F719" s="25">
        <v>4680</v>
      </c>
      <c r="G719" s="25" t="s">
        <v>2608</v>
      </c>
      <c r="H719" s="25" t="s">
        <v>2609</v>
      </c>
      <c r="I719" s="25" t="s">
        <v>5775</v>
      </c>
      <c r="J719" s="25" t="s">
        <v>2661</v>
      </c>
      <c r="K719" s="25" t="s">
        <v>2568</v>
      </c>
      <c r="L719" s="25" t="s">
        <v>2511</v>
      </c>
      <c r="M719" s="26" t="s">
        <v>2512</v>
      </c>
      <c r="N719" s="25">
        <v>2305</v>
      </c>
      <c r="O719" s="26" t="s">
        <v>3035</v>
      </c>
      <c r="P719" s="27" t="s">
        <v>5776</v>
      </c>
      <c r="Q719" s="25" t="s">
        <v>2616</v>
      </c>
      <c r="R719" s="25" t="s">
        <v>2516</v>
      </c>
      <c r="S719" s="25" t="s">
        <v>173</v>
      </c>
      <c r="T719" s="25">
        <v>1</v>
      </c>
      <c r="U719" s="25" t="s">
        <v>2517</v>
      </c>
      <c r="V719" s="25" t="s">
        <v>5777</v>
      </c>
      <c r="W719" s="25" t="s">
        <v>5778</v>
      </c>
      <c r="X719" s="59">
        <v>45824.659722222219</v>
      </c>
      <c r="Y719" s="25" t="s">
        <v>5779</v>
      </c>
      <c r="Z719" s="25">
        <v>0.5</v>
      </c>
      <c r="AA719" s="25"/>
      <c r="AB719" s="25" t="s">
        <v>2521</v>
      </c>
      <c r="AC719" s="27" t="s">
        <v>5780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5781</v>
      </c>
      <c r="E720" s="25" t="s">
        <v>2504</v>
      </c>
      <c r="F720" s="25">
        <v>4680</v>
      </c>
      <c r="G720" s="25" t="s">
        <v>2608</v>
      </c>
      <c r="H720" s="25" t="s">
        <v>2609</v>
      </c>
      <c r="I720" s="25" t="s">
        <v>5782</v>
      </c>
      <c r="J720" s="25" t="s">
        <v>2661</v>
      </c>
      <c r="K720" s="25" t="s">
        <v>2568</v>
      </c>
      <c r="L720" s="25" t="s">
        <v>2511</v>
      </c>
      <c r="M720" s="26" t="s">
        <v>2512</v>
      </c>
      <c r="N720" s="25">
        <v>2305</v>
      </c>
      <c r="O720" s="26" t="s">
        <v>3035</v>
      </c>
      <c r="P720" s="27" t="s">
        <v>5783</v>
      </c>
      <c r="Q720" s="25" t="s">
        <v>2616</v>
      </c>
      <c r="R720" s="25" t="s">
        <v>2516</v>
      </c>
      <c r="S720" s="25" t="s">
        <v>173</v>
      </c>
      <c r="T720" s="25">
        <v>1</v>
      </c>
      <c r="U720" s="25" t="s">
        <v>2517</v>
      </c>
      <c r="V720" s="25" t="s">
        <v>5784</v>
      </c>
      <c r="W720" s="25" t="s">
        <v>5778</v>
      </c>
      <c r="X720" s="59">
        <v>45824.659722222219</v>
      </c>
      <c r="Y720" s="25" t="s">
        <v>5785</v>
      </c>
      <c r="Z720" s="25">
        <v>0.5</v>
      </c>
      <c r="AA720" s="25"/>
      <c r="AB720" s="25" t="s">
        <v>2521</v>
      </c>
      <c r="AC720" s="27" t="s">
        <v>5786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4190</v>
      </c>
      <c r="H721" s="25" t="s">
        <v>2659</v>
      </c>
      <c r="I721" s="25"/>
      <c r="J721" s="25"/>
      <c r="K721" s="25"/>
      <c r="L721" s="25"/>
      <c r="M721" s="26"/>
      <c r="N721" s="25"/>
      <c r="O721" s="26"/>
      <c r="P721" s="27"/>
      <c r="Q721" s="25" t="s">
        <v>4191</v>
      </c>
      <c r="R721" s="25" t="s">
        <v>2516</v>
      </c>
      <c r="S721" s="25" t="s">
        <v>185</v>
      </c>
      <c r="T721" s="25">
        <v>1</v>
      </c>
      <c r="U721" s="25" t="s">
        <v>2517</v>
      </c>
      <c r="V721" s="25" t="s">
        <v>5787</v>
      </c>
      <c r="W721" s="25" t="s">
        <v>5788</v>
      </c>
      <c r="X721" s="59">
        <v>45824.572916666657</v>
      </c>
      <c r="Y721" s="25"/>
      <c r="Z721" s="25">
        <v>0.8</v>
      </c>
      <c r="AA721" s="25"/>
      <c r="AB721" s="25" t="s">
        <v>2521</v>
      </c>
      <c r="AC721" s="27" t="s">
        <v>5313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2692</v>
      </c>
      <c r="H722" s="25" t="s">
        <v>2659</v>
      </c>
      <c r="I722" s="25"/>
      <c r="J722" s="25"/>
      <c r="K722" s="25"/>
      <c r="L722" s="25"/>
      <c r="M722" s="26"/>
      <c r="N722" s="25"/>
      <c r="O722" s="26"/>
      <c r="P722" s="27"/>
      <c r="Q722" s="25" t="s">
        <v>2693</v>
      </c>
      <c r="R722" s="25" t="s">
        <v>2516</v>
      </c>
      <c r="S722" s="25" t="s">
        <v>185</v>
      </c>
      <c r="T722" s="25">
        <v>1</v>
      </c>
      <c r="U722" s="25" t="s">
        <v>2517</v>
      </c>
      <c r="V722" s="25" t="s">
        <v>5789</v>
      </c>
      <c r="W722" s="25" t="s">
        <v>5790</v>
      </c>
      <c r="X722" s="59">
        <v>45824.600694444453</v>
      </c>
      <c r="Y722" s="25"/>
      <c r="Z722" s="25">
        <v>0.5</v>
      </c>
      <c r="AA722" s="25"/>
      <c r="AB722" s="25" t="s">
        <v>2521</v>
      </c>
      <c r="AC722" s="27" t="s">
        <v>5313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3895</v>
      </c>
      <c r="G723" s="25" t="s">
        <v>3896</v>
      </c>
      <c r="H723" s="25" t="s">
        <v>2507</v>
      </c>
      <c r="I723" s="25"/>
      <c r="J723" s="25"/>
      <c r="K723" s="25"/>
      <c r="L723" s="25"/>
      <c r="M723" s="26"/>
      <c r="N723" s="25"/>
      <c r="O723" s="26"/>
      <c r="P723" s="27"/>
      <c r="Q723" s="25" t="s">
        <v>3897</v>
      </c>
      <c r="R723" s="25" t="s">
        <v>2516</v>
      </c>
      <c r="S723" s="25" t="s">
        <v>25</v>
      </c>
      <c r="T723" s="25">
        <v>1</v>
      </c>
      <c r="U723" s="25" t="s">
        <v>2517</v>
      </c>
      <c r="V723" s="25" t="s">
        <v>5791</v>
      </c>
      <c r="W723" s="25" t="s">
        <v>5792</v>
      </c>
      <c r="X723" s="59">
        <v>45824.602083333331</v>
      </c>
      <c r="Y723" s="25"/>
      <c r="Z723" s="25">
        <v>0.8</v>
      </c>
      <c r="AA723" s="25"/>
      <c r="AB723" s="25" t="s">
        <v>2521</v>
      </c>
      <c r="AC723" s="27" t="s">
        <v>4501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3831</v>
      </c>
      <c r="H724" s="25" t="s">
        <v>2507</v>
      </c>
      <c r="I724" s="25"/>
      <c r="J724" s="25"/>
      <c r="K724" s="25"/>
      <c r="L724" s="25"/>
      <c r="M724" s="26"/>
      <c r="N724" s="25"/>
      <c r="O724" s="26"/>
      <c r="P724" s="27"/>
      <c r="Q724" s="25" t="s">
        <v>3075</v>
      </c>
      <c r="R724" s="25" t="s">
        <v>2516</v>
      </c>
      <c r="S724" s="25" t="s">
        <v>25</v>
      </c>
      <c r="T724" s="25">
        <v>1</v>
      </c>
      <c r="U724" s="25" t="s">
        <v>2517</v>
      </c>
      <c r="V724" s="25" t="s">
        <v>5793</v>
      </c>
      <c r="W724" s="25" t="s">
        <v>5794</v>
      </c>
      <c r="X724" s="59">
        <v>45824.65625</v>
      </c>
      <c r="Y724" s="25"/>
      <c r="Z724" s="25">
        <v>0.8</v>
      </c>
      <c r="AA724" s="25"/>
      <c r="AB724" s="25" t="s">
        <v>2521</v>
      </c>
      <c r="AC724" s="27" t="s">
        <v>4565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2608</v>
      </c>
      <c r="H725" s="25" t="s">
        <v>2609</v>
      </c>
      <c r="I725" s="25"/>
      <c r="J725" s="25"/>
      <c r="K725" s="25"/>
      <c r="L725" s="25"/>
      <c r="M725" s="26"/>
      <c r="N725" s="25"/>
      <c r="O725" s="26"/>
      <c r="P725" s="27"/>
      <c r="Q725" s="25" t="s">
        <v>2616</v>
      </c>
      <c r="R725" s="25" t="s">
        <v>2516</v>
      </c>
      <c r="S725" s="25" t="s">
        <v>173</v>
      </c>
      <c r="T725" s="25">
        <v>1</v>
      </c>
      <c r="U725" s="25" t="s">
        <v>2517</v>
      </c>
      <c r="V725" s="25" t="s">
        <v>5795</v>
      </c>
      <c r="W725" s="25" t="s">
        <v>5778</v>
      </c>
      <c r="X725" s="59">
        <v>45824.659722222219</v>
      </c>
      <c r="Y725" s="25"/>
      <c r="Z725" s="25">
        <v>0.5</v>
      </c>
      <c r="AA725" s="25"/>
      <c r="AB725" s="25" t="s">
        <v>2521</v>
      </c>
      <c r="AC725" s="27" t="s">
        <v>4565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4083</v>
      </c>
      <c r="H726" s="25" t="s">
        <v>2609</v>
      </c>
      <c r="I726" s="25"/>
      <c r="J726" s="25"/>
      <c r="K726" s="25"/>
      <c r="L726" s="25"/>
      <c r="M726" s="26"/>
      <c r="N726" s="25"/>
      <c r="O726" s="26"/>
      <c r="P726" s="27"/>
      <c r="Q726" s="25" t="s">
        <v>4084</v>
      </c>
      <c r="R726" s="25" t="s">
        <v>2516</v>
      </c>
      <c r="S726" s="25" t="s">
        <v>173</v>
      </c>
      <c r="T726" s="25">
        <v>1</v>
      </c>
      <c r="U726" s="25" t="s">
        <v>2517</v>
      </c>
      <c r="V726" s="25" t="s">
        <v>5796</v>
      </c>
      <c r="W726" s="25" t="s">
        <v>5797</v>
      </c>
      <c r="X726" s="59">
        <v>45824.690972222219</v>
      </c>
      <c r="Y726" s="25"/>
      <c r="Z726" s="25">
        <v>0.6</v>
      </c>
      <c r="AA726" s="25"/>
      <c r="AB726" s="25" t="s">
        <v>2521</v>
      </c>
      <c r="AC726" s="27" t="s">
        <v>4501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3900</v>
      </c>
      <c r="H727" s="25" t="s">
        <v>2507</v>
      </c>
      <c r="I727" s="25"/>
      <c r="J727" s="25"/>
      <c r="K727" s="25"/>
      <c r="L727" s="25"/>
      <c r="M727" s="26"/>
      <c r="N727" s="25"/>
      <c r="O727" s="26"/>
      <c r="P727" s="27"/>
      <c r="Q727" s="25" t="s">
        <v>3901</v>
      </c>
      <c r="R727" s="25" t="s">
        <v>2516</v>
      </c>
      <c r="S727" s="25" t="s">
        <v>25</v>
      </c>
      <c r="T727" s="25">
        <v>1</v>
      </c>
      <c r="U727" s="25" t="s">
        <v>2517</v>
      </c>
      <c r="V727" s="25" t="s">
        <v>5798</v>
      </c>
      <c r="W727" s="25" t="s">
        <v>5797</v>
      </c>
      <c r="X727" s="59">
        <v>45824.693055555559</v>
      </c>
      <c r="Y727" s="25"/>
      <c r="Z727" s="25">
        <v>0.6</v>
      </c>
      <c r="AA727" s="25"/>
      <c r="AB727" s="25" t="s">
        <v>2521</v>
      </c>
      <c r="AC727" s="27" t="s">
        <v>4501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5799</v>
      </c>
      <c r="E728" s="25" t="s">
        <v>2504</v>
      </c>
      <c r="F728" s="25">
        <v>4316</v>
      </c>
      <c r="G728" s="25" t="s">
        <v>3338</v>
      </c>
      <c r="H728" s="25" t="s">
        <v>2996</v>
      </c>
      <c r="I728" s="25" t="s">
        <v>5800</v>
      </c>
      <c r="J728" s="25" t="s">
        <v>2509</v>
      </c>
      <c r="K728" s="25" t="s">
        <v>2765</v>
      </c>
      <c r="L728" s="25" t="s">
        <v>4269</v>
      </c>
      <c r="M728" s="26" t="s">
        <v>4270</v>
      </c>
      <c r="N728" s="25">
        <v>2803</v>
      </c>
      <c r="O728" s="26" t="s">
        <v>5801</v>
      </c>
      <c r="P728" s="27" t="s">
        <v>5802</v>
      </c>
      <c r="Q728" s="25" t="s">
        <v>3339</v>
      </c>
      <c r="R728" s="25" t="s">
        <v>2516</v>
      </c>
      <c r="S728" s="25" t="s">
        <v>185</v>
      </c>
      <c r="T728" s="25">
        <v>1</v>
      </c>
      <c r="U728" s="25" t="s">
        <v>2517</v>
      </c>
      <c r="V728" s="25" t="s">
        <v>5803</v>
      </c>
      <c r="W728" s="25" t="s">
        <v>5804</v>
      </c>
      <c r="X728" s="59">
        <v>45826.4375</v>
      </c>
      <c r="Y728" s="25" t="s">
        <v>5805</v>
      </c>
      <c r="Z728" s="25">
        <v>1</v>
      </c>
      <c r="AA728" s="25"/>
      <c r="AB728" s="25" t="s">
        <v>2521</v>
      </c>
      <c r="AC728" s="27" t="s">
        <v>5806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5807</v>
      </c>
      <c r="E729" s="25" t="s">
        <v>2504</v>
      </c>
      <c r="F729" s="25">
        <v>2759</v>
      </c>
      <c r="G729" s="25" t="s">
        <v>2799</v>
      </c>
      <c r="H729" s="25" t="s">
        <v>2507</v>
      </c>
      <c r="I729" s="25" t="s">
        <v>5808</v>
      </c>
      <c r="J729" s="25" t="s">
        <v>2509</v>
      </c>
      <c r="K729" s="25" t="s">
        <v>2568</v>
      </c>
      <c r="L729" s="25" t="s">
        <v>2525</v>
      </c>
      <c r="M729" s="26" t="s">
        <v>2526</v>
      </c>
      <c r="N729" s="25">
        <v>5804</v>
      </c>
      <c r="O729" s="26" t="s">
        <v>2582</v>
      </c>
      <c r="P729" s="27" t="s">
        <v>5809</v>
      </c>
      <c r="Q729" s="25" t="s">
        <v>2800</v>
      </c>
      <c r="R729" s="25" t="s">
        <v>2516</v>
      </c>
      <c r="S729" s="25" t="s">
        <v>25</v>
      </c>
      <c r="T729" s="25">
        <v>1</v>
      </c>
      <c r="U729" s="25" t="s">
        <v>2517</v>
      </c>
      <c r="V729" s="25" t="s">
        <v>5810</v>
      </c>
      <c r="W729" s="25" t="s">
        <v>5811</v>
      </c>
      <c r="X729" s="59">
        <v>45825.605555555558</v>
      </c>
      <c r="Y729" s="25" t="s">
        <v>5812</v>
      </c>
      <c r="Z729" s="25">
        <v>0.5</v>
      </c>
      <c r="AA729" s="25"/>
      <c r="AB729" s="25" t="s">
        <v>2521</v>
      </c>
      <c r="AC729" s="27" t="s">
        <v>5813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5814</v>
      </c>
      <c r="E730" s="25" t="s">
        <v>2504</v>
      </c>
      <c r="F730" s="25" t="s">
        <v>2685</v>
      </c>
      <c r="G730" s="25" t="s">
        <v>2686</v>
      </c>
      <c r="H730" s="25" t="s">
        <v>2609</v>
      </c>
      <c r="I730" s="25" t="s">
        <v>5815</v>
      </c>
      <c r="J730" s="25" t="s">
        <v>2509</v>
      </c>
      <c r="K730" s="25" t="s">
        <v>2568</v>
      </c>
      <c r="L730" s="25" t="s">
        <v>2525</v>
      </c>
      <c r="M730" s="26" t="s">
        <v>2526</v>
      </c>
      <c r="N730" s="25">
        <v>5804</v>
      </c>
      <c r="O730" s="26" t="s">
        <v>2582</v>
      </c>
      <c r="P730" s="27" t="s">
        <v>5816</v>
      </c>
      <c r="Q730" s="25" t="s">
        <v>2687</v>
      </c>
      <c r="R730" s="25" t="s">
        <v>2516</v>
      </c>
      <c r="S730" s="25" t="s">
        <v>173</v>
      </c>
      <c r="T730" s="25">
        <v>1</v>
      </c>
      <c r="U730" s="25" t="s">
        <v>2517</v>
      </c>
      <c r="V730" s="25" t="s">
        <v>5817</v>
      </c>
      <c r="W730" s="25" t="s">
        <v>5818</v>
      </c>
      <c r="X730" s="59">
        <v>45826.48541666667</v>
      </c>
      <c r="Y730" s="25" t="s">
        <v>5819</v>
      </c>
      <c r="Z730" s="25">
        <v>0.4</v>
      </c>
      <c r="AA730" s="25"/>
      <c r="AB730" s="25" t="s">
        <v>2521</v>
      </c>
      <c r="AC730" s="27" t="s">
        <v>5820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5821</v>
      </c>
      <c r="E731" s="25" t="s">
        <v>2504</v>
      </c>
      <c r="F731" s="25">
        <v>2399</v>
      </c>
      <c r="G731" s="25" t="s">
        <v>3096</v>
      </c>
      <c r="H731" s="25" t="s">
        <v>2507</v>
      </c>
      <c r="I731" s="25" t="s">
        <v>5822</v>
      </c>
      <c r="J731" s="25" t="s">
        <v>2509</v>
      </c>
      <c r="K731" s="25" t="s">
        <v>2568</v>
      </c>
      <c r="L731" s="25" t="s">
        <v>2525</v>
      </c>
      <c r="M731" s="26" t="s">
        <v>2526</v>
      </c>
      <c r="N731" s="25">
        <v>5804</v>
      </c>
      <c r="O731" s="26" t="s">
        <v>2582</v>
      </c>
      <c r="P731" s="27" t="s">
        <v>5823</v>
      </c>
      <c r="Q731" s="25" t="s">
        <v>3097</v>
      </c>
      <c r="R731" s="25" t="s">
        <v>2516</v>
      </c>
      <c r="S731" s="25" t="s">
        <v>25</v>
      </c>
      <c r="T731" s="25">
        <v>1</v>
      </c>
      <c r="U731" s="25" t="s">
        <v>2517</v>
      </c>
      <c r="V731" s="25" t="s">
        <v>5824</v>
      </c>
      <c r="W731" s="25" t="s">
        <v>5825</v>
      </c>
      <c r="X731" s="59">
        <v>45825.629166666673</v>
      </c>
      <c r="Y731" s="25" t="s">
        <v>5826</v>
      </c>
      <c r="Z731" s="25">
        <v>0.5</v>
      </c>
      <c r="AA731" s="25"/>
      <c r="AB731" s="25" t="s">
        <v>2521</v>
      </c>
      <c r="AC731" s="27" t="s">
        <v>5813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5827</v>
      </c>
      <c r="E732" s="25" t="s">
        <v>2504</v>
      </c>
      <c r="F732" s="25">
        <v>3890</v>
      </c>
      <c r="G732" s="25" t="s">
        <v>2548</v>
      </c>
      <c r="H732" s="25" t="s">
        <v>2507</v>
      </c>
      <c r="I732" s="25" t="s">
        <v>5828</v>
      </c>
      <c r="J732" s="25" t="s">
        <v>2509</v>
      </c>
      <c r="K732" s="25" t="s">
        <v>2568</v>
      </c>
      <c r="L732" s="25" t="s">
        <v>2511</v>
      </c>
      <c r="M732" s="26" t="s">
        <v>2512</v>
      </c>
      <c r="N732" s="25">
        <v>2301</v>
      </c>
      <c r="O732" s="26" t="s">
        <v>3953</v>
      </c>
      <c r="P732" s="27" t="s">
        <v>5829</v>
      </c>
      <c r="Q732" s="25" t="s">
        <v>2552</v>
      </c>
      <c r="R732" s="25" t="s">
        <v>2516</v>
      </c>
      <c r="S732" s="25" t="s">
        <v>25</v>
      </c>
      <c r="T732" s="25">
        <v>1</v>
      </c>
      <c r="U732" s="25" t="s">
        <v>2517</v>
      </c>
      <c r="V732" s="25" t="s">
        <v>5830</v>
      </c>
      <c r="W732" s="25" t="s">
        <v>5831</v>
      </c>
      <c r="X732" s="59">
        <v>45826.555555555547</v>
      </c>
      <c r="Y732" s="25" t="s">
        <v>5832</v>
      </c>
      <c r="Z732" s="25">
        <v>2.8</v>
      </c>
      <c r="AA732" s="25"/>
      <c r="AB732" s="25" t="s">
        <v>2521</v>
      </c>
      <c r="AC732" s="27" t="s">
        <v>5833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5834</v>
      </c>
      <c r="E733" s="25" t="s">
        <v>2504</v>
      </c>
      <c r="F733" s="25">
        <v>3601</v>
      </c>
      <c r="G733" s="25" t="s">
        <v>3842</v>
      </c>
      <c r="H733" s="25" t="s">
        <v>2507</v>
      </c>
      <c r="I733" s="25" t="s">
        <v>5835</v>
      </c>
      <c r="J733" s="25" t="s">
        <v>2509</v>
      </c>
      <c r="K733" s="25" t="s">
        <v>2568</v>
      </c>
      <c r="L733" s="25" t="s">
        <v>2525</v>
      </c>
      <c r="M733" s="26" t="s">
        <v>2526</v>
      </c>
      <c r="N733" s="25">
        <v>5804</v>
      </c>
      <c r="O733" s="26" t="s">
        <v>2582</v>
      </c>
      <c r="P733" s="27" t="s">
        <v>5836</v>
      </c>
      <c r="Q733" s="25" t="s">
        <v>3845</v>
      </c>
      <c r="R733" s="25" t="s">
        <v>2516</v>
      </c>
      <c r="S733" s="25" t="s">
        <v>25</v>
      </c>
      <c r="T733" s="25">
        <v>1</v>
      </c>
      <c r="U733" s="25" t="s">
        <v>2517</v>
      </c>
      <c r="V733" s="25" t="s">
        <v>5837</v>
      </c>
      <c r="W733" s="25" t="s">
        <v>5838</v>
      </c>
      <c r="X733" s="59">
        <v>45825.59652777778</v>
      </c>
      <c r="Y733" s="25" t="s">
        <v>5839</v>
      </c>
      <c r="Z733" s="25">
        <v>0.5</v>
      </c>
      <c r="AA733" s="25"/>
      <c r="AB733" s="25" t="s">
        <v>2521</v>
      </c>
      <c r="AC733" s="27" t="s">
        <v>5840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5841</v>
      </c>
      <c r="E734" s="25" t="s">
        <v>2504</v>
      </c>
      <c r="F734" s="25">
        <v>4101</v>
      </c>
      <c r="G734" s="25" t="s">
        <v>3229</v>
      </c>
      <c r="H734" s="25" t="s">
        <v>2507</v>
      </c>
      <c r="I734" s="25" t="s">
        <v>5842</v>
      </c>
      <c r="J734" s="25" t="s">
        <v>2536</v>
      </c>
      <c r="K734" s="25" t="s">
        <v>2568</v>
      </c>
      <c r="L734" s="25" t="s">
        <v>2525</v>
      </c>
      <c r="M734" s="26" t="s">
        <v>2526</v>
      </c>
      <c r="N734" s="25">
        <v>5804</v>
      </c>
      <c r="O734" s="26" t="s">
        <v>2582</v>
      </c>
      <c r="P734" s="27" t="s">
        <v>5843</v>
      </c>
      <c r="Q734" s="25" t="s">
        <v>3232</v>
      </c>
      <c r="R734" s="25" t="s">
        <v>2516</v>
      </c>
      <c r="S734" s="25" t="s">
        <v>25</v>
      </c>
      <c r="T734" s="25">
        <v>1</v>
      </c>
      <c r="U734" s="25" t="s">
        <v>2517</v>
      </c>
      <c r="V734" s="25" t="s">
        <v>5844</v>
      </c>
      <c r="W734" s="25" t="s">
        <v>5845</v>
      </c>
      <c r="X734" s="59">
        <v>45826.698611111111</v>
      </c>
      <c r="Y734" s="25" t="s">
        <v>5846</v>
      </c>
      <c r="Z734" s="25">
        <v>0.5</v>
      </c>
      <c r="AA734" s="25"/>
      <c r="AB734" s="25" t="s">
        <v>2521</v>
      </c>
      <c r="AC734" s="27" t="s">
        <v>5813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3334</v>
      </c>
      <c r="H735" s="25" t="s">
        <v>2996</v>
      </c>
      <c r="I735" s="25"/>
      <c r="J735" s="25"/>
      <c r="K735" s="25"/>
      <c r="L735" s="25"/>
      <c r="M735" s="26"/>
      <c r="N735" s="25"/>
      <c r="O735" s="26"/>
      <c r="P735" s="27"/>
      <c r="Q735" s="25" t="s">
        <v>3335</v>
      </c>
      <c r="R735" s="25" t="s">
        <v>2516</v>
      </c>
      <c r="S735" s="25" t="s">
        <v>185</v>
      </c>
      <c r="T735" s="25">
        <v>1</v>
      </c>
      <c r="U735" s="25" t="s">
        <v>2517</v>
      </c>
      <c r="V735" s="25" t="s">
        <v>5847</v>
      </c>
      <c r="W735" s="25" t="s">
        <v>5848</v>
      </c>
      <c r="X735" s="59">
        <v>45826.472222222219</v>
      </c>
      <c r="Y735" s="25"/>
      <c r="Z735" s="25">
        <v>0.7</v>
      </c>
      <c r="AA735" s="25"/>
      <c r="AB735" s="25" t="s">
        <v>2521</v>
      </c>
      <c r="AC735" s="27" t="s">
        <v>5313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5849</v>
      </c>
      <c r="E736" s="25" t="s">
        <v>2504</v>
      </c>
      <c r="F736" s="25">
        <v>3983</v>
      </c>
      <c r="G736" s="25" t="s">
        <v>2808</v>
      </c>
      <c r="H736" s="25" t="s">
        <v>2507</v>
      </c>
      <c r="I736" s="25" t="s">
        <v>5850</v>
      </c>
      <c r="J736" s="25" t="s">
        <v>2536</v>
      </c>
      <c r="K736" s="25" t="s">
        <v>2510</v>
      </c>
      <c r="L736" s="25" t="s">
        <v>2846</v>
      </c>
      <c r="M736" s="26" t="s">
        <v>2847</v>
      </c>
      <c r="N736" s="25">
        <v>2403</v>
      </c>
      <c r="O736" s="26" t="s">
        <v>4550</v>
      </c>
      <c r="P736" s="27" t="s">
        <v>5851</v>
      </c>
      <c r="Q736" s="25" t="s">
        <v>2809</v>
      </c>
      <c r="R736" s="25" t="s">
        <v>2516</v>
      </c>
      <c r="S736" s="25" t="s">
        <v>25</v>
      </c>
      <c r="T736" s="25">
        <v>1</v>
      </c>
      <c r="U736" s="25" t="s">
        <v>2517</v>
      </c>
      <c r="V736" s="25" t="s">
        <v>5852</v>
      </c>
      <c r="W736" s="25" t="s">
        <v>5853</v>
      </c>
      <c r="X736" s="59">
        <v>45826.645138888889</v>
      </c>
      <c r="Y736" s="25" t="s">
        <v>5854</v>
      </c>
      <c r="Z736" s="25">
        <v>0.5</v>
      </c>
      <c r="AA736" s="25"/>
      <c r="AB736" s="25" t="s">
        <v>2521</v>
      </c>
      <c r="AC736" s="27" t="s">
        <v>4555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5855</v>
      </c>
      <c r="E737" s="25" t="s">
        <v>2504</v>
      </c>
      <c r="F737" s="25">
        <v>2442</v>
      </c>
      <c r="G737" s="25" t="s">
        <v>3059</v>
      </c>
      <c r="H737" s="25" t="s">
        <v>2987</v>
      </c>
      <c r="I737" s="25" t="s">
        <v>5856</v>
      </c>
      <c r="J737" s="25" t="s">
        <v>2536</v>
      </c>
      <c r="K737" s="25" t="s">
        <v>2510</v>
      </c>
      <c r="L737" s="25" t="s">
        <v>2611</v>
      </c>
      <c r="M737" s="26" t="s">
        <v>2612</v>
      </c>
      <c r="N737" s="25" t="s">
        <v>3526</v>
      </c>
      <c r="O737" s="26" t="s">
        <v>3152</v>
      </c>
      <c r="P737" s="27" t="s">
        <v>5857</v>
      </c>
      <c r="Q737" s="25" t="s">
        <v>3060</v>
      </c>
      <c r="R737" s="25" t="s">
        <v>2516</v>
      </c>
      <c r="S737" s="25" t="s">
        <v>25</v>
      </c>
      <c r="T737" s="25">
        <v>1</v>
      </c>
      <c r="U737" s="25" t="s">
        <v>2517</v>
      </c>
      <c r="V737" s="25" t="s">
        <v>5858</v>
      </c>
      <c r="W737" s="25" t="s">
        <v>5859</v>
      </c>
      <c r="X737" s="59">
        <v>45826.612500000003</v>
      </c>
      <c r="Y737" s="25" t="s">
        <v>5860</v>
      </c>
      <c r="Z737" s="25">
        <v>0.7</v>
      </c>
      <c r="AA737" s="25"/>
      <c r="AB737" s="25" t="s">
        <v>2521</v>
      </c>
      <c r="AC737" s="27" t="s">
        <v>5861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5862</v>
      </c>
      <c r="E738" s="25" t="s">
        <v>2504</v>
      </c>
      <c r="F738" s="25">
        <v>2442</v>
      </c>
      <c r="G738" s="25" t="s">
        <v>3059</v>
      </c>
      <c r="H738" s="25" t="s">
        <v>2987</v>
      </c>
      <c r="I738" s="25" t="s">
        <v>5863</v>
      </c>
      <c r="J738" s="25" t="s">
        <v>2536</v>
      </c>
      <c r="K738" s="25" t="s">
        <v>2510</v>
      </c>
      <c r="L738" s="25" t="s">
        <v>2537</v>
      </c>
      <c r="M738" s="26" t="s">
        <v>2538</v>
      </c>
      <c r="N738" s="25" t="s">
        <v>2539</v>
      </c>
      <c r="O738" s="26" t="s">
        <v>2540</v>
      </c>
      <c r="P738" s="27" t="s">
        <v>5864</v>
      </c>
      <c r="Q738" s="25" t="s">
        <v>3060</v>
      </c>
      <c r="R738" s="25" t="s">
        <v>2516</v>
      </c>
      <c r="S738" s="25" t="s">
        <v>25</v>
      </c>
      <c r="T738" s="25">
        <v>1</v>
      </c>
      <c r="U738" s="25" t="s">
        <v>2517</v>
      </c>
      <c r="V738" s="25" t="s">
        <v>5865</v>
      </c>
      <c r="W738" s="25" t="s">
        <v>5859</v>
      </c>
      <c r="X738" s="59">
        <v>45826.611805555563</v>
      </c>
      <c r="Y738" s="25" t="s">
        <v>5866</v>
      </c>
      <c r="Z738" s="25">
        <v>0.7</v>
      </c>
      <c r="AA738" s="25"/>
      <c r="AB738" s="25" t="s">
        <v>2521</v>
      </c>
      <c r="AC738" s="27" t="s">
        <v>5867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5868</v>
      </c>
      <c r="E739" s="25" t="s">
        <v>2504</v>
      </c>
      <c r="F739" s="25">
        <v>2306</v>
      </c>
      <c r="G739" s="25" t="s">
        <v>3055</v>
      </c>
      <c r="H739" s="25" t="s">
        <v>2987</v>
      </c>
      <c r="I739" s="25" t="s">
        <v>5869</v>
      </c>
      <c r="J739" s="25" t="s">
        <v>2835</v>
      </c>
      <c r="K739" s="25" t="s">
        <v>2568</v>
      </c>
      <c r="L739" s="25" t="s">
        <v>2611</v>
      </c>
      <c r="M739" s="26" t="s">
        <v>2612</v>
      </c>
      <c r="N739" s="25" t="s">
        <v>2613</v>
      </c>
      <c r="O739" s="26" t="s">
        <v>2614</v>
      </c>
      <c r="P739" s="27" t="s">
        <v>5870</v>
      </c>
      <c r="Q739" s="25" t="s">
        <v>3056</v>
      </c>
      <c r="R739" s="25" t="s">
        <v>2516</v>
      </c>
      <c r="S739" s="25" t="s">
        <v>25</v>
      </c>
      <c r="T739" s="25">
        <v>1</v>
      </c>
      <c r="U739" s="25" t="s">
        <v>2517</v>
      </c>
      <c r="V739" s="25" t="s">
        <v>5871</v>
      </c>
      <c r="W739" s="25" t="s">
        <v>5872</v>
      </c>
      <c r="X739" s="59">
        <v>45828.42291666667</v>
      </c>
      <c r="Y739" s="25" t="s">
        <v>5873</v>
      </c>
      <c r="Z739" s="25">
        <v>0.5</v>
      </c>
      <c r="AA739" s="25"/>
      <c r="AB739" s="25" t="s">
        <v>2521</v>
      </c>
      <c r="AC739" s="27" t="s">
        <v>5874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5875</v>
      </c>
      <c r="E740" s="25" t="s">
        <v>2843</v>
      </c>
      <c r="F740" s="25">
        <v>5352</v>
      </c>
      <c r="G740" s="25" t="s">
        <v>4867</v>
      </c>
      <c r="H740" s="25" t="s">
        <v>2507</v>
      </c>
      <c r="I740" s="25" t="s">
        <v>5876</v>
      </c>
      <c r="J740" s="25" t="s">
        <v>2536</v>
      </c>
      <c r="K740" s="25" t="s">
        <v>2717</v>
      </c>
      <c r="L740" s="25" t="s">
        <v>2846</v>
      </c>
      <c r="M740" s="26" t="s">
        <v>2847</v>
      </c>
      <c r="N740" s="25">
        <v>2405</v>
      </c>
      <c r="O740" s="26" t="s">
        <v>2963</v>
      </c>
      <c r="P740" s="27" t="s">
        <v>5877</v>
      </c>
      <c r="Q740" s="25" t="s">
        <v>4868</v>
      </c>
      <c r="R740" s="25" t="s">
        <v>2516</v>
      </c>
      <c r="S740" s="25" t="s">
        <v>25</v>
      </c>
      <c r="T740" s="25">
        <v>1</v>
      </c>
      <c r="U740" s="25" t="s">
        <v>2517</v>
      </c>
      <c r="V740" s="25" t="s">
        <v>5878</v>
      </c>
      <c r="W740" s="25" t="s">
        <v>5879</v>
      </c>
      <c r="X740" s="59">
        <v>45827.553472222222</v>
      </c>
      <c r="Y740" s="25" t="s">
        <v>5880</v>
      </c>
      <c r="Z740" s="25">
        <v>0.5</v>
      </c>
      <c r="AA740" s="25"/>
      <c r="AB740" s="25" t="s">
        <v>2521</v>
      </c>
      <c r="AC740" s="27" t="s">
        <v>5437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5881</v>
      </c>
      <c r="E741" s="25" t="s">
        <v>2504</v>
      </c>
      <c r="F741" s="25">
        <v>3551</v>
      </c>
      <c r="G741" s="25" t="s">
        <v>4400</v>
      </c>
      <c r="H741" s="25" t="s">
        <v>2609</v>
      </c>
      <c r="I741" s="25" t="s">
        <v>5882</v>
      </c>
      <c r="J741" s="25" t="s">
        <v>2835</v>
      </c>
      <c r="K741" s="25" t="s">
        <v>2568</v>
      </c>
      <c r="L741" s="25" t="s">
        <v>2511</v>
      </c>
      <c r="M741" s="26" t="s">
        <v>2512</v>
      </c>
      <c r="N741" s="25">
        <v>2305</v>
      </c>
      <c r="O741" s="26" t="s">
        <v>3035</v>
      </c>
      <c r="P741" s="27" t="s">
        <v>5883</v>
      </c>
      <c r="Q741" s="25" t="s">
        <v>4401</v>
      </c>
      <c r="R741" s="25" t="s">
        <v>2516</v>
      </c>
      <c r="S741" s="25" t="s">
        <v>173</v>
      </c>
      <c r="T741" s="25">
        <v>1</v>
      </c>
      <c r="U741" s="25" t="s">
        <v>2517</v>
      </c>
      <c r="V741" s="25" t="s">
        <v>5884</v>
      </c>
      <c r="W741" s="25" t="s">
        <v>5885</v>
      </c>
      <c r="X741" s="59">
        <v>45828.53125</v>
      </c>
      <c r="Y741" s="25" t="s">
        <v>5886</v>
      </c>
      <c r="Z741" s="25">
        <v>1</v>
      </c>
      <c r="AA741" s="25"/>
      <c r="AB741" s="25" t="s">
        <v>2521</v>
      </c>
      <c r="AC741" s="27" t="s">
        <v>5887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5888</v>
      </c>
      <c r="E742" s="25" t="s">
        <v>2504</v>
      </c>
      <c r="F742" s="25">
        <v>3890</v>
      </c>
      <c r="G742" s="25" t="s">
        <v>2548</v>
      </c>
      <c r="H742" s="25" t="s">
        <v>2507</v>
      </c>
      <c r="I742" s="25" t="s">
        <v>5889</v>
      </c>
      <c r="J742" s="25" t="s">
        <v>2835</v>
      </c>
      <c r="K742" s="25" t="s">
        <v>2568</v>
      </c>
      <c r="L742" s="25" t="s">
        <v>2511</v>
      </c>
      <c r="M742" s="26" t="s">
        <v>2512</v>
      </c>
      <c r="N742" s="25">
        <v>2306</v>
      </c>
      <c r="O742" s="26" t="s">
        <v>2893</v>
      </c>
      <c r="P742" s="27" t="s">
        <v>5890</v>
      </c>
      <c r="Q742" s="25" t="s">
        <v>2552</v>
      </c>
      <c r="R742" s="25" t="s">
        <v>2516</v>
      </c>
      <c r="S742" s="25" t="s">
        <v>25</v>
      </c>
      <c r="T742" s="25">
        <v>1</v>
      </c>
      <c r="U742" s="25" t="s">
        <v>2517</v>
      </c>
      <c r="V742" s="25" t="s">
        <v>5891</v>
      </c>
      <c r="W742" s="25" t="s">
        <v>5892</v>
      </c>
      <c r="X742" s="59">
        <v>45827.592361111107</v>
      </c>
      <c r="Y742" s="25" t="s">
        <v>5893</v>
      </c>
      <c r="Z742" s="25">
        <v>0.5</v>
      </c>
      <c r="AA742" s="25"/>
      <c r="AB742" s="25" t="s">
        <v>2915</v>
      </c>
      <c r="AC742" s="27" t="s">
        <v>5894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3748</v>
      </c>
      <c r="H743" s="25" t="s">
        <v>2659</v>
      </c>
      <c r="I743" s="25"/>
      <c r="J743" s="25"/>
      <c r="K743" s="25"/>
      <c r="L743" s="25"/>
      <c r="M743" s="26"/>
      <c r="N743" s="25"/>
      <c r="O743" s="26"/>
      <c r="P743" s="27"/>
      <c r="Q743" s="25" t="s">
        <v>3751</v>
      </c>
      <c r="R743" s="25" t="s">
        <v>2516</v>
      </c>
      <c r="S743" s="25" t="s">
        <v>185</v>
      </c>
      <c r="T743" s="25">
        <v>1</v>
      </c>
      <c r="U743" s="25" t="s">
        <v>2517</v>
      </c>
      <c r="V743" s="25" t="s">
        <v>5895</v>
      </c>
      <c r="W743" s="25" t="s">
        <v>5896</v>
      </c>
      <c r="X743" s="59">
        <v>45827.569444444453</v>
      </c>
      <c r="Y743" s="25"/>
      <c r="Z743" s="25">
        <v>0.7</v>
      </c>
      <c r="AA743" s="25"/>
      <c r="AB743" s="25" t="s">
        <v>2521</v>
      </c>
      <c r="AC743" s="27" t="s">
        <v>4684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4375</v>
      </c>
      <c r="H744" s="25" t="s">
        <v>2659</v>
      </c>
      <c r="I744" s="25"/>
      <c r="J744" s="25"/>
      <c r="K744" s="25"/>
      <c r="L744" s="25"/>
      <c r="M744" s="26"/>
      <c r="N744" s="25"/>
      <c r="O744" s="26"/>
      <c r="P744" s="27"/>
      <c r="Q744" s="25" t="s">
        <v>4376</v>
      </c>
      <c r="R744" s="25" t="s">
        <v>2516</v>
      </c>
      <c r="S744" s="25" t="s">
        <v>185</v>
      </c>
      <c r="T744" s="25">
        <v>1</v>
      </c>
      <c r="U744" s="25" t="s">
        <v>2517</v>
      </c>
      <c r="V744" s="25" t="s">
        <v>5897</v>
      </c>
      <c r="W744" s="25" t="s">
        <v>5898</v>
      </c>
      <c r="X744" s="59">
        <v>45827.590277777781</v>
      </c>
      <c r="Y744" s="25"/>
      <c r="Z744" s="25">
        <v>0.4</v>
      </c>
      <c r="AA744" s="25"/>
      <c r="AB744" s="25" t="s">
        <v>2521</v>
      </c>
      <c r="AC744" s="27" t="s">
        <v>4684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5899</v>
      </c>
      <c r="E745" s="25" t="s">
        <v>2504</v>
      </c>
      <c r="F745" s="25">
        <v>4025</v>
      </c>
      <c r="G745" s="25" t="s">
        <v>4285</v>
      </c>
      <c r="H745" s="25" t="s">
        <v>2659</v>
      </c>
      <c r="I745" s="25" t="s">
        <v>5900</v>
      </c>
      <c r="J745" s="25" t="s">
        <v>2835</v>
      </c>
      <c r="K745" s="25" t="s">
        <v>2510</v>
      </c>
      <c r="L745" s="25" t="s">
        <v>2525</v>
      </c>
      <c r="M745" s="26" t="s">
        <v>2526</v>
      </c>
      <c r="N745" s="25">
        <v>5804</v>
      </c>
      <c r="O745" s="26" t="s">
        <v>2582</v>
      </c>
      <c r="P745" s="27" t="s">
        <v>5901</v>
      </c>
      <c r="Q745" s="25" t="s">
        <v>4286</v>
      </c>
      <c r="R745" s="25" t="s">
        <v>2516</v>
      </c>
      <c r="S745" s="25" t="s">
        <v>185</v>
      </c>
      <c r="T745" s="25">
        <v>1</v>
      </c>
      <c r="U745" s="25" t="s">
        <v>2517</v>
      </c>
      <c r="V745" s="25" t="s">
        <v>5902</v>
      </c>
      <c r="W745" s="25" t="s">
        <v>5903</v>
      </c>
      <c r="X745" s="59">
        <v>45828.638888888891</v>
      </c>
      <c r="Y745" s="25" t="s">
        <v>5904</v>
      </c>
      <c r="Z745" s="25">
        <v>0.5</v>
      </c>
      <c r="AA745" s="25"/>
      <c r="AB745" s="25" t="s">
        <v>2521</v>
      </c>
      <c r="AC745" s="27" t="s">
        <v>5905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3748</v>
      </c>
      <c r="H746" s="25" t="s">
        <v>2659</v>
      </c>
      <c r="I746" s="25"/>
      <c r="J746" s="25"/>
      <c r="K746" s="25"/>
      <c r="L746" s="25"/>
      <c r="M746" s="26"/>
      <c r="N746" s="25"/>
      <c r="O746" s="26"/>
      <c r="P746" s="27"/>
      <c r="Q746" s="25" t="s">
        <v>3751</v>
      </c>
      <c r="R746" s="25" t="s">
        <v>2516</v>
      </c>
      <c r="S746" s="25" t="s">
        <v>185</v>
      </c>
      <c r="T746" s="25">
        <v>1</v>
      </c>
      <c r="U746" s="25" t="s">
        <v>2517</v>
      </c>
      <c r="V746" s="25" t="s">
        <v>5906</v>
      </c>
      <c r="W746" s="25" t="s">
        <v>5907</v>
      </c>
      <c r="X746" s="59">
        <v>45828.364583333343</v>
      </c>
      <c r="Y746" s="25"/>
      <c r="Z746" s="25">
        <v>0.3</v>
      </c>
      <c r="AA746" s="25"/>
      <c r="AB746" s="25" t="s">
        <v>2521</v>
      </c>
      <c r="AC746" s="27" t="s">
        <v>4565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3748</v>
      </c>
      <c r="H747" s="25" t="s">
        <v>2659</v>
      </c>
      <c r="I747" s="25"/>
      <c r="J747" s="25"/>
      <c r="K747" s="25"/>
      <c r="L747" s="25"/>
      <c r="M747" s="26"/>
      <c r="N747" s="25"/>
      <c r="O747" s="26"/>
      <c r="P747" s="27"/>
      <c r="Q747" s="25" t="s">
        <v>3751</v>
      </c>
      <c r="R747" s="25" t="s">
        <v>2516</v>
      </c>
      <c r="S747" s="25" t="s">
        <v>185</v>
      </c>
      <c r="T747" s="25">
        <v>1</v>
      </c>
      <c r="U747" s="25" t="s">
        <v>2517</v>
      </c>
      <c r="V747" s="25" t="s">
        <v>5908</v>
      </c>
      <c r="W747" s="25" t="s">
        <v>5907</v>
      </c>
      <c r="X747" s="59">
        <v>45828.364583333343</v>
      </c>
      <c r="Y747" s="25"/>
      <c r="Z747" s="25">
        <v>0.3</v>
      </c>
      <c r="AA747" s="25"/>
      <c r="AB747" s="25" t="s">
        <v>2521</v>
      </c>
      <c r="AC747" s="27" t="s">
        <v>4565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4375</v>
      </c>
      <c r="H748" s="25" t="s">
        <v>2659</v>
      </c>
      <c r="I748" s="25"/>
      <c r="J748" s="25"/>
      <c r="K748" s="25"/>
      <c r="L748" s="25"/>
      <c r="M748" s="26"/>
      <c r="N748" s="25"/>
      <c r="O748" s="26"/>
      <c r="P748" s="27"/>
      <c r="Q748" s="25" t="s">
        <v>4376</v>
      </c>
      <c r="R748" s="25" t="s">
        <v>2516</v>
      </c>
      <c r="S748" s="25" t="s">
        <v>185</v>
      </c>
      <c r="T748" s="25">
        <v>1</v>
      </c>
      <c r="U748" s="25" t="s">
        <v>2517</v>
      </c>
      <c r="V748" s="25" t="s">
        <v>5909</v>
      </c>
      <c r="W748" s="25" t="s">
        <v>5910</v>
      </c>
      <c r="X748" s="59">
        <v>45828.375</v>
      </c>
      <c r="Y748" s="25"/>
      <c r="Z748" s="25">
        <v>0.3</v>
      </c>
      <c r="AA748" s="25"/>
      <c r="AB748" s="25" t="s">
        <v>2521</v>
      </c>
      <c r="AC748" s="27" t="s">
        <v>4565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4400</v>
      </c>
      <c r="H749" s="25" t="s">
        <v>2609</v>
      </c>
      <c r="I749" s="25"/>
      <c r="J749" s="25"/>
      <c r="K749" s="25"/>
      <c r="L749" s="25"/>
      <c r="M749" s="26"/>
      <c r="N749" s="25"/>
      <c r="O749" s="26"/>
      <c r="P749" s="27"/>
      <c r="Q749" s="25" t="s">
        <v>4401</v>
      </c>
      <c r="R749" s="25" t="s">
        <v>2516</v>
      </c>
      <c r="S749" s="25" t="s">
        <v>173</v>
      </c>
      <c r="T749" s="25">
        <v>1</v>
      </c>
      <c r="U749" s="25" t="s">
        <v>2517</v>
      </c>
      <c r="V749" s="25" t="s">
        <v>5911</v>
      </c>
      <c r="W749" s="25" t="s">
        <v>5885</v>
      </c>
      <c r="X749" s="59">
        <v>45828.527777777781</v>
      </c>
      <c r="Y749" s="25"/>
      <c r="Z749" s="25">
        <v>0.9</v>
      </c>
      <c r="AA749" s="25"/>
      <c r="AB749" s="25" t="s">
        <v>2521</v>
      </c>
      <c r="AC749" s="27" t="s">
        <v>4501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5912</v>
      </c>
      <c r="E750" s="25" t="s">
        <v>2504</v>
      </c>
      <c r="F750" s="25">
        <v>5082</v>
      </c>
      <c r="G750" s="25" t="s">
        <v>2729</v>
      </c>
      <c r="H750" s="25" t="s">
        <v>2641</v>
      </c>
      <c r="I750" s="25" t="s">
        <v>5913</v>
      </c>
      <c r="J750" s="25" t="s">
        <v>2567</v>
      </c>
      <c r="K750" s="25" t="s">
        <v>2510</v>
      </c>
      <c r="L750" s="25" t="s">
        <v>2525</v>
      </c>
      <c r="M750" s="26" t="s">
        <v>2526</v>
      </c>
      <c r="N750" s="25">
        <v>5803</v>
      </c>
      <c r="O750" s="26" t="s">
        <v>2963</v>
      </c>
      <c r="P750" s="27" t="s">
        <v>5914</v>
      </c>
      <c r="Q750" s="25" t="s">
        <v>2730</v>
      </c>
      <c r="R750" s="25" t="s">
        <v>2516</v>
      </c>
      <c r="S750" s="25" t="s">
        <v>25</v>
      </c>
      <c r="T750" s="25">
        <v>1</v>
      </c>
      <c r="U750" s="25" t="s">
        <v>2517</v>
      </c>
      <c r="V750" s="25" t="s">
        <v>5915</v>
      </c>
      <c r="W750" s="25" t="s">
        <v>5916</v>
      </c>
      <c r="X750" s="59">
        <v>45831.629166666673</v>
      </c>
      <c r="Y750" s="25" t="s">
        <v>5917</v>
      </c>
      <c r="Z750" s="25">
        <v>0.5</v>
      </c>
      <c r="AA750" s="25"/>
      <c r="AB750" s="25" t="s">
        <v>2521</v>
      </c>
      <c r="AC750" s="27" t="s">
        <v>5918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3621</v>
      </c>
      <c r="H751" s="25" t="s">
        <v>3148</v>
      </c>
      <c r="I751" s="25"/>
      <c r="J751" s="25"/>
      <c r="K751" s="25"/>
      <c r="L751" s="25"/>
      <c r="M751" s="26"/>
      <c r="N751" s="25"/>
      <c r="O751" s="26"/>
      <c r="P751" s="27"/>
      <c r="Q751" s="25" t="s">
        <v>3622</v>
      </c>
      <c r="R751" s="25" t="s">
        <v>2516</v>
      </c>
      <c r="S751" s="25" t="s">
        <v>185</v>
      </c>
      <c r="T751" s="25">
        <v>1</v>
      </c>
      <c r="U751" s="25" t="s">
        <v>2517</v>
      </c>
      <c r="V751" s="25" t="s">
        <v>5919</v>
      </c>
      <c r="W751" s="25" t="s">
        <v>5920</v>
      </c>
      <c r="X751" s="59">
        <v>45828.583333333343</v>
      </c>
      <c r="Y751" s="25"/>
      <c r="Z751" s="25">
        <v>1</v>
      </c>
      <c r="AA751" s="25"/>
      <c r="AB751" s="25" t="s">
        <v>2521</v>
      </c>
      <c r="AC751" s="27" t="s">
        <v>5313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3629</v>
      </c>
      <c r="H752" s="25" t="s">
        <v>3148</v>
      </c>
      <c r="I752" s="25"/>
      <c r="J752" s="25"/>
      <c r="K752" s="25"/>
      <c r="L752" s="25"/>
      <c r="M752" s="26"/>
      <c r="N752" s="25"/>
      <c r="O752" s="26"/>
      <c r="P752" s="27"/>
      <c r="Q752" s="25" t="s">
        <v>3630</v>
      </c>
      <c r="R752" s="25" t="s">
        <v>2516</v>
      </c>
      <c r="S752" s="25" t="s">
        <v>185</v>
      </c>
      <c r="T752" s="25">
        <v>1</v>
      </c>
      <c r="U752" s="25" t="s">
        <v>2517</v>
      </c>
      <c r="V752" s="25" t="s">
        <v>5921</v>
      </c>
      <c r="W752" s="25" t="s">
        <v>5922</v>
      </c>
      <c r="X752" s="59">
        <v>45828.611111111109</v>
      </c>
      <c r="Y752" s="25"/>
      <c r="Z752" s="25">
        <v>0.5</v>
      </c>
      <c r="AA752" s="25"/>
      <c r="AB752" s="25" t="s">
        <v>2521</v>
      </c>
      <c r="AC752" s="27" t="s">
        <v>5313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5923</v>
      </c>
      <c r="E753" s="25" t="s">
        <v>2843</v>
      </c>
      <c r="F753" s="25">
        <v>4739</v>
      </c>
      <c r="G753" s="25" t="s">
        <v>4045</v>
      </c>
      <c r="H753" s="25" t="s">
        <v>1604</v>
      </c>
      <c r="I753" s="25" t="s">
        <v>5924</v>
      </c>
      <c r="J753" s="25" t="s">
        <v>2930</v>
      </c>
      <c r="K753" s="25" t="s">
        <v>2765</v>
      </c>
      <c r="L753" s="25" t="s">
        <v>2611</v>
      </c>
      <c r="M753" s="26" t="s">
        <v>2612</v>
      </c>
      <c r="N753" s="25" t="s">
        <v>5131</v>
      </c>
      <c r="O753" s="26" t="s">
        <v>5132</v>
      </c>
      <c r="P753" s="27" t="s">
        <v>5925</v>
      </c>
      <c r="Q753" s="25" t="s">
        <v>4048</v>
      </c>
      <c r="R753" s="25" t="s">
        <v>2516</v>
      </c>
      <c r="S753" s="25" t="s">
        <v>25</v>
      </c>
      <c r="T753" s="25">
        <v>1</v>
      </c>
      <c r="U753" s="25" t="s">
        <v>2517</v>
      </c>
      <c r="V753" s="25" t="s">
        <v>5926</v>
      </c>
      <c r="W753" s="25" t="s">
        <v>5927</v>
      </c>
      <c r="X753" s="59">
        <v>45829.581250000003</v>
      </c>
      <c r="Y753" s="25" t="s">
        <v>5928</v>
      </c>
      <c r="Z753" s="25">
        <v>1</v>
      </c>
      <c r="AA753" s="25"/>
      <c r="AB753" s="25" t="s">
        <v>2521</v>
      </c>
      <c r="AC753" s="27" t="s">
        <v>5929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5930</v>
      </c>
      <c r="E754" s="25" t="s">
        <v>2504</v>
      </c>
      <c r="F754" s="25">
        <v>4538</v>
      </c>
      <c r="G754" s="25" t="s">
        <v>3362</v>
      </c>
      <c r="H754" s="25" t="s">
        <v>3148</v>
      </c>
      <c r="I754" s="25" t="s">
        <v>5931</v>
      </c>
      <c r="J754" s="25" t="s">
        <v>2661</v>
      </c>
      <c r="K754" s="25" t="s">
        <v>2568</v>
      </c>
      <c r="L754" s="25" t="s">
        <v>2511</v>
      </c>
      <c r="M754" s="26" t="s">
        <v>2512</v>
      </c>
      <c r="N754" s="25">
        <v>2304</v>
      </c>
      <c r="O754" s="26" t="s">
        <v>2513</v>
      </c>
      <c r="P754" s="27" t="s">
        <v>5932</v>
      </c>
      <c r="Q754" s="25" t="s">
        <v>3363</v>
      </c>
      <c r="R754" s="25" t="s">
        <v>2516</v>
      </c>
      <c r="S754" s="25" t="s">
        <v>185</v>
      </c>
      <c r="T754" s="25">
        <v>1</v>
      </c>
      <c r="U754" s="25" t="s">
        <v>2517</v>
      </c>
      <c r="V754" s="25" t="s">
        <v>5933</v>
      </c>
      <c r="W754" s="25" t="s">
        <v>5934</v>
      </c>
      <c r="X754" s="59">
        <v>45831.604166666657</v>
      </c>
      <c r="Y754" s="25" t="s">
        <v>5935</v>
      </c>
      <c r="Z754" s="25">
        <v>0.5</v>
      </c>
      <c r="AA754" s="25"/>
      <c r="AB754" s="25" t="s">
        <v>2521</v>
      </c>
      <c r="AC754" s="27" t="s">
        <v>5936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5305</v>
      </c>
      <c r="H755" s="25" t="s">
        <v>2507</v>
      </c>
      <c r="I755" s="25"/>
      <c r="J755" s="25"/>
      <c r="K755" s="25"/>
      <c r="L755" s="25"/>
      <c r="M755" s="26"/>
      <c r="N755" s="25"/>
      <c r="O755" s="26"/>
      <c r="P755" s="27"/>
      <c r="Q755" s="25" t="s">
        <v>2788</v>
      </c>
      <c r="R755" s="25" t="s">
        <v>2516</v>
      </c>
      <c r="S755" s="25" t="s">
        <v>25</v>
      </c>
      <c r="T755" s="25">
        <v>1</v>
      </c>
      <c r="U755" s="25" t="s">
        <v>2517</v>
      </c>
      <c r="V755" s="25" t="s">
        <v>5937</v>
      </c>
      <c r="W755" s="25" t="s">
        <v>5938</v>
      </c>
      <c r="X755" s="59">
        <v>45831.541666666657</v>
      </c>
      <c r="Y755" s="25"/>
      <c r="Z755" s="25">
        <v>3</v>
      </c>
      <c r="AA755" s="25"/>
      <c r="AB755" s="25" t="s">
        <v>2521</v>
      </c>
      <c r="AC755" s="27" t="s">
        <v>5939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4224</v>
      </c>
      <c r="H756" s="25" t="s">
        <v>2609</v>
      </c>
      <c r="I756" s="25"/>
      <c r="J756" s="25"/>
      <c r="K756" s="25"/>
      <c r="L756" s="25"/>
      <c r="M756" s="26"/>
      <c r="N756" s="25"/>
      <c r="O756" s="26"/>
      <c r="P756" s="27"/>
      <c r="Q756" s="25" t="s">
        <v>4227</v>
      </c>
      <c r="R756" s="25" t="s">
        <v>2516</v>
      </c>
      <c r="S756" s="25" t="s">
        <v>173</v>
      </c>
      <c r="T756" s="25">
        <v>1</v>
      </c>
      <c r="U756" s="25" t="s">
        <v>2517</v>
      </c>
      <c r="V756" s="25" t="s">
        <v>5940</v>
      </c>
      <c r="W756" s="25" t="s">
        <v>5941</v>
      </c>
      <c r="X756" s="59">
        <v>45831.649305555547</v>
      </c>
      <c r="Y756" s="25"/>
      <c r="Z756" s="25">
        <v>0.6</v>
      </c>
      <c r="AA756" s="25"/>
      <c r="AB756" s="25" t="s">
        <v>2521</v>
      </c>
      <c r="AC756" s="27" t="s">
        <v>4501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5942</v>
      </c>
      <c r="E757" s="25" t="s">
        <v>2504</v>
      </c>
      <c r="F757" s="25">
        <v>3840</v>
      </c>
      <c r="G757" s="25" t="s">
        <v>3851</v>
      </c>
      <c r="H757" s="25" t="s">
        <v>2507</v>
      </c>
      <c r="I757" s="25" t="s">
        <v>5943</v>
      </c>
      <c r="J757" s="25" t="s">
        <v>2661</v>
      </c>
      <c r="K757" s="25" t="s">
        <v>2510</v>
      </c>
      <c r="L757" s="25" t="s">
        <v>2537</v>
      </c>
      <c r="M757" s="26" t="s">
        <v>2538</v>
      </c>
      <c r="N757" s="25" t="s">
        <v>2539</v>
      </c>
      <c r="O757" s="26" t="s">
        <v>2540</v>
      </c>
      <c r="P757" s="27" t="s">
        <v>5944</v>
      </c>
      <c r="Q757" s="25" t="s">
        <v>3852</v>
      </c>
      <c r="R757" s="25" t="s">
        <v>2516</v>
      </c>
      <c r="S757" s="25" t="s">
        <v>25</v>
      </c>
      <c r="T757" s="25">
        <v>1</v>
      </c>
      <c r="U757" s="25" t="s">
        <v>2517</v>
      </c>
      <c r="V757" s="25" t="s">
        <v>5945</v>
      </c>
      <c r="W757" s="25" t="s">
        <v>5946</v>
      </c>
      <c r="X757" s="59">
        <v>45832.473611111112</v>
      </c>
      <c r="Y757" s="25" t="s">
        <v>5947</v>
      </c>
      <c r="Z757" s="25">
        <v>0.5</v>
      </c>
      <c r="AA757" s="25"/>
      <c r="AB757" s="25" t="s">
        <v>2521</v>
      </c>
      <c r="AC757" s="27" t="s">
        <v>5948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3868</v>
      </c>
      <c r="G758" s="25" t="s">
        <v>3869</v>
      </c>
      <c r="H758" s="25" t="s">
        <v>2507</v>
      </c>
      <c r="I758" s="25"/>
      <c r="J758" s="25"/>
      <c r="K758" s="25"/>
      <c r="L758" s="25"/>
      <c r="M758" s="26"/>
      <c r="N758" s="25"/>
      <c r="O758" s="26"/>
      <c r="P758" s="27"/>
      <c r="Q758" s="25" t="s">
        <v>3870</v>
      </c>
      <c r="R758" s="25" t="s">
        <v>2516</v>
      </c>
      <c r="S758" s="25" t="s">
        <v>25</v>
      </c>
      <c r="T758" s="25">
        <v>1</v>
      </c>
      <c r="U758" s="25" t="s">
        <v>2517</v>
      </c>
      <c r="V758" s="25" t="s">
        <v>5949</v>
      </c>
      <c r="W758" s="25" t="s">
        <v>5950</v>
      </c>
      <c r="X758" s="59">
        <v>45832.560416666667</v>
      </c>
      <c r="Y758" s="25"/>
      <c r="Z758" s="25">
        <v>0.6</v>
      </c>
      <c r="AA758" s="25"/>
      <c r="AB758" s="25" t="s">
        <v>2521</v>
      </c>
      <c r="AC758" s="27" t="s">
        <v>4501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5951</v>
      </c>
      <c r="H759" s="25" t="s">
        <v>2641</v>
      </c>
      <c r="I759" s="25"/>
      <c r="J759" s="25"/>
      <c r="K759" s="25"/>
      <c r="L759" s="25"/>
      <c r="M759" s="26"/>
      <c r="N759" s="25"/>
      <c r="O759" s="26"/>
      <c r="P759" s="27"/>
      <c r="Q759" s="25" t="s">
        <v>5952</v>
      </c>
      <c r="R759" s="25" t="s">
        <v>2516</v>
      </c>
      <c r="S759" s="25" t="s">
        <v>185</v>
      </c>
      <c r="T759" s="25">
        <v>1</v>
      </c>
      <c r="U759" s="25" t="s">
        <v>2517</v>
      </c>
      <c r="V759" s="25" t="s">
        <v>5953</v>
      </c>
      <c r="W759" s="25" t="s">
        <v>5954</v>
      </c>
      <c r="X759" s="59">
        <v>45832.583333333343</v>
      </c>
      <c r="Y759" s="25"/>
      <c r="Z759" s="25">
        <v>3</v>
      </c>
      <c r="AA759" s="25"/>
      <c r="AB759" s="25" t="s">
        <v>2521</v>
      </c>
      <c r="AC759" s="27" t="s">
        <v>3948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3822</v>
      </c>
      <c r="G760" s="25" t="s">
        <v>3823</v>
      </c>
      <c r="H760" s="25" t="s">
        <v>2507</v>
      </c>
      <c r="I760" s="25"/>
      <c r="J760" s="25"/>
      <c r="K760" s="25"/>
      <c r="L760" s="25"/>
      <c r="M760" s="26"/>
      <c r="N760" s="25"/>
      <c r="O760" s="26"/>
      <c r="P760" s="27"/>
      <c r="Q760" s="25" t="s">
        <v>3824</v>
      </c>
      <c r="R760" s="25" t="s">
        <v>2516</v>
      </c>
      <c r="S760" s="25" t="s">
        <v>25</v>
      </c>
      <c r="T760" s="25">
        <v>1</v>
      </c>
      <c r="U760" s="25" t="s">
        <v>2517</v>
      </c>
      <c r="V760" s="25" t="s">
        <v>5955</v>
      </c>
      <c r="W760" s="25" t="s">
        <v>5956</v>
      </c>
      <c r="X760" s="59">
        <v>45832.59652777778</v>
      </c>
      <c r="Y760" s="25"/>
      <c r="Z760" s="25">
        <v>0.7</v>
      </c>
      <c r="AA760" s="25"/>
      <c r="AB760" s="25" t="s">
        <v>2521</v>
      </c>
      <c r="AC760" s="27" t="s">
        <v>4501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2754</v>
      </c>
      <c r="H761" s="25" t="s">
        <v>2507</v>
      </c>
      <c r="I761" s="25"/>
      <c r="J761" s="25"/>
      <c r="K761" s="25"/>
      <c r="L761" s="25"/>
      <c r="M761" s="26"/>
      <c r="N761" s="25"/>
      <c r="O761" s="26"/>
      <c r="P761" s="27"/>
      <c r="Q761" s="25" t="s">
        <v>2755</v>
      </c>
      <c r="R761" s="25" t="s">
        <v>2516</v>
      </c>
      <c r="S761" s="25" t="s">
        <v>25</v>
      </c>
      <c r="T761" s="25">
        <v>1</v>
      </c>
      <c r="U761" s="25" t="s">
        <v>2517</v>
      </c>
      <c r="V761" s="25" t="s">
        <v>5957</v>
      </c>
      <c r="W761" s="25" t="s">
        <v>5958</v>
      </c>
      <c r="X761" s="59">
        <v>45832.635416666657</v>
      </c>
      <c r="Y761" s="25"/>
      <c r="Z761" s="25">
        <v>0.6</v>
      </c>
      <c r="AA761" s="25"/>
      <c r="AB761" s="25" t="s">
        <v>2521</v>
      </c>
      <c r="AC761" s="27" t="s">
        <v>4501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5959</v>
      </c>
      <c r="E762" s="25" t="s">
        <v>2504</v>
      </c>
      <c r="F762" s="25">
        <v>3380</v>
      </c>
      <c r="G762" s="25" t="s">
        <v>2710</v>
      </c>
      <c r="H762" s="25" t="s">
        <v>2659</v>
      </c>
      <c r="I762" s="25" t="s">
        <v>5960</v>
      </c>
      <c r="J762" s="25" t="s">
        <v>2661</v>
      </c>
      <c r="K762" s="25" t="s">
        <v>2510</v>
      </c>
      <c r="L762" s="25" t="s">
        <v>3483</v>
      </c>
      <c r="M762" s="26" t="s">
        <v>3484</v>
      </c>
      <c r="N762" s="25">
        <v>6003</v>
      </c>
      <c r="O762" s="26" t="s">
        <v>3152</v>
      </c>
      <c r="P762" s="27" t="s">
        <v>5961</v>
      </c>
      <c r="Q762" s="25" t="s">
        <v>2711</v>
      </c>
      <c r="R762" s="25" t="s">
        <v>2516</v>
      </c>
      <c r="S762" s="25" t="s">
        <v>185</v>
      </c>
      <c r="T762" s="25">
        <v>1</v>
      </c>
      <c r="U762" s="25" t="s">
        <v>2517</v>
      </c>
      <c r="V762" s="25" t="s">
        <v>5962</v>
      </c>
      <c r="W762" s="25" t="s">
        <v>5963</v>
      </c>
      <c r="X762" s="59">
        <v>45832.645833333343</v>
      </c>
      <c r="Y762" s="25" t="s">
        <v>5964</v>
      </c>
      <c r="Z762" s="25">
        <v>0.5</v>
      </c>
      <c r="AA762" s="25"/>
      <c r="AB762" s="25" t="s">
        <v>2521</v>
      </c>
      <c r="AC762" s="27" t="s">
        <v>5965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5966</v>
      </c>
      <c r="E763" s="25" t="s">
        <v>2504</v>
      </c>
      <c r="F763" s="25">
        <v>2069</v>
      </c>
      <c r="G763" s="25" t="s">
        <v>3806</v>
      </c>
      <c r="H763" s="25" t="s">
        <v>2609</v>
      </c>
      <c r="I763" s="25" t="s">
        <v>5967</v>
      </c>
      <c r="J763" s="25" t="s">
        <v>2509</v>
      </c>
      <c r="K763" s="25" t="s">
        <v>2717</v>
      </c>
      <c r="L763" s="25" t="s">
        <v>2611</v>
      </c>
      <c r="M763" s="26" t="s">
        <v>2612</v>
      </c>
      <c r="N763" s="25" t="s">
        <v>3526</v>
      </c>
      <c r="O763" s="26" t="s">
        <v>3152</v>
      </c>
      <c r="P763" s="27" t="s">
        <v>5968</v>
      </c>
      <c r="Q763" s="25" t="s">
        <v>3809</v>
      </c>
      <c r="R763" s="25" t="s">
        <v>2516</v>
      </c>
      <c r="S763" s="25" t="s">
        <v>173</v>
      </c>
      <c r="T763" s="25">
        <v>1</v>
      </c>
      <c r="U763" s="25" t="s">
        <v>2517</v>
      </c>
      <c r="V763" s="25" t="s">
        <v>5969</v>
      </c>
      <c r="W763" s="25" t="s">
        <v>5970</v>
      </c>
      <c r="X763" s="59">
        <v>45833.623611111107</v>
      </c>
      <c r="Y763" s="25" t="s">
        <v>5971</v>
      </c>
      <c r="Z763" s="25">
        <v>0.5</v>
      </c>
      <c r="AA763" s="25"/>
      <c r="AB763" s="25" t="s">
        <v>2915</v>
      </c>
      <c r="AC763" s="27" t="s">
        <v>2684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4487</v>
      </c>
      <c r="G764" s="25" t="s">
        <v>4488</v>
      </c>
      <c r="H764" s="25" t="s">
        <v>2996</v>
      </c>
      <c r="I764" s="25"/>
      <c r="J764" s="25"/>
      <c r="K764" s="25"/>
      <c r="L764" s="25"/>
      <c r="M764" s="26"/>
      <c r="N764" s="25"/>
      <c r="O764" s="26"/>
      <c r="P764" s="27"/>
      <c r="Q764" s="25" t="s">
        <v>4489</v>
      </c>
      <c r="R764" s="25" t="s">
        <v>2516</v>
      </c>
      <c r="S764" s="25" t="s">
        <v>185</v>
      </c>
      <c r="T764" s="25">
        <v>1</v>
      </c>
      <c r="U764" s="25" t="s">
        <v>2517</v>
      </c>
      <c r="V764" s="25" t="s">
        <v>5972</v>
      </c>
      <c r="W764" s="25" t="s">
        <v>5973</v>
      </c>
      <c r="X764" s="59">
        <v>45833.368055555547</v>
      </c>
      <c r="Y764" s="25"/>
      <c r="Z764" s="25">
        <v>0.3</v>
      </c>
      <c r="AA764" s="25"/>
      <c r="AB764" s="25" t="s">
        <v>2521</v>
      </c>
      <c r="AC764" s="27" t="s">
        <v>4690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5974</v>
      </c>
      <c r="E765" s="25" t="s">
        <v>2504</v>
      </c>
      <c r="F765" s="25">
        <v>2069</v>
      </c>
      <c r="G765" s="25" t="s">
        <v>3806</v>
      </c>
      <c r="H765" s="25" t="s">
        <v>2609</v>
      </c>
      <c r="I765" s="25" t="s">
        <v>5975</v>
      </c>
      <c r="J765" s="25" t="s">
        <v>2536</v>
      </c>
      <c r="K765" s="25" t="s">
        <v>2568</v>
      </c>
      <c r="L765" s="25" t="s">
        <v>2511</v>
      </c>
      <c r="M765" s="26" t="s">
        <v>2512</v>
      </c>
      <c r="N765" s="25">
        <v>2306</v>
      </c>
      <c r="O765" s="26" t="s">
        <v>2893</v>
      </c>
      <c r="P765" s="27" t="s">
        <v>5976</v>
      </c>
      <c r="Q765" s="25" t="s">
        <v>3809</v>
      </c>
      <c r="R765" s="25" t="s">
        <v>2516</v>
      </c>
      <c r="S765" s="25" t="s">
        <v>173</v>
      </c>
      <c r="T765" s="25">
        <v>1</v>
      </c>
      <c r="U765" s="25" t="s">
        <v>2517</v>
      </c>
      <c r="V765" s="25" t="s">
        <v>5977</v>
      </c>
      <c r="W765" s="25" t="s">
        <v>5978</v>
      </c>
      <c r="X765" s="59">
        <v>45833.694444444453</v>
      </c>
      <c r="Y765" s="25" t="s">
        <v>5979</v>
      </c>
      <c r="Z765" s="25">
        <v>0.9</v>
      </c>
      <c r="AA765" s="25"/>
      <c r="AB765" s="25" t="s">
        <v>2521</v>
      </c>
      <c r="AC765" s="27" t="s">
        <v>5980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4331</v>
      </c>
      <c r="G766" s="25" t="s">
        <v>4332</v>
      </c>
      <c r="H766" s="25" t="s">
        <v>2659</v>
      </c>
      <c r="I766" s="25"/>
      <c r="J766" s="25"/>
      <c r="K766" s="25"/>
      <c r="L766" s="25"/>
      <c r="M766" s="26"/>
      <c r="N766" s="25"/>
      <c r="O766" s="26"/>
      <c r="P766" s="27"/>
      <c r="Q766" s="25" t="s">
        <v>4333</v>
      </c>
      <c r="R766" s="25" t="s">
        <v>2516</v>
      </c>
      <c r="S766" s="25" t="s">
        <v>185</v>
      </c>
      <c r="T766" s="25">
        <v>1</v>
      </c>
      <c r="U766" s="25" t="s">
        <v>2517</v>
      </c>
      <c r="V766" s="25" t="s">
        <v>5981</v>
      </c>
      <c r="W766" s="25" t="s">
        <v>5982</v>
      </c>
      <c r="X766" s="59">
        <v>45833.555555555547</v>
      </c>
      <c r="Y766" s="25"/>
      <c r="Z766" s="25">
        <v>0.3</v>
      </c>
      <c r="AA766" s="25"/>
      <c r="AB766" s="25" t="s">
        <v>2521</v>
      </c>
      <c r="AC766" s="27" t="s">
        <v>4684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3175</v>
      </c>
      <c r="H767" s="25" t="s">
        <v>3171</v>
      </c>
      <c r="I767" s="25"/>
      <c r="J767" s="25"/>
      <c r="K767" s="25"/>
      <c r="L767" s="25"/>
      <c r="M767" s="26"/>
      <c r="N767" s="25"/>
      <c r="O767" s="26"/>
      <c r="P767" s="27"/>
      <c r="Q767" s="25" t="s">
        <v>3176</v>
      </c>
      <c r="R767" s="25" t="s">
        <v>2516</v>
      </c>
      <c r="S767" s="25" t="s">
        <v>25</v>
      </c>
      <c r="T767" s="25">
        <v>1</v>
      </c>
      <c r="U767" s="25" t="s">
        <v>2517</v>
      </c>
      <c r="V767" s="25" t="s">
        <v>5983</v>
      </c>
      <c r="W767" s="25" t="s">
        <v>5984</v>
      </c>
      <c r="X767" s="59">
        <v>45833.611111111109</v>
      </c>
      <c r="Y767" s="25"/>
      <c r="Z767" s="25">
        <v>0.4</v>
      </c>
      <c r="AA767" s="25"/>
      <c r="AB767" s="25" t="s">
        <v>2521</v>
      </c>
      <c r="AC767" s="27" t="s">
        <v>4565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4054</v>
      </c>
      <c r="H768" s="25" t="s">
        <v>1604</v>
      </c>
      <c r="I768" s="25"/>
      <c r="J768" s="25"/>
      <c r="K768" s="25"/>
      <c r="L768" s="25"/>
      <c r="M768" s="26"/>
      <c r="N768" s="25"/>
      <c r="O768" s="26"/>
      <c r="P768" s="27"/>
      <c r="Q768" s="25" t="s">
        <v>4055</v>
      </c>
      <c r="R768" s="25" t="s">
        <v>2516</v>
      </c>
      <c r="S768" s="25" t="s">
        <v>25</v>
      </c>
      <c r="T768" s="25">
        <v>1</v>
      </c>
      <c r="U768" s="25" t="s">
        <v>2517</v>
      </c>
      <c r="V768" s="25" t="s">
        <v>5985</v>
      </c>
      <c r="W768" s="25" t="s">
        <v>5986</v>
      </c>
      <c r="X768" s="59">
        <v>45833.677777777782</v>
      </c>
      <c r="Y768" s="25"/>
      <c r="Z768" s="25">
        <v>0.6</v>
      </c>
      <c r="AA768" s="25"/>
      <c r="AB768" s="25" t="s">
        <v>2521</v>
      </c>
      <c r="AC768" s="27" t="s">
        <v>4565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3806</v>
      </c>
      <c r="H769" s="25" t="s">
        <v>2609</v>
      </c>
      <c r="I769" s="25"/>
      <c r="J769" s="25"/>
      <c r="K769" s="25"/>
      <c r="L769" s="25"/>
      <c r="M769" s="26"/>
      <c r="N769" s="25"/>
      <c r="O769" s="26"/>
      <c r="P769" s="27"/>
      <c r="Q769" s="25" t="s">
        <v>3809</v>
      </c>
      <c r="R769" s="25" t="s">
        <v>2516</v>
      </c>
      <c r="S769" s="25" t="s">
        <v>173</v>
      </c>
      <c r="T769" s="25">
        <v>1</v>
      </c>
      <c r="U769" s="25" t="s">
        <v>2517</v>
      </c>
      <c r="V769" s="25" t="s">
        <v>5987</v>
      </c>
      <c r="W769" s="25" t="s">
        <v>5978</v>
      </c>
      <c r="X769" s="59">
        <v>45833.694444444453</v>
      </c>
      <c r="Y769" s="25"/>
      <c r="Z769" s="25">
        <v>0.9</v>
      </c>
      <c r="AA769" s="25"/>
      <c r="AB769" s="25" t="s">
        <v>2521</v>
      </c>
      <c r="AC769" s="27" t="s">
        <v>4501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5988</v>
      </c>
      <c r="E770" s="25" t="s">
        <v>2843</v>
      </c>
      <c r="F770" s="25">
        <v>5354</v>
      </c>
      <c r="G770" s="25" t="s">
        <v>5951</v>
      </c>
      <c r="H770" s="25" t="s">
        <v>2641</v>
      </c>
      <c r="I770" s="25" t="s">
        <v>5989</v>
      </c>
      <c r="J770" s="25" t="s">
        <v>2835</v>
      </c>
      <c r="K770" s="25" t="s">
        <v>2568</v>
      </c>
      <c r="L770" s="25" t="s">
        <v>4887</v>
      </c>
      <c r="M770" s="26" t="s">
        <v>4888</v>
      </c>
      <c r="N770" s="25">
        <v>3502</v>
      </c>
      <c r="O770" s="26" t="s">
        <v>5990</v>
      </c>
      <c r="P770" s="27" t="s">
        <v>5991</v>
      </c>
      <c r="Q770" s="25" t="s">
        <v>5952</v>
      </c>
      <c r="R770" s="25" t="s">
        <v>2516</v>
      </c>
      <c r="S770" s="25" t="s">
        <v>25</v>
      </c>
      <c r="T770" s="25">
        <v>1</v>
      </c>
      <c r="U770" s="25" t="s">
        <v>2517</v>
      </c>
      <c r="V770" s="25" t="s">
        <v>5992</v>
      </c>
      <c r="W770" s="25" t="s">
        <v>5993</v>
      </c>
      <c r="X770" s="59">
        <v>45834.481249999997</v>
      </c>
      <c r="Y770" s="25" t="s">
        <v>5994</v>
      </c>
      <c r="Z770" s="25">
        <v>0.5</v>
      </c>
      <c r="AA770" s="25"/>
      <c r="AB770" s="25" t="s">
        <v>2521</v>
      </c>
      <c r="AC770" s="27" t="s">
        <v>5995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5996</v>
      </c>
      <c r="E771" s="25" t="s">
        <v>2504</v>
      </c>
      <c r="F771" s="25">
        <v>2691</v>
      </c>
      <c r="G771" s="25" t="s">
        <v>2995</v>
      </c>
      <c r="H771" s="25" t="s">
        <v>2996</v>
      </c>
      <c r="I771" s="25" t="s">
        <v>5997</v>
      </c>
      <c r="J771" s="25" t="s">
        <v>2835</v>
      </c>
      <c r="K771" s="25" t="s">
        <v>2568</v>
      </c>
      <c r="L771" s="25" t="s">
        <v>2945</v>
      </c>
      <c r="M771" s="26" t="s">
        <v>2946</v>
      </c>
      <c r="N771" s="25" t="s">
        <v>3782</v>
      </c>
      <c r="O771" s="26" t="s">
        <v>2582</v>
      </c>
      <c r="P771" s="27" t="s">
        <v>5998</v>
      </c>
      <c r="Q771" s="25" t="s">
        <v>2997</v>
      </c>
      <c r="R771" s="25" t="s">
        <v>2516</v>
      </c>
      <c r="S771" s="25" t="s">
        <v>185</v>
      </c>
      <c r="T771" s="25">
        <v>1</v>
      </c>
      <c r="U771" s="25" t="s">
        <v>2517</v>
      </c>
      <c r="V771" s="25" t="s">
        <v>5999</v>
      </c>
      <c r="W771" s="25" t="s">
        <v>6000</v>
      </c>
      <c r="X771" s="59">
        <v>45834.479166666657</v>
      </c>
      <c r="Y771" s="25" t="s">
        <v>6001</v>
      </c>
      <c r="Z771" s="25">
        <v>0.5</v>
      </c>
      <c r="AA771" s="25"/>
      <c r="AB771" s="25" t="s">
        <v>2521</v>
      </c>
      <c r="AC771" s="27" t="s">
        <v>6002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6003</v>
      </c>
      <c r="E772" s="25" t="s">
        <v>2504</v>
      </c>
      <c r="F772" s="25">
        <v>3785</v>
      </c>
      <c r="G772" s="25" t="s">
        <v>3413</v>
      </c>
      <c r="H772" s="25" t="s">
        <v>2659</v>
      </c>
      <c r="I772" s="25" t="s">
        <v>6004</v>
      </c>
      <c r="J772" s="25" t="s">
        <v>2835</v>
      </c>
      <c r="K772" s="25" t="s">
        <v>2510</v>
      </c>
      <c r="L772" s="25" t="s">
        <v>4269</v>
      </c>
      <c r="M772" s="26" t="s">
        <v>4270</v>
      </c>
      <c r="N772" s="25">
        <v>2803</v>
      </c>
      <c r="O772" s="26" t="s">
        <v>5801</v>
      </c>
      <c r="P772" s="27" t="s">
        <v>6005</v>
      </c>
      <c r="Q772" s="25" t="s">
        <v>3414</v>
      </c>
      <c r="R772" s="25" t="s">
        <v>2516</v>
      </c>
      <c r="S772" s="25" t="s">
        <v>185</v>
      </c>
      <c r="T772" s="25">
        <v>1</v>
      </c>
      <c r="U772" s="25" t="s">
        <v>2517</v>
      </c>
      <c r="V772" s="25" t="s">
        <v>6006</v>
      </c>
      <c r="W772" s="25" t="s">
        <v>6007</v>
      </c>
      <c r="X772" s="59">
        <v>45835.385416666657</v>
      </c>
      <c r="Y772" s="25" t="s">
        <v>6008</v>
      </c>
      <c r="Z772" s="25">
        <v>0.5</v>
      </c>
      <c r="AA772" s="25"/>
      <c r="AB772" s="25" t="s">
        <v>2521</v>
      </c>
      <c r="AC772" s="27" t="s">
        <v>6009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4390</v>
      </c>
      <c r="H773" s="25" t="s">
        <v>2609</v>
      </c>
      <c r="I773" s="25"/>
      <c r="J773" s="25"/>
      <c r="K773" s="25"/>
      <c r="L773" s="25"/>
      <c r="M773" s="26"/>
      <c r="N773" s="25"/>
      <c r="O773" s="26"/>
      <c r="P773" s="27"/>
      <c r="Q773" s="25" t="s">
        <v>4391</v>
      </c>
      <c r="R773" s="25" t="s">
        <v>2516</v>
      </c>
      <c r="S773" s="25" t="s">
        <v>173</v>
      </c>
      <c r="T773" s="25">
        <v>1</v>
      </c>
      <c r="U773" s="25" t="s">
        <v>2517</v>
      </c>
      <c r="V773" s="25" t="s">
        <v>6010</v>
      </c>
      <c r="W773" s="25" t="s">
        <v>6011</v>
      </c>
      <c r="X773" s="59">
        <v>45834.631944444453</v>
      </c>
      <c r="Y773" s="25"/>
      <c r="Z773" s="25">
        <v>0.8</v>
      </c>
      <c r="AA773" s="25"/>
      <c r="AB773" s="25" t="s">
        <v>2521</v>
      </c>
      <c r="AC773" s="27" t="s">
        <v>4501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2890</v>
      </c>
      <c r="H774" s="25" t="s">
        <v>2609</v>
      </c>
      <c r="I774" s="25"/>
      <c r="J774" s="25"/>
      <c r="K774" s="25"/>
      <c r="L774" s="25"/>
      <c r="M774" s="26"/>
      <c r="N774" s="25"/>
      <c r="O774" s="26"/>
      <c r="P774" s="27"/>
      <c r="Q774" s="25" t="s">
        <v>2895</v>
      </c>
      <c r="R774" s="25" t="s">
        <v>2516</v>
      </c>
      <c r="S774" s="25" t="s">
        <v>173</v>
      </c>
      <c r="T774" s="25">
        <v>1</v>
      </c>
      <c r="U774" s="25" t="s">
        <v>2517</v>
      </c>
      <c r="V774" s="25" t="s">
        <v>6012</v>
      </c>
      <c r="W774" s="25" t="s">
        <v>6013</v>
      </c>
      <c r="X774" s="59">
        <v>45834.663194444453</v>
      </c>
      <c r="Y774" s="25"/>
      <c r="Z774" s="25">
        <v>0.3</v>
      </c>
      <c r="AA774" s="25"/>
      <c r="AB774" s="25" t="s">
        <v>2521</v>
      </c>
      <c r="AC774" s="27" t="s">
        <v>4501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6014</v>
      </c>
      <c r="E775" s="25" t="s">
        <v>2504</v>
      </c>
      <c r="F775" s="25">
        <v>4153</v>
      </c>
      <c r="G775" s="25" t="s">
        <v>4147</v>
      </c>
      <c r="H775" s="25" t="s">
        <v>1604</v>
      </c>
      <c r="I775" s="25" t="s">
        <v>6015</v>
      </c>
      <c r="J775" s="25" t="s">
        <v>2567</v>
      </c>
      <c r="K775" s="25" t="s">
        <v>2568</v>
      </c>
      <c r="L775" s="25" t="s">
        <v>2945</v>
      </c>
      <c r="M775" s="26" t="s">
        <v>2946</v>
      </c>
      <c r="N775" s="25" t="s">
        <v>3782</v>
      </c>
      <c r="O775" s="26" t="s">
        <v>2582</v>
      </c>
      <c r="P775" s="27" t="s">
        <v>5686</v>
      </c>
      <c r="Q775" s="25" t="s">
        <v>4148</v>
      </c>
      <c r="R775" s="25" t="s">
        <v>2516</v>
      </c>
      <c r="S775" s="25" t="s">
        <v>25</v>
      </c>
      <c r="T775" s="25">
        <v>1</v>
      </c>
      <c r="U775" s="25" t="s">
        <v>2517</v>
      </c>
      <c r="V775" s="25" t="s">
        <v>6016</v>
      </c>
      <c r="W775" s="25" t="s">
        <v>6017</v>
      </c>
      <c r="X775" s="59">
        <v>45835.524305555547</v>
      </c>
      <c r="Y775" s="25" t="s">
        <v>6018</v>
      </c>
      <c r="Z775" s="25">
        <v>0.5</v>
      </c>
      <c r="AA775" s="25"/>
      <c r="AB775" s="25" t="s">
        <v>2521</v>
      </c>
      <c r="AC775" s="27" t="s">
        <v>6019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6020</v>
      </c>
      <c r="E776" s="25" t="s">
        <v>2504</v>
      </c>
      <c r="F776" s="25">
        <v>2691</v>
      </c>
      <c r="G776" s="25" t="s">
        <v>2995</v>
      </c>
      <c r="H776" s="25" t="s">
        <v>2996</v>
      </c>
      <c r="I776" s="25" t="s">
        <v>6021</v>
      </c>
      <c r="J776" s="25" t="s">
        <v>2567</v>
      </c>
      <c r="K776" s="25" t="s">
        <v>2568</v>
      </c>
      <c r="L776" s="25" t="s">
        <v>2945</v>
      </c>
      <c r="M776" s="26" t="s">
        <v>2946</v>
      </c>
      <c r="N776" s="25" t="s">
        <v>4130</v>
      </c>
      <c r="O776" s="26" t="s">
        <v>3383</v>
      </c>
      <c r="P776" s="27" t="s">
        <v>6022</v>
      </c>
      <c r="Q776" s="25" t="s">
        <v>2997</v>
      </c>
      <c r="R776" s="25" t="s">
        <v>2516</v>
      </c>
      <c r="S776" s="25" t="s">
        <v>185</v>
      </c>
      <c r="T776" s="25">
        <v>1</v>
      </c>
      <c r="U776" s="25" t="s">
        <v>2517</v>
      </c>
      <c r="V776" s="25" t="s">
        <v>6023</v>
      </c>
      <c r="W776" s="25" t="s">
        <v>6024</v>
      </c>
      <c r="X776" s="59">
        <v>45835.451388888891</v>
      </c>
      <c r="Y776" s="25" t="s">
        <v>6025</v>
      </c>
      <c r="Z776" s="25">
        <v>0.5</v>
      </c>
      <c r="AA776" s="25"/>
      <c r="AB776" s="25" t="s">
        <v>2521</v>
      </c>
      <c r="AC776" s="27" t="s">
        <v>6026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6027</v>
      </c>
      <c r="E777" s="25" t="s">
        <v>2504</v>
      </c>
      <c r="F777" s="25">
        <v>4406</v>
      </c>
      <c r="G777" s="25" t="s">
        <v>3214</v>
      </c>
      <c r="H777" s="25" t="s">
        <v>2609</v>
      </c>
      <c r="I777" s="25" t="s">
        <v>6028</v>
      </c>
      <c r="J777" s="25" t="s">
        <v>2567</v>
      </c>
      <c r="K777" s="25" t="s">
        <v>2717</v>
      </c>
      <c r="L777" s="25" t="s">
        <v>3150</v>
      </c>
      <c r="M777" s="26" t="s">
        <v>3151</v>
      </c>
      <c r="N777" s="25">
        <v>5903</v>
      </c>
      <c r="O777" s="26" t="s">
        <v>3152</v>
      </c>
      <c r="P777" s="27" t="s">
        <v>6029</v>
      </c>
      <c r="Q777" s="25" t="s">
        <v>3217</v>
      </c>
      <c r="R777" s="25" t="s">
        <v>2516</v>
      </c>
      <c r="S777" s="25" t="s">
        <v>173</v>
      </c>
      <c r="T777" s="25">
        <v>1</v>
      </c>
      <c r="U777" s="25" t="s">
        <v>2517</v>
      </c>
      <c r="V777" s="25" t="s">
        <v>6030</v>
      </c>
      <c r="W777" s="25" t="s">
        <v>6031</v>
      </c>
      <c r="X777" s="59">
        <v>45838.629861111112</v>
      </c>
      <c r="Y777" s="25" t="s">
        <v>6032</v>
      </c>
      <c r="Z777" s="25">
        <v>0.6</v>
      </c>
      <c r="AA777" s="25"/>
      <c r="AB777" s="25" t="s">
        <v>2521</v>
      </c>
      <c r="AC777" s="27" t="s">
        <v>6033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6034</v>
      </c>
      <c r="E778" s="25" t="s">
        <v>2504</v>
      </c>
      <c r="F778" s="25">
        <v>2749</v>
      </c>
      <c r="G778" s="25" t="s">
        <v>3310</v>
      </c>
      <c r="H778" s="25" t="s">
        <v>1604</v>
      </c>
      <c r="I778" s="25" t="s">
        <v>6035</v>
      </c>
      <c r="J778" s="25" t="s">
        <v>2643</v>
      </c>
      <c r="K778" s="25" t="s">
        <v>2765</v>
      </c>
      <c r="L778" s="25" t="s">
        <v>2525</v>
      </c>
      <c r="M778" s="26" t="s">
        <v>2526</v>
      </c>
      <c r="N778" s="25">
        <v>5804</v>
      </c>
      <c r="O778" s="26" t="s">
        <v>2582</v>
      </c>
      <c r="P778" s="27" t="s">
        <v>6036</v>
      </c>
      <c r="Q778" s="25" t="s">
        <v>3311</v>
      </c>
      <c r="R778" s="25" t="s">
        <v>2516</v>
      </c>
      <c r="S778" s="25" t="s">
        <v>25</v>
      </c>
      <c r="T778" s="25">
        <v>1</v>
      </c>
      <c r="U778" s="25" t="s">
        <v>2517</v>
      </c>
      <c r="V778" s="25" t="s">
        <v>6037</v>
      </c>
      <c r="W778" s="25" t="s">
        <v>6038</v>
      </c>
      <c r="X778" s="59">
        <v>45838.568749999999</v>
      </c>
      <c r="Y778" s="25" t="s">
        <v>6039</v>
      </c>
      <c r="Z778" s="25">
        <v>0.5</v>
      </c>
      <c r="AA778" s="25"/>
      <c r="AB778" s="25" t="s">
        <v>2521</v>
      </c>
      <c r="AC778" s="27" t="s">
        <v>6040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6041</v>
      </c>
      <c r="E779" s="25" t="s">
        <v>2504</v>
      </c>
      <c r="F779" s="25">
        <v>4539</v>
      </c>
      <c r="G779" s="25" t="s">
        <v>2859</v>
      </c>
      <c r="H779" s="25" t="s">
        <v>2507</v>
      </c>
      <c r="I779" s="25" t="s">
        <v>6042</v>
      </c>
      <c r="J779" s="25" t="s">
        <v>2643</v>
      </c>
      <c r="K779" s="25" t="s">
        <v>2510</v>
      </c>
      <c r="L779" s="25" t="s">
        <v>2525</v>
      </c>
      <c r="M779" s="26" t="s">
        <v>2526</v>
      </c>
      <c r="N779" s="25">
        <v>5804</v>
      </c>
      <c r="O779" s="26" t="s">
        <v>2582</v>
      </c>
      <c r="P779" s="27" t="s">
        <v>6043</v>
      </c>
      <c r="Q779" s="25" t="s">
        <v>2860</v>
      </c>
      <c r="R779" s="25" t="s">
        <v>2516</v>
      </c>
      <c r="S779" s="25" t="s">
        <v>25</v>
      </c>
      <c r="T779" s="25">
        <v>1</v>
      </c>
      <c r="U779" s="25" t="s">
        <v>2517</v>
      </c>
      <c r="V779" s="25" t="s">
        <v>6044</v>
      </c>
      <c r="W779" s="25" t="s">
        <v>6045</v>
      </c>
      <c r="X779" s="59">
        <v>45838.461805555547</v>
      </c>
      <c r="Y779" s="25" t="s">
        <v>6039</v>
      </c>
      <c r="Z779" s="25">
        <v>0.5</v>
      </c>
      <c r="AA779" s="25"/>
      <c r="AB779" s="25" t="s">
        <v>2521</v>
      </c>
      <c r="AC779" s="27" t="s">
        <v>6046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6047</v>
      </c>
      <c r="E780" s="25" t="s">
        <v>2843</v>
      </c>
      <c r="F780" s="25">
        <v>3399</v>
      </c>
      <c r="G780" s="25" t="s">
        <v>2890</v>
      </c>
      <c r="H780" s="25" t="s">
        <v>2609</v>
      </c>
      <c r="I780" s="25" t="s">
        <v>6048</v>
      </c>
      <c r="J780" s="25" t="s">
        <v>2661</v>
      </c>
      <c r="K780" s="25" t="s">
        <v>2568</v>
      </c>
      <c r="L780" s="25" t="s">
        <v>2846</v>
      </c>
      <c r="M780" s="26" t="s">
        <v>2847</v>
      </c>
      <c r="N780" s="25">
        <v>2401</v>
      </c>
      <c r="O780" s="26" t="s">
        <v>2848</v>
      </c>
      <c r="P780" s="27" t="s">
        <v>6049</v>
      </c>
      <c r="Q780" s="25" t="s">
        <v>2895</v>
      </c>
      <c r="R780" s="25" t="s">
        <v>2516</v>
      </c>
      <c r="S780" s="25" t="s">
        <v>173</v>
      </c>
      <c r="T780" s="25">
        <v>1</v>
      </c>
      <c r="U780" s="25" t="s">
        <v>2517</v>
      </c>
      <c r="V780" s="25" t="s">
        <v>6050</v>
      </c>
      <c r="W780" s="25" t="s">
        <v>6051</v>
      </c>
      <c r="X780" s="59">
        <v>45838.533333333333</v>
      </c>
      <c r="Y780" s="25" t="s">
        <v>6052</v>
      </c>
      <c r="Z780" s="25">
        <v>0.4</v>
      </c>
      <c r="AA780" s="25"/>
      <c r="AB780" s="25" t="s">
        <v>2521</v>
      </c>
      <c r="AC780" s="27" t="s">
        <v>6053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3310</v>
      </c>
      <c r="H781" s="25" t="s">
        <v>1604</v>
      </c>
      <c r="I781" s="25"/>
      <c r="J781" s="25"/>
      <c r="K781" s="25"/>
      <c r="L781" s="25"/>
      <c r="M781" s="26"/>
      <c r="N781" s="25"/>
      <c r="O781" s="26"/>
      <c r="P781" s="27"/>
      <c r="Q781" s="25" t="s">
        <v>3311</v>
      </c>
      <c r="R781" s="25" t="s">
        <v>2516</v>
      </c>
      <c r="S781" s="25" t="s">
        <v>25</v>
      </c>
      <c r="T781" s="25">
        <v>1</v>
      </c>
      <c r="U781" s="25" t="s">
        <v>2517</v>
      </c>
      <c r="V781" s="25" t="s">
        <v>6054</v>
      </c>
      <c r="W781" s="25" t="s">
        <v>6055</v>
      </c>
      <c r="X781" s="59">
        <v>45838.565972222219</v>
      </c>
      <c r="Y781" s="25"/>
      <c r="Z781" s="25">
        <v>0.9</v>
      </c>
      <c r="AA781" s="25"/>
      <c r="AB781" s="25" t="s">
        <v>2521</v>
      </c>
      <c r="AC781" s="27" t="s">
        <v>4469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4278</v>
      </c>
      <c r="G782" s="25" t="s">
        <v>4279</v>
      </c>
      <c r="H782" s="25" t="s">
        <v>2609</v>
      </c>
      <c r="I782" s="25"/>
      <c r="J782" s="25"/>
      <c r="K782" s="25"/>
      <c r="L782" s="25"/>
      <c r="M782" s="26"/>
      <c r="N782" s="25"/>
      <c r="O782" s="26"/>
      <c r="P782" s="27"/>
      <c r="Q782" s="25" t="s">
        <v>4280</v>
      </c>
      <c r="R782" s="25" t="s">
        <v>2516</v>
      </c>
      <c r="S782" s="25" t="s">
        <v>173</v>
      </c>
      <c r="T782" s="25">
        <v>1</v>
      </c>
      <c r="U782" s="25" t="s">
        <v>2517</v>
      </c>
      <c r="V782" s="25" t="s">
        <v>6056</v>
      </c>
      <c r="W782" s="25" t="s">
        <v>6057</v>
      </c>
      <c r="X782" s="59">
        <v>45838.579861111109</v>
      </c>
      <c r="Y782" s="25"/>
      <c r="Z782" s="25">
        <v>0.7</v>
      </c>
      <c r="AA782" s="25"/>
      <c r="AB782" s="25" t="s">
        <v>2521</v>
      </c>
      <c r="AC782" s="27" t="s">
        <v>4501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4288</v>
      </c>
      <c r="H783" s="25" t="s">
        <v>2609</v>
      </c>
      <c r="I783" s="25"/>
      <c r="J783" s="25"/>
      <c r="K783" s="25"/>
      <c r="L783" s="25"/>
      <c r="M783" s="26"/>
      <c r="N783" s="25"/>
      <c r="O783" s="26"/>
      <c r="P783" s="27"/>
      <c r="Q783" s="25" t="s">
        <v>4289</v>
      </c>
      <c r="R783" s="25" t="s">
        <v>2516</v>
      </c>
      <c r="S783" s="25" t="s">
        <v>173</v>
      </c>
      <c r="T783" s="25">
        <v>1</v>
      </c>
      <c r="U783" s="25" t="s">
        <v>2517</v>
      </c>
      <c r="V783" s="25" t="s">
        <v>6058</v>
      </c>
      <c r="W783" s="25" t="s">
        <v>6059</v>
      </c>
      <c r="X783" s="59">
        <v>45838.614583333343</v>
      </c>
      <c r="Y783" s="25"/>
      <c r="Z783" s="25">
        <v>0.5</v>
      </c>
      <c r="AA783" s="25"/>
      <c r="AB783" s="25" t="s">
        <v>2521</v>
      </c>
      <c r="AC783" s="27" t="s">
        <v>5313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3330</v>
      </c>
      <c r="H784" s="25" t="s">
        <v>3248</v>
      </c>
      <c r="I784" s="25"/>
      <c r="J784" s="25"/>
      <c r="K784" s="25"/>
      <c r="L784" s="25"/>
      <c r="M784" s="26"/>
      <c r="N784" s="25"/>
      <c r="O784" s="26"/>
      <c r="P784" s="27"/>
      <c r="Q784" s="25" t="s">
        <v>3331</v>
      </c>
      <c r="R784" s="25" t="s">
        <v>2516</v>
      </c>
      <c r="S784" s="25" t="s">
        <v>25</v>
      </c>
      <c r="T784" s="25">
        <v>1</v>
      </c>
      <c r="U784" s="25" t="s">
        <v>2517</v>
      </c>
      <c r="V784" s="25" t="s">
        <v>6060</v>
      </c>
      <c r="W784" s="25" t="s">
        <v>6061</v>
      </c>
      <c r="X784" s="59">
        <v>45838.620138888888</v>
      </c>
      <c r="Y784" s="25"/>
      <c r="Z784" s="25">
        <v>0.9</v>
      </c>
      <c r="AA784" s="25"/>
      <c r="AB784" s="25" t="s">
        <v>2521</v>
      </c>
      <c r="AC784" s="27" t="s">
        <v>4469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4447</v>
      </c>
      <c r="G785" s="25" t="s">
        <v>4448</v>
      </c>
      <c r="H785" s="25" t="s">
        <v>2609</v>
      </c>
      <c r="I785" s="25"/>
      <c r="J785" s="25"/>
      <c r="K785" s="25"/>
      <c r="L785" s="25"/>
      <c r="M785" s="26"/>
      <c r="N785" s="25"/>
      <c r="O785" s="26"/>
      <c r="P785" s="27"/>
      <c r="Q785" s="25" t="s">
        <v>4449</v>
      </c>
      <c r="R785" s="25" t="s">
        <v>2516</v>
      </c>
      <c r="S785" s="25" t="s">
        <v>173</v>
      </c>
      <c r="T785" s="25">
        <v>1</v>
      </c>
      <c r="U785" s="25" t="s">
        <v>2517</v>
      </c>
      <c r="V785" s="25" t="s">
        <v>6062</v>
      </c>
      <c r="W785" s="25" t="s">
        <v>6063</v>
      </c>
      <c r="X785" s="59">
        <v>45838.643750000003</v>
      </c>
      <c r="Y785" s="25"/>
      <c r="Z785" s="25">
        <v>0.3</v>
      </c>
      <c r="AA785" s="25"/>
      <c r="AB785" s="25" t="s">
        <v>2521</v>
      </c>
      <c r="AC785" s="27" t="s">
        <v>4684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4045</v>
      </c>
      <c r="H786" s="25" t="s">
        <v>1604</v>
      </c>
      <c r="I786" s="25"/>
      <c r="J786" s="25"/>
      <c r="K786" s="25"/>
      <c r="L786" s="25"/>
      <c r="M786" s="26"/>
      <c r="N786" s="25"/>
      <c r="O786" s="26"/>
      <c r="P786" s="27"/>
      <c r="Q786" s="25" t="s">
        <v>4048</v>
      </c>
      <c r="R786" s="25" t="s">
        <v>2516</v>
      </c>
      <c r="S786" s="25" t="s">
        <v>25</v>
      </c>
      <c r="T786" s="25">
        <v>1</v>
      </c>
      <c r="U786" s="25" t="s">
        <v>2517</v>
      </c>
      <c r="V786" s="25" t="s">
        <v>6064</v>
      </c>
      <c r="W786" s="25" t="s">
        <v>6065</v>
      </c>
      <c r="X786" s="59">
        <v>45838.681250000001</v>
      </c>
      <c r="Y786" s="25"/>
      <c r="Z786" s="25">
        <v>0.4</v>
      </c>
      <c r="AA786" s="25"/>
      <c r="AB786" s="25" t="s">
        <v>2521</v>
      </c>
      <c r="AC786" s="27" t="s">
        <v>4469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6066</v>
      </c>
      <c r="E787" s="25" t="s">
        <v>2504</v>
      </c>
      <c r="F787" s="25">
        <v>4260</v>
      </c>
      <c r="G787" s="25" t="s">
        <v>5305</v>
      </c>
      <c r="H787" s="25" t="s">
        <v>2507</v>
      </c>
      <c r="I787" s="25" t="s">
        <v>6067</v>
      </c>
      <c r="J787" s="25" t="s">
        <v>2661</v>
      </c>
      <c r="K787" s="25" t="s">
        <v>2717</v>
      </c>
      <c r="L787" s="25" t="s">
        <v>4472</v>
      </c>
      <c r="M787" s="26" t="s">
        <v>4473</v>
      </c>
      <c r="N787" s="25" t="s">
        <v>4474</v>
      </c>
      <c r="O787" s="26" t="s">
        <v>4475</v>
      </c>
      <c r="P787" s="27" t="s">
        <v>6068</v>
      </c>
      <c r="Q787" s="25" t="s">
        <v>2788</v>
      </c>
      <c r="R787" s="25" t="s">
        <v>2516</v>
      </c>
      <c r="S787" s="25" t="s">
        <v>25</v>
      </c>
      <c r="T787" s="25">
        <v>1</v>
      </c>
      <c r="U787" s="25" t="s">
        <v>2517</v>
      </c>
      <c r="V787" s="25" t="s">
        <v>6069</v>
      </c>
      <c r="W787" s="25" t="s">
        <v>6070</v>
      </c>
      <c r="X787" s="59">
        <v>45839.522222222222</v>
      </c>
      <c r="Y787" s="25" t="s">
        <v>6071</v>
      </c>
      <c r="Z787" s="25">
        <v>1</v>
      </c>
      <c r="AA787" s="25"/>
      <c r="AB787" s="25" t="s">
        <v>2521</v>
      </c>
      <c r="AC787" s="27" t="s">
        <v>6072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6073</v>
      </c>
      <c r="E788" s="25" t="s">
        <v>2504</v>
      </c>
      <c r="F788" s="25">
        <v>3853</v>
      </c>
      <c r="G788" s="25" t="s">
        <v>3108</v>
      </c>
      <c r="H788" s="25" t="s">
        <v>2609</v>
      </c>
      <c r="I788" s="25" t="s">
        <v>6074</v>
      </c>
      <c r="J788" s="25" t="s">
        <v>2509</v>
      </c>
      <c r="K788" s="25" t="s">
        <v>2510</v>
      </c>
      <c r="L788" s="25" t="s">
        <v>2537</v>
      </c>
      <c r="M788" s="26" t="s">
        <v>2538</v>
      </c>
      <c r="N788" s="25" t="s">
        <v>2539</v>
      </c>
      <c r="O788" s="26" t="s">
        <v>2540</v>
      </c>
      <c r="P788" s="27" t="s">
        <v>6075</v>
      </c>
      <c r="Q788" s="25" t="s">
        <v>3113</v>
      </c>
      <c r="R788" s="25" t="s">
        <v>2516</v>
      </c>
      <c r="S788" s="25" t="s">
        <v>173</v>
      </c>
      <c r="T788" s="25">
        <v>1</v>
      </c>
      <c r="U788" s="25" t="s">
        <v>2517</v>
      </c>
      <c r="V788" s="25" t="s">
        <v>6076</v>
      </c>
      <c r="W788" s="25" t="s">
        <v>6077</v>
      </c>
      <c r="X788" s="59">
        <v>45840.496527777781</v>
      </c>
      <c r="Y788" s="25" t="s">
        <v>6078</v>
      </c>
      <c r="Z788" s="25">
        <v>0.5</v>
      </c>
      <c r="AA788" s="25"/>
      <c r="AB788" s="25" t="s">
        <v>2521</v>
      </c>
      <c r="AC788" s="27" t="s">
        <v>6079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6080</v>
      </c>
      <c r="E789" s="25" t="s">
        <v>2504</v>
      </c>
      <c r="F789" s="25">
        <v>3853</v>
      </c>
      <c r="G789" s="25" t="s">
        <v>3108</v>
      </c>
      <c r="H789" s="25" t="s">
        <v>2609</v>
      </c>
      <c r="I789" s="25" t="s">
        <v>6081</v>
      </c>
      <c r="J789" s="25" t="s">
        <v>2509</v>
      </c>
      <c r="K789" s="25" t="s">
        <v>2510</v>
      </c>
      <c r="L789" s="25" t="s">
        <v>2537</v>
      </c>
      <c r="M789" s="26" t="s">
        <v>2538</v>
      </c>
      <c r="N789" s="25" t="s">
        <v>2539</v>
      </c>
      <c r="O789" s="26" t="s">
        <v>2540</v>
      </c>
      <c r="P789" s="27" t="s">
        <v>6082</v>
      </c>
      <c r="Q789" s="25" t="s">
        <v>3113</v>
      </c>
      <c r="R789" s="25" t="s">
        <v>2516</v>
      </c>
      <c r="S789" s="25" t="s">
        <v>173</v>
      </c>
      <c r="T789" s="25">
        <v>1</v>
      </c>
      <c r="U789" s="25" t="s">
        <v>2517</v>
      </c>
      <c r="V789" s="25" t="s">
        <v>6083</v>
      </c>
      <c r="W789" s="25" t="s">
        <v>6084</v>
      </c>
      <c r="X789" s="59">
        <v>45840.496527777781</v>
      </c>
      <c r="Y789" s="25" t="s">
        <v>6085</v>
      </c>
      <c r="Z789" s="25">
        <v>0.5</v>
      </c>
      <c r="AA789" s="25"/>
      <c r="AB789" s="25" t="s">
        <v>2521</v>
      </c>
      <c r="AC789" s="27" t="s">
        <v>6086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3667</v>
      </c>
      <c r="H790" s="25" t="s">
        <v>2507</v>
      </c>
      <c r="I790" s="25"/>
      <c r="J790" s="25"/>
      <c r="K790" s="25"/>
      <c r="L790" s="25"/>
      <c r="M790" s="26"/>
      <c r="N790" s="25"/>
      <c r="O790" s="26"/>
      <c r="P790" s="27"/>
      <c r="Q790" s="25" t="s">
        <v>3670</v>
      </c>
      <c r="R790" s="25" t="s">
        <v>2516</v>
      </c>
      <c r="S790" s="25" t="s">
        <v>25</v>
      </c>
      <c r="T790" s="25">
        <v>1</v>
      </c>
      <c r="U790" s="25" t="s">
        <v>2517</v>
      </c>
      <c r="V790" s="25" t="s">
        <v>6087</v>
      </c>
      <c r="W790" s="25" t="s">
        <v>6088</v>
      </c>
      <c r="X790" s="59">
        <v>45840.494444444441</v>
      </c>
      <c r="Y790" s="25"/>
      <c r="Z790" s="25">
        <v>1.2</v>
      </c>
      <c r="AA790" s="25"/>
      <c r="AB790" s="25" t="s">
        <v>2521</v>
      </c>
      <c r="AC790" s="27" t="s">
        <v>6089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3108</v>
      </c>
      <c r="H791" s="25" t="s">
        <v>2609</v>
      </c>
      <c r="I791" s="25"/>
      <c r="J791" s="25"/>
      <c r="K791" s="25"/>
      <c r="L791" s="25"/>
      <c r="M791" s="26"/>
      <c r="N791" s="25"/>
      <c r="O791" s="26"/>
      <c r="P791" s="27"/>
      <c r="Q791" s="25" t="s">
        <v>3113</v>
      </c>
      <c r="R791" s="25" t="s">
        <v>2516</v>
      </c>
      <c r="S791" s="25" t="s">
        <v>173</v>
      </c>
      <c r="T791" s="25">
        <v>1</v>
      </c>
      <c r="U791" s="25" t="s">
        <v>2517</v>
      </c>
      <c r="V791" s="25" t="s">
        <v>6090</v>
      </c>
      <c r="W791" s="25" t="s">
        <v>6084</v>
      </c>
      <c r="X791" s="59">
        <v>45840.496527777781</v>
      </c>
      <c r="Y791" s="25"/>
      <c r="Z791" s="25">
        <v>0.5</v>
      </c>
      <c r="AA791" s="25"/>
      <c r="AB791" s="25" t="s">
        <v>2521</v>
      </c>
      <c r="AC791" s="29" t="s">
        <v>6091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3689</v>
      </c>
      <c r="H792" s="25" t="s">
        <v>2507</v>
      </c>
      <c r="I792" s="25"/>
      <c r="J792" s="25"/>
      <c r="K792" s="25"/>
      <c r="L792" s="25"/>
      <c r="M792" s="26"/>
      <c r="N792" s="25"/>
      <c r="O792" s="26"/>
      <c r="P792" s="27"/>
      <c r="Q792" s="25" t="s">
        <v>3690</v>
      </c>
      <c r="R792" s="25" t="s">
        <v>2516</v>
      </c>
      <c r="S792" s="25" t="s">
        <v>25</v>
      </c>
      <c r="T792" s="25">
        <v>1</v>
      </c>
      <c r="U792" s="25" t="s">
        <v>2517</v>
      </c>
      <c r="V792" s="25" t="s">
        <v>6092</v>
      </c>
      <c r="W792" s="25" t="s">
        <v>6093</v>
      </c>
      <c r="X792" s="59">
        <v>45840.546527777777</v>
      </c>
      <c r="Y792" s="25"/>
      <c r="Z792" s="25">
        <v>1.1000000000000001</v>
      </c>
      <c r="AA792" s="25"/>
      <c r="AB792" s="25" t="s">
        <v>2521</v>
      </c>
      <c r="AC792" s="27" t="s">
        <v>6094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2593</v>
      </c>
      <c r="H793" s="25" t="s">
        <v>2507</v>
      </c>
      <c r="I793" s="25"/>
      <c r="J793" s="25"/>
      <c r="K793" s="25"/>
      <c r="L793" s="25"/>
      <c r="M793" s="26"/>
      <c r="N793" s="25"/>
      <c r="O793" s="26"/>
      <c r="P793" s="27"/>
      <c r="Q793" s="25" t="s">
        <v>2600</v>
      </c>
      <c r="R793" s="25" t="s">
        <v>2516</v>
      </c>
      <c r="S793" s="25" t="s">
        <v>25</v>
      </c>
      <c r="T793" s="25">
        <v>1</v>
      </c>
      <c r="U793" s="25" t="s">
        <v>2517</v>
      </c>
      <c r="V793" s="25" t="s">
        <v>6095</v>
      </c>
      <c r="W793" s="25" t="s">
        <v>6096</v>
      </c>
      <c r="X793" s="59">
        <v>45840.627083333333</v>
      </c>
      <c r="Y793" s="25"/>
      <c r="Z793" s="25">
        <v>1.1000000000000001</v>
      </c>
      <c r="AA793" s="25"/>
      <c r="AB793" s="25" t="s">
        <v>2521</v>
      </c>
      <c r="AC793" s="27" t="s">
        <v>6089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3693</v>
      </c>
      <c r="H794" s="25" t="s">
        <v>2507</v>
      </c>
      <c r="I794" s="25"/>
      <c r="J794" s="25"/>
      <c r="K794" s="25"/>
      <c r="L794" s="25"/>
      <c r="M794" s="26"/>
      <c r="N794" s="25"/>
      <c r="O794" s="26"/>
      <c r="P794" s="27"/>
      <c r="Q794" s="25" t="s">
        <v>3694</v>
      </c>
      <c r="R794" s="25" t="s">
        <v>2516</v>
      </c>
      <c r="S794" s="25" t="s">
        <v>25</v>
      </c>
      <c r="T794" s="25">
        <v>1</v>
      </c>
      <c r="U794" s="25" t="s">
        <v>2517</v>
      </c>
      <c r="V794" s="25" t="s">
        <v>6097</v>
      </c>
      <c r="W794" s="25" t="s">
        <v>6098</v>
      </c>
      <c r="X794" s="59">
        <v>45840.672222222223</v>
      </c>
      <c r="Y794" s="25"/>
      <c r="Z794" s="25">
        <v>1</v>
      </c>
      <c r="AA794" s="25"/>
      <c r="AB794" s="25" t="s">
        <v>2521</v>
      </c>
      <c r="AC794" s="27" t="s">
        <v>6094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3693</v>
      </c>
      <c r="H795" s="25" t="s">
        <v>2507</v>
      </c>
      <c r="I795" s="25"/>
      <c r="J795" s="25"/>
      <c r="K795" s="25"/>
      <c r="L795" s="25"/>
      <c r="M795" s="26"/>
      <c r="N795" s="25"/>
      <c r="O795" s="26"/>
      <c r="P795" s="27"/>
      <c r="Q795" s="25" t="s">
        <v>3694</v>
      </c>
      <c r="R795" s="25" t="s">
        <v>2516</v>
      </c>
      <c r="S795" s="25" t="s">
        <v>25</v>
      </c>
      <c r="T795" s="25">
        <v>1</v>
      </c>
      <c r="U795" s="25" t="s">
        <v>2517</v>
      </c>
      <c r="V795" s="25" t="s">
        <v>6099</v>
      </c>
      <c r="W795" s="25" t="s">
        <v>6098</v>
      </c>
      <c r="X795" s="59">
        <v>45840.672222222223</v>
      </c>
      <c r="Y795" s="25"/>
      <c r="Z795" s="25">
        <v>1</v>
      </c>
      <c r="AA795" s="25"/>
      <c r="AB795" s="25" t="s">
        <v>2521</v>
      </c>
      <c r="AC795" s="27" t="s">
        <v>6094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3697</v>
      </c>
      <c r="G796" s="25" t="s">
        <v>3698</v>
      </c>
      <c r="H796" s="25" t="s">
        <v>2507</v>
      </c>
      <c r="I796" s="25"/>
      <c r="J796" s="25"/>
      <c r="K796" s="25"/>
      <c r="L796" s="25"/>
      <c r="M796" s="26"/>
      <c r="N796" s="25"/>
      <c r="O796" s="26"/>
      <c r="P796" s="27"/>
      <c r="Q796" s="25" t="s">
        <v>3699</v>
      </c>
      <c r="R796" s="25" t="s">
        <v>2516</v>
      </c>
      <c r="S796" s="25" t="s">
        <v>25</v>
      </c>
      <c r="T796" s="25">
        <v>1</v>
      </c>
      <c r="U796" s="25" t="s">
        <v>2517</v>
      </c>
      <c r="V796" s="25" t="s">
        <v>6100</v>
      </c>
      <c r="W796" s="25" t="s">
        <v>6101</v>
      </c>
      <c r="X796" s="59">
        <v>45840.717361111107</v>
      </c>
      <c r="Y796" s="25"/>
      <c r="Z796" s="25">
        <v>0.9</v>
      </c>
      <c r="AA796" s="25"/>
      <c r="AB796" s="25" t="s">
        <v>2521</v>
      </c>
      <c r="AC796" s="27" t="s">
        <v>6094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6102</v>
      </c>
      <c r="E797" s="25" t="s">
        <v>2504</v>
      </c>
      <c r="F797" s="25">
        <v>4196</v>
      </c>
      <c r="G797" s="25" t="s">
        <v>3689</v>
      </c>
      <c r="H797" s="25" t="s">
        <v>2507</v>
      </c>
      <c r="I797" s="25" t="s">
        <v>6103</v>
      </c>
      <c r="J797" s="25" t="s">
        <v>2536</v>
      </c>
      <c r="K797" s="25" t="s">
        <v>2510</v>
      </c>
      <c r="L797" s="25" t="s">
        <v>2537</v>
      </c>
      <c r="M797" s="26" t="s">
        <v>2538</v>
      </c>
      <c r="N797" s="25" t="s">
        <v>2539</v>
      </c>
      <c r="O797" s="26" t="s">
        <v>2540</v>
      </c>
      <c r="P797" s="27" t="s">
        <v>6104</v>
      </c>
      <c r="Q797" s="25" t="s">
        <v>3690</v>
      </c>
      <c r="R797" s="25" t="s">
        <v>2516</v>
      </c>
      <c r="S797" s="25" t="s">
        <v>25</v>
      </c>
      <c r="T797" s="25">
        <v>1</v>
      </c>
      <c r="U797" s="25" t="s">
        <v>2517</v>
      </c>
      <c r="V797" s="25" t="s">
        <v>6105</v>
      </c>
      <c r="W797" s="25" t="s">
        <v>6106</v>
      </c>
      <c r="X797" s="59">
        <v>45841.48333333333</v>
      </c>
      <c r="Y797" s="25" t="s">
        <v>6107</v>
      </c>
      <c r="Z797" s="25">
        <v>0.6</v>
      </c>
      <c r="AA797" s="25"/>
      <c r="AB797" s="25" t="s">
        <v>2521</v>
      </c>
      <c r="AC797" s="27" t="s">
        <v>6108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3647</v>
      </c>
      <c r="H798" s="25" t="s">
        <v>2507</v>
      </c>
      <c r="I798" s="25"/>
      <c r="J798" s="25"/>
      <c r="K798" s="25"/>
      <c r="L798" s="25"/>
      <c r="M798" s="26"/>
      <c r="N798" s="25"/>
      <c r="O798" s="26"/>
      <c r="P798" s="27"/>
      <c r="Q798" s="25" t="s">
        <v>3650</v>
      </c>
      <c r="R798" s="25" t="s">
        <v>2516</v>
      </c>
      <c r="S798" s="25" t="s">
        <v>25</v>
      </c>
      <c r="T798" s="25">
        <v>1</v>
      </c>
      <c r="U798" s="25" t="s">
        <v>2517</v>
      </c>
      <c r="V798" s="25" t="s">
        <v>6109</v>
      </c>
      <c r="W798" s="25" t="s">
        <v>6110</v>
      </c>
      <c r="X798" s="59">
        <v>45841.533333333333</v>
      </c>
      <c r="Y798" s="25"/>
      <c r="Z798" s="25">
        <v>0.8</v>
      </c>
      <c r="AA798" s="25"/>
      <c r="AB798" s="25" t="s">
        <v>2521</v>
      </c>
      <c r="AC798" s="27" t="s">
        <v>6094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3133</v>
      </c>
      <c r="H799" s="25" t="s">
        <v>2659</v>
      </c>
      <c r="I799" s="25"/>
      <c r="J799" s="25"/>
      <c r="K799" s="25"/>
      <c r="L799" s="25"/>
      <c r="M799" s="26"/>
      <c r="N799" s="25"/>
      <c r="O799" s="26"/>
      <c r="P799" s="27"/>
      <c r="Q799" s="25" t="s">
        <v>3134</v>
      </c>
      <c r="R799" s="25" t="s">
        <v>2516</v>
      </c>
      <c r="S799" s="25" t="s">
        <v>185</v>
      </c>
      <c r="T799" s="25">
        <v>1</v>
      </c>
      <c r="U799" s="25" t="s">
        <v>2517</v>
      </c>
      <c r="V799" s="25" t="s">
        <v>6111</v>
      </c>
      <c r="W799" s="25" t="s">
        <v>6112</v>
      </c>
      <c r="X799" s="59">
        <v>45841.555555555547</v>
      </c>
      <c r="Y799" s="25"/>
      <c r="Z799" s="25">
        <v>0.3</v>
      </c>
      <c r="AA799" s="25"/>
      <c r="AB799" s="25" t="s">
        <v>2521</v>
      </c>
      <c r="AC799" s="27" t="s">
        <v>6091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2657</v>
      </c>
      <c r="G800" s="25" t="s">
        <v>2658</v>
      </c>
      <c r="H800" s="25" t="s">
        <v>2659</v>
      </c>
      <c r="I800" s="25"/>
      <c r="J800" s="25"/>
      <c r="K800" s="25"/>
      <c r="L800" s="25"/>
      <c r="M800" s="26"/>
      <c r="N800" s="25"/>
      <c r="O800" s="26"/>
      <c r="P800" s="27"/>
      <c r="Q800" s="25" t="s">
        <v>2666</v>
      </c>
      <c r="R800" s="25" t="s">
        <v>2516</v>
      </c>
      <c r="S800" s="25" t="s">
        <v>185</v>
      </c>
      <c r="T800" s="25">
        <v>1</v>
      </c>
      <c r="U800" s="25" t="s">
        <v>2517</v>
      </c>
      <c r="V800" s="25" t="s">
        <v>6113</v>
      </c>
      <c r="W800" s="25" t="s">
        <v>6114</v>
      </c>
      <c r="X800" s="59">
        <v>45841.569444444453</v>
      </c>
      <c r="Y800" s="25"/>
      <c r="Z800" s="25">
        <v>0.3</v>
      </c>
      <c r="AA800" s="25"/>
      <c r="AB800" s="25" t="s">
        <v>2521</v>
      </c>
      <c r="AC800" s="27" t="s">
        <v>6091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3593</v>
      </c>
      <c r="H801" s="25" t="s">
        <v>2507</v>
      </c>
      <c r="I801" s="25"/>
      <c r="J801" s="25"/>
      <c r="K801" s="25"/>
      <c r="L801" s="25"/>
      <c r="M801" s="26"/>
      <c r="N801" s="25"/>
      <c r="O801" s="26"/>
      <c r="P801" s="27"/>
      <c r="Q801" s="25" t="s">
        <v>3594</v>
      </c>
      <c r="R801" s="25" t="s">
        <v>2516</v>
      </c>
      <c r="S801" s="25" t="s">
        <v>25</v>
      </c>
      <c r="T801" s="25">
        <v>1</v>
      </c>
      <c r="U801" s="25" t="s">
        <v>2517</v>
      </c>
      <c r="V801" s="25" t="s">
        <v>6115</v>
      </c>
      <c r="W801" s="25" t="s">
        <v>6112</v>
      </c>
      <c r="X801" s="59">
        <v>45841.571527777778</v>
      </c>
      <c r="Y801" s="25"/>
      <c r="Z801" s="25">
        <v>0.7</v>
      </c>
      <c r="AA801" s="25"/>
      <c r="AB801" s="25" t="s">
        <v>2521</v>
      </c>
      <c r="AC801" s="27" t="s">
        <v>6094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2812</v>
      </c>
      <c r="G802" s="25" t="s">
        <v>2813</v>
      </c>
      <c r="H802" s="25" t="s">
        <v>2659</v>
      </c>
      <c r="I802" s="25"/>
      <c r="J802" s="25"/>
      <c r="K802" s="25"/>
      <c r="L802" s="25"/>
      <c r="M802" s="26"/>
      <c r="N802" s="25"/>
      <c r="O802" s="26"/>
      <c r="P802" s="27"/>
      <c r="Q802" s="25" t="s">
        <v>2814</v>
      </c>
      <c r="R802" s="25" t="s">
        <v>2516</v>
      </c>
      <c r="S802" s="25" t="s">
        <v>185</v>
      </c>
      <c r="T802" s="25">
        <v>1</v>
      </c>
      <c r="U802" s="25" t="s">
        <v>2517</v>
      </c>
      <c r="V802" s="25" t="s">
        <v>6116</v>
      </c>
      <c r="W802" s="25" t="s">
        <v>6117</v>
      </c>
      <c r="X802" s="59">
        <v>45841.583333333343</v>
      </c>
      <c r="Y802" s="25"/>
      <c r="Z802" s="25">
        <v>0.3</v>
      </c>
      <c r="AA802" s="25"/>
      <c r="AB802" s="25" t="s">
        <v>2521</v>
      </c>
      <c r="AC802" s="27" t="s">
        <v>6091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2803</v>
      </c>
      <c r="G803" s="25" t="s">
        <v>2804</v>
      </c>
      <c r="H803" s="25" t="s">
        <v>2659</v>
      </c>
      <c r="I803" s="25"/>
      <c r="J803" s="25"/>
      <c r="K803" s="25"/>
      <c r="L803" s="25"/>
      <c r="M803" s="26"/>
      <c r="N803" s="25"/>
      <c r="O803" s="26"/>
      <c r="P803" s="27"/>
      <c r="Q803" s="25" t="s">
        <v>2805</v>
      </c>
      <c r="R803" s="25" t="s">
        <v>2516</v>
      </c>
      <c r="S803" s="25" t="s">
        <v>185</v>
      </c>
      <c r="T803" s="25">
        <v>1</v>
      </c>
      <c r="U803" s="25" t="s">
        <v>2517</v>
      </c>
      <c r="V803" s="25" t="s">
        <v>6118</v>
      </c>
      <c r="W803" s="25" t="s">
        <v>6119</v>
      </c>
      <c r="X803" s="59">
        <v>45841.59375</v>
      </c>
      <c r="Y803" s="25"/>
      <c r="Z803" s="25">
        <v>0.3</v>
      </c>
      <c r="AA803" s="25"/>
      <c r="AB803" s="25" t="s">
        <v>2521</v>
      </c>
      <c r="AC803" s="27" t="s">
        <v>6091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3880</v>
      </c>
      <c r="H804" s="25" t="s">
        <v>2507</v>
      </c>
      <c r="I804" s="25"/>
      <c r="J804" s="25"/>
      <c r="K804" s="25"/>
      <c r="L804" s="25"/>
      <c r="M804" s="26"/>
      <c r="N804" s="25"/>
      <c r="O804" s="26"/>
      <c r="P804" s="27"/>
      <c r="Q804" s="25" t="s">
        <v>3881</v>
      </c>
      <c r="R804" s="25" t="s">
        <v>2516</v>
      </c>
      <c r="S804" s="25" t="s">
        <v>25</v>
      </c>
      <c r="T804" s="25">
        <v>1</v>
      </c>
      <c r="U804" s="25" t="s">
        <v>2517</v>
      </c>
      <c r="V804" s="25" t="s">
        <v>6120</v>
      </c>
      <c r="W804" s="25" t="s">
        <v>6119</v>
      </c>
      <c r="X804" s="59">
        <v>45841.623611111107</v>
      </c>
      <c r="Y804" s="25"/>
      <c r="Z804" s="25">
        <v>1</v>
      </c>
      <c r="AA804" s="25"/>
      <c r="AB804" s="25" t="s">
        <v>2521</v>
      </c>
      <c r="AC804" s="27" t="s">
        <v>6094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6121</v>
      </c>
      <c r="E805" s="25" t="s">
        <v>2504</v>
      </c>
      <c r="F805" s="25">
        <v>2303</v>
      </c>
      <c r="G805" s="25" t="s">
        <v>3880</v>
      </c>
      <c r="H805" s="25" t="s">
        <v>2507</v>
      </c>
      <c r="I805" s="25" t="s">
        <v>6122</v>
      </c>
      <c r="J805" s="25" t="s">
        <v>2835</v>
      </c>
      <c r="K805" s="25" t="s">
        <v>2510</v>
      </c>
      <c r="L805" s="25" t="s">
        <v>2511</v>
      </c>
      <c r="M805" s="26" t="s">
        <v>2512</v>
      </c>
      <c r="N805" s="25">
        <v>2305</v>
      </c>
      <c r="O805" s="26" t="s">
        <v>3035</v>
      </c>
      <c r="P805" s="27" t="s">
        <v>6123</v>
      </c>
      <c r="Q805" s="25" t="s">
        <v>3881</v>
      </c>
      <c r="R805" s="25" t="s">
        <v>2516</v>
      </c>
      <c r="S805" s="25" t="s">
        <v>25</v>
      </c>
      <c r="T805" s="25">
        <v>1</v>
      </c>
      <c r="U805" s="25" t="s">
        <v>2517</v>
      </c>
      <c r="V805" s="25" t="s">
        <v>6124</v>
      </c>
      <c r="W805" s="25" t="s">
        <v>6125</v>
      </c>
      <c r="X805" s="59">
        <v>45842.564583333333</v>
      </c>
      <c r="Y805" s="25" t="s">
        <v>6126</v>
      </c>
      <c r="Z805" s="25">
        <v>0.5</v>
      </c>
      <c r="AA805" s="25"/>
      <c r="AB805" s="25" t="s">
        <v>2521</v>
      </c>
      <c r="AC805" s="27" t="s">
        <v>6127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3544</v>
      </c>
      <c r="H806" s="25" t="s">
        <v>2507</v>
      </c>
      <c r="I806" s="25"/>
      <c r="J806" s="25"/>
      <c r="K806" s="25"/>
      <c r="L806" s="25"/>
      <c r="M806" s="26"/>
      <c r="N806" s="25"/>
      <c r="O806" s="26"/>
      <c r="P806" s="27"/>
      <c r="Q806" s="25" t="s">
        <v>3545</v>
      </c>
      <c r="R806" s="25" t="s">
        <v>2516</v>
      </c>
      <c r="S806" s="25" t="s">
        <v>25</v>
      </c>
      <c r="T806" s="25">
        <v>1</v>
      </c>
      <c r="U806" s="25" t="s">
        <v>2517</v>
      </c>
      <c r="V806" s="25" t="s">
        <v>6128</v>
      </c>
      <c r="W806" s="25" t="s">
        <v>6129</v>
      </c>
      <c r="X806" s="59">
        <v>45841.671527777777</v>
      </c>
      <c r="Y806" s="25"/>
      <c r="Z806" s="25">
        <v>1</v>
      </c>
      <c r="AA806" s="25"/>
      <c r="AB806" s="25" t="s">
        <v>2521</v>
      </c>
      <c r="AC806" s="27" t="s">
        <v>6094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3568</v>
      </c>
      <c r="H807" s="25" t="s">
        <v>2507</v>
      </c>
      <c r="I807" s="25"/>
      <c r="J807" s="25"/>
      <c r="K807" s="25"/>
      <c r="L807" s="25"/>
      <c r="M807" s="26"/>
      <c r="N807" s="25"/>
      <c r="O807" s="26"/>
      <c r="P807" s="27"/>
      <c r="Q807" s="25" t="s">
        <v>3569</v>
      </c>
      <c r="R807" s="25" t="s">
        <v>2516</v>
      </c>
      <c r="S807" s="25" t="s">
        <v>25</v>
      </c>
      <c r="T807" s="25">
        <v>1</v>
      </c>
      <c r="U807" s="25" t="s">
        <v>2517</v>
      </c>
      <c r="V807" s="25" t="s">
        <v>6130</v>
      </c>
      <c r="W807" s="25" t="s">
        <v>6131</v>
      </c>
      <c r="X807" s="59">
        <v>45841.709027777782</v>
      </c>
      <c r="Y807" s="25"/>
      <c r="Z807" s="25">
        <v>0.9</v>
      </c>
      <c r="AA807" s="25"/>
      <c r="AB807" s="25" t="s">
        <v>2521</v>
      </c>
      <c r="AC807" s="27" t="s">
        <v>6094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6132</v>
      </c>
      <c r="E808" s="25" t="s">
        <v>2504</v>
      </c>
      <c r="F808" s="25">
        <v>2301</v>
      </c>
      <c r="G808" s="25" t="s">
        <v>2733</v>
      </c>
      <c r="H808" s="25" t="s">
        <v>2641</v>
      </c>
      <c r="I808" s="25" t="s">
        <v>6133</v>
      </c>
      <c r="J808" s="25" t="s">
        <v>2567</v>
      </c>
      <c r="K808" s="25" t="s">
        <v>2765</v>
      </c>
      <c r="L808" s="25" t="s">
        <v>2525</v>
      </c>
      <c r="M808" s="26" t="s">
        <v>2526</v>
      </c>
      <c r="N808" s="25">
        <v>5804</v>
      </c>
      <c r="O808" s="26" t="s">
        <v>2582</v>
      </c>
      <c r="P808" s="27" t="s">
        <v>6134</v>
      </c>
      <c r="Q808" s="25" t="s">
        <v>2734</v>
      </c>
      <c r="R808" s="25" t="s">
        <v>2516</v>
      </c>
      <c r="S808" s="25" t="s">
        <v>25</v>
      </c>
      <c r="T808" s="25">
        <v>1</v>
      </c>
      <c r="U808" s="25" t="s">
        <v>2517</v>
      </c>
      <c r="V808" s="25" t="s">
        <v>6135</v>
      </c>
      <c r="W808" s="25" t="s">
        <v>6136</v>
      </c>
      <c r="X808" s="59">
        <v>45842.506249999999</v>
      </c>
      <c r="Y808" s="25" t="s">
        <v>6137</v>
      </c>
      <c r="Z808" s="25">
        <v>1.2</v>
      </c>
      <c r="AA808" s="25"/>
      <c r="AB808" s="25" t="s">
        <v>2521</v>
      </c>
      <c r="AC808" s="27" t="s">
        <v>6138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3137</v>
      </c>
      <c r="H809" s="25" t="s">
        <v>3138</v>
      </c>
      <c r="I809" s="25"/>
      <c r="J809" s="25"/>
      <c r="K809" s="25"/>
      <c r="L809" s="25"/>
      <c r="M809" s="26"/>
      <c r="N809" s="25"/>
      <c r="O809" s="26"/>
      <c r="P809" s="27"/>
      <c r="Q809" s="25" t="s">
        <v>3139</v>
      </c>
      <c r="R809" s="25" t="s">
        <v>2516</v>
      </c>
      <c r="S809" s="25" t="s">
        <v>185</v>
      </c>
      <c r="T809" s="25">
        <v>1</v>
      </c>
      <c r="U809" s="25" t="s">
        <v>2517</v>
      </c>
      <c r="V809" s="25" t="s">
        <v>6139</v>
      </c>
      <c r="W809" s="25" t="s">
        <v>6140</v>
      </c>
      <c r="X809" s="59">
        <v>45842.451388888891</v>
      </c>
      <c r="Y809" s="25"/>
      <c r="Z809" s="25">
        <v>0.3</v>
      </c>
      <c r="AA809" s="25"/>
      <c r="AB809" s="25" t="s">
        <v>2521</v>
      </c>
      <c r="AC809" s="27" t="s">
        <v>6091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3142</v>
      </c>
      <c r="H810" s="25" t="s">
        <v>3138</v>
      </c>
      <c r="I810" s="25"/>
      <c r="J810" s="25"/>
      <c r="K810" s="25"/>
      <c r="L810" s="25"/>
      <c r="M810" s="26"/>
      <c r="N810" s="25"/>
      <c r="O810" s="26"/>
      <c r="P810" s="27"/>
      <c r="Q810" s="25" t="s">
        <v>3143</v>
      </c>
      <c r="R810" s="25" t="s">
        <v>2516</v>
      </c>
      <c r="S810" s="25" t="s">
        <v>185</v>
      </c>
      <c r="T810" s="25">
        <v>1</v>
      </c>
      <c r="U810" s="25" t="s">
        <v>2517</v>
      </c>
      <c r="V810" s="25" t="s">
        <v>6141</v>
      </c>
      <c r="W810" s="25" t="s">
        <v>6142</v>
      </c>
      <c r="X810" s="59">
        <v>45842.472222222219</v>
      </c>
      <c r="Y810" s="25"/>
      <c r="Z810" s="25">
        <v>0.4</v>
      </c>
      <c r="AA810" s="25"/>
      <c r="AB810" s="25" t="s">
        <v>2521</v>
      </c>
      <c r="AC810" s="27" t="s">
        <v>6091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2733</v>
      </c>
      <c r="H811" s="25" t="s">
        <v>2641</v>
      </c>
      <c r="I811" s="25"/>
      <c r="J811" s="25"/>
      <c r="K811" s="25"/>
      <c r="L811" s="25"/>
      <c r="M811" s="26"/>
      <c r="N811" s="25"/>
      <c r="O811" s="26"/>
      <c r="P811" s="27"/>
      <c r="Q811" s="25" t="s">
        <v>2734</v>
      </c>
      <c r="R811" s="25" t="s">
        <v>2516</v>
      </c>
      <c r="S811" s="25" t="s">
        <v>25</v>
      </c>
      <c r="T811" s="25">
        <v>1</v>
      </c>
      <c r="U811" s="25" t="s">
        <v>2517</v>
      </c>
      <c r="V811" s="25" t="s">
        <v>6143</v>
      </c>
      <c r="W811" s="25" t="s">
        <v>6136</v>
      </c>
      <c r="X811" s="59">
        <v>45842.508333333331</v>
      </c>
      <c r="Y811" s="25"/>
      <c r="Z811" s="25">
        <v>1.2</v>
      </c>
      <c r="AA811" s="25"/>
      <c r="AB811" s="25" t="s">
        <v>2521</v>
      </c>
      <c r="AC811" s="27" t="s">
        <v>6094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2640</v>
      </c>
      <c r="H812" s="25" t="s">
        <v>2641</v>
      </c>
      <c r="I812" s="25"/>
      <c r="J812" s="25"/>
      <c r="K812" s="25"/>
      <c r="L812" s="25"/>
      <c r="M812" s="26"/>
      <c r="N812" s="25"/>
      <c r="O812" s="26"/>
      <c r="P812" s="27"/>
      <c r="Q812" s="25" t="s">
        <v>2645</v>
      </c>
      <c r="R812" s="25" t="s">
        <v>2516</v>
      </c>
      <c r="S812" s="25" t="s">
        <v>25</v>
      </c>
      <c r="T812" s="25">
        <v>1</v>
      </c>
      <c r="U812" s="25" t="s">
        <v>2517</v>
      </c>
      <c r="V812" s="25" t="s">
        <v>6144</v>
      </c>
      <c r="W812" s="25" t="s">
        <v>6145</v>
      </c>
      <c r="X812" s="59">
        <v>45842.530555555553</v>
      </c>
      <c r="Y812" s="25"/>
      <c r="Z812" s="25">
        <v>0.6</v>
      </c>
      <c r="AA812" s="25"/>
      <c r="AB812" s="25" t="s">
        <v>2521</v>
      </c>
      <c r="AC812" s="27" t="s">
        <v>6094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2943</v>
      </c>
      <c r="H813" s="25" t="s">
        <v>2507</v>
      </c>
      <c r="I813" s="25"/>
      <c r="J813" s="25"/>
      <c r="K813" s="25"/>
      <c r="L813" s="25"/>
      <c r="M813" s="26"/>
      <c r="N813" s="25"/>
      <c r="O813" s="26"/>
      <c r="P813" s="27"/>
      <c r="Q813" s="25" t="s">
        <v>2950</v>
      </c>
      <c r="R813" s="25" t="s">
        <v>2516</v>
      </c>
      <c r="S813" s="25" t="s">
        <v>25</v>
      </c>
      <c r="T813" s="25">
        <v>1</v>
      </c>
      <c r="U813" s="25" t="s">
        <v>2517</v>
      </c>
      <c r="V813" s="25" t="s">
        <v>6146</v>
      </c>
      <c r="W813" s="25" t="s">
        <v>6147</v>
      </c>
      <c r="X813" s="59">
        <v>45842.614583333343</v>
      </c>
      <c r="Y813" s="25"/>
      <c r="Z813" s="25">
        <v>0.9</v>
      </c>
      <c r="AA813" s="25"/>
      <c r="AB813" s="25" t="s">
        <v>2521</v>
      </c>
      <c r="AC813" s="27" t="s">
        <v>6094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3563</v>
      </c>
      <c r="G814" s="25" t="s">
        <v>3564</v>
      </c>
      <c r="H814" s="25" t="s">
        <v>2507</v>
      </c>
      <c r="I814" s="25"/>
      <c r="J814" s="25"/>
      <c r="K814" s="25"/>
      <c r="L814" s="25"/>
      <c r="M814" s="26"/>
      <c r="N814" s="25"/>
      <c r="O814" s="26"/>
      <c r="P814" s="27"/>
      <c r="Q814" s="25" t="s">
        <v>3565</v>
      </c>
      <c r="R814" s="25" t="s">
        <v>2516</v>
      </c>
      <c r="S814" s="25" t="s">
        <v>25</v>
      </c>
      <c r="T814" s="25">
        <v>1</v>
      </c>
      <c r="U814" s="25" t="s">
        <v>2517</v>
      </c>
      <c r="V814" s="25" t="s">
        <v>6148</v>
      </c>
      <c r="W814" s="25" t="s">
        <v>6149</v>
      </c>
      <c r="X814" s="59">
        <v>45842.651388888888</v>
      </c>
      <c r="Y814" s="25"/>
      <c r="Z814" s="25">
        <v>0.6</v>
      </c>
      <c r="AA814" s="25"/>
      <c r="AB814" s="25" t="s">
        <v>2521</v>
      </c>
      <c r="AC814" s="27" t="s">
        <v>6094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2534</v>
      </c>
      <c r="H815" s="25" t="s">
        <v>2507</v>
      </c>
      <c r="I815" s="25"/>
      <c r="J815" s="25"/>
      <c r="K815" s="25"/>
      <c r="L815" s="25"/>
      <c r="M815" s="26"/>
      <c r="N815" s="25"/>
      <c r="O815" s="26"/>
      <c r="P815" s="27"/>
      <c r="Q815" s="25" t="s">
        <v>2542</v>
      </c>
      <c r="R815" s="25" t="s">
        <v>2516</v>
      </c>
      <c r="S815" s="25" t="s">
        <v>25</v>
      </c>
      <c r="T815" s="25">
        <v>1</v>
      </c>
      <c r="U815" s="25" t="s">
        <v>2517</v>
      </c>
      <c r="V815" s="25" t="s">
        <v>6150</v>
      </c>
      <c r="W815" s="25" t="s">
        <v>6151</v>
      </c>
      <c r="X815" s="59">
        <v>45842.672222222223</v>
      </c>
      <c r="Y815" s="25"/>
      <c r="Z815" s="25">
        <v>0.5</v>
      </c>
      <c r="AA815" s="25"/>
      <c r="AB815" s="25" t="s">
        <v>2521</v>
      </c>
      <c r="AC815" s="27" t="s">
        <v>6094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6152</v>
      </c>
      <c r="E816" s="25" t="s">
        <v>2504</v>
      </c>
      <c r="F816" s="25">
        <v>2222</v>
      </c>
      <c r="G816" s="25" t="s">
        <v>3827</v>
      </c>
      <c r="H816" s="25" t="s">
        <v>2507</v>
      </c>
      <c r="I816" s="25" t="s">
        <v>6153</v>
      </c>
      <c r="J816" s="25" t="s">
        <v>2930</v>
      </c>
      <c r="K816" s="25" t="s">
        <v>2765</v>
      </c>
      <c r="L816" s="25" t="s">
        <v>2511</v>
      </c>
      <c r="M816" s="26" t="s">
        <v>2512</v>
      </c>
      <c r="N816" s="25">
        <v>2306</v>
      </c>
      <c r="O816" s="26" t="s">
        <v>2893</v>
      </c>
      <c r="P816" s="27" t="s">
        <v>6154</v>
      </c>
      <c r="Q816" s="25" t="s">
        <v>3828</v>
      </c>
      <c r="R816" s="25" t="s">
        <v>2516</v>
      </c>
      <c r="S816" s="25" t="s">
        <v>25</v>
      </c>
      <c r="T816" s="25">
        <v>1</v>
      </c>
      <c r="U816" s="25" t="s">
        <v>2517</v>
      </c>
      <c r="V816" s="25" t="s">
        <v>6155</v>
      </c>
      <c r="W816" s="25" t="s">
        <v>6156</v>
      </c>
      <c r="X816" s="59">
        <v>45845.465277777781</v>
      </c>
      <c r="Y816" s="25" t="s">
        <v>6157</v>
      </c>
      <c r="Z816" s="25">
        <v>0.5</v>
      </c>
      <c r="AA816" s="25"/>
      <c r="AB816" s="25" t="s">
        <v>2521</v>
      </c>
      <c r="AC816" s="27" t="s">
        <v>6158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2548</v>
      </c>
      <c r="H817" s="25" t="s">
        <v>2507</v>
      </c>
      <c r="I817" s="25"/>
      <c r="J817" s="25"/>
      <c r="K817" s="25"/>
      <c r="L817" s="25"/>
      <c r="M817" s="26"/>
      <c r="N817" s="25"/>
      <c r="O817" s="26"/>
      <c r="P817" s="27"/>
      <c r="Q817" s="25" t="s">
        <v>2552</v>
      </c>
      <c r="R817" s="25" t="s">
        <v>2516</v>
      </c>
      <c r="S817" s="25" t="s">
        <v>185</v>
      </c>
      <c r="T817" s="25">
        <v>1</v>
      </c>
      <c r="U817" s="25" t="s">
        <v>2517</v>
      </c>
      <c r="V817" s="25" t="s">
        <v>6159</v>
      </c>
      <c r="W817" s="25" t="s">
        <v>6160</v>
      </c>
      <c r="X817" s="59">
        <v>45844.666666666657</v>
      </c>
      <c r="Y817" s="25"/>
      <c r="Z817" s="25">
        <v>1.5</v>
      </c>
      <c r="AA817" s="25"/>
      <c r="AB817" s="25" t="s">
        <v>2521</v>
      </c>
      <c r="AC817" s="27" t="s">
        <v>6161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2548</v>
      </c>
      <c r="H818" s="25" t="s">
        <v>2507</v>
      </c>
      <c r="I818" s="25"/>
      <c r="J818" s="25"/>
      <c r="K818" s="25"/>
      <c r="L818" s="25"/>
      <c r="M818" s="26"/>
      <c r="N818" s="25"/>
      <c r="O818" s="26"/>
      <c r="P818" s="27"/>
      <c r="Q818" s="25" t="s">
        <v>2552</v>
      </c>
      <c r="R818" s="25" t="s">
        <v>2516</v>
      </c>
      <c r="S818" s="25" t="s">
        <v>25</v>
      </c>
      <c r="T818" s="25">
        <v>1</v>
      </c>
      <c r="U818" s="25" t="s">
        <v>2517</v>
      </c>
      <c r="V818" s="25" t="s">
        <v>6162</v>
      </c>
      <c r="W818" s="25" t="s">
        <v>6160</v>
      </c>
      <c r="X818" s="59">
        <v>45844.672222222223</v>
      </c>
      <c r="Y818" s="25"/>
      <c r="Z818" s="25">
        <v>1.6</v>
      </c>
      <c r="AA818" s="25"/>
      <c r="AB818" s="25" t="s">
        <v>2521</v>
      </c>
      <c r="AC818" s="27" t="s">
        <v>6163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2548</v>
      </c>
      <c r="H819" s="25" t="s">
        <v>2507</v>
      </c>
      <c r="I819" s="25"/>
      <c r="J819" s="25"/>
      <c r="K819" s="25"/>
      <c r="L819" s="25"/>
      <c r="M819" s="26"/>
      <c r="N819" s="25"/>
      <c r="O819" s="26"/>
      <c r="P819" s="27"/>
      <c r="Q819" s="25" t="s">
        <v>2552</v>
      </c>
      <c r="R819" s="25" t="s">
        <v>2516</v>
      </c>
      <c r="S819" s="25" t="s">
        <v>25</v>
      </c>
      <c r="T819" s="25">
        <v>1</v>
      </c>
      <c r="U819" s="25" t="s">
        <v>2517</v>
      </c>
      <c r="V819" s="25" t="s">
        <v>6164</v>
      </c>
      <c r="W819" s="25" t="s">
        <v>6165</v>
      </c>
      <c r="X819" s="59">
        <v>45845.729166666657</v>
      </c>
      <c r="Y819" s="25"/>
      <c r="Z819" s="25">
        <v>3.5</v>
      </c>
      <c r="AA819" s="25"/>
      <c r="AB819" s="25" t="s">
        <v>2521</v>
      </c>
      <c r="AC819" s="27" t="s">
        <v>6166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6167</v>
      </c>
      <c r="E820" s="25" t="s">
        <v>2504</v>
      </c>
      <c r="F820" s="25">
        <v>5080</v>
      </c>
      <c r="G820" s="25" t="s">
        <v>3247</v>
      </c>
      <c r="H820" s="25" t="s">
        <v>3248</v>
      </c>
      <c r="I820" s="25" t="s">
        <v>6168</v>
      </c>
      <c r="J820" s="25" t="s">
        <v>2661</v>
      </c>
      <c r="K820" s="25" t="s">
        <v>2568</v>
      </c>
      <c r="L820" s="25" t="s">
        <v>2525</v>
      </c>
      <c r="M820" s="26" t="s">
        <v>2526</v>
      </c>
      <c r="N820" s="25">
        <v>5804</v>
      </c>
      <c r="O820" s="26" t="s">
        <v>2582</v>
      </c>
      <c r="P820" s="27" t="s">
        <v>6169</v>
      </c>
      <c r="Q820" s="25" t="s">
        <v>3251</v>
      </c>
      <c r="R820" s="25" t="s">
        <v>2516</v>
      </c>
      <c r="S820" s="25" t="s">
        <v>25</v>
      </c>
      <c r="T820" s="25">
        <v>1</v>
      </c>
      <c r="U820" s="25" t="s">
        <v>2517</v>
      </c>
      <c r="V820" s="25" t="s">
        <v>6170</v>
      </c>
      <c r="W820" s="25" t="s">
        <v>6171</v>
      </c>
      <c r="X820" s="59">
        <v>45846.497916666667</v>
      </c>
      <c r="Y820" s="25" t="s">
        <v>6172</v>
      </c>
      <c r="Z820" s="25">
        <v>0.5</v>
      </c>
      <c r="AA820" s="25"/>
      <c r="AB820" s="25" t="s">
        <v>2521</v>
      </c>
      <c r="AC820" s="27" t="s">
        <v>6173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3247</v>
      </c>
      <c r="H821" s="25" t="s">
        <v>3248</v>
      </c>
      <c r="I821" s="25"/>
      <c r="J821" s="25"/>
      <c r="K821" s="25"/>
      <c r="L821" s="25"/>
      <c r="M821" s="26"/>
      <c r="N821" s="25"/>
      <c r="O821" s="26"/>
      <c r="P821" s="27"/>
      <c r="Q821" s="25" t="s">
        <v>3251</v>
      </c>
      <c r="R821" s="25" t="s">
        <v>2516</v>
      </c>
      <c r="S821" s="25" t="s">
        <v>25</v>
      </c>
      <c r="T821" s="25">
        <v>1</v>
      </c>
      <c r="U821" s="25" t="s">
        <v>2517</v>
      </c>
      <c r="V821" s="25" t="s">
        <v>6174</v>
      </c>
      <c r="W821" s="25" t="s">
        <v>6175</v>
      </c>
      <c r="X821" s="59">
        <v>45846.499305555553</v>
      </c>
      <c r="Y821" s="25"/>
      <c r="Z821" s="25">
        <v>0.5</v>
      </c>
      <c r="AA821" s="25"/>
      <c r="AB821" s="25" t="s">
        <v>2521</v>
      </c>
      <c r="AC821" s="27" t="s">
        <v>6091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6176</v>
      </c>
      <c r="E822" s="25" t="s">
        <v>2504</v>
      </c>
      <c r="F822" s="25">
        <v>2749</v>
      </c>
      <c r="G822" s="25" t="s">
        <v>3310</v>
      </c>
      <c r="H822" s="25" t="s">
        <v>1604</v>
      </c>
      <c r="I822" s="25" t="s">
        <v>6177</v>
      </c>
      <c r="J822" s="25" t="s">
        <v>2509</v>
      </c>
      <c r="K822" s="25" t="s">
        <v>2568</v>
      </c>
      <c r="L822" s="25" t="s">
        <v>2511</v>
      </c>
      <c r="M822" s="26" t="s">
        <v>2512</v>
      </c>
      <c r="N822" s="25">
        <v>2302</v>
      </c>
      <c r="O822" s="26" t="s">
        <v>2550</v>
      </c>
      <c r="P822" s="27" t="s">
        <v>6178</v>
      </c>
      <c r="Q822" s="25" t="s">
        <v>3311</v>
      </c>
      <c r="R822" s="25" t="s">
        <v>2516</v>
      </c>
      <c r="S822" s="25" t="s">
        <v>25</v>
      </c>
      <c r="T822" s="25">
        <v>1</v>
      </c>
      <c r="U822" s="25" t="s">
        <v>2517</v>
      </c>
      <c r="V822" s="25" t="s">
        <v>6179</v>
      </c>
      <c r="W822" s="25" t="s">
        <v>6180</v>
      </c>
      <c r="X822" s="59">
        <v>45846.672222222223</v>
      </c>
      <c r="Y822" s="25" t="s">
        <v>6181</v>
      </c>
      <c r="Z822" s="25">
        <v>0.5</v>
      </c>
      <c r="AA822" s="25"/>
      <c r="AB822" s="25" t="s">
        <v>2521</v>
      </c>
      <c r="AC822" s="27" t="s">
        <v>6182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3080</v>
      </c>
      <c r="H823" s="25" t="s">
        <v>2996</v>
      </c>
      <c r="I823" s="25"/>
      <c r="J823" s="25"/>
      <c r="K823" s="25"/>
      <c r="L823" s="25"/>
      <c r="M823" s="26"/>
      <c r="N823" s="25"/>
      <c r="O823" s="26"/>
      <c r="P823" s="27"/>
      <c r="Q823" s="25" t="s">
        <v>3081</v>
      </c>
      <c r="R823" s="25" t="s">
        <v>2516</v>
      </c>
      <c r="S823" s="25" t="s">
        <v>185</v>
      </c>
      <c r="T823" s="25">
        <v>1</v>
      </c>
      <c r="U823" s="25" t="s">
        <v>2517</v>
      </c>
      <c r="V823" s="25" t="s">
        <v>6183</v>
      </c>
      <c r="W823" s="25" t="s">
        <v>6184</v>
      </c>
      <c r="X823" s="59">
        <v>45846.597222222219</v>
      </c>
      <c r="Y823" s="25"/>
      <c r="Z823" s="25">
        <v>0.3</v>
      </c>
      <c r="AA823" s="25"/>
      <c r="AB823" s="25" t="s">
        <v>2521</v>
      </c>
      <c r="AC823" s="27" t="s">
        <v>6091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3084</v>
      </c>
      <c r="H824" s="25" t="s">
        <v>2996</v>
      </c>
      <c r="I824" s="25"/>
      <c r="J824" s="25"/>
      <c r="K824" s="25"/>
      <c r="L824" s="25"/>
      <c r="M824" s="26"/>
      <c r="N824" s="25"/>
      <c r="O824" s="26"/>
      <c r="P824" s="27"/>
      <c r="Q824" s="25" t="s">
        <v>3085</v>
      </c>
      <c r="R824" s="25" t="s">
        <v>2516</v>
      </c>
      <c r="S824" s="25" t="s">
        <v>185</v>
      </c>
      <c r="T824" s="25">
        <v>1</v>
      </c>
      <c r="U824" s="25" t="s">
        <v>2517</v>
      </c>
      <c r="V824" s="25" t="s">
        <v>6185</v>
      </c>
      <c r="W824" s="25" t="s">
        <v>6186</v>
      </c>
      <c r="X824" s="59">
        <v>45846.618055555547</v>
      </c>
      <c r="Y824" s="25"/>
      <c r="Z824" s="25">
        <v>0.3</v>
      </c>
      <c r="AA824" s="25"/>
      <c r="AB824" s="25" t="s">
        <v>2521</v>
      </c>
      <c r="AC824" s="27" t="s">
        <v>6091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3549</v>
      </c>
      <c r="H825" s="25" t="s">
        <v>2659</v>
      </c>
      <c r="I825" s="25"/>
      <c r="J825" s="25"/>
      <c r="K825" s="25"/>
      <c r="L825" s="25"/>
      <c r="M825" s="26"/>
      <c r="N825" s="25"/>
      <c r="O825" s="26"/>
      <c r="P825" s="27"/>
      <c r="Q825" s="25" t="s">
        <v>3552</v>
      </c>
      <c r="R825" s="25" t="s">
        <v>2516</v>
      </c>
      <c r="S825" s="25" t="s">
        <v>185</v>
      </c>
      <c r="T825" s="25">
        <v>1</v>
      </c>
      <c r="U825" s="25" t="s">
        <v>2517</v>
      </c>
      <c r="V825" s="25" t="s">
        <v>6187</v>
      </c>
      <c r="W825" s="25" t="s">
        <v>6188</v>
      </c>
      <c r="X825" s="59">
        <v>45846.638888888891</v>
      </c>
      <c r="Y825" s="25"/>
      <c r="Z825" s="25">
        <v>0.3</v>
      </c>
      <c r="AA825" s="25"/>
      <c r="AB825" s="25" t="s">
        <v>2521</v>
      </c>
      <c r="AC825" s="27" t="s">
        <v>6091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3310</v>
      </c>
      <c r="H826" s="25" t="s">
        <v>1604</v>
      </c>
      <c r="I826" s="25"/>
      <c r="J826" s="25"/>
      <c r="K826" s="25"/>
      <c r="L826" s="25"/>
      <c r="M826" s="26"/>
      <c r="N826" s="25"/>
      <c r="O826" s="26"/>
      <c r="P826" s="27"/>
      <c r="Q826" s="25" t="s">
        <v>3311</v>
      </c>
      <c r="R826" s="25" t="s">
        <v>2516</v>
      </c>
      <c r="S826" s="25" t="s">
        <v>25</v>
      </c>
      <c r="T826" s="25">
        <v>1</v>
      </c>
      <c r="U826" s="25" t="s">
        <v>2517</v>
      </c>
      <c r="V826" s="25" t="s">
        <v>6189</v>
      </c>
      <c r="W826" s="25" t="s">
        <v>6190</v>
      </c>
      <c r="X826" s="59">
        <v>45846.677777777782</v>
      </c>
      <c r="Y826" s="25"/>
      <c r="Z826" s="25">
        <v>0.4</v>
      </c>
      <c r="AA826" s="25"/>
      <c r="AB826" s="25" t="s">
        <v>2521</v>
      </c>
      <c r="AC826" s="27" t="s">
        <v>6091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6191</v>
      </c>
      <c r="E827" s="25" t="s">
        <v>2504</v>
      </c>
      <c r="F827" s="25">
        <v>4084</v>
      </c>
      <c r="G827" s="25" t="s">
        <v>2783</v>
      </c>
      <c r="H827" s="25" t="s">
        <v>2507</v>
      </c>
      <c r="I827" s="25" t="s">
        <v>6192</v>
      </c>
      <c r="J827" s="25" t="s">
        <v>2536</v>
      </c>
      <c r="K827" s="25" t="s">
        <v>2510</v>
      </c>
      <c r="L827" s="25" t="s">
        <v>2537</v>
      </c>
      <c r="M827" s="26" t="s">
        <v>2538</v>
      </c>
      <c r="N827" s="25" t="s">
        <v>2539</v>
      </c>
      <c r="O827" s="26" t="s">
        <v>2540</v>
      </c>
      <c r="P827" s="27" t="s">
        <v>6193</v>
      </c>
      <c r="Q827" s="25" t="s">
        <v>2784</v>
      </c>
      <c r="R827" s="25" t="s">
        <v>2516</v>
      </c>
      <c r="S827" s="25" t="s">
        <v>25</v>
      </c>
      <c r="T827" s="25">
        <v>1</v>
      </c>
      <c r="U827" s="25" t="s">
        <v>2517</v>
      </c>
      <c r="V827" s="25" t="s">
        <v>6194</v>
      </c>
      <c r="W827" s="25" t="s">
        <v>6195</v>
      </c>
      <c r="X827" s="59">
        <v>45848.449305555558</v>
      </c>
      <c r="Y827" s="25" t="s">
        <v>6196</v>
      </c>
      <c r="Z827" s="25">
        <v>0.5</v>
      </c>
      <c r="AA827" s="25"/>
      <c r="AB827" s="25" t="s">
        <v>2521</v>
      </c>
      <c r="AC827" s="27" t="s">
        <v>6197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2783</v>
      </c>
      <c r="H828" s="25" t="s">
        <v>2507</v>
      </c>
      <c r="I828" s="25"/>
      <c r="J828" s="25"/>
      <c r="K828" s="25"/>
      <c r="L828" s="25"/>
      <c r="M828" s="26"/>
      <c r="N828" s="25"/>
      <c r="O828" s="26"/>
      <c r="P828" s="27"/>
      <c r="Q828" s="25" t="s">
        <v>2784</v>
      </c>
      <c r="R828" s="25" t="s">
        <v>2516</v>
      </c>
      <c r="S828" s="25" t="s">
        <v>25</v>
      </c>
      <c r="T828" s="25">
        <v>1</v>
      </c>
      <c r="U828" s="25" t="s">
        <v>2517</v>
      </c>
      <c r="V828" s="25" t="s">
        <v>6198</v>
      </c>
      <c r="W828" s="25" t="s">
        <v>6195</v>
      </c>
      <c r="X828" s="59">
        <v>45848.455555555563</v>
      </c>
      <c r="Y828" s="25"/>
      <c r="Z828" s="25">
        <v>0.6</v>
      </c>
      <c r="AA828" s="25"/>
      <c r="AB828" s="25" t="s">
        <v>2521</v>
      </c>
      <c r="AC828" s="27" t="s">
        <v>6091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3389</v>
      </c>
      <c r="G829" s="25" t="s">
        <v>3390</v>
      </c>
      <c r="H829" s="25" t="s">
        <v>2659</v>
      </c>
      <c r="I829" s="25"/>
      <c r="J829" s="25"/>
      <c r="K829" s="25"/>
      <c r="L829" s="25"/>
      <c r="M829" s="26"/>
      <c r="N829" s="25"/>
      <c r="O829" s="26"/>
      <c r="P829" s="27"/>
      <c r="Q829" s="25" t="s">
        <v>3391</v>
      </c>
      <c r="R829" s="25" t="s">
        <v>2516</v>
      </c>
      <c r="S829" s="25" t="s">
        <v>185</v>
      </c>
      <c r="T829" s="25">
        <v>1</v>
      </c>
      <c r="U829" s="25" t="s">
        <v>2517</v>
      </c>
      <c r="V829" s="25" t="s">
        <v>6199</v>
      </c>
      <c r="W829" s="25" t="s">
        <v>6200</v>
      </c>
      <c r="X829" s="59">
        <v>45848.472222222219</v>
      </c>
      <c r="Y829" s="25"/>
      <c r="Z829" s="25">
        <v>0.3</v>
      </c>
      <c r="AA829" s="25"/>
      <c r="AB829" s="25" t="s">
        <v>2521</v>
      </c>
      <c r="AC829" s="27" t="s">
        <v>6091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3389</v>
      </c>
      <c r="G830" s="25" t="s">
        <v>3390</v>
      </c>
      <c r="H830" s="25" t="s">
        <v>2659</v>
      </c>
      <c r="I830" s="25"/>
      <c r="J830" s="25"/>
      <c r="K830" s="25"/>
      <c r="L830" s="25"/>
      <c r="M830" s="26"/>
      <c r="N830" s="25"/>
      <c r="O830" s="26"/>
      <c r="P830" s="27"/>
      <c r="Q830" s="25" t="s">
        <v>3391</v>
      </c>
      <c r="R830" s="25" t="s">
        <v>2516</v>
      </c>
      <c r="S830" s="25" t="s">
        <v>185</v>
      </c>
      <c r="T830" s="25">
        <v>1</v>
      </c>
      <c r="U830" s="25" t="s">
        <v>2517</v>
      </c>
      <c r="V830" s="25" t="s">
        <v>6201</v>
      </c>
      <c r="W830" s="25" t="s">
        <v>6200</v>
      </c>
      <c r="X830" s="59">
        <v>45848.472222222219</v>
      </c>
      <c r="Y830" s="25"/>
      <c r="Z830" s="25">
        <v>0.3</v>
      </c>
      <c r="AA830" s="25"/>
      <c r="AB830" s="25" t="s">
        <v>2521</v>
      </c>
      <c r="AC830" s="27" t="s">
        <v>6091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6202</v>
      </c>
      <c r="H831" s="25" t="s">
        <v>2659</v>
      </c>
      <c r="I831" s="25"/>
      <c r="J831" s="25"/>
      <c r="K831" s="25"/>
      <c r="L831" s="25"/>
      <c r="M831" s="26"/>
      <c r="N831" s="25"/>
      <c r="O831" s="26"/>
      <c r="P831" s="27"/>
      <c r="Q831" s="25" t="s">
        <v>3395</v>
      </c>
      <c r="R831" s="25" t="s">
        <v>2516</v>
      </c>
      <c r="S831" s="25" t="s">
        <v>185</v>
      </c>
      <c r="T831" s="25">
        <v>1</v>
      </c>
      <c r="U831" s="25" t="s">
        <v>2517</v>
      </c>
      <c r="V831" s="25" t="s">
        <v>6203</v>
      </c>
      <c r="W831" s="25" t="s">
        <v>6204</v>
      </c>
      <c r="X831" s="59">
        <v>45848.489583333343</v>
      </c>
      <c r="Y831" s="25"/>
      <c r="Z831" s="25">
        <v>0.3</v>
      </c>
      <c r="AA831" s="25"/>
      <c r="AB831" s="25" t="s">
        <v>2521</v>
      </c>
      <c r="AC831" s="27" t="s">
        <v>6091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2778</v>
      </c>
      <c r="G832" s="25" t="s">
        <v>2779</v>
      </c>
      <c r="H832" s="25" t="s">
        <v>2507</v>
      </c>
      <c r="I832" s="25"/>
      <c r="J832" s="25"/>
      <c r="K832" s="25"/>
      <c r="L832" s="25"/>
      <c r="M832" s="26"/>
      <c r="N832" s="25"/>
      <c r="O832" s="26"/>
      <c r="P832" s="27"/>
      <c r="Q832" s="25" t="s">
        <v>2780</v>
      </c>
      <c r="R832" s="25" t="s">
        <v>2516</v>
      </c>
      <c r="S832" s="25" t="s">
        <v>25</v>
      </c>
      <c r="T832" s="25">
        <v>1</v>
      </c>
      <c r="U832" s="25" t="s">
        <v>2517</v>
      </c>
      <c r="V832" s="25" t="s">
        <v>6205</v>
      </c>
      <c r="W832" s="25" t="s">
        <v>6206</v>
      </c>
      <c r="X832" s="59">
        <v>45848.503472222219</v>
      </c>
      <c r="Y832" s="25"/>
      <c r="Z832" s="25">
        <v>0.3</v>
      </c>
      <c r="AA832" s="25"/>
      <c r="AB832" s="25" t="s">
        <v>2521</v>
      </c>
      <c r="AC832" s="27" t="s">
        <v>6091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2774</v>
      </c>
      <c r="H833" s="25" t="s">
        <v>2507</v>
      </c>
      <c r="I833" s="25"/>
      <c r="J833" s="25"/>
      <c r="K833" s="25"/>
      <c r="L833" s="25"/>
      <c r="M833" s="26"/>
      <c r="N833" s="25"/>
      <c r="O833" s="26"/>
      <c r="P833" s="27"/>
      <c r="Q833" s="25" t="s">
        <v>2775</v>
      </c>
      <c r="R833" s="25" t="s">
        <v>2516</v>
      </c>
      <c r="S833" s="25" t="s">
        <v>25</v>
      </c>
      <c r="T833" s="25">
        <v>1</v>
      </c>
      <c r="U833" s="25" t="s">
        <v>2517</v>
      </c>
      <c r="V833" s="25" t="s">
        <v>6207</v>
      </c>
      <c r="W833" s="25" t="s">
        <v>6208</v>
      </c>
      <c r="X833" s="59">
        <v>45848.518750000003</v>
      </c>
      <c r="Y833" s="25"/>
      <c r="Z833" s="25">
        <v>0.3</v>
      </c>
      <c r="AA833" s="25"/>
      <c r="AB833" s="25" t="s">
        <v>2521</v>
      </c>
      <c r="AC833" s="27" t="s">
        <v>6091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2774</v>
      </c>
      <c r="H834" s="25" t="s">
        <v>2507</v>
      </c>
      <c r="I834" s="25"/>
      <c r="J834" s="25"/>
      <c r="K834" s="25"/>
      <c r="L834" s="25"/>
      <c r="M834" s="26"/>
      <c r="N834" s="25"/>
      <c r="O834" s="26"/>
      <c r="P834" s="27"/>
      <c r="Q834" s="25" t="s">
        <v>2775</v>
      </c>
      <c r="R834" s="25" t="s">
        <v>2516</v>
      </c>
      <c r="S834" s="25" t="s">
        <v>25</v>
      </c>
      <c r="T834" s="25">
        <v>1</v>
      </c>
      <c r="U834" s="25" t="s">
        <v>2517</v>
      </c>
      <c r="V834" s="25" t="s">
        <v>6209</v>
      </c>
      <c r="W834" s="25" t="s">
        <v>6210</v>
      </c>
      <c r="X834" s="59">
        <v>45848.517361111109</v>
      </c>
      <c r="Y834" s="25"/>
      <c r="Z834" s="25">
        <v>0.3</v>
      </c>
      <c r="AA834" s="25"/>
      <c r="AB834" s="25" t="s">
        <v>2521</v>
      </c>
      <c r="AC834" s="27" t="s">
        <v>6211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2631</v>
      </c>
      <c r="H835" s="25" t="s">
        <v>2507</v>
      </c>
      <c r="I835" s="25"/>
      <c r="J835" s="25"/>
      <c r="K835" s="25"/>
      <c r="L835" s="25"/>
      <c r="M835" s="26"/>
      <c r="N835" s="25"/>
      <c r="O835" s="26"/>
      <c r="P835" s="27"/>
      <c r="Q835" s="25" t="s">
        <v>2632</v>
      </c>
      <c r="R835" s="25" t="s">
        <v>2516</v>
      </c>
      <c r="S835" s="25" t="s">
        <v>25</v>
      </c>
      <c r="T835" s="25">
        <v>1</v>
      </c>
      <c r="U835" s="25" t="s">
        <v>2517</v>
      </c>
      <c r="V835" s="25" t="s">
        <v>6212</v>
      </c>
      <c r="W835" s="25" t="s">
        <v>6213</v>
      </c>
      <c r="X835" s="59">
        <v>45848.545138888891</v>
      </c>
      <c r="Y835" s="25"/>
      <c r="Z835" s="25">
        <v>0.3</v>
      </c>
      <c r="AA835" s="25"/>
      <c r="AB835" s="25" t="s">
        <v>2521</v>
      </c>
      <c r="AC835" s="27" t="s">
        <v>6091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3936</v>
      </c>
      <c r="H836" s="25" t="s">
        <v>2659</v>
      </c>
      <c r="I836" s="25"/>
      <c r="J836" s="25"/>
      <c r="K836" s="25"/>
      <c r="L836" s="25"/>
      <c r="M836" s="26"/>
      <c r="N836" s="25"/>
      <c r="O836" s="26"/>
      <c r="P836" s="27"/>
      <c r="Q836" s="25" t="s">
        <v>3937</v>
      </c>
      <c r="R836" s="25" t="s">
        <v>2516</v>
      </c>
      <c r="S836" s="25" t="s">
        <v>185</v>
      </c>
      <c r="T836" s="25">
        <v>1</v>
      </c>
      <c r="U836" s="25" t="s">
        <v>2517</v>
      </c>
      <c r="V836" s="25" t="s">
        <v>6214</v>
      </c>
      <c r="W836" s="25" t="s">
        <v>6215</v>
      </c>
      <c r="X836" s="59">
        <v>45848.5625</v>
      </c>
      <c r="Y836" s="25"/>
      <c r="Z836" s="25">
        <v>0.5</v>
      </c>
      <c r="AA836" s="25"/>
      <c r="AB836" s="25" t="s">
        <v>2521</v>
      </c>
      <c r="AC836" s="27" t="s">
        <v>6216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2635</v>
      </c>
      <c r="H837" s="25" t="s">
        <v>2507</v>
      </c>
      <c r="I837" s="25"/>
      <c r="J837" s="25"/>
      <c r="K837" s="25"/>
      <c r="L837" s="25"/>
      <c r="M837" s="26"/>
      <c r="N837" s="25"/>
      <c r="O837" s="26"/>
      <c r="P837" s="27"/>
      <c r="Q837" s="25" t="s">
        <v>2636</v>
      </c>
      <c r="R837" s="25" t="s">
        <v>2516</v>
      </c>
      <c r="S837" s="25" t="s">
        <v>25</v>
      </c>
      <c r="T837" s="25">
        <v>1</v>
      </c>
      <c r="U837" s="25" t="s">
        <v>2517</v>
      </c>
      <c r="V837" s="25" t="s">
        <v>6217</v>
      </c>
      <c r="W837" s="25" t="s">
        <v>6218</v>
      </c>
      <c r="X837" s="59">
        <v>45848.607638888891</v>
      </c>
      <c r="Y837" s="25"/>
      <c r="Z837" s="25">
        <v>0.3</v>
      </c>
      <c r="AA837" s="25"/>
      <c r="AB837" s="25" t="s">
        <v>2521</v>
      </c>
      <c r="AC837" s="27" t="s">
        <v>6091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2870</v>
      </c>
      <c r="H838" s="25" t="s">
        <v>2507</v>
      </c>
      <c r="I838" s="25"/>
      <c r="J838" s="25"/>
      <c r="K838" s="25"/>
      <c r="L838" s="25"/>
      <c r="M838" s="26"/>
      <c r="N838" s="25"/>
      <c r="O838" s="26"/>
      <c r="P838" s="27"/>
      <c r="Q838" s="25" t="s">
        <v>2871</v>
      </c>
      <c r="R838" s="25" t="s">
        <v>2516</v>
      </c>
      <c r="S838" s="25" t="s">
        <v>25</v>
      </c>
      <c r="T838" s="25">
        <v>1</v>
      </c>
      <c r="U838" s="25" t="s">
        <v>2517</v>
      </c>
      <c r="V838" s="25" t="s">
        <v>6219</v>
      </c>
      <c r="W838" s="25" t="s">
        <v>6220</v>
      </c>
      <c r="X838" s="59">
        <v>45848.625</v>
      </c>
      <c r="Y838" s="25"/>
      <c r="Z838" s="25">
        <v>0.3</v>
      </c>
      <c r="AA838" s="25"/>
      <c r="AB838" s="25" t="s">
        <v>2521</v>
      </c>
      <c r="AC838" s="27" t="s">
        <v>6091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2865</v>
      </c>
      <c r="G839" s="25" t="s">
        <v>2866</v>
      </c>
      <c r="H839" s="25" t="s">
        <v>2507</v>
      </c>
      <c r="I839" s="25"/>
      <c r="J839" s="25"/>
      <c r="K839" s="25"/>
      <c r="L839" s="25"/>
      <c r="M839" s="26"/>
      <c r="N839" s="25"/>
      <c r="O839" s="26"/>
      <c r="P839" s="27"/>
      <c r="Q839" s="25" t="s">
        <v>2867</v>
      </c>
      <c r="R839" s="25" t="s">
        <v>2516</v>
      </c>
      <c r="S839" s="25" t="s">
        <v>25</v>
      </c>
      <c r="T839" s="25">
        <v>1</v>
      </c>
      <c r="U839" s="25" t="s">
        <v>2517</v>
      </c>
      <c r="V839" s="25" t="s">
        <v>6221</v>
      </c>
      <c r="W839" s="25" t="s">
        <v>6222</v>
      </c>
      <c r="X839" s="59">
        <v>45848.645138888889</v>
      </c>
      <c r="Y839" s="25"/>
      <c r="Z839" s="25">
        <v>0.3</v>
      </c>
      <c r="AA839" s="25"/>
      <c r="AB839" s="25" t="s">
        <v>2521</v>
      </c>
      <c r="AC839" s="27" t="s">
        <v>6091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6223</v>
      </c>
      <c r="H840" s="25" t="s">
        <v>2507</v>
      </c>
      <c r="I840" s="25"/>
      <c r="J840" s="25"/>
      <c r="K840" s="25"/>
      <c r="L840" s="25"/>
      <c r="M840" s="26"/>
      <c r="N840" s="25"/>
      <c r="O840" s="26"/>
      <c r="P840" s="27"/>
      <c r="Q840" s="25" t="s">
        <v>2759</v>
      </c>
      <c r="R840" s="25" t="s">
        <v>2516</v>
      </c>
      <c r="S840" s="25" t="s">
        <v>25</v>
      </c>
      <c r="T840" s="25">
        <v>1</v>
      </c>
      <c r="U840" s="25" t="s">
        <v>2517</v>
      </c>
      <c r="V840" s="25" t="s">
        <v>6224</v>
      </c>
      <c r="W840" s="25" t="s">
        <v>6225</v>
      </c>
      <c r="X840" s="59">
        <v>45848.65902777778</v>
      </c>
      <c r="Y840" s="25"/>
      <c r="Z840" s="25">
        <v>0.3</v>
      </c>
      <c r="AA840" s="25"/>
      <c r="AB840" s="25" t="s">
        <v>2521</v>
      </c>
      <c r="AC840" s="27" t="s">
        <v>6091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6226</v>
      </c>
      <c r="E841" s="25" t="s">
        <v>2504</v>
      </c>
      <c r="F841" s="25">
        <v>3362</v>
      </c>
      <c r="G841" s="25" t="s">
        <v>2534</v>
      </c>
      <c r="H841" s="25" t="s">
        <v>2507</v>
      </c>
      <c r="I841" s="25" t="s">
        <v>6227</v>
      </c>
      <c r="J841" s="25" t="s">
        <v>2835</v>
      </c>
      <c r="K841" s="25" t="s">
        <v>2510</v>
      </c>
      <c r="L841" s="25" t="s">
        <v>2569</v>
      </c>
      <c r="M841" s="26" t="s">
        <v>2570</v>
      </c>
      <c r="N841" s="25">
        <v>2501</v>
      </c>
      <c r="O841" s="26" t="s">
        <v>2571</v>
      </c>
      <c r="P841" s="27" t="s">
        <v>6228</v>
      </c>
      <c r="Q841" s="25" t="s">
        <v>2542</v>
      </c>
      <c r="R841" s="25" t="s">
        <v>2516</v>
      </c>
      <c r="S841" s="25" t="s">
        <v>25</v>
      </c>
      <c r="T841" s="25">
        <v>1</v>
      </c>
      <c r="U841" s="25" t="s">
        <v>2517</v>
      </c>
      <c r="V841" s="25" t="s">
        <v>6229</v>
      </c>
      <c r="W841" s="25" t="s">
        <v>6230</v>
      </c>
      <c r="X841" s="59">
        <v>45849.501388888893</v>
      </c>
      <c r="Y841" s="25" t="s">
        <v>6231</v>
      </c>
      <c r="Z841" s="25">
        <v>0.5</v>
      </c>
      <c r="AA841" s="25"/>
      <c r="AB841" s="25" t="s">
        <v>2521</v>
      </c>
      <c r="AC841" s="27" t="s">
        <v>6232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6233</v>
      </c>
      <c r="E842" s="25" t="s">
        <v>2504</v>
      </c>
      <c r="F842" s="25">
        <v>3380</v>
      </c>
      <c r="G842" s="25" t="s">
        <v>2710</v>
      </c>
      <c r="H842" s="25" t="s">
        <v>2659</v>
      </c>
      <c r="I842" s="25" t="s">
        <v>6234</v>
      </c>
      <c r="J842" s="25" t="s">
        <v>2567</v>
      </c>
      <c r="K842" s="25" t="s">
        <v>2765</v>
      </c>
      <c r="L842" s="25" t="s">
        <v>3483</v>
      </c>
      <c r="M842" s="26" t="s">
        <v>3484</v>
      </c>
      <c r="N842" s="25">
        <v>6002</v>
      </c>
      <c r="O842" s="26" t="s">
        <v>3508</v>
      </c>
      <c r="P842" s="27" t="s">
        <v>6235</v>
      </c>
      <c r="Q842" s="25" t="s">
        <v>2711</v>
      </c>
      <c r="R842" s="25" t="s">
        <v>2516</v>
      </c>
      <c r="S842" s="25" t="s">
        <v>185</v>
      </c>
      <c r="T842" s="25">
        <v>1</v>
      </c>
      <c r="U842" s="25" t="s">
        <v>2517</v>
      </c>
      <c r="V842" s="25" t="s">
        <v>6236</v>
      </c>
      <c r="W842" s="25" t="s">
        <v>6237</v>
      </c>
      <c r="X842" s="59">
        <v>45849.46875</v>
      </c>
      <c r="Y842" s="25" t="s">
        <v>6238</v>
      </c>
      <c r="Z842" s="25">
        <v>1</v>
      </c>
      <c r="AA842" s="25"/>
      <c r="AB842" s="25" t="s">
        <v>2521</v>
      </c>
      <c r="AC842" s="27" t="s">
        <v>6239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2710</v>
      </c>
      <c r="H843" s="25" t="s">
        <v>2659</v>
      </c>
      <c r="I843" s="25"/>
      <c r="J843" s="25"/>
      <c r="K843" s="25"/>
      <c r="L843" s="25"/>
      <c r="M843" s="26"/>
      <c r="N843" s="25"/>
      <c r="O843" s="26"/>
      <c r="P843" s="27"/>
      <c r="Q843" s="25" t="s">
        <v>2711</v>
      </c>
      <c r="R843" s="25" t="s">
        <v>2516</v>
      </c>
      <c r="S843" s="25" t="s">
        <v>185</v>
      </c>
      <c r="T843" s="25">
        <v>1</v>
      </c>
      <c r="U843" s="25" t="s">
        <v>2517</v>
      </c>
      <c r="V843" s="25" t="s">
        <v>6240</v>
      </c>
      <c r="W843" s="25" t="s">
        <v>6241</v>
      </c>
      <c r="X843" s="59">
        <v>45849.482638888891</v>
      </c>
      <c r="Y843" s="25"/>
      <c r="Z843" s="25">
        <v>0.3</v>
      </c>
      <c r="AA843" s="25"/>
      <c r="AB843" s="25" t="s">
        <v>2521</v>
      </c>
      <c r="AC843" s="27" t="s">
        <v>6091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6242</v>
      </c>
      <c r="E844" s="25" t="s">
        <v>2504</v>
      </c>
      <c r="F844" s="25">
        <v>4144</v>
      </c>
      <c r="G844" s="25" t="s">
        <v>3281</v>
      </c>
      <c r="H844" s="25" t="s">
        <v>2659</v>
      </c>
      <c r="I844" s="25" t="s">
        <v>6243</v>
      </c>
      <c r="J844" s="25" t="s">
        <v>2567</v>
      </c>
      <c r="K844" s="25" t="s">
        <v>2568</v>
      </c>
      <c r="L844" s="25" t="s">
        <v>2537</v>
      </c>
      <c r="M844" s="26" t="s">
        <v>2538</v>
      </c>
      <c r="N844" s="25" t="s">
        <v>2539</v>
      </c>
      <c r="O844" s="26" t="s">
        <v>2540</v>
      </c>
      <c r="P844" s="27" t="s">
        <v>6244</v>
      </c>
      <c r="Q844" s="25" t="s">
        <v>3284</v>
      </c>
      <c r="R844" s="25" t="s">
        <v>2516</v>
      </c>
      <c r="S844" s="25" t="s">
        <v>185</v>
      </c>
      <c r="T844" s="25">
        <v>1</v>
      </c>
      <c r="U844" s="25" t="s">
        <v>2517</v>
      </c>
      <c r="V844" s="25" t="s">
        <v>6245</v>
      </c>
      <c r="W844" s="25" t="s">
        <v>6246</v>
      </c>
      <c r="X844" s="59">
        <v>45849.503472222219</v>
      </c>
      <c r="Y844" s="25" t="s">
        <v>6247</v>
      </c>
      <c r="Z844" s="25">
        <v>0.5</v>
      </c>
      <c r="AA844" s="25"/>
      <c r="AB844" s="25" t="s">
        <v>2521</v>
      </c>
      <c r="AC844" s="27" t="s">
        <v>6248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3281</v>
      </c>
      <c r="H845" s="25" t="s">
        <v>2659</v>
      </c>
      <c r="I845" s="25"/>
      <c r="J845" s="25"/>
      <c r="K845" s="25"/>
      <c r="L845" s="25"/>
      <c r="M845" s="26"/>
      <c r="N845" s="25"/>
      <c r="O845" s="26"/>
      <c r="P845" s="27"/>
      <c r="Q845" s="25" t="s">
        <v>3284</v>
      </c>
      <c r="R845" s="25" t="s">
        <v>2516</v>
      </c>
      <c r="S845" s="25" t="s">
        <v>185</v>
      </c>
      <c r="T845" s="25">
        <v>1</v>
      </c>
      <c r="U845" s="25" t="s">
        <v>2517</v>
      </c>
      <c r="V845" s="25" t="s">
        <v>6249</v>
      </c>
      <c r="W845" s="25" t="s">
        <v>6250</v>
      </c>
      <c r="X845" s="59">
        <v>45849.517361111109</v>
      </c>
      <c r="Y845" s="25"/>
      <c r="Z845" s="25">
        <v>0.3</v>
      </c>
      <c r="AA845" s="25"/>
      <c r="AB845" s="25" t="s">
        <v>2521</v>
      </c>
      <c r="AC845" s="27" t="s">
        <v>6091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6251</v>
      </c>
      <c r="E846" s="25" t="s">
        <v>2504</v>
      </c>
      <c r="F846" s="25">
        <v>4191</v>
      </c>
      <c r="G846" s="25" t="s">
        <v>2593</v>
      </c>
      <c r="H846" s="25" t="s">
        <v>2507</v>
      </c>
      <c r="I846" s="25" t="s">
        <v>6252</v>
      </c>
      <c r="J846" s="25" t="s">
        <v>2567</v>
      </c>
      <c r="K846" s="25" t="s">
        <v>2510</v>
      </c>
      <c r="L846" s="25" t="s">
        <v>3483</v>
      </c>
      <c r="M846" s="26" t="s">
        <v>3484</v>
      </c>
      <c r="N846" s="25">
        <v>6004</v>
      </c>
      <c r="O846" s="26" t="s">
        <v>2893</v>
      </c>
      <c r="P846" s="27" t="s">
        <v>6253</v>
      </c>
      <c r="Q846" s="25" t="s">
        <v>2600</v>
      </c>
      <c r="R846" s="25" t="s">
        <v>2516</v>
      </c>
      <c r="S846" s="25" t="s">
        <v>25</v>
      </c>
      <c r="T846" s="25">
        <v>1</v>
      </c>
      <c r="U846" s="25" t="s">
        <v>2517</v>
      </c>
      <c r="V846" s="25" t="s">
        <v>6254</v>
      </c>
      <c r="W846" s="25" t="s">
        <v>6255</v>
      </c>
      <c r="X846" s="59">
        <v>45849.675694444442</v>
      </c>
      <c r="Y846" s="25" t="s">
        <v>6256</v>
      </c>
      <c r="Z846" s="25">
        <v>0.5</v>
      </c>
      <c r="AA846" s="25"/>
      <c r="AB846" s="25" t="s">
        <v>2521</v>
      </c>
      <c r="AC846" s="27" t="s">
        <v>6257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6258</v>
      </c>
      <c r="E847" s="25" t="s">
        <v>2504</v>
      </c>
      <c r="F847" s="25">
        <v>4167</v>
      </c>
      <c r="G847" s="25" t="s">
        <v>3436</v>
      </c>
      <c r="H847" s="25" t="s">
        <v>2609</v>
      </c>
      <c r="I847" s="25" t="s">
        <v>6259</v>
      </c>
      <c r="J847" s="25" t="s">
        <v>2567</v>
      </c>
      <c r="K847" s="25" t="s">
        <v>2510</v>
      </c>
      <c r="L847" s="25" t="s">
        <v>2511</v>
      </c>
      <c r="M847" s="26" t="s">
        <v>2512</v>
      </c>
      <c r="N847" s="25">
        <v>2307</v>
      </c>
      <c r="O847" s="26" t="s">
        <v>2678</v>
      </c>
      <c r="P847" s="27" t="s">
        <v>6260</v>
      </c>
      <c r="Q847" s="25" t="s">
        <v>3439</v>
      </c>
      <c r="R847" s="25" t="s">
        <v>2516</v>
      </c>
      <c r="S847" s="25" t="s">
        <v>173</v>
      </c>
      <c r="T847" s="25">
        <v>1</v>
      </c>
      <c r="U847" s="25" t="s">
        <v>2517</v>
      </c>
      <c r="V847" s="25" t="s">
        <v>6261</v>
      </c>
      <c r="W847" s="25" t="s">
        <v>6262</v>
      </c>
      <c r="X847" s="59">
        <v>45852.579861111109</v>
      </c>
      <c r="Y847" s="25" t="s">
        <v>6263</v>
      </c>
      <c r="Z847" s="25">
        <v>0.3</v>
      </c>
      <c r="AA847" s="25"/>
      <c r="AB847" s="25" t="s">
        <v>2521</v>
      </c>
      <c r="AC847" s="27" t="s">
        <v>6264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6265</v>
      </c>
      <c r="E848" s="25" t="s">
        <v>2504</v>
      </c>
      <c r="F848" s="25">
        <v>4259</v>
      </c>
      <c r="G848" s="25" t="s">
        <v>3042</v>
      </c>
      <c r="H848" s="25" t="s">
        <v>2987</v>
      </c>
      <c r="I848" s="25" t="s">
        <v>6266</v>
      </c>
      <c r="J848" s="25" t="s">
        <v>2567</v>
      </c>
      <c r="K848" s="25" t="s">
        <v>2510</v>
      </c>
      <c r="L848" s="25" t="s">
        <v>3483</v>
      </c>
      <c r="M848" s="26" t="s">
        <v>3484</v>
      </c>
      <c r="N848" s="25">
        <v>6003</v>
      </c>
      <c r="O848" s="26" t="s">
        <v>3152</v>
      </c>
      <c r="P848" s="27" t="s">
        <v>6267</v>
      </c>
      <c r="Q848" s="25" t="s">
        <v>3043</v>
      </c>
      <c r="R848" s="25" t="s">
        <v>2516</v>
      </c>
      <c r="S848" s="25" t="s">
        <v>25</v>
      </c>
      <c r="T848" s="25">
        <v>1</v>
      </c>
      <c r="U848" s="25" t="s">
        <v>2517</v>
      </c>
      <c r="V848" s="25" t="s">
        <v>6268</v>
      </c>
      <c r="W848" s="25" t="s">
        <v>6269</v>
      </c>
      <c r="X848" s="59">
        <v>45852.535416666673</v>
      </c>
      <c r="Y848" s="25" t="s">
        <v>6270</v>
      </c>
      <c r="Z848" s="25">
        <v>0.5</v>
      </c>
      <c r="AA848" s="25"/>
      <c r="AB848" s="25" t="s">
        <v>2521</v>
      </c>
      <c r="AC848" s="27" t="s">
        <v>6271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2986</v>
      </c>
      <c r="H849" s="25" t="s">
        <v>2987</v>
      </c>
      <c r="I849" s="25"/>
      <c r="J849" s="25"/>
      <c r="K849" s="25"/>
      <c r="L849" s="25"/>
      <c r="M849" s="26"/>
      <c r="N849" s="25"/>
      <c r="O849" s="26"/>
      <c r="P849" s="27"/>
      <c r="Q849" s="25" t="s">
        <v>2990</v>
      </c>
      <c r="R849" s="25" t="s">
        <v>2516</v>
      </c>
      <c r="S849" s="25" t="s">
        <v>25</v>
      </c>
      <c r="T849" s="25">
        <v>1</v>
      </c>
      <c r="U849" s="25" t="s">
        <v>2517</v>
      </c>
      <c r="V849" s="25" t="s">
        <v>6272</v>
      </c>
      <c r="W849" s="25" t="s">
        <v>6273</v>
      </c>
      <c r="X849" s="59">
        <v>45852.487500000003</v>
      </c>
      <c r="Y849" s="25"/>
      <c r="Z849" s="25">
        <v>0.5</v>
      </c>
      <c r="AA849" s="25"/>
      <c r="AB849" s="25" t="s">
        <v>2521</v>
      </c>
      <c r="AC849" s="27" t="s">
        <v>6274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3042</v>
      </c>
      <c r="H850" s="25" t="s">
        <v>2987</v>
      </c>
      <c r="I850" s="25"/>
      <c r="J850" s="25"/>
      <c r="K850" s="25"/>
      <c r="L850" s="25"/>
      <c r="M850" s="26"/>
      <c r="N850" s="25"/>
      <c r="O850" s="26"/>
      <c r="P850" s="27"/>
      <c r="Q850" s="25" t="s">
        <v>3043</v>
      </c>
      <c r="R850" s="25" t="s">
        <v>2516</v>
      </c>
      <c r="S850" s="25" t="s">
        <v>25</v>
      </c>
      <c r="T850" s="25">
        <v>1</v>
      </c>
      <c r="U850" s="25" t="s">
        <v>2517</v>
      </c>
      <c r="V850" s="25" t="s">
        <v>6275</v>
      </c>
      <c r="W850" s="25" t="s">
        <v>6276</v>
      </c>
      <c r="X850" s="59">
        <v>45852.538888888892</v>
      </c>
      <c r="Y850" s="25"/>
      <c r="Z850" s="25">
        <v>0.6</v>
      </c>
      <c r="AA850" s="25"/>
      <c r="AB850" s="25" t="s">
        <v>2521</v>
      </c>
      <c r="AC850" s="27" t="s">
        <v>6091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3055</v>
      </c>
      <c r="H851" s="25" t="s">
        <v>2987</v>
      </c>
      <c r="I851" s="25"/>
      <c r="J851" s="25"/>
      <c r="K851" s="25"/>
      <c r="L851" s="25"/>
      <c r="M851" s="26"/>
      <c r="N851" s="25"/>
      <c r="O851" s="26"/>
      <c r="P851" s="27"/>
      <c r="Q851" s="25" t="s">
        <v>3056</v>
      </c>
      <c r="R851" s="25" t="s">
        <v>2516</v>
      </c>
      <c r="S851" s="25" t="s">
        <v>25</v>
      </c>
      <c r="T851" s="25">
        <v>1</v>
      </c>
      <c r="U851" s="25" t="s">
        <v>2517</v>
      </c>
      <c r="V851" s="25" t="s">
        <v>6277</v>
      </c>
      <c r="W851" s="25" t="s">
        <v>6278</v>
      </c>
      <c r="X851" s="59">
        <v>45852.551388888889</v>
      </c>
      <c r="Y851" s="25"/>
      <c r="Z851" s="25">
        <v>0.3</v>
      </c>
      <c r="AA851" s="25"/>
      <c r="AB851" s="25" t="s">
        <v>2521</v>
      </c>
      <c r="AC851" s="27" t="s">
        <v>6091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6279</v>
      </c>
      <c r="H852" s="25" t="s">
        <v>2609</v>
      </c>
      <c r="I852" s="25"/>
      <c r="J852" s="25"/>
      <c r="K852" s="25"/>
      <c r="L852" s="25"/>
      <c r="M852" s="26"/>
      <c r="N852" s="25"/>
      <c r="O852" s="26"/>
      <c r="P852" s="27"/>
      <c r="Q852" s="25" t="s">
        <v>6280</v>
      </c>
      <c r="R852" s="25" t="s">
        <v>2516</v>
      </c>
      <c r="S852" s="25" t="s">
        <v>185</v>
      </c>
      <c r="T852" s="25">
        <v>1</v>
      </c>
      <c r="U852" s="25" t="s">
        <v>2517</v>
      </c>
      <c r="V852" s="25" t="s">
        <v>6281</v>
      </c>
      <c r="W852" s="25" t="s">
        <v>6282</v>
      </c>
      <c r="X852" s="59">
        <v>45852.5625</v>
      </c>
      <c r="Y852" s="25"/>
      <c r="Z852" s="25">
        <v>3</v>
      </c>
      <c r="AA852" s="25"/>
      <c r="AB852" s="25" t="s">
        <v>2521</v>
      </c>
      <c r="AC852" s="27" t="s">
        <v>3948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3046</v>
      </c>
      <c r="H853" s="25" t="s">
        <v>2987</v>
      </c>
      <c r="I853" s="25"/>
      <c r="J853" s="25"/>
      <c r="K853" s="25"/>
      <c r="L853" s="25"/>
      <c r="M853" s="26"/>
      <c r="N853" s="25"/>
      <c r="O853" s="26"/>
      <c r="P853" s="27"/>
      <c r="Q853" s="25" t="s">
        <v>3047</v>
      </c>
      <c r="R853" s="25" t="s">
        <v>2516</v>
      </c>
      <c r="S853" s="25" t="s">
        <v>25</v>
      </c>
      <c r="T853" s="25">
        <v>1</v>
      </c>
      <c r="U853" s="25" t="s">
        <v>2517</v>
      </c>
      <c r="V853" s="25" t="s">
        <v>6283</v>
      </c>
      <c r="W853" s="25" t="s">
        <v>6284</v>
      </c>
      <c r="X853" s="59">
        <v>45852.574305555558</v>
      </c>
      <c r="Y853" s="25"/>
      <c r="Z853" s="25">
        <v>0.3</v>
      </c>
      <c r="AA853" s="25"/>
      <c r="AB853" s="25" t="s">
        <v>2521</v>
      </c>
      <c r="AC853" s="27" t="s">
        <v>6216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3436</v>
      </c>
      <c r="H854" s="25" t="s">
        <v>2609</v>
      </c>
      <c r="I854" s="25"/>
      <c r="J854" s="25"/>
      <c r="K854" s="25"/>
      <c r="L854" s="25"/>
      <c r="M854" s="26"/>
      <c r="N854" s="25"/>
      <c r="O854" s="26"/>
      <c r="P854" s="27"/>
      <c r="Q854" s="25" t="s">
        <v>3439</v>
      </c>
      <c r="R854" s="25" t="s">
        <v>2516</v>
      </c>
      <c r="S854" s="25" t="s">
        <v>173</v>
      </c>
      <c r="T854" s="25">
        <v>1</v>
      </c>
      <c r="U854" s="25" t="s">
        <v>2517</v>
      </c>
      <c r="V854" s="25" t="s">
        <v>6285</v>
      </c>
      <c r="W854" s="25" t="s">
        <v>6286</v>
      </c>
      <c r="X854" s="59">
        <v>45852.57916666667</v>
      </c>
      <c r="Y854" s="25"/>
      <c r="Z854" s="25">
        <v>0.3</v>
      </c>
      <c r="AA854" s="25"/>
      <c r="AB854" s="25" t="s">
        <v>2521</v>
      </c>
      <c r="AC854" s="27" t="s">
        <v>6091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6287</v>
      </c>
      <c r="E855" s="25" t="s">
        <v>2504</v>
      </c>
      <c r="F855" s="25">
        <v>4341</v>
      </c>
      <c r="G855" s="25" t="s">
        <v>4297</v>
      </c>
      <c r="H855" s="25" t="s">
        <v>2659</v>
      </c>
      <c r="I855" s="25" t="s">
        <v>6288</v>
      </c>
      <c r="J855" s="25" t="s">
        <v>2661</v>
      </c>
      <c r="K855" s="25" t="s">
        <v>2568</v>
      </c>
      <c r="L855" s="25" t="s">
        <v>2511</v>
      </c>
      <c r="M855" s="26" t="s">
        <v>2512</v>
      </c>
      <c r="N855" s="25">
        <v>2304</v>
      </c>
      <c r="O855" s="26" t="s">
        <v>2513</v>
      </c>
      <c r="P855" s="27" t="s">
        <v>6289</v>
      </c>
      <c r="Q855" s="25" t="s">
        <v>4298</v>
      </c>
      <c r="R855" s="25" t="s">
        <v>2516</v>
      </c>
      <c r="S855" s="25" t="s">
        <v>185</v>
      </c>
      <c r="T855" s="25">
        <v>1</v>
      </c>
      <c r="U855" s="25" t="s">
        <v>2517</v>
      </c>
      <c r="V855" s="25" t="s">
        <v>6290</v>
      </c>
      <c r="W855" s="25" t="s">
        <v>6291</v>
      </c>
      <c r="X855" s="59">
        <v>45852.611111111109</v>
      </c>
      <c r="Y855" s="25" t="s">
        <v>6292</v>
      </c>
      <c r="Z855" s="25">
        <v>0.7</v>
      </c>
      <c r="AA855" s="25"/>
      <c r="AB855" s="25" t="s">
        <v>2521</v>
      </c>
      <c r="AC855" s="27" t="s">
        <v>6293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3051</v>
      </c>
      <c r="H856" s="25" t="s">
        <v>2987</v>
      </c>
      <c r="I856" s="25"/>
      <c r="J856" s="25"/>
      <c r="K856" s="25"/>
      <c r="L856" s="25"/>
      <c r="M856" s="26"/>
      <c r="N856" s="25"/>
      <c r="O856" s="26"/>
      <c r="P856" s="27"/>
      <c r="Q856" s="25" t="s">
        <v>3052</v>
      </c>
      <c r="R856" s="25" t="s">
        <v>2516</v>
      </c>
      <c r="S856" s="25" t="s">
        <v>25</v>
      </c>
      <c r="T856" s="25">
        <v>1</v>
      </c>
      <c r="U856" s="25" t="s">
        <v>2517</v>
      </c>
      <c r="V856" s="25" t="s">
        <v>6294</v>
      </c>
      <c r="W856" s="25" t="s">
        <v>6295</v>
      </c>
      <c r="X856" s="59">
        <v>45852.618055555547</v>
      </c>
      <c r="Y856" s="25"/>
      <c r="Z856" s="25">
        <v>0.3</v>
      </c>
      <c r="AA856" s="25"/>
      <c r="AB856" s="25" t="s">
        <v>2521</v>
      </c>
      <c r="AC856" s="27" t="s">
        <v>6091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4297</v>
      </c>
      <c r="H857" s="25" t="s">
        <v>2659</v>
      </c>
      <c r="I857" s="25"/>
      <c r="J857" s="25"/>
      <c r="K857" s="25"/>
      <c r="L857" s="25"/>
      <c r="M857" s="26"/>
      <c r="N857" s="25"/>
      <c r="O857" s="26"/>
      <c r="P857" s="27"/>
      <c r="Q857" s="25" t="s">
        <v>4298</v>
      </c>
      <c r="R857" s="25" t="s">
        <v>2516</v>
      </c>
      <c r="S857" s="25" t="s">
        <v>185</v>
      </c>
      <c r="T857" s="25">
        <v>1</v>
      </c>
      <c r="U857" s="25" t="s">
        <v>2517</v>
      </c>
      <c r="V857" s="25" t="s">
        <v>6296</v>
      </c>
      <c r="W857" s="25" t="s">
        <v>6297</v>
      </c>
      <c r="X857" s="59">
        <v>45852.625</v>
      </c>
      <c r="Y857" s="25"/>
      <c r="Z857" s="25">
        <v>0.3</v>
      </c>
      <c r="AA857" s="25"/>
      <c r="AB857" s="25" t="s">
        <v>2521</v>
      </c>
      <c r="AC857" s="27" t="s">
        <v>6091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3476</v>
      </c>
      <c r="H858" s="25" t="s">
        <v>2987</v>
      </c>
      <c r="I858" s="25"/>
      <c r="J858" s="25"/>
      <c r="K858" s="25"/>
      <c r="L858" s="25"/>
      <c r="M858" s="26"/>
      <c r="N858" s="25"/>
      <c r="O858" s="26"/>
      <c r="P858" s="27"/>
      <c r="Q858" s="25" t="s">
        <v>3477</v>
      </c>
      <c r="R858" s="25" t="s">
        <v>2516</v>
      </c>
      <c r="S858" s="25" t="s">
        <v>25</v>
      </c>
      <c r="T858" s="25">
        <v>1</v>
      </c>
      <c r="U858" s="25" t="s">
        <v>2517</v>
      </c>
      <c r="V858" s="25" t="s">
        <v>6298</v>
      </c>
      <c r="W858" s="25" t="s">
        <v>6299</v>
      </c>
      <c r="X858" s="59">
        <v>45852.6875</v>
      </c>
      <c r="Y858" s="25"/>
      <c r="Z858" s="25">
        <v>0.3</v>
      </c>
      <c r="AA858" s="25"/>
      <c r="AB858" s="25" t="s">
        <v>2521</v>
      </c>
      <c r="AC858" s="27" t="s">
        <v>6091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6300</v>
      </c>
      <c r="E859" s="25" t="s">
        <v>2504</v>
      </c>
      <c r="F859" s="25">
        <v>2209</v>
      </c>
      <c r="G859" s="25" t="s">
        <v>5697</v>
      </c>
      <c r="H859" s="25" t="s">
        <v>2507</v>
      </c>
      <c r="I859" s="25" t="s">
        <v>6301</v>
      </c>
      <c r="J859" s="25" t="s">
        <v>2536</v>
      </c>
      <c r="K859" s="25" t="s">
        <v>2568</v>
      </c>
      <c r="L859" s="25" t="s">
        <v>2511</v>
      </c>
      <c r="M859" s="26" t="s">
        <v>2512</v>
      </c>
      <c r="N859" s="25">
        <v>2307</v>
      </c>
      <c r="O859" s="26" t="s">
        <v>2678</v>
      </c>
      <c r="P859" s="27" t="s">
        <v>6302</v>
      </c>
      <c r="Q859" s="25" t="s">
        <v>2856</v>
      </c>
      <c r="R859" s="25" t="s">
        <v>2516</v>
      </c>
      <c r="S859" s="25" t="s">
        <v>25</v>
      </c>
      <c r="T859" s="25">
        <v>1</v>
      </c>
      <c r="U859" s="25" t="s">
        <v>2517</v>
      </c>
      <c r="V859" s="25" t="s">
        <v>6303</v>
      </c>
      <c r="W859" s="25" t="s">
        <v>6304</v>
      </c>
      <c r="X859" s="59">
        <v>45854.458333333343</v>
      </c>
      <c r="Y859" s="25" t="s">
        <v>6305</v>
      </c>
      <c r="Z859" s="25">
        <v>0.5</v>
      </c>
      <c r="AA859" s="25"/>
      <c r="AB859" s="25" t="s">
        <v>2521</v>
      </c>
      <c r="AC859" s="27" t="s">
        <v>6306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5697</v>
      </c>
      <c r="H860" s="25" t="s">
        <v>2507</v>
      </c>
      <c r="I860" s="25"/>
      <c r="J860" s="25"/>
      <c r="K860" s="25"/>
      <c r="L860" s="25"/>
      <c r="M860" s="26"/>
      <c r="N860" s="25"/>
      <c r="O860" s="26"/>
      <c r="P860" s="27"/>
      <c r="Q860" s="25" t="s">
        <v>2856</v>
      </c>
      <c r="R860" s="25" t="s">
        <v>2516</v>
      </c>
      <c r="S860" s="25" t="s">
        <v>25</v>
      </c>
      <c r="T860" s="25">
        <v>1</v>
      </c>
      <c r="U860" s="25" t="s">
        <v>2517</v>
      </c>
      <c r="V860" s="25" t="s">
        <v>6307</v>
      </c>
      <c r="W860" s="25" t="s">
        <v>6308</v>
      </c>
      <c r="X860" s="59">
        <v>45854.493055555547</v>
      </c>
      <c r="Y860" s="25"/>
      <c r="Z860" s="25">
        <v>0.5</v>
      </c>
      <c r="AA860" s="25"/>
      <c r="AB860" s="25" t="s">
        <v>2521</v>
      </c>
      <c r="AC860" s="27" t="s">
        <v>6091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2859</v>
      </c>
      <c r="H861" s="25" t="s">
        <v>2507</v>
      </c>
      <c r="I861" s="25"/>
      <c r="J861" s="25"/>
      <c r="K861" s="25"/>
      <c r="L861" s="25"/>
      <c r="M861" s="26"/>
      <c r="N861" s="25"/>
      <c r="O861" s="26"/>
      <c r="P861" s="27"/>
      <c r="Q861" s="25" t="s">
        <v>2860</v>
      </c>
      <c r="R861" s="25" t="s">
        <v>2516</v>
      </c>
      <c r="S861" s="25" t="s">
        <v>25</v>
      </c>
      <c r="T861" s="25">
        <v>1</v>
      </c>
      <c r="U861" s="25" t="s">
        <v>2517</v>
      </c>
      <c r="V861" s="25" t="s">
        <v>6309</v>
      </c>
      <c r="W861" s="25" t="s">
        <v>6310</v>
      </c>
      <c r="X861" s="59">
        <v>45854.534722222219</v>
      </c>
      <c r="Y861" s="25"/>
      <c r="Z861" s="25">
        <v>0.5</v>
      </c>
      <c r="AA861" s="25"/>
      <c r="AB861" s="25" t="s">
        <v>2521</v>
      </c>
      <c r="AC861" s="27" t="s">
        <v>6216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3516</v>
      </c>
      <c r="H862" s="25" t="s">
        <v>2507</v>
      </c>
      <c r="I862" s="25"/>
      <c r="J862" s="25"/>
      <c r="K862" s="25"/>
      <c r="L862" s="25"/>
      <c r="M862" s="26"/>
      <c r="N862" s="25"/>
      <c r="O862" s="26"/>
      <c r="P862" s="27"/>
      <c r="Q862" s="25" t="s">
        <v>3519</v>
      </c>
      <c r="R862" s="25" t="s">
        <v>2516</v>
      </c>
      <c r="S862" s="25" t="s">
        <v>25</v>
      </c>
      <c r="T862" s="25">
        <v>1</v>
      </c>
      <c r="U862" s="25" t="s">
        <v>2517</v>
      </c>
      <c r="V862" s="25" t="s">
        <v>6311</v>
      </c>
      <c r="W862" s="25" t="s">
        <v>6312</v>
      </c>
      <c r="X862" s="59">
        <v>45854.565972222219</v>
      </c>
      <c r="Y862" s="25"/>
      <c r="Z862" s="25">
        <v>0.3</v>
      </c>
      <c r="AA862" s="25"/>
      <c r="AB862" s="25" t="s">
        <v>2521</v>
      </c>
      <c r="AC862" s="27" t="s">
        <v>6216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3059</v>
      </c>
      <c r="H863" s="25" t="s">
        <v>2987</v>
      </c>
      <c r="I863" s="25"/>
      <c r="J863" s="25"/>
      <c r="K863" s="25"/>
      <c r="L863" s="25"/>
      <c r="M863" s="26"/>
      <c r="N863" s="25"/>
      <c r="O863" s="26"/>
      <c r="P863" s="27"/>
      <c r="Q863" s="25" t="s">
        <v>3060</v>
      </c>
      <c r="R863" s="25" t="s">
        <v>2516</v>
      </c>
      <c r="S863" s="25" t="s">
        <v>25</v>
      </c>
      <c r="T863" s="25">
        <v>1</v>
      </c>
      <c r="U863" s="25" t="s">
        <v>2517</v>
      </c>
      <c r="V863" s="25" t="s">
        <v>6313</v>
      </c>
      <c r="W863" s="25" t="s">
        <v>6314</v>
      </c>
      <c r="X863" s="59">
        <v>45854.640972222223</v>
      </c>
      <c r="Y863" s="25"/>
      <c r="Z863" s="25">
        <v>0.3</v>
      </c>
      <c r="AA863" s="25"/>
      <c r="AB863" s="25" t="s">
        <v>2521</v>
      </c>
      <c r="AC863" s="27" t="s">
        <v>6315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3472</v>
      </c>
      <c r="H864" s="25" t="s">
        <v>2987</v>
      </c>
      <c r="I864" s="25"/>
      <c r="J864" s="25"/>
      <c r="K864" s="25"/>
      <c r="L864" s="25"/>
      <c r="M864" s="26"/>
      <c r="N864" s="25"/>
      <c r="O864" s="26"/>
      <c r="P864" s="27"/>
      <c r="Q864" s="25" t="s">
        <v>3473</v>
      </c>
      <c r="R864" s="25" t="s">
        <v>2516</v>
      </c>
      <c r="S864" s="25" t="s">
        <v>25</v>
      </c>
      <c r="T864" s="25">
        <v>1</v>
      </c>
      <c r="U864" s="25" t="s">
        <v>2517</v>
      </c>
      <c r="V864" s="25" t="s">
        <v>6316</v>
      </c>
      <c r="W864" s="25" t="s">
        <v>6317</v>
      </c>
      <c r="X864" s="59">
        <v>45854.642361111109</v>
      </c>
      <c r="Y864" s="25"/>
      <c r="Z864" s="25">
        <v>0.3</v>
      </c>
      <c r="AA864" s="25"/>
      <c r="AB864" s="25" t="s">
        <v>2521</v>
      </c>
      <c r="AC864" s="27" t="s">
        <v>6315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6318</v>
      </c>
      <c r="E865" s="25" t="s">
        <v>2504</v>
      </c>
      <c r="F865" s="25" t="s">
        <v>2865</v>
      </c>
      <c r="G865" s="25" t="s">
        <v>2866</v>
      </c>
      <c r="H865" s="25" t="s">
        <v>2507</v>
      </c>
      <c r="I865" s="25" t="s">
        <v>6319</v>
      </c>
      <c r="J865" s="25" t="s">
        <v>2835</v>
      </c>
      <c r="K865" s="25" t="s">
        <v>2510</v>
      </c>
      <c r="L865" s="25" t="s">
        <v>2525</v>
      </c>
      <c r="M865" s="26" t="s">
        <v>2526</v>
      </c>
      <c r="N865" s="25">
        <v>5804</v>
      </c>
      <c r="O865" s="26" t="s">
        <v>2582</v>
      </c>
      <c r="P865" s="27" t="s">
        <v>6320</v>
      </c>
      <c r="Q865" s="25" t="s">
        <v>2867</v>
      </c>
      <c r="R865" s="25" t="s">
        <v>2516</v>
      </c>
      <c r="S865" s="25" t="s">
        <v>25</v>
      </c>
      <c r="T865" s="25">
        <v>1</v>
      </c>
      <c r="U865" s="25" t="s">
        <v>2517</v>
      </c>
      <c r="V865" s="25" t="s">
        <v>6321</v>
      </c>
      <c r="W865" s="25" t="s">
        <v>6322</v>
      </c>
      <c r="X865" s="59">
        <v>45856.504861111112</v>
      </c>
      <c r="Y865" s="25" t="s">
        <v>6323</v>
      </c>
      <c r="Z865" s="25">
        <v>0.5</v>
      </c>
      <c r="AA865" s="25"/>
      <c r="AB865" s="25" t="s">
        <v>2521</v>
      </c>
      <c r="AC865" s="27" t="s">
        <v>6324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6325</v>
      </c>
      <c r="E866" s="25" t="s">
        <v>2504</v>
      </c>
      <c r="F866" s="25">
        <v>4098</v>
      </c>
      <c r="G866" s="25" t="s">
        <v>3884</v>
      </c>
      <c r="H866" s="25" t="s">
        <v>2507</v>
      </c>
      <c r="I866" s="25" t="s">
        <v>6326</v>
      </c>
      <c r="J866" s="25" t="s">
        <v>2567</v>
      </c>
      <c r="K866" s="25" t="s">
        <v>2765</v>
      </c>
      <c r="L866" s="25" t="s">
        <v>2611</v>
      </c>
      <c r="M866" s="26" t="s">
        <v>2612</v>
      </c>
      <c r="N866" s="25" t="s">
        <v>3526</v>
      </c>
      <c r="O866" s="26" t="s">
        <v>3152</v>
      </c>
      <c r="P866" s="27" t="s">
        <v>6327</v>
      </c>
      <c r="Q866" s="25" t="s">
        <v>3885</v>
      </c>
      <c r="R866" s="25" t="s">
        <v>2516</v>
      </c>
      <c r="S866" s="25" t="s">
        <v>25</v>
      </c>
      <c r="T866" s="25">
        <v>1</v>
      </c>
      <c r="U866" s="25" t="s">
        <v>2517</v>
      </c>
      <c r="V866" s="25" t="s">
        <v>6328</v>
      </c>
      <c r="W866" s="25" t="s">
        <v>6329</v>
      </c>
      <c r="X866" s="59">
        <v>45856.484722222223</v>
      </c>
      <c r="Y866" s="25" t="s">
        <v>6330</v>
      </c>
      <c r="Z866" s="25">
        <v>1.1000000000000001</v>
      </c>
      <c r="AA866" s="25"/>
      <c r="AB866" s="25" t="s">
        <v>2521</v>
      </c>
      <c r="AC866" s="27" t="s">
        <v>6331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6332</v>
      </c>
      <c r="E867" s="25" t="s">
        <v>2843</v>
      </c>
      <c r="F867" s="25">
        <v>4098</v>
      </c>
      <c r="G867" s="25" t="s">
        <v>3884</v>
      </c>
      <c r="H867" s="25" t="s">
        <v>2507</v>
      </c>
      <c r="I867" s="25" t="s">
        <v>6333</v>
      </c>
      <c r="J867" s="25" t="s">
        <v>2567</v>
      </c>
      <c r="K867" s="25" t="s">
        <v>2568</v>
      </c>
      <c r="L867" s="25" t="s">
        <v>2611</v>
      </c>
      <c r="M867" s="26" t="s">
        <v>2612</v>
      </c>
      <c r="N867" s="25" t="s">
        <v>3526</v>
      </c>
      <c r="O867" s="26" t="s">
        <v>3152</v>
      </c>
      <c r="P867" s="27" t="s">
        <v>6334</v>
      </c>
      <c r="Q867" s="25" t="s">
        <v>3885</v>
      </c>
      <c r="R867" s="25" t="s">
        <v>2516</v>
      </c>
      <c r="S867" s="25" t="s">
        <v>25</v>
      </c>
      <c r="T867" s="25">
        <v>1</v>
      </c>
      <c r="U867" s="25" t="s">
        <v>2517</v>
      </c>
      <c r="V867" s="25" t="s">
        <v>6335</v>
      </c>
      <c r="W867" s="25" t="s">
        <v>6329</v>
      </c>
      <c r="X867" s="59">
        <v>45856.48333333333</v>
      </c>
      <c r="Y867" s="25" t="s">
        <v>6336</v>
      </c>
      <c r="Z867" s="25">
        <v>1.1000000000000001</v>
      </c>
      <c r="AA867" s="25"/>
      <c r="AB867" s="25" t="s">
        <v>2521</v>
      </c>
      <c r="AC867" s="27" t="s">
        <v>6331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3884</v>
      </c>
      <c r="H868" s="25" t="s">
        <v>2507</v>
      </c>
      <c r="I868" s="25"/>
      <c r="J868" s="25"/>
      <c r="K868" s="25"/>
      <c r="L868" s="25"/>
      <c r="M868" s="26"/>
      <c r="N868" s="25"/>
      <c r="O868" s="26"/>
      <c r="P868" s="27"/>
      <c r="Q868" s="25" t="s">
        <v>3885</v>
      </c>
      <c r="R868" s="25" t="s">
        <v>2516</v>
      </c>
      <c r="S868" s="25" t="s">
        <v>25</v>
      </c>
      <c r="T868" s="25">
        <v>1</v>
      </c>
      <c r="U868" s="25" t="s">
        <v>2517</v>
      </c>
      <c r="V868" s="25" t="s">
        <v>6337</v>
      </c>
      <c r="W868" s="25" t="s">
        <v>6338</v>
      </c>
      <c r="X868" s="59">
        <v>45856.479166666657</v>
      </c>
      <c r="Y868" s="25"/>
      <c r="Z868" s="25">
        <v>0.5</v>
      </c>
      <c r="AA868" s="25"/>
      <c r="AB868" s="25" t="s">
        <v>2521</v>
      </c>
      <c r="AC868" s="27" t="s">
        <v>6091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2763</v>
      </c>
      <c r="H869" s="25" t="s">
        <v>2659</v>
      </c>
      <c r="I869" s="25"/>
      <c r="J869" s="25"/>
      <c r="K869" s="25"/>
      <c r="L869" s="25"/>
      <c r="M869" s="26"/>
      <c r="N869" s="25"/>
      <c r="O869" s="26"/>
      <c r="P869" s="27"/>
      <c r="Q869" s="25" t="s">
        <v>2767</v>
      </c>
      <c r="R869" s="25" t="s">
        <v>2516</v>
      </c>
      <c r="S869" s="25" t="s">
        <v>185</v>
      </c>
      <c r="T869" s="25">
        <v>1</v>
      </c>
      <c r="U869" s="25" t="s">
        <v>2517</v>
      </c>
      <c r="V869" s="25" t="s">
        <v>6339</v>
      </c>
      <c r="W869" s="25" t="s">
        <v>6340</v>
      </c>
      <c r="X869" s="59">
        <v>45859.479166666657</v>
      </c>
      <c r="Y869" s="25"/>
      <c r="Z869" s="25">
        <v>0.3</v>
      </c>
      <c r="AA869" s="25"/>
      <c r="AB869" s="25" t="s">
        <v>2521</v>
      </c>
      <c r="AC869" s="27" t="s">
        <v>6091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6341</v>
      </c>
      <c r="E870" s="25" t="s">
        <v>2504</v>
      </c>
      <c r="F870" s="25">
        <v>4167</v>
      </c>
      <c r="G870" s="25" t="s">
        <v>3436</v>
      </c>
      <c r="H870" s="25" t="s">
        <v>2609</v>
      </c>
      <c r="I870" s="25" t="s">
        <v>6342</v>
      </c>
      <c r="J870" s="25" t="s">
        <v>2930</v>
      </c>
      <c r="K870" s="25" t="s">
        <v>2568</v>
      </c>
      <c r="L870" s="25" t="s">
        <v>2945</v>
      </c>
      <c r="M870" s="26" t="s">
        <v>2946</v>
      </c>
      <c r="N870" s="25" t="s">
        <v>2947</v>
      </c>
      <c r="O870" s="26" t="s">
        <v>2948</v>
      </c>
      <c r="P870" s="27" t="s">
        <v>6343</v>
      </c>
      <c r="Q870" s="25" t="s">
        <v>3439</v>
      </c>
      <c r="R870" s="25" t="s">
        <v>2516</v>
      </c>
      <c r="S870" s="25" t="s">
        <v>173</v>
      </c>
      <c r="T870" s="25">
        <v>1</v>
      </c>
      <c r="U870" s="25" t="s">
        <v>2517</v>
      </c>
      <c r="V870" s="25" t="s">
        <v>6344</v>
      </c>
      <c r="W870" s="25" t="s">
        <v>6345</v>
      </c>
      <c r="X870" s="59">
        <v>45860.482638888891</v>
      </c>
      <c r="Y870" s="25" t="s">
        <v>6346</v>
      </c>
      <c r="Z870" s="25">
        <v>0.5</v>
      </c>
      <c r="AA870" s="25"/>
      <c r="AB870" s="25" t="s">
        <v>2521</v>
      </c>
      <c r="AC870" s="27" t="s">
        <v>6347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6348</v>
      </c>
      <c r="E871" s="25" t="s">
        <v>2504</v>
      </c>
      <c r="F871" s="25">
        <v>4196</v>
      </c>
      <c r="G871" s="25" t="s">
        <v>3689</v>
      </c>
      <c r="H871" s="25" t="s">
        <v>2507</v>
      </c>
      <c r="I871" s="25" t="s">
        <v>6349</v>
      </c>
      <c r="J871" s="25" t="s">
        <v>2661</v>
      </c>
      <c r="K871" s="25" t="s">
        <v>2568</v>
      </c>
      <c r="L871" s="25" t="s">
        <v>2537</v>
      </c>
      <c r="M871" s="26" t="s">
        <v>2538</v>
      </c>
      <c r="N871" s="25" t="s">
        <v>2539</v>
      </c>
      <c r="O871" s="26" t="s">
        <v>2540</v>
      </c>
      <c r="P871" s="27" t="s">
        <v>6350</v>
      </c>
      <c r="Q871" s="25" t="s">
        <v>3690</v>
      </c>
      <c r="R871" s="25" t="s">
        <v>2516</v>
      </c>
      <c r="S871" s="25" t="s">
        <v>25</v>
      </c>
      <c r="T871" s="25">
        <v>1</v>
      </c>
      <c r="U871" s="25" t="s">
        <v>2517</v>
      </c>
      <c r="V871" s="25" t="s">
        <v>6351</v>
      </c>
      <c r="W871" s="25" t="s">
        <v>6352</v>
      </c>
      <c r="X871" s="59">
        <v>45860.50277777778</v>
      </c>
      <c r="Y871" s="25" t="s">
        <v>6353</v>
      </c>
      <c r="Z871" s="25">
        <v>1.4</v>
      </c>
      <c r="AA871" s="25"/>
      <c r="AB871" s="25" t="s">
        <v>2521</v>
      </c>
      <c r="AC871" s="27" t="s">
        <v>6354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3771</v>
      </c>
      <c r="H872" s="25" t="s">
        <v>2659</v>
      </c>
      <c r="I872" s="25"/>
      <c r="J872" s="25"/>
      <c r="K872" s="25"/>
      <c r="L872" s="25"/>
      <c r="M872" s="26"/>
      <c r="N872" s="25"/>
      <c r="O872" s="26"/>
      <c r="P872" s="27"/>
      <c r="Q872" s="25" t="s">
        <v>3772</v>
      </c>
      <c r="R872" s="25" t="s">
        <v>2516</v>
      </c>
      <c r="S872" s="25" t="s">
        <v>185</v>
      </c>
      <c r="T872" s="25">
        <v>1</v>
      </c>
      <c r="U872" s="25" t="s">
        <v>2517</v>
      </c>
      <c r="V872" s="25" t="s">
        <v>6355</v>
      </c>
      <c r="W872" s="25" t="s">
        <v>6356</v>
      </c>
      <c r="X872" s="59">
        <v>45859.611111111109</v>
      </c>
      <c r="Y872" s="25"/>
      <c r="Z872" s="25">
        <v>0.7</v>
      </c>
      <c r="AA872" s="25"/>
      <c r="AB872" s="25" t="s">
        <v>2521</v>
      </c>
      <c r="AC872" s="27" t="s">
        <v>6357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6358</v>
      </c>
      <c r="E873" s="25" t="s">
        <v>2504</v>
      </c>
      <c r="F873" s="25">
        <v>4260</v>
      </c>
      <c r="G873" s="25" t="s">
        <v>5305</v>
      </c>
      <c r="H873" s="25" t="s">
        <v>2507</v>
      </c>
      <c r="I873" s="25" t="s">
        <v>6359</v>
      </c>
      <c r="J873" s="25" t="s">
        <v>2509</v>
      </c>
      <c r="K873" s="25" t="s">
        <v>2568</v>
      </c>
      <c r="L873" s="25" t="s">
        <v>2511</v>
      </c>
      <c r="M873" s="26" t="s">
        <v>2512</v>
      </c>
      <c r="N873" s="25">
        <v>2307</v>
      </c>
      <c r="O873" s="26" t="s">
        <v>2678</v>
      </c>
      <c r="P873" s="27" t="s">
        <v>6360</v>
      </c>
      <c r="Q873" s="25" t="s">
        <v>2788</v>
      </c>
      <c r="R873" s="25" t="s">
        <v>2516</v>
      </c>
      <c r="S873" s="25" t="s">
        <v>25</v>
      </c>
      <c r="T873" s="25">
        <v>1</v>
      </c>
      <c r="U873" s="25" t="s">
        <v>2517</v>
      </c>
      <c r="V873" s="25" t="s">
        <v>6361</v>
      </c>
      <c r="W873" s="25" t="s">
        <v>6362</v>
      </c>
      <c r="X873" s="59">
        <v>45860.538888888892</v>
      </c>
      <c r="Y873" s="25" t="s">
        <v>6363</v>
      </c>
      <c r="Z873" s="25">
        <v>0.5</v>
      </c>
      <c r="AA873" s="25"/>
      <c r="AB873" s="25" t="s">
        <v>2521</v>
      </c>
      <c r="AC873" s="27" t="s">
        <v>4999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6364</v>
      </c>
      <c r="E874" s="25" t="s">
        <v>2504</v>
      </c>
      <c r="F874" s="25" t="s">
        <v>4404</v>
      </c>
      <c r="G874" s="25" t="s">
        <v>4405</v>
      </c>
      <c r="H874" s="25" t="s">
        <v>2609</v>
      </c>
      <c r="I874" s="25" t="s">
        <v>6365</v>
      </c>
      <c r="J874" s="25" t="s">
        <v>2509</v>
      </c>
      <c r="K874" s="25" t="s">
        <v>2568</v>
      </c>
      <c r="L874" s="25" t="s">
        <v>3150</v>
      </c>
      <c r="M874" s="26" t="s">
        <v>3151</v>
      </c>
      <c r="N874" s="25">
        <v>5903</v>
      </c>
      <c r="O874" s="26" t="s">
        <v>3152</v>
      </c>
      <c r="P874" s="27" t="s">
        <v>6366</v>
      </c>
      <c r="Q874" s="25" t="s">
        <v>4406</v>
      </c>
      <c r="R874" s="25" t="s">
        <v>2516</v>
      </c>
      <c r="S874" s="25" t="s">
        <v>173</v>
      </c>
      <c r="T874" s="25">
        <v>1</v>
      </c>
      <c r="U874" s="25" t="s">
        <v>2517</v>
      </c>
      <c r="V874" s="25" t="s">
        <v>6367</v>
      </c>
      <c r="W874" s="25" t="s">
        <v>6368</v>
      </c>
      <c r="X874" s="59">
        <v>45860.524305555547</v>
      </c>
      <c r="Y874" s="25" t="s">
        <v>6369</v>
      </c>
      <c r="Z874" s="25">
        <v>0.8</v>
      </c>
      <c r="AA874" s="25"/>
      <c r="AB874" s="25" t="s">
        <v>2521</v>
      </c>
      <c r="AC874" s="27" t="s">
        <v>6370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4404</v>
      </c>
      <c r="G875" s="25" t="s">
        <v>4405</v>
      </c>
      <c r="H875" s="25" t="s">
        <v>2609</v>
      </c>
      <c r="I875" s="25"/>
      <c r="J875" s="25"/>
      <c r="K875" s="25"/>
      <c r="L875" s="25"/>
      <c r="M875" s="26"/>
      <c r="N875" s="25"/>
      <c r="O875" s="26"/>
      <c r="P875" s="27"/>
      <c r="Q875" s="25" t="s">
        <v>4406</v>
      </c>
      <c r="R875" s="25" t="s">
        <v>2516</v>
      </c>
      <c r="S875" s="25" t="s">
        <v>173</v>
      </c>
      <c r="T875" s="25">
        <v>1</v>
      </c>
      <c r="U875" s="25" t="s">
        <v>2517</v>
      </c>
      <c r="V875" s="25" t="s">
        <v>6371</v>
      </c>
      <c r="W875" s="25" t="s">
        <v>6368</v>
      </c>
      <c r="X875" s="59">
        <v>45860.524305555547</v>
      </c>
      <c r="Y875" s="25"/>
      <c r="Z875" s="25">
        <v>0.8</v>
      </c>
      <c r="AA875" s="25"/>
      <c r="AB875" s="25" t="s">
        <v>2521</v>
      </c>
      <c r="AC875" s="27" t="s">
        <v>6216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5305</v>
      </c>
      <c r="H876" s="25" t="s">
        <v>2507</v>
      </c>
      <c r="I876" s="25"/>
      <c r="J876" s="25"/>
      <c r="K876" s="25"/>
      <c r="L876" s="25"/>
      <c r="M876" s="26"/>
      <c r="N876" s="25"/>
      <c r="O876" s="26"/>
      <c r="P876" s="27"/>
      <c r="Q876" s="25" t="s">
        <v>2788</v>
      </c>
      <c r="R876" s="25" t="s">
        <v>2516</v>
      </c>
      <c r="S876" s="25" t="s">
        <v>25</v>
      </c>
      <c r="T876" s="25">
        <v>1</v>
      </c>
      <c r="U876" s="25" t="s">
        <v>2517</v>
      </c>
      <c r="V876" s="25" t="s">
        <v>6372</v>
      </c>
      <c r="W876" s="25" t="s">
        <v>6373</v>
      </c>
      <c r="X876" s="59">
        <v>45860.540277777778</v>
      </c>
      <c r="Y876" s="25"/>
      <c r="Z876" s="25">
        <v>0.3</v>
      </c>
      <c r="AA876" s="25"/>
      <c r="AB876" s="25" t="s">
        <v>2521</v>
      </c>
      <c r="AC876" s="29" t="s">
        <v>6091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2799</v>
      </c>
      <c r="H877" s="25" t="s">
        <v>2507</v>
      </c>
      <c r="I877" s="25"/>
      <c r="J877" s="25"/>
      <c r="K877" s="25"/>
      <c r="L877" s="25"/>
      <c r="M877" s="26"/>
      <c r="N877" s="25"/>
      <c r="O877" s="26"/>
      <c r="P877" s="27"/>
      <c r="Q877" s="25" t="s">
        <v>2800</v>
      </c>
      <c r="R877" s="25" t="s">
        <v>2516</v>
      </c>
      <c r="S877" s="25" t="s">
        <v>25</v>
      </c>
      <c r="T877" s="25">
        <v>1</v>
      </c>
      <c r="U877" s="25" t="s">
        <v>2517</v>
      </c>
      <c r="V877" s="25" t="s">
        <v>6374</v>
      </c>
      <c r="W877" s="25" t="s">
        <v>6375</v>
      </c>
      <c r="X877" s="59">
        <v>45860.567361111112</v>
      </c>
      <c r="Y877" s="25"/>
      <c r="Z877" s="25">
        <v>0.3</v>
      </c>
      <c r="AA877" s="25"/>
      <c r="AB877" s="25" t="s">
        <v>2521</v>
      </c>
      <c r="AC877" s="27" t="s">
        <v>6091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3908</v>
      </c>
      <c r="H878" s="25" t="s">
        <v>2507</v>
      </c>
      <c r="I878" s="25"/>
      <c r="J878" s="25"/>
      <c r="K878" s="25"/>
      <c r="L878" s="25"/>
      <c r="M878" s="26"/>
      <c r="N878" s="25"/>
      <c r="O878" s="26"/>
      <c r="P878" s="27"/>
      <c r="Q878" s="25" t="s">
        <v>3909</v>
      </c>
      <c r="R878" s="25" t="s">
        <v>2516</v>
      </c>
      <c r="S878" s="25" t="s">
        <v>25</v>
      </c>
      <c r="T878" s="25">
        <v>1</v>
      </c>
      <c r="U878" s="25" t="s">
        <v>2517</v>
      </c>
      <c r="V878" s="25" t="s">
        <v>6376</v>
      </c>
      <c r="W878" s="25" t="s">
        <v>6377</v>
      </c>
      <c r="X878" s="59">
        <v>45860.604861111111</v>
      </c>
      <c r="Y878" s="25"/>
      <c r="Z878" s="25">
        <v>0.3</v>
      </c>
      <c r="AA878" s="25"/>
      <c r="AB878" s="25" t="s">
        <v>2521</v>
      </c>
      <c r="AC878" s="27" t="s">
        <v>6091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2795</v>
      </c>
      <c r="H879" s="25" t="s">
        <v>2507</v>
      </c>
      <c r="I879" s="25"/>
      <c r="J879" s="25"/>
      <c r="K879" s="25"/>
      <c r="L879" s="25"/>
      <c r="M879" s="26"/>
      <c r="N879" s="25"/>
      <c r="O879" s="26"/>
      <c r="P879" s="27"/>
      <c r="Q879" s="25" t="s">
        <v>2796</v>
      </c>
      <c r="R879" s="25" t="s">
        <v>2516</v>
      </c>
      <c r="S879" s="25" t="s">
        <v>25</v>
      </c>
      <c r="T879" s="25">
        <v>1</v>
      </c>
      <c r="U879" s="25" t="s">
        <v>2517</v>
      </c>
      <c r="V879" s="25" t="s">
        <v>6378</v>
      </c>
      <c r="W879" s="25" t="s">
        <v>6379</v>
      </c>
      <c r="X879" s="59">
        <v>45860.634027777778</v>
      </c>
      <c r="Y879" s="25"/>
      <c r="Z879" s="25">
        <v>0.4</v>
      </c>
      <c r="AA879" s="25"/>
      <c r="AB879" s="25" t="s">
        <v>2521</v>
      </c>
      <c r="AC879" s="27" t="s">
        <v>6091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2791</v>
      </c>
      <c r="H880" s="25" t="s">
        <v>2507</v>
      </c>
      <c r="I880" s="25"/>
      <c r="J880" s="25"/>
      <c r="K880" s="25"/>
      <c r="L880" s="25"/>
      <c r="M880" s="26"/>
      <c r="N880" s="25"/>
      <c r="O880" s="26"/>
      <c r="P880" s="27"/>
      <c r="Q880" s="25" t="s">
        <v>2792</v>
      </c>
      <c r="R880" s="25" t="s">
        <v>2516</v>
      </c>
      <c r="S880" s="25" t="s">
        <v>25</v>
      </c>
      <c r="T880" s="25">
        <v>1</v>
      </c>
      <c r="U880" s="25" t="s">
        <v>2517</v>
      </c>
      <c r="V880" s="25" t="s">
        <v>6380</v>
      </c>
      <c r="W880" s="25" t="s">
        <v>6381</v>
      </c>
      <c r="X880" s="59">
        <v>45860.665277777778</v>
      </c>
      <c r="Y880" s="25"/>
      <c r="Z880" s="25">
        <v>0.6</v>
      </c>
      <c r="AA880" s="25"/>
      <c r="AB880" s="25" t="s">
        <v>2521</v>
      </c>
      <c r="AC880" s="27" t="s">
        <v>6091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6382</v>
      </c>
      <c r="E881" s="25" t="s">
        <v>2504</v>
      </c>
      <c r="F881" s="25">
        <v>4057</v>
      </c>
      <c r="G881" s="25" t="s">
        <v>3147</v>
      </c>
      <c r="H881" s="25" t="s">
        <v>3148</v>
      </c>
      <c r="I881" s="25" t="s">
        <v>6383</v>
      </c>
      <c r="J881" s="25" t="s">
        <v>2536</v>
      </c>
      <c r="K881" s="25" t="s">
        <v>2568</v>
      </c>
      <c r="L881" s="25" t="s">
        <v>2525</v>
      </c>
      <c r="M881" s="26" t="s">
        <v>2526</v>
      </c>
      <c r="N881" s="25">
        <v>5803</v>
      </c>
      <c r="O881" s="26" t="s">
        <v>2963</v>
      </c>
      <c r="P881" s="27" t="s">
        <v>6384</v>
      </c>
      <c r="Q881" s="25" t="s">
        <v>3154</v>
      </c>
      <c r="R881" s="25" t="s">
        <v>2516</v>
      </c>
      <c r="S881" s="25" t="s">
        <v>185</v>
      </c>
      <c r="T881" s="25">
        <v>1</v>
      </c>
      <c r="U881" s="25" t="s">
        <v>2517</v>
      </c>
      <c r="V881" s="25" t="s">
        <v>6385</v>
      </c>
      <c r="W881" s="25" t="s">
        <v>6386</v>
      </c>
      <c r="X881" s="59">
        <v>45862.4375</v>
      </c>
      <c r="Y881" s="25" t="s">
        <v>6387</v>
      </c>
      <c r="Z881" s="25">
        <v>1.5</v>
      </c>
      <c r="AA881" s="25"/>
      <c r="AB881" s="25" t="s">
        <v>2521</v>
      </c>
      <c r="AC881" s="27" t="s">
        <v>6388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6389</v>
      </c>
      <c r="E882" s="25" t="s">
        <v>2504</v>
      </c>
      <c r="F882" s="25">
        <v>3890</v>
      </c>
      <c r="G882" s="25" t="s">
        <v>2548</v>
      </c>
      <c r="H882" s="25" t="s">
        <v>2507</v>
      </c>
      <c r="I882" s="25" t="s">
        <v>6390</v>
      </c>
      <c r="J882" s="25" t="s">
        <v>2536</v>
      </c>
      <c r="K882" s="25" t="s">
        <v>2568</v>
      </c>
      <c r="L882" s="25" t="s">
        <v>2511</v>
      </c>
      <c r="M882" s="26" t="s">
        <v>2512</v>
      </c>
      <c r="N882" s="25">
        <v>2305</v>
      </c>
      <c r="O882" s="26" t="s">
        <v>3035</v>
      </c>
      <c r="P882" s="27" t="s">
        <v>6391</v>
      </c>
      <c r="Q882" s="25" t="s">
        <v>2552</v>
      </c>
      <c r="R882" s="25" t="s">
        <v>2516</v>
      </c>
      <c r="S882" s="25" t="s">
        <v>25</v>
      </c>
      <c r="T882" s="25">
        <v>1</v>
      </c>
      <c r="U882" s="25" t="s">
        <v>2517</v>
      </c>
      <c r="V882" s="25" t="s">
        <v>6392</v>
      </c>
      <c r="W882" s="25" t="s">
        <v>6393</v>
      </c>
      <c r="X882" s="59">
        <v>45862.499305555553</v>
      </c>
      <c r="Y882" s="25" t="s">
        <v>6394</v>
      </c>
      <c r="Z882" s="25">
        <v>1</v>
      </c>
      <c r="AA882" s="25"/>
      <c r="AB882" s="25" t="s">
        <v>2521</v>
      </c>
      <c r="AC882" s="27" t="s">
        <v>6395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2817</v>
      </c>
      <c r="G883" s="25" t="s">
        <v>6396</v>
      </c>
      <c r="H883" s="25" t="s">
        <v>2507</v>
      </c>
      <c r="I883" s="25"/>
      <c r="J883" s="25"/>
      <c r="K883" s="25"/>
      <c r="L883" s="25"/>
      <c r="M883" s="26"/>
      <c r="N883" s="25"/>
      <c r="O883" s="26"/>
      <c r="P883" s="27"/>
      <c r="Q883" s="25" t="s">
        <v>2819</v>
      </c>
      <c r="R883" s="25" t="s">
        <v>2516</v>
      </c>
      <c r="S883" s="25" t="s">
        <v>25</v>
      </c>
      <c r="T883" s="25">
        <v>1</v>
      </c>
      <c r="U883" s="25" t="s">
        <v>2517</v>
      </c>
      <c r="V883" s="25" t="s">
        <v>6397</v>
      </c>
      <c r="W883" s="25" t="s">
        <v>6398</v>
      </c>
      <c r="X883" s="59">
        <v>45861.574305555558</v>
      </c>
      <c r="Y883" s="25"/>
      <c r="Z883" s="25">
        <v>0.5</v>
      </c>
      <c r="AA883" s="25"/>
      <c r="AB883" s="25" t="s">
        <v>2521</v>
      </c>
      <c r="AC883" s="27" t="s">
        <v>6091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6399</v>
      </c>
      <c r="E884" s="25" t="s">
        <v>2504</v>
      </c>
      <c r="F884" s="25">
        <v>4210</v>
      </c>
      <c r="G884" s="25" t="s">
        <v>3693</v>
      </c>
      <c r="H884" s="25" t="s">
        <v>2507</v>
      </c>
      <c r="I884" s="25" t="s">
        <v>6400</v>
      </c>
      <c r="J884" s="25" t="s">
        <v>2536</v>
      </c>
      <c r="K884" s="25" t="s">
        <v>2510</v>
      </c>
      <c r="L884" s="25" t="s">
        <v>2537</v>
      </c>
      <c r="M884" s="26" t="s">
        <v>2538</v>
      </c>
      <c r="N884" s="25" t="s">
        <v>2539</v>
      </c>
      <c r="O884" s="26" t="s">
        <v>2540</v>
      </c>
      <c r="P884" s="27" t="s">
        <v>6401</v>
      </c>
      <c r="Q884" s="25" t="s">
        <v>3694</v>
      </c>
      <c r="R884" s="25" t="s">
        <v>2516</v>
      </c>
      <c r="S884" s="25" t="s">
        <v>25</v>
      </c>
      <c r="T884" s="25">
        <v>1</v>
      </c>
      <c r="U884" s="25" t="s">
        <v>2517</v>
      </c>
      <c r="V884" s="25" t="s">
        <v>6402</v>
      </c>
      <c r="W884" s="25" t="s">
        <v>6403</v>
      </c>
      <c r="X884" s="59">
        <v>45862.553472222222</v>
      </c>
      <c r="Y884" s="25" t="s">
        <v>6404</v>
      </c>
      <c r="Z884" s="25">
        <v>0.5</v>
      </c>
      <c r="AA884" s="25"/>
      <c r="AB884" s="25" t="s">
        <v>2521</v>
      </c>
      <c r="AC884" s="27" t="s">
        <v>6405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6406</v>
      </c>
      <c r="E885" s="25" t="s">
        <v>2504</v>
      </c>
      <c r="F885" s="25">
        <v>4210</v>
      </c>
      <c r="G885" s="25" t="s">
        <v>3693</v>
      </c>
      <c r="H885" s="25" t="s">
        <v>2507</v>
      </c>
      <c r="I885" s="25" t="s">
        <v>6407</v>
      </c>
      <c r="J885" s="25" t="s">
        <v>2536</v>
      </c>
      <c r="K885" s="25" t="s">
        <v>2510</v>
      </c>
      <c r="L885" s="25" t="s">
        <v>2537</v>
      </c>
      <c r="M885" s="26" t="s">
        <v>2538</v>
      </c>
      <c r="N885" s="25" t="s">
        <v>2539</v>
      </c>
      <c r="O885" s="26" t="s">
        <v>2540</v>
      </c>
      <c r="P885" s="27" t="s">
        <v>6408</v>
      </c>
      <c r="Q885" s="25" t="s">
        <v>3694</v>
      </c>
      <c r="R885" s="25" t="s">
        <v>2516</v>
      </c>
      <c r="S885" s="25" t="s">
        <v>25</v>
      </c>
      <c r="T885" s="25">
        <v>1</v>
      </c>
      <c r="U885" s="25" t="s">
        <v>2517</v>
      </c>
      <c r="V885" s="25" t="s">
        <v>6409</v>
      </c>
      <c r="W885" s="25" t="s">
        <v>6410</v>
      </c>
      <c r="X885" s="59">
        <v>45862.552083333343</v>
      </c>
      <c r="Y885" s="25" t="s">
        <v>6411</v>
      </c>
      <c r="Z885" s="25">
        <v>0.5</v>
      </c>
      <c r="AA885" s="25"/>
      <c r="AB885" s="25" t="s">
        <v>2521</v>
      </c>
      <c r="AC885" s="27" t="s">
        <v>6412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2715</v>
      </c>
      <c r="H886" s="25" t="s">
        <v>2507</v>
      </c>
      <c r="I886" s="25"/>
      <c r="J886" s="25"/>
      <c r="K886" s="25"/>
      <c r="L886" s="25"/>
      <c r="M886" s="26"/>
      <c r="N886" s="25"/>
      <c r="O886" s="26"/>
      <c r="P886" s="27"/>
      <c r="Q886" s="25" t="s">
        <v>2719</v>
      </c>
      <c r="R886" s="25" t="s">
        <v>2516</v>
      </c>
      <c r="S886" s="25" t="s">
        <v>25</v>
      </c>
      <c r="T886" s="25">
        <v>1</v>
      </c>
      <c r="U886" s="25" t="s">
        <v>2517</v>
      </c>
      <c r="V886" s="25" t="s">
        <v>6413</v>
      </c>
      <c r="W886" s="25" t="s">
        <v>6414</v>
      </c>
      <c r="X886" s="59">
        <v>45861.590277777781</v>
      </c>
      <c r="Y886" s="25"/>
      <c r="Z886" s="25">
        <v>0.3</v>
      </c>
      <c r="AA886" s="25"/>
      <c r="AB886" s="25" t="s">
        <v>2521</v>
      </c>
      <c r="AC886" s="27" t="s">
        <v>6216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2828</v>
      </c>
      <c r="H887" s="25" t="s">
        <v>2507</v>
      </c>
      <c r="I887" s="25"/>
      <c r="J887" s="25"/>
      <c r="K887" s="25"/>
      <c r="L887" s="25"/>
      <c r="M887" s="26"/>
      <c r="N887" s="25"/>
      <c r="O887" s="26"/>
      <c r="P887" s="27"/>
      <c r="Q887" s="25" t="s">
        <v>2829</v>
      </c>
      <c r="R887" s="25" t="s">
        <v>2516</v>
      </c>
      <c r="S887" s="25" t="s">
        <v>25</v>
      </c>
      <c r="T887" s="25">
        <v>1</v>
      </c>
      <c r="U887" s="25" t="s">
        <v>2517</v>
      </c>
      <c r="V887" s="25" t="s">
        <v>6415</v>
      </c>
      <c r="W887" s="25" t="s">
        <v>6416</v>
      </c>
      <c r="X887" s="59">
        <v>45861.647916666669</v>
      </c>
      <c r="Y887" s="25"/>
      <c r="Z887" s="25">
        <v>0.4</v>
      </c>
      <c r="AA887" s="25"/>
      <c r="AB887" s="25" t="s">
        <v>2521</v>
      </c>
      <c r="AC887" s="27" t="s">
        <v>6091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6417</v>
      </c>
      <c r="E888" s="25" t="s">
        <v>2504</v>
      </c>
      <c r="F888" s="25" t="s">
        <v>2817</v>
      </c>
      <c r="G888" s="25" t="s">
        <v>6396</v>
      </c>
      <c r="H888" s="25" t="s">
        <v>2507</v>
      </c>
      <c r="I888" s="25" t="s">
        <v>6418</v>
      </c>
      <c r="J888" s="25" t="s">
        <v>2835</v>
      </c>
      <c r="K888" s="25" t="s">
        <v>2568</v>
      </c>
      <c r="L888" s="25" t="s">
        <v>2945</v>
      </c>
      <c r="M888" s="26" t="s">
        <v>2946</v>
      </c>
      <c r="N888" s="25" t="s">
        <v>2947</v>
      </c>
      <c r="O888" s="26" t="s">
        <v>2948</v>
      </c>
      <c r="P888" s="27" t="s">
        <v>6419</v>
      </c>
      <c r="Q888" s="25" t="s">
        <v>2819</v>
      </c>
      <c r="R888" s="25" t="s">
        <v>2516</v>
      </c>
      <c r="S888" s="25" t="s">
        <v>25</v>
      </c>
      <c r="T888" s="25">
        <v>1</v>
      </c>
      <c r="U888" s="25" t="s">
        <v>2517</v>
      </c>
      <c r="V888" s="25" t="s">
        <v>6420</v>
      </c>
      <c r="W888" s="25" t="s">
        <v>6421</v>
      </c>
      <c r="X888" s="59">
        <v>45863.459027777782</v>
      </c>
      <c r="Y888" s="25" t="s">
        <v>6422</v>
      </c>
      <c r="Z888" s="25">
        <v>0.5</v>
      </c>
      <c r="AA888" s="25"/>
      <c r="AB888" s="25" t="s">
        <v>2521</v>
      </c>
      <c r="AC888" s="27" t="s">
        <v>6423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3147</v>
      </c>
      <c r="H889" s="25" t="s">
        <v>3148</v>
      </c>
      <c r="I889" s="25"/>
      <c r="J889" s="25"/>
      <c r="K889" s="25"/>
      <c r="L889" s="25"/>
      <c r="M889" s="26"/>
      <c r="N889" s="25"/>
      <c r="O889" s="26"/>
      <c r="P889" s="27"/>
      <c r="Q889" s="25" t="s">
        <v>3154</v>
      </c>
      <c r="R889" s="25" t="s">
        <v>2516</v>
      </c>
      <c r="S889" s="25" t="s">
        <v>185</v>
      </c>
      <c r="T889" s="25">
        <v>1</v>
      </c>
      <c r="U889" s="25" t="s">
        <v>2517</v>
      </c>
      <c r="V889" s="25" t="s">
        <v>6424</v>
      </c>
      <c r="W889" s="25" t="s">
        <v>6425</v>
      </c>
      <c r="X889" s="59">
        <v>45862.458333333343</v>
      </c>
      <c r="Y889" s="25"/>
      <c r="Z889" s="25">
        <v>0.5</v>
      </c>
      <c r="AA889" s="25"/>
      <c r="AB889" s="25" t="s">
        <v>2521</v>
      </c>
      <c r="AC889" s="27" t="s">
        <v>6091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6426</v>
      </c>
      <c r="E890" s="25" t="s">
        <v>2504</v>
      </c>
      <c r="F890" s="25">
        <v>3890</v>
      </c>
      <c r="G890" s="25" t="s">
        <v>2548</v>
      </c>
      <c r="H890" s="25" t="s">
        <v>2507</v>
      </c>
      <c r="I890" s="25" t="s">
        <v>6427</v>
      </c>
      <c r="J890" s="25" t="s">
        <v>2835</v>
      </c>
      <c r="K890" s="25" t="s">
        <v>2568</v>
      </c>
      <c r="L890" s="25" t="s">
        <v>2611</v>
      </c>
      <c r="M890" s="26" t="s">
        <v>2612</v>
      </c>
      <c r="N890" s="25" t="s">
        <v>3526</v>
      </c>
      <c r="O890" s="26" t="s">
        <v>3152</v>
      </c>
      <c r="P890" s="27" t="s">
        <v>6428</v>
      </c>
      <c r="Q890" s="25" t="s">
        <v>2552</v>
      </c>
      <c r="R890" s="25" t="s">
        <v>2516</v>
      </c>
      <c r="S890" s="25" t="s">
        <v>25</v>
      </c>
      <c r="T890" s="25">
        <v>1</v>
      </c>
      <c r="U890" s="25" t="s">
        <v>2517</v>
      </c>
      <c r="V890" s="25" t="s">
        <v>6429</v>
      </c>
      <c r="W890" s="25" t="s">
        <v>6393</v>
      </c>
      <c r="X890" s="59">
        <v>45862.5</v>
      </c>
      <c r="Y890" s="25" t="s">
        <v>6430</v>
      </c>
      <c r="Z890" s="25">
        <v>1</v>
      </c>
      <c r="AA890" s="25"/>
      <c r="AB890" s="25" t="s">
        <v>2521</v>
      </c>
      <c r="AC890" s="27" t="s">
        <v>6431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3366</v>
      </c>
      <c r="H891" s="25" t="s">
        <v>3148</v>
      </c>
      <c r="I891" s="25"/>
      <c r="J891" s="25"/>
      <c r="K891" s="25"/>
      <c r="L891" s="25"/>
      <c r="M891" s="26"/>
      <c r="N891" s="25"/>
      <c r="O891" s="26"/>
      <c r="P891" s="27"/>
      <c r="Q891" s="25" t="s">
        <v>3367</v>
      </c>
      <c r="R891" s="25" t="s">
        <v>2516</v>
      </c>
      <c r="S891" s="25" t="s">
        <v>185</v>
      </c>
      <c r="T891" s="25">
        <v>1</v>
      </c>
      <c r="U891" s="25" t="s">
        <v>2517</v>
      </c>
      <c r="V891" s="25" t="s">
        <v>6432</v>
      </c>
      <c r="W891" s="25" t="s">
        <v>6433</v>
      </c>
      <c r="X891" s="59">
        <v>45862.475694444453</v>
      </c>
      <c r="Y891" s="25"/>
      <c r="Z891" s="25">
        <v>0.3</v>
      </c>
      <c r="AA891" s="25"/>
      <c r="AB891" s="25" t="s">
        <v>2521</v>
      </c>
      <c r="AC891" s="27" t="s">
        <v>6216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6434</v>
      </c>
      <c r="E892" s="25" t="s">
        <v>2504</v>
      </c>
      <c r="F892" s="25">
        <v>3890</v>
      </c>
      <c r="G892" s="25" t="s">
        <v>2548</v>
      </c>
      <c r="H892" s="25" t="s">
        <v>2507</v>
      </c>
      <c r="I892" s="25" t="s">
        <v>6435</v>
      </c>
      <c r="J892" s="25" t="s">
        <v>2835</v>
      </c>
      <c r="K892" s="25" t="s">
        <v>2510</v>
      </c>
      <c r="L892" s="25" t="s">
        <v>2945</v>
      </c>
      <c r="M892" s="26" t="s">
        <v>2946</v>
      </c>
      <c r="N892" s="25" t="s">
        <v>4130</v>
      </c>
      <c r="O892" s="26" t="s">
        <v>3383</v>
      </c>
      <c r="P892" s="27" t="s">
        <v>6436</v>
      </c>
      <c r="Q892" s="25" t="s">
        <v>2552</v>
      </c>
      <c r="R892" s="25" t="s">
        <v>2516</v>
      </c>
      <c r="S892" s="25" t="s">
        <v>25</v>
      </c>
      <c r="T892" s="25">
        <v>1</v>
      </c>
      <c r="U892" s="25" t="s">
        <v>2517</v>
      </c>
      <c r="V892" s="25" t="s">
        <v>6437</v>
      </c>
      <c r="W892" s="25" t="s">
        <v>6438</v>
      </c>
      <c r="X892" s="59">
        <v>45862.51458333333</v>
      </c>
      <c r="Y892" s="25" t="s">
        <v>6439</v>
      </c>
      <c r="Z892" s="25">
        <v>0.4</v>
      </c>
      <c r="AA892" s="25"/>
      <c r="AB892" s="25" t="s">
        <v>2521</v>
      </c>
      <c r="AC892" s="27" t="s">
        <v>6440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2548</v>
      </c>
      <c r="H893" s="25" t="s">
        <v>2507</v>
      </c>
      <c r="I893" s="25"/>
      <c r="J893" s="25"/>
      <c r="K893" s="25"/>
      <c r="L893" s="25"/>
      <c r="M893" s="26"/>
      <c r="N893" s="25"/>
      <c r="O893" s="26"/>
      <c r="P893" s="27"/>
      <c r="Q893" s="25" t="s">
        <v>2552</v>
      </c>
      <c r="R893" s="25" t="s">
        <v>2516</v>
      </c>
      <c r="S893" s="25" t="s">
        <v>25</v>
      </c>
      <c r="T893" s="25">
        <v>1</v>
      </c>
      <c r="U893" s="25" t="s">
        <v>2517</v>
      </c>
      <c r="V893" s="25" t="s">
        <v>6441</v>
      </c>
      <c r="W893" s="25" t="s">
        <v>6442</v>
      </c>
      <c r="X893" s="59">
        <v>45862.518750000003</v>
      </c>
      <c r="Y893" s="25"/>
      <c r="Z893" s="25">
        <v>0.3</v>
      </c>
      <c r="AA893" s="25"/>
      <c r="AB893" s="25" t="s">
        <v>2521</v>
      </c>
      <c r="AC893" s="27" t="s">
        <v>6091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6443</v>
      </c>
      <c r="E894" s="25" t="s">
        <v>2504</v>
      </c>
      <c r="F894" s="25">
        <v>4856</v>
      </c>
      <c r="G894" s="25" t="s">
        <v>2763</v>
      </c>
      <c r="H894" s="25" t="s">
        <v>2659</v>
      </c>
      <c r="I894" s="25" t="s">
        <v>6444</v>
      </c>
      <c r="J894" s="25" t="s">
        <v>2835</v>
      </c>
      <c r="K894" s="25" t="s">
        <v>2510</v>
      </c>
      <c r="L894" s="25" t="s">
        <v>2537</v>
      </c>
      <c r="M894" s="26" t="s">
        <v>2538</v>
      </c>
      <c r="N894" s="25" t="s">
        <v>2539</v>
      </c>
      <c r="O894" s="26" t="s">
        <v>2540</v>
      </c>
      <c r="P894" s="27" t="s">
        <v>6445</v>
      </c>
      <c r="Q894" s="25" t="s">
        <v>2767</v>
      </c>
      <c r="R894" s="25" t="s">
        <v>2516</v>
      </c>
      <c r="S894" s="25" t="s">
        <v>185</v>
      </c>
      <c r="T894" s="25">
        <v>1</v>
      </c>
      <c r="U894" s="25" t="s">
        <v>2517</v>
      </c>
      <c r="V894" s="25" t="s">
        <v>6446</v>
      </c>
      <c r="W894" s="25" t="s">
        <v>6447</v>
      </c>
      <c r="X894" s="59">
        <v>45862.572916666657</v>
      </c>
      <c r="Y894" s="25" t="s">
        <v>6448</v>
      </c>
      <c r="Z894" s="25">
        <v>0.8</v>
      </c>
      <c r="AA894" s="25"/>
      <c r="AB894" s="25" t="s">
        <v>2521</v>
      </c>
      <c r="AC894" s="27" t="s">
        <v>6449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6450</v>
      </c>
      <c r="E895" s="25" t="s">
        <v>2504</v>
      </c>
      <c r="F895" s="25">
        <v>4845</v>
      </c>
      <c r="G895" s="25" t="s">
        <v>3179</v>
      </c>
      <c r="H895" s="25" t="s">
        <v>3180</v>
      </c>
      <c r="I895" s="25" t="s">
        <v>6451</v>
      </c>
      <c r="J895" s="25" t="s">
        <v>2835</v>
      </c>
      <c r="K895" s="25" t="s">
        <v>2510</v>
      </c>
      <c r="L895" s="25" t="s">
        <v>2511</v>
      </c>
      <c r="M895" s="26" t="s">
        <v>2512</v>
      </c>
      <c r="N895" s="25">
        <v>2307</v>
      </c>
      <c r="O895" s="26" t="s">
        <v>2678</v>
      </c>
      <c r="P895" s="27" t="s">
        <v>6452</v>
      </c>
      <c r="Q895" s="25" t="s">
        <v>3181</v>
      </c>
      <c r="R895" s="25" t="s">
        <v>2516</v>
      </c>
      <c r="S895" s="25" t="s">
        <v>25</v>
      </c>
      <c r="T895" s="25">
        <v>1</v>
      </c>
      <c r="U895" s="25" t="s">
        <v>2517</v>
      </c>
      <c r="V895" s="25" t="s">
        <v>6453</v>
      </c>
      <c r="W895" s="25" t="s">
        <v>6454</v>
      </c>
      <c r="X895" s="59">
        <v>45863.563194444447</v>
      </c>
      <c r="Y895" s="25" t="s">
        <v>6455</v>
      </c>
      <c r="Z895" s="25">
        <v>0.5</v>
      </c>
      <c r="AA895" s="25"/>
      <c r="AB895" s="25" t="s">
        <v>2521</v>
      </c>
      <c r="AC895" s="27" t="s">
        <v>6456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3179</v>
      </c>
      <c r="H896" s="25" t="s">
        <v>3180</v>
      </c>
      <c r="I896" s="25"/>
      <c r="J896" s="25"/>
      <c r="K896" s="25"/>
      <c r="L896" s="25"/>
      <c r="M896" s="26"/>
      <c r="N896" s="25"/>
      <c r="O896" s="26"/>
      <c r="P896" s="27"/>
      <c r="Q896" s="25" t="s">
        <v>3181</v>
      </c>
      <c r="R896" s="25" t="s">
        <v>2516</v>
      </c>
      <c r="S896" s="25" t="s">
        <v>25</v>
      </c>
      <c r="T896" s="25">
        <v>1</v>
      </c>
      <c r="U896" s="25" t="s">
        <v>2517</v>
      </c>
      <c r="V896" s="25" t="s">
        <v>6457</v>
      </c>
      <c r="W896" s="25" t="s">
        <v>6458</v>
      </c>
      <c r="X896" s="59">
        <v>45863.564583333333</v>
      </c>
      <c r="Y896" s="25"/>
      <c r="Z896" s="25">
        <v>0.3</v>
      </c>
      <c r="AA896" s="25"/>
      <c r="AB896" s="25" t="s">
        <v>2521</v>
      </c>
      <c r="AC896" s="27" t="s">
        <v>6091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4487</v>
      </c>
      <c r="G897" s="25" t="s">
        <v>4488</v>
      </c>
      <c r="H897" s="25" t="s">
        <v>2996</v>
      </c>
      <c r="I897" s="25"/>
      <c r="J897" s="25"/>
      <c r="K897" s="25"/>
      <c r="L897" s="25"/>
      <c r="M897" s="26"/>
      <c r="N897" s="25"/>
      <c r="O897" s="26"/>
      <c r="P897" s="27"/>
      <c r="Q897" s="25" t="s">
        <v>4489</v>
      </c>
      <c r="R897" s="25" t="s">
        <v>2516</v>
      </c>
      <c r="S897" s="25" t="s">
        <v>185</v>
      </c>
      <c r="T897" s="25">
        <v>1</v>
      </c>
      <c r="U897" s="25" t="s">
        <v>2517</v>
      </c>
      <c r="V897" s="25" t="s">
        <v>6459</v>
      </c>
      <c r="W897" s="25" t="s">
        <v>6460</v>
      </c>
      <c r="X897" s="59">
        <v>45863.680555555547</v>
      </c>
      <c r="Y897" s="25"/>
      <c r="Z897" s="25">
        <v>0.3</v>
      </c>
      <c r="AA897" s="25"/>
      <c r="AB897" s="25" t="s">
        <v>2521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2808</v>
      </c>
      <c r="H898" s="25" t="s">
        <v>2507</v>
      </c>
      <c r="I898" s="25"/>
      <c r="J898" s="25"/>
      <c r="K898" s="25"/>
      <c r="L898" s="25"/>
      <c r="M898" s="26"/>
      <c r="N898" s="25"/>
      <c r="O898" s="26"/>
      <c r="P898" s="27"/>
      <c r="Q898" s="25" t="s">
        <v>2809</v>
      </c>
      <c r="R898" s="25" t="s">
        <v>2516</v>
      </c>
      <c r="S898" s="25" t="s">
        <v>25</v>
      </c>
      <c r="T898" s="25">
        <v>1</v>
      </c>
      <c r="U898" s="25" t="s">
        <v>2517</v>
      </c>
      <c r="V898" s="25" t="s">
        <v>6461</v>
      </c>
      <c r="W898" s="25" t="s">
        <v>6462</v>
      </c>
      <c r="X898" s="59">
        <v>45866.476388888892</v>
      </c>
      <c r="Y898" s="25"/>
      <c r="Z898" s="25">
        <v>0.4</v>
      </c>
      <c r="AA898" s="25"/>
      <c r="AB898" s="25" t="s">
        <v>2521</v>
      </c>
      <c r="AC898" s="27" t="s">
        <v>6091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2822</v>
      </c>
      <c r="H899" s="25" t="s">
        <v>2507</v>
      </c>
      <c r="I899" s="25"/>
      <c r="J899" s="25"/>
      <c r="K899" s="25"/>
      <c r="L899" s="25"/>
      <c r="M899" s="26"/>
      <c r="N899" s="25"/>
      <c r="O899" s="26"/>
      <c r="P899" s="27"/>
      <c r="Q899" s="25" t="s">
        <v>2823</v>
      </c>
      <c r="R899" s="25" t="s">
        <v>2516</v>
      </c>
      <c r="S899" s="25" t="s">
        <v>25</v>
      </c>
      <c r="T899" s="25">
        <v>1</v>
      </c>
      <c r="U899" s="25" t="s">
        <v>2517</v>
      </c>
      <c r="V899" s="25" t="s">
        <v>6463</v>
      </c>
      <c r="W899" s="25" t="s">
        <v>6464</v>
      </c>
      <c r="X899" s="59">
        <v>45866.490972222222</v>
      </c>
      <c r="Y899" s="25"/>
      <c r="Z899" s="25">
        <v>0.3</v>
      </c>
      <c r="AA899" s="25"/>
      <c r="AB899" s="25" t="s">
        <v>2521</v>
      </c>
      <c r="AC899" s="27" t="s">
        <v>6091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2917</v>
      </c>
      <c r="H900" s="25" t="s">
        <v>2507</v>
      </c>
      <c r="I900" s="25"/>
      <c r="J900" s="25"/>
      <c r="K900" s="25"/>
      <c r="L900" s="25"/>
      <c r="M900" s="26"/>
      <c r="N900" s="25"/>
      <c r="O900" s="26"/>
      <c r="P900" s="27"/>
      <c r="Q900" s="25" t="s">
        <v>2918</v>
      </c>
      <c r="R900" s="25" t="s">
        <v>2516</v>
      </c>
      <c r="S900" s="25" t="s">
        <v>25</v>
      </c>
      <c r="T900" s="25">
        <v>1</v>
      </c>
      <c r="U900" s="25" t="s">
        <v>2517</v>
      </c>
      <c r="V900" s="25" t="s">
        <v>6465</v>
      </c>
      <c r="W900" s="25" t="s">
        <v>6466</v>
      </c>
      <c r="X900" s="59">
        <v>45866.536111111112</v>
      </c>
      <c r="Y900" s="25"/>
      <c r="Z900" s="25">
        <v>0.4</v>
      </c>
      <c r="AA900" s="25"/>
      <c r="AB900" s="25" t="s">
        <v>2521</v>
      </c>
      <c r="AC900" s="27" t="s">
        <v>6091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2921</v>
      </c>
      <c r="H901" s="25" t="s">
        <v>2507</v>
      </c>
      <c r="I901" s="25"/>
      <c r="J901" s="25"/>
      <c r="K901" s="25"/>
      <c r="L901" s="25"/>
      <c r="M901" s="26"/>
      <c r="N901" s="25"/>
      <c r="O901" s="26"/>
      <c r="P901" s="27"/>
      <c r="Q901" s="25" t="s">
        <v>2922</v>
      </c>
      <c r="R901" s="25" t="s">
        <v>2516</v>
      </c>
      <c r="S901" s="25" t="s">
        <v>25</v>
      </c>
      <c r="T901" s="25">
        <v>1</v>
      </c>
      <c r="U901" s="25" t="s">
        <v>2517</v>
      </c>
      <c r="V901" s="25" t="s">
        <v>6467</v>
      </c>
      <c r="W901" s="25" t="s">
        <v>6468</v>
      </c>
      <c r="X901" s="59">
        <v>45866.552083333343</v>
      </c>
      <c r="Y901" s="25"/>
      <c r="Z901" s="25">
        <v>0.3</v>
      </c>
      <c r="AA901" s="25"/>
      <c r="AB901" s="25" t="s">
        <v>2521</v>
      </c>
      <c r="AC901" s="27" t="s">
        <v>6091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3532</v>
      </c>
      <c r="H902" s="25" t="s">
        <v>2507</v>
      </c>
      <c r="I902" s="25"/>
      <c r="J902" s="25"/>
      <c r="K902" s="25"/>
      <c r="L902" s="25"/>
      <c r="M902" s="26"/>
      <c r="N902" s="25"/>
      <c r="O902" s="26"/>
      <c r="P902" s="27"/>
      <c r="Q902" s="25" t="s">
        <v>3533</v>
      </c>
      <c r="R902" s="25" t="s">
        <v>2516</v>
      </c>
      <c r="S902" s="25" t="s">
        <v>25</v>
      </c>
      <c r="T902" s="25">
        <v>1</v>
      </c>
      <c r="U902" s="25" t="s">
        <v>2517</v>
      </c>
      <c r="V902" s="25" t="s">
        <v>6469</v>
      </c>
      <c r="W902" s="25" t="s">
        <v>6470</v>
      </c>
      <c r="X902" s="59">
        <v>45866.584722222222</v>
      </c>
      <c r="Y902" s="25"/>
      <c r="Z902" s="25">
        <v>0.4</v>
      </c>
      <c r="AA902" s="25"/>
      <c r="AB902" s="25" t="s">
        <v>2521</v>
      </c>
      <c r="AC902" s="27" t="s">
        <v>6091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3400</v>
      </c>
      <c r="H903" s="25" t="s">
        <v>2659</v>
      </c>
      <c r="I903" s="25"/>
      <c r="J903" s="25"/>
      <c r="K903" s="25"/>
      <c r="L903" s="25"/>
      <c r="M903" s="26"/>
      <c r="N903" s="25"/>
      <c r="O903" s="26"/>
      <c r="P903" s="27"/>
      <c r="Q903" s="25" t="s">
        <v>3401</v>
      </c>
      <c r="R903" s="25" t="s">
        <v>2516</v>
      </c>
      <c r="S903" s="25" t="s">
        <v>185</v>
      </c>
      <c r="T903" s="25">
        <v>1</v>
      </c>
      <c r="U903" s="25" t="s">
        <v>2517</v>
      </c>
      <c r="V903" s="25" t="s">
        <v>6471</v>
      </c>
      <c r="W903" s="25" t="s">
        <v>6472</v>
      </c>
      <c r="X903" s="59">
        <v>45866.631944444453</v>
      </c>
      <c r="Y903" s="25"/>
      <c r="Z903" s="25">
        <v>0.3</v>
      </c>
      <c r="AA903" s="25"/>
      <c r="AB903" s="25" t="s">
        <v>2521</v>
      </c>
      <c r="AC903" s="27" t="s">
        <v>6091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3374</v>
      </c>
      <c r="H904" s="25" t="s">
        <v>2507</v>
      </c>
      <c r="I904" s="25"/>
      <c r="J904" s="25"/>
      <c r="K904" s="25"/>
      <c r="L904" s="25"/>
      <c r="M904" s="26"/>
      <c r="N904" s="25"/>
      <c r="O904" s="26"/>
      <c r="P904" s="27"/>
      <c r="Q904" s="25" t="s">
        <v>3375</v>
      </c>
      <c r="R904" s="25" t="s">
        <v>2516</v>
      </c>
      <c r="S904" s="25" t="s">
        <v>25</v>
      </c>
      <c r="T904" s="25">
        <v>1</v>
      </c>
      <c r="U904" s="25" t="s">
        <v>2517</v>
      </c>
      <c r="V904" s="25" t="s">
        <v>6473</v>
      </c>
      <c r="W904" s="25" t="s">
        <v>6474</v>
      </c>
      <c r="X904" s="59">
        <v>45866.627083333333</v>
      </c>
      <c r="Y904" s="25"/>
      <c r="Z904" s="25">
        <v>0.4</v>
      </c>
      <c r="AA904" s="25"/>
      <c r="AB904" s="25" t="s">
        <v>2521</v>
      </c>
      <c r="AC904" s="27" t="s">
        <v>6216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6475</v>
      </c>
      <c r="E905" s="25" t="s">
        <v>2504</v>
      </c>
      <c r="F905" s="25">
        <v>4680</v>
      </c>
      <c r="G905" s="25" t="s">
        <v>2608</v>
      </c>
      <c r="H905" s="25" t="s">
        <v>2609</v>
      </c>
      <c r="I905" s="25" t="s">
        <v>6476</v>
      </c>
      <c r="J905" s="25" t="s">
        <v>2661</v>
      </c>
      <c r="K905" s="25" t="s">
        <v>2510</v>
      </c>
      <c r="L905" s="25" t="s">
        <v>2537</v>
      </c>
      <c r="M905" s="26" t="s">
        <v>2538</v>
      </c>
      <c r="N905" s="25" t="s">
        <v>2539</v>
      </c>
      <c r="O905" s="26" t="s">
        <v>2540</v>
      </c>
      <c r="P905" s="27" t="s">
        <v>6477</v>
      </c>
      <c r="Q905" s="25" t="s">
        <v>2616</v>
      </c>
      <c r="R905" s="25" t="s">
        <v>2516</v>
      </c>
      <c r="S905" s="25" t="s">
        <v>173</v>
      </c>
      <c r="T905" s="25">
        <v>1</v>
      </c>
      <c r="U905" s="25" t="s">
        <v>2517</v>
      </c>
      <c r="V905" s="25" t="s">
        <v>6478</v>
      </c>
      <c r="W905" s="25" t="s">
        <v>6479</v>
      </c>
      <c r="X905" s="59">
        <v>45867.611111111109</v>
      </c>
      <c r="Y905" s="25" t="s">
        <v>6480</v>
      </c>
      <c r="Z905" s="25">
        <v>0.5</v>
      </c>
      <c r="AA905" s="25"/>
      <c r="AB905" s="25" t="s">
        <v>2521</v>
      </c>
      <c r="AC905" s="31" t="s">
        <v>6481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6482</v>
      </c>
      <c r="E906" s="25" t="s">
        <v>2504</v>
      </c>
      <c r="F906" s="25">
        <v>5384</v>
      </c>
      <c r="G906" s="25" t="s">
        <v>6279</v>
      </c>
      <c r="H906" s="25" t="s">
        <v>2609</v>
      </c>
      <c r="I906" s="25" t="s">
        <v>6483</v>
      </c>
      <c r="J906" s="25" t="s">
        <v>2661</v>
      </c>
      <c r="K906" s="25" t="s">
        <v>2510</v>
      </c>
      <c r="L906" s="25" t="s">
        <v>2945</v>
      </c>
      <c r="M906" s="26" t="s">
        <v>2946</v>
      </c>
      <c r="N906" s="25" t="s">
        <v>3782</v>
      </c>
      <c r="O906" s="26" t="s">
        <v>2582</v>
      </c>
      <c r="P906" s="27" t="s">
        <v>6484</v>
      </c>
      <c r="Q906" s="25" t="s">
        <v>6280</v>
      </c>
      <c r="R906" s="25" t="s">
        <v>2516</v>
      </c>
      <c r="S906" s="25" t="s">
        <v>173</v>
      </c>
      <c r="T906" s="25">
        <v>1</v>
      </c>
      <c r="U906" s="25" t="s">
        <v>2517</v>
      </c>
      <c r="V906" s="25" t="s">
        <v>6485</v>
      </c>
      <c r="W906" s="25" t="s">
        <v>6486</v>
      </c>
      <c r="X906" s="59">
        <v>45867.647222222222</v>
      </c>
      <c r="Y906" s="25" t="s">
        <v>6487</v>
      </c>
      <c r="Z906" s="25">
        <v>1.5</v>
      </c>
      <c r="AA906" s="25"/>
      <c r="AB906" s="25" t="s">
        <v>2521</v>
      </c>
      <c r="AC906" s="27" t="s">
        <v>6488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6489</v>
      </c>
      <c r="E907" s="25" t="s">
        <v>2504</v>
      </c>
      <c r="F907" s="25">
        <v>5384</v>
      </c>
      <c r="G907" s="25" t="s">
        <v>6279</v>
      </c>
      <c r="H907" s="25" t="s">
        <v>2609</v>
      </c>
      <c r="I907" s="25" t="s">
        <v>6490</v>
      </c>
      <c r="J907" s="25" t="s">
        <v>2661</v>
      </c>
      <c r="K907" s="25" t="s">
        <v>2510</v>
      </c>
      <c r="L907" s="25" t="s">
        <v>2945</v>
      </c>
      <c r="M907" s="26" t="s">
        <v>2946</v>
      </c>
      <c r="N907" s="25" t="s">
        <v>3782</v>
      </c>
      <c r="O907" s="26" t="s">
        <v>2582</v>
      </c>
      <c r="P907" s="27" t="s">
        <v>6491</v>
      </c>
      <c r="Q907" s="25" t="s">
        <v>6280</v>
      </c>
      <c r="R907" s="25" t="s">
        <v>2516</v>
      </c>
      <c r="S907" s="25" t="s">
        <v>173</v>
      </c>
      <c r="T907" s="25">
        <v>1</v>
      </c>
      <c r="U907" s="25" t="s">
        <v>2517</v>
      </c>
      <c r="V907" s="25" t="s">
        <v>6492</v>
      </c>
      <c r="W907" s="25" t="s">
        <v>6486</v>
      </c>
      <c r="X907" s="59">
        <v>45867.649305555547</v>
      </c>
      <c r="Y907" s="25" t="s">
        <v>6487</v>
      </c>
      <c r="Z907" s="25">
        <v>1.6</v>
      </c>
      <c r="AA907" s="25"/>
      <c r="AB907" s="25" t="s">
        <v>2521</v>
      </c>
      <c r="AC907" s="27" t="s">
        <v>6493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6494</v>
      </c>
      <c r="E908" s="25" t="s">
        <v>2504</v>
      </c>
      <c r="F908" s="25" t="s">
        <v>4062</v>
      </c>
      <c r="G908" s="25" t="s">
        <v>4063</v>
      </c>
      <c r="H908" s="25" t="s">
        <v>3148</v>
      </c>
      <c r="I908" s="25" t="s">
        <v>6495</v>
      </c>
      <c r="J908" s="25" t="s">
        <v>2661</v>
      </c>
      <c r="K908" s="25" t="s">
        <v>2717</v>
      </c>
      <c r="L908" s="25" t="s">
        <v>2611</v>
      </c>
      <c r="M908" s="26" t="s">
        <v>2612</v>
      </c>
      <c r="N908" s="25" t="s">
        <v>2613</v>
      </c>
      <c r="O908" s="26" t="s">
        <v>2614</v>
      </c>
      <c r="P908" s="27" t="s">
        <v>6496</v>
      </c>
      <c r="Q908" s="25" t="s">
        <v>4064</v>
      </c>
      <c r="R908" s="25" t="s">
        <v>2516</v>
      </c>
      <c r="S908" s="25" t="s">
        <v>185</v>
      </c>
      <c r="T908" s="25">
        <v>1</v>
      </c>
      <c r="U908" s="25" t="s">
        <v>2517</v>
      </c>
      <c r="V908" s="25" t="s">
        <v>6497</v>
      </c>
      <c r="W908" s="25" t="s">
        <v>6498</v>
      </c>
      <c r="X908" s="59">
        <v>45867.5</v>
      </c>
      <c r="Y908" s="25" t="s">
        <v>6499</v>
      </c>
      <c r="Z908" s="25">
        <v>1</v>
      </c>
      <c r="AA908" s="25"/>
      <c r="AB908" s="25" t="s">
        <v>2521</v>
      </c>
      <c r="AC908" s="27" t="s">
        <v>6500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3597</v>
      </c>
      <c r="H909" s="25" t="s">
        <v>2507</v>
      </c>
      <c r="I909" s="25"/>
      <c r="J909" s="25"/>
      <c r="K909" s="25"/>
      <c r="L909" s="25"/>
      <c r="M909" s="26"/>
      <c r="N909" s="25"/>
      <c r="O909" s="26"/>
      <c r="P909" s="27"/>
      <c r="Q909" s="25" t="s">
        <v>3598</v>
      </c>
      <c r="R909" s="25" t="s">
        <v>2516</v>
      </c>
      <c r="S909" s="25" t="s">
        <v>25</v>
      </c>
      <c r="T909" s="25">
        <v>1</v>
      </c>
      <c r="U909" s="25" t="s">
        <v>2517</v>
      </c>
      <c r="V909" s="25" t="s">
        <v>6501</v>
      </c>
      <c r="W909" s="25" t="s">
        <v>6498</v>
      </c>
      <c r="X909" s="59">
        <v>45867.479166666657</v>
      </c>
      <c r="Y909" s="25"/>
      <c r="Z909" s="25">
        <v>0.5</v>
      </c>
      <c r="AA909" s="25"/>
      <c r="AB909" s="25" t="s">
        <v>2521</v>
      </c>
      <c r="AC909" s="27" t="s">
        <v>6091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4062</v>
      </c>
      <c r="G910" s="25" t="s">
        <v>4063</v>
      </c>
      <c r="H910" s="25" t="s">
        <v>3148</v>
      </c>
      <c r="I910" s="25"/>
      <c r="J910" s="25"/>
      <c r="K910" s="25"/>
      <c r="L910" s="25"/>
      <c r="M910" s="26"/>
      <c r="N910" s="25"/>
      <c r="O910" s="26"/>
      <c r="P910" s="27"/>
      <c r="Q910" s="25" t="s">
        <v>4064</v>
      </c>
      <c r="R910" s="25" t="s">
        <v>2516</v>
      </c>
      <c r="S910" s="25" t="s">
        <v>185</v>
      </c>
      <c r="T910" s="25">
        <v>1</v>
      </c>
      <c r="U910" s="25" t="s">
        <v>2517</v>
      </c>
      <c r="V910" s="25" t="s">
        <v>6502</v>
      </c>
      <c r="W910" s="25" t="s">
        <v>6503</v>
      </c>
      <c r="X910" s="59">
        <v>45867.513888888891</v>
      </c>
      <c r="Y910" s="25"/>
      <c r="Z910" s="25">
        <v>0.3</v>
      </c>
      <c r="AA910" s="25"/>
      <c r="AB910" s="25" t="s">
        <v>2521</v>
      </c>
      <c r="AC910" s="27" t="s">
        <v>6091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3601</v>
      </c>
      <c r="H911" s="25" t="s">
        <v>2507</v>
      </c>
      <c r="I911" s="25"/>
      <c r="J911" s="25"/>
      <c r="K911" s="25"/>
      <c r="L911" s="25"/>
      <c r="M911" s="26"/>
      <c r="N911" s="25"/>
      <c r="O911" s="26"/>
      <c r="P911" s="27"/>
      <c r="Q911" s="25" t="s">
        <v>3602</v>
      </c>
      <c r="R911" s="25" t="s">
        <v>2516</v>
      </c>
      <c r="S911" s="25" t="s">
        <v>25</v>
      </c>
      <c r="T911" s="25">
        <v>1</v>
      </c>
      <c r="U911" s="25" t="s">
        <v>2517</v>
      </c>
      <c r="V911" s="25" t="s">
        <v>6504</v>
      </c>
      <c r="W911" s="25" t="s">
        <v>6505</v>
      </c>
      <c r="X911" s="59">
        <v>45867.554166666669</v>
      </c>
      <c r="Y911" s="25"/>
      <c r="Z911" s="25">
        <v>0.4</v>
      </c>
      <c r="AA911" s="25"/>
      <c r="AB911" s="25" t="s">
        <v>2521</v>
      </c>
      <c r="AC911" s="27" t="s">
        <v>6091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3822</v>
      </c>
      <c r="G912" s="25" t="s">
        <v>3823</v>
      </c>
      <c r="H912" s="25" t="s">
        <v>2507</v>
      </c>
      <c r="I912" s="25"/>
      <c r="J912" s="25"/>
      <c r="K912" s="25"/>
      <c r="L912" s="25"/>
      <c r="M912" s="26"/>
      <c r="N912" s="25"/>
      <c r="O912" s="26"/>
      <c r="P912" s="27"/>
      <c r="Q912" s="25" t="s">
        <v>3824</v>
      </c>
      <c r="R912" s="25" t="s">
        <v>2516</v>
      </c>
      <c r="S912" s="25" t="s">
        <v>25</v>
      </c>
      <c r="T912" s="25">
        <v>1</v>
      </c>
      <c r="U912" s="25" t="s">
        <v>2517</v>
      </c>
      <c r="V912" s="25" t="s">
        <v>6506</v>
      </c>
      <c r="W912" s="25" t="s">
        <v>6507</v>
      </c>
      <c r="X912" s="59">
        <v>45867.57916666667</v>
      </c>
      <c r="Y912" s="25"/>
      <c r="Z912" s="25">
        <v>0.4</v>
      </c>
      <c r="AA912" s="25"/>
      <c r="AB912" s="25" t="s">
        <v>2521</v>
      </c>
      <c r="AC912" s="27" t="s">
        <v>6091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6508</v>
      </c>
      <c r="H913" s="25" t="s">
        <v>2507</v>
      </c>
      <c r="I913" s="25"/>
      <c r="J913" s="25"/>
      <c r="K913" s="25"/>
      <c r="L913" s="25"/>
      <c r="M913" s="26"/>
      <c r="N913" s="25"/>
      <c r="O913" s="26"/>
      <c r="P913" s="27"/>
      <c r="Q913" s="25" t="s">
        <v>3089</v>
      </c>
      <c r="R913" s="25" t="s">
        <v>2516</v>
      </c>
      <c r="S913" s="25" t="s">
        <v>25</v>
      </c>
      <c r="T913" s="25">
        <v>1</v>
      </c>
      <c r="U913" s="25" t="s">
        <v>2517</v>
      </c>
      <c r="V913" s="25" t="s">
        <v>6509</v>
      </c>
      <c r="W913" s="25" t="s">
        <v>6486</v>
      </c>
      <c r="X913" s="59">
        <v>45867.599305555559</v>
      </c>
      <c r="Y913" s="25"/>
      <c r="Z913" s="25">
        <v>0.4</v>
      </c>
      <c r="AA913" s="25"/>
      <c r="AB913" s="25" t="s">
        <v>2521</v>
      </c>
      <c r="AC913" s="27" t="s">
        <v>6091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2608</v>
      </c>
      <c r="H914" s="25" t="s">
        <v>2609</v>
      </c>
      <c r="I914" s="25"/>
      <c r="J914" s="25"/>
      <c r="K914" s="25"/>
      <c r="L914" s="25"/>
      <c r="M914" s="26"/>
      <c r="N914" s="25"/>
      <c r="O914" s="26"/>
      <c r="P914" s="27"/>
      <c r="Q914" s="25" t="s">
        <v>2616</v>
      </c>
      <c r="R914" s="25" t="s">
        <v>2516</v>
      </c>
      <c r="S914" s="25" t="s">
        <v>173</v>
      </c>
      <c r="T914" s="25">
        <v>1</v>
      </c>
      <c r="U914" s="25" t="s">
        <v>2517</v>
      </c>
      <c r="V914" s="25" t="s">
        <v>6510</v>
      </c>
      <c r="W914" s="25" t="s">
        <v>6479</v>
      </c>
      <c r="X914" s="59">
        <v>45867.611111111109</v>
      </c>
      <c r="Y914" s="25"/>
      <c r="Z914" s="25">
        <v>0.5</v>
      </c>
      <c r="AA914" s="25"/>
      <c r="AB914" s="25" t="s">
        <v>2521</v>
      </c>
      <c r="AC914" s="27" t="s">
        <v>6091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2747</v>
      </c>
      <c r="G915" s="25" t="s">
        <v>2748</v>
      </c>
      <c r="H915" s="25" t="s">
        <v>2507</v>
      </c>
      <c r="I915" s="25"/>
      <c r="J915" s="25"/>
      <c r="K915" s="25"/>
      <c r="L915" s="25"/>
      <c r="M915" s="26"/>
      <c r="N915" s="25"/>
      <c r="O915" s="26"/>
      <c r="P915" s="27"/>
      <c r="Q915" s="25" t="s">
        <v>2749</v>
      </c>
      <c r="R915" s="25" t="s">
        <v>2516</v>
      </c>
      <c r="S915" s="25" t="s">
        <v>25</v>
      </c>
      <c r="T915" s="25">
        <v>1</v>
      </c>
      <c r="U915" s="25" t="s">
        <v>2517</v>
      </c>
      <c r="V915" s="25" t="s">
        <v>6511</v>
      </c>
      <c r="W915" s="25" t="s">
        <v>6512</v>
      </c>
      <c r="X915" s="59">
        <v>45867.643055555563</v>
      </c>
      <c r="Y915" s="25"/>
      <c r="Z915" s="25">
        <v>0.4</v>
      </c>
      <c r="AA915" s="25"/>
      <c r="AB915" s="25" t="s">
        <v>2521</v>
      </c>
      <c r="AC915" s="27" t="s">
        <v>6091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2737</v>
      </c>
      <c r="H916" s="25" t="s">
        <v>2507</v>
      </c>
      <c r="I916" s="25"/>
      <c r="J916" s="25"/>
      <c r="K916" s="25"/>
      <c r="L916" s="25"/>
      <c r="M916" s="26"/>
      <c r="N916" s="25"/>
      <c r="O916" s="26"/>
      <c r="P916" s="27"/>
      <c r="Q916" s="25" t="s">
        <v>2738</v>
      </c>
      <c r="R916" s="25" t="s">
        <v>2516</v>
      </c>
      <c r="S916" s="25" t="s">
        <v>25</v>
      </c>
      <c r="T916" s="25">
        <v>1</v>
      </c>
      <c r="U916" s="25" t="s">
        <v>2517</v>
      </c>
      <c r="V916" s="25" t="s">
        <v>6513</v>
      </c>
      <c r="W916" s="25" t="s">
        <v>6514</v>
      </c>
      <c r="X916" s="59">
        <v>45867.662499999999</v>
      </c>
      <c r="Y916" s="25"/>
      <c r="Z916" s="25">
        <v>0.4</v>
      </c>
      <c r="AA916" s="25"/>
      <c r="AB916" s="25" t="s">
        <v>2521</v>
      </c>
      <c r="AC916" s="27" t="s">
        <v>6091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6515</v>
      </c>
      <c r="E917" s="25" t="s">
        <v>2504</v>
      </c>
      <c r="F917" s="25">
        <v>4804</v>
      </c>
      <c r="G917" s="25" t="s">
        <v>2822</v>
      </c>
      <c r="H917" s="25" t="s">
        <v>2507</v>
      </c>
      <c r="I917" s="25" t="s">
        <v>6516</v>
      </c>
      <c r="J917" s="25" t="s">
        <v>2835</v>
      </c>
      <c r="K917" s="25" t="s">
        <v>2568</v>
      </c>
      <c r="L917" s="25" t="s">
        <v>3150</v>
      </c>
      <c r="M917" s="26" t="s">
        <v>3151</v>
      </c>
      <c r="N917" s="25">
        <v>5903</v>
      </c>
      <c r="O917" s="26" t="s">
        <v>3152</v>
      </c>
      <c r="P917" s="27" t="s">
        <v>6517</v>
      </c>
      <c r="Q917" s="25" t="s">
        <v>2823</v>
      </c>
      <c r="R917" s="25" t="s">
        <v>2516</v>
      </c>
      <c r="S917" s="25" t="s">
        <v>25</v>
      </c>
      <c r="T917" s="25">
        <v>1</v>
      </c>
      <c r="U917" s="25" t="s">
        <v>2517</v>
      </c>
      <c r="V917" s="25" t="s">
        <v>6518</v>
      </c>
      <c r="W917" s="25" t="s">
        <v>6519</v>
      </c>
      <c r="X917" s="59">
        <v>45870.430555555547</v>
      </c>
      <c r="Y917" s="25" t="s">
        <v>6520</v>
      </c>
      <c r="Z917" s="25">
        <v>0.8</v>
      </c>
      <c r="AA917" s="25"/>
      <c r="AB917" s="25" t="s">
        <v>2521</v>
      </c>
      <c r="AC917" s="27" t="s">
        <v>6521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6522</v>
      </c>
      <c r="E918" s="25" t="s">
        <v>2504</v>
      </c>
      <c r="F918" s="25" t="s">
        <v>2812</v>
      </c>
      <c r="G918" s="25" t="s">
        <v>2813</v>
      </c>
      <c r="H918" s="25" t="s">
        <v>2659</v>
      </c>
      <c r="I918" s="25" t="s">
        <v>6523</v>
      </c>
      <c r="J918" s="25" t="s">
        <v>2567</v>
      </c>
      <c r="K918" s="25" t="s">
        <v>2568</v>
      </c>
      <c r="L918" s="25" t="s">
        <v>2846</v>
      </c>
      <c r="M918" s="26" t="s">
        <v>2847</v>
      </c>
      <c r="N918" s="25">
        <v>2403</v>
      </c>
      <c r="O918" s="26" t="s">
        <v>4550</v>
      </c>
      <c r="P918" s="27" t="s">
        <v>6524</v>
      </c>
      <c r="Q918" s="25" t="s">
        <v>2814</v>
      </c>
      <c r="R918" s="25" t="s">
        <v>2516</v>
      </c>
      <c r="S918" s="25" t="s">
        <v>185</v>
      </c>
      <c r="T918" s="25">
        <v>1</v>
      </c>
      <c r="U918" s="25" t="s">
        <v>2517</v>
      </c>
      <c r="V918" s="25" t="s">
        <v>6525</v>
      </c>
      <c r="W918" s="25" t="s">
        <v>6526</v>
      </c>
      <c r="X918" s="59">
        <v>45870.534722222219</v>
      </c>
      <c r="Y918" s="25" t="s">
        <v>6527</v>
      </c>
      <c r="Z918" s="25">
        <v>0.8</v>
      </c>
      <c r="AA918" s="25"/>
      <c r="AB918" s="25" t="s">
        <v>2521</v>
      </c>
      <c r="AC918" s="27" t="s">
        <v>4555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2905</v>
      </c>
      <c r="H919" s="25" t="s">
        <v>2507</v>
      </c>
      <c r="I919" s="25"/>
      <c r="J919" s="25"/>
      <c r="K919" s="25"/>
      <c r="L919" s="25"/>
      <c r="M919" s="26"/>
      <c r="N919" s="25"/>
      <c r="O919" s="26"/>
      <c r="P919" s="27"/>
      <c r="Q919" s="25" t="s">
        <v>2906</v>
      </c>
      <c r="R919" s="25" t="s">
        <v>2516</v>
      </c>
      <c r="S919" s="25" t="s">
        <v>25</v>
      </c>
      <c r="T919" s="25">
        <v>1</v>
      </c>
      <c r="U919" s="25" t="s">
        <v>2517</v>
      </c>
      <c r="V919" s="25" t="s">
        <v>6528</v>
      </c>
      <c r="W919" s="25" t="s">
        <v>6529</v>
      </c>
      <c r="X919" s="59">
        <v>45870.584027777782</v>
      </c>
      <c r="Y919" s="25"/>
      <c r="Z919" s="25">
        <v>0.4</v>
      </c>
      <c r="AA919" s="25"/>
      <c r="AB919" s="25" t="s">
        <v>2521</v>
      </c>
      <c r="AC919" s="27" t="s">
        <v>6091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3851</v>
      </c>
      <c r="H920" s="25" t="s">
        <v>2507</v>
      </c>
      <c r="I920" s="25"/>
      <c r="J920" s="25"/>
      <c r="K920" s="25"/>
      <c r="L920" s="25"/>
      <c r="M920" s="26"/>
      <c r="N920" s="25"/>
      <c r="O920" s="26"/>
      <c r="P920" s="27"/>
      <c r="Q920" s="25" t="s">
        <v>3852</v>
      </c>
      <c r="R920" s="25" t="s">
        <v>2516</v>
      </c>
      <c r="S920" s="25" t="s">
        <v>25</v>
      </c>
      <c r="T920" s="25">
        <v>1</v>
      </c>
      <c r="U920" s="25" t="s">
        <v>2517</v>
      </c>
      <c r="V920" s="25" t="s">
        <v>6530</v>
      </c>
      <c r="W920" s="25" t="s">
        <v>6531</v>
      </c>
      <c r="X920" s="59">
        <v>45870.598611111112</v>
      </c>
      <c r="Y920" s="25"/>
      <c r="Z920" s="25">
        <v>0.3</v>
      </c>
      <c r="AA920" s="25"/>
      <c r="AB920" s="25" t="s">
        <v>2521</v>
      </c>
      <c r="AC920" s="27" t="s">
        <v>6091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3033</v>
      </c>
      <c r="H921" s="25" t="s">
        <v>2507</v>
      </c>
      <c r="I921" s="25"/>
      <c r="J921" s="25"/>
      <c r="K921" s="25"/>
      <c r="L921" s="25"/>
      <c r="M921" s="26"/>
      <c r="N921" s="25"/>
      <c r="O921" s="26"/>
      <c r="P921" s="27"/>
      <c r="Q921" s="25" t="s">
        <v>3037</v>
      </c>
      <c r="R921" s="25" t="s">
        <v>2516</v>
      </c>
      <c r="S921" s="25" t="s">
        <v>25</v>
      </c>
      <c r="T921" s="25">
        <v>1</v>
      </c>
      <c r="U921" s="25" t="s">
        <v>2517</v>
      </c>
      <c r="V921" s="25" t="s">
        <v>6532</v>
      </c>
      <c r="W921" s="25" t="s">
        <v>6533</v>
      </c>
      <c r="X921" s="59">
        <v>45870.629166666673</v>
      </c>
      <c r="Y921" s="25"/>
      <c r="Z921" s="25">
        <v>0.4</v>
      </c>
      <c r="AA921" s="25"/>
      <c r="AB921" s="25" t="s">
        <v>2521</v>
      </c>
      <c r="AC921" s="27" t="s">
        <v>6091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3868</v>
      </c>
      <c r="G922" s="25" t="s">
        <v>3869</v>
      </c>
      <c r="H922" s="25" t="s">
        <v>2507</v>
      </c>
      <c r="I922" s="25"/>
      <c r="J922" s="25"/>
      <c r="K922" s="25"/>
      <c r="L922" s="25"/>
      <c r="M922" s="26"/>
      <c r="N922" s="25"/>
      <c r="O922" s="26"/>
      <c r="P922" s="27"/>
      <c r="Q922" s="25" t="s">
        <v>3870</v>
      </c>
      <c r="R922" s="25" t="s">
        <v>2516</v>
      </c>
      <c r="S922" s="25" t="s">
        <v>25</v>
      </c>
      <c r="T922" s="25">
        <v>1</v>
      </c>
      <c r="U922" s="25" t="s">
        <v>2517</v>
      </c>
      <c r="V922" s="25" t="s">
        <v>6534</v>
      </c>
      <c r="W922" s="25" t="s">
        <v>6535</v>
      </c>
      <c r="X922" s="59">
        <v>45870.658333333333</v>
      </c>
      <c r="Y922" s="25"/>
      <c r="Z922" s="25">
        <v>0.4</v>
      </c>
      <c r="AA922" s="25"/>
      <c r="AB922" s="25" t="s">
        <v>2521</v>
      </c>
      <c r="AC922" s="27" t="s">
        <v>6091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6536</v>
      </c>
      <c r="E923" s="25" t="s">
        <v>2504</v>
      </c>
      <c r="F923" s="25" t="s">
        <v>6537</v>
      </c>
      <c r="G923" s="25" t="s">
        <v>6538</v>
      </c>
      <c r="H923" s="25" t="s">
        <v>2996</v>
      </c>
      <c r="I923" s="25" t="s">
        <v>6539</v>
      </c>
      <c r="J923" s="25" t="s">
        <v>2536</v>
      </c>
      <c r="K923" s="25" t="s">
        <v>2510</v>
      </c>
      <c r="L923" s="25" t="s">
        <v>2846</v>
      </c>
      <c r="M923" s="26" t="s">
        <v>2847</v>
      </c>
      <c r="N923" s="25">
        <v>2401</v>
      </c>
      <c r="O923" s="26" t="s">
        <v>2848</v>
      </c>
      <c r="P923" s="27" t="s">
        <v>6540</v>
      </c>
      <c r="Q923" s="25" t="s">
        <v>6541</v>
      </c>
      <c r="R923" s="25" t="s">
        <v>2516</v>
      </c>
      <c r="S923" s="25" t="s">
        <v>185</v>
      </c>
      <c r="T923" s="25">
        <v>1</v>
      </c>
      <c r="U923" s="25" t="s">
        <v>2517</v>
      </c>
      <c r="V923" s="25" t="s">
        <v>6542</v>
      </c>
      <c r="W923" s="25" t="s">
        <v>6543</v>
      </c>
      <c r="X923" s="59">
        <v>45869.645833333343</v>
      </c>
      <c r="Y923" s="25" t="s">
        <v>6544</v>
      </c>
      <c r="Z923" s="25">
        <v>1.5</v>
      </c>
      <c r="AA923" s="25"/>
      <c r="AB923" s="25" t="s">
        <v>2521</v>
      </c>
      <c r="AC923" s="27" t="s">
        <v>6545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6546</v>
      </c>
      <c r="E924" s="25" t="s">
        <v>2504</v>
      </c>
      <c r="F924" s="25">
        <v>4312</v>
      </c>
      <c r="G924" s="25" t="s">
        <v>2917</v>
      </c>
      <c r="H924" s="25" t="s">
        <v>2507</v>
      </c>
      <c r="I924" s="25" t="s">
        <v>6547</v>
      </c>
      <c r="J924" s="25" t="s">
        <v>2567</v>
      </c>
      <c r="K924" s="25" t="s">
        <v>2510</v>
      </c>
      <c r="L924" s="25" t="s">
        <v>2611</v>
      </c>
      <c r="M924" s="26" t="s">
        <v>2612</v>
      </c>
      <c r="N924" s="25" t="s">
        <v>3110</v>
      </c>
      <c r="O924" s="26" t="s">
        <v>3111</v>
      </c>
      <c r="P924" s="27" t="s">
        <v>6548</v>
      </c>
      <c r="Q924" s="25" t="s">
        <v>2918</v>
      </c>
      <c r="R924" s="25" t="s">
        <v>2516</v>
      </c>
      <c r="S924" s="25" t="s">
        <v>25</v>
      </c>
      <c r="T924" s="25">
        <v>1</v>
      </c>
      <c r="U924" s="25" t="s">
        <v>2517</v>
      </c>
      <c r="V924" s="25" t="s">
        <v>6549</v>
      </c>
      <c r="W924" s="25" t="s">
        <v>6550</v>
      </c>
      <c r="X924" s="59">
        <v>45873.450694444437</v>
      </c>
      <c r="Y924" s="25" t="s">
        <v>6551</v>
      </c>
      <c r="Z924" s="25">
        <v>0.5</v>
      </c>
      <c r="AA924" s="25"/>
      <c r="AB924" s="25" t="s">
        <v>2521</v>
      </c>
      <c r="AC924" s="27" t="s">
        <v>6552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6553</v>
      </c>
      <c r="E925" s="25" t="s">
        <v>2504</v>
      </c>
      <c r="F925" s="25" t="s">
        <v>3868</v>
      </c>
      <c r="G925" s="25" t="s">
        <v>3869</v>
      </c>
      <c r="H925" s="25" t="s">
        <v>2507</v>
      </c>
      <c r="I925" s="25" t="s">
        <v>6554</v>
      </c>
      <c r="J925" s="25" t="s">
        <v>2930</v>
      </c>
      <c r="K925" s="25" t="s">
        <v>2510</v>
      </c>
      <c r="L925" s="25" t="s">
        <v>2537</v>
      </c>
      <c r="M925" s="26" t="s">
        <v>2538</v>
      </c>
      <c r="N925" s="25" t="s">
        <v>2539</v>
      </c>
      <c r="O925" s="26" t="s">
        <v>2540</v>
      </c>
      <c r="P925" s="27" t="s">
        <v>6555</v>
      </c>
      <c r="Q925" s="25" t="s">
        <v>3870</v>
      </c>
      <c r="R925" s="25" t="s">
        <v>2516</v>
      </c>
      <c r="S925" s="25" t="s">
        <v>25</v>
      </c>
      <c r="T925" s="25">
        <v>1</v>
      </c>
      <c r="U925" s="25" t="s">
        <v>2517</v>
      </c>
      <c r="V925" s="25" t="s">
        <v>6556</v>
      </c>
      <c r="W925" s="25" t="s">
        <v>6557</v>
      </c>
      <c r="X925" s="59">
        <v>45873.49722222222</v>
      </c>
      <c r="Y925" s="25" t="s">
        <v>6558</v>
      </c>
      <c r="Z925" s="25">
        <v>0.9</v>
      </c>
      <c r="AA925" s="25"/>
      <c r="AB925" s="25" t="s">
        <v>2521</v>
      </c>
      <c r="AC925" s="27" t="s">
        <v>6559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6560</v>
      </c>
      <c r="E926" s="25" t="s">
        <v>2504</v>
      </c>
      <c r="F926" s="25" t="s">
        <v>3868</v>
      </c>
      <c r="G926" s="25" t="s">
        <v>3869</v>
      </c>
      <c r="H926" s="25" t="s">
        <v>2507</v>
      </c>
      <c r="I926" s="25" t="s">
        <v>6561</v>
      </c>
      <c r="J926" s="25" t="s">
        <v>2930</v>
      </c>
      <c r="K926" s="25" t="s">
        <v>2510</v>
      </c>
      <c r="L926" s="25" t="s">
        <v>2537</v>
      </c>
      <c r="M926" s="26" t="s">
        <v>2538</v>
      </c>
      <c r="N926" s="25" t="s">
        <v>2539</v>
      </c>
      <c r="O926" s="26" t="s">
        <v>2540</v>
      </c>
      <c r="P926" s="27" t="s">
        <v>6562</v>
      </c>
      <c r="Q926" s="25" t="s">
        <v>3870</v>
      </c>
      <c r="R926" s="25" t="s">
        <v>2516</v>
      </c>
      <c r="S926" s="25" t="s">
        <v>25</v>
      </c>
      <c r="T926" s="25">
        <v>1</v>
      </c>
      <c r="U926" s="25" t="s">
        <v>2517</v>
      </c>
      <c r="V926" s="25" t="s">
        <v>6563</v>
      </c>
      <c r="W926" s="25" t="s">
        <v>6557</v>
      </c>
      <c r="X926" s="59">
        <v>45873.498611111107</v>
      </c>
      <c r="Y926" s="25" t="s">
        <v>6558</v>
      </c>
      <c r="Z926" s="25">
        <v>1</v>
      </c>
      <c r="AA926" s="25"/>
      <c r="AB926" s="25" t="s">
        <v>2521</v>
      </c>
      <c r="AC926" s="27" t="s">
        <v>6564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6565</v>
      </c>
      <c r="E927" s="25" t="s">
        <v>2504</v>
      </c>
      <c r="F927" s="25">
        <v>2259</v>
      </c>
      <c r="G927" s="25" t="s">
        <v>2631</v>
      </c>
      <c r="H927" s="25" t="s">
        <v>2507</v>
      </c>
      <c r="I927" s="25" t="s">
        <v>6566</v>
      </c>
      <c r="J927" s="25" t="s">
        <v>2930</v>
      </c>
      <c r="K927" s="25" t="s">
        <v>2510</v>
      </c>
      <c r="L927" s="25" t="s">
        <v>2537</v>
      </c>
      <c r="M927" s="26" t="s">
        <v>2538</v>
      </c>
      <c r="N927" s="25" t="s">
        <v>2539</v>
      </c>
      <c r="O927" s="26" t="s">
        <v>2540</v>
      </c>
      <c r="P927" s="27" t="s">
        <v>6567</v>
      </c>
      <c r="Q927" s="25" t="s">
        <v>2632</v>
      </c>
      <c r="R927" s="25" t="s">
        <v>2516</v>
      </c>
      <c r="S927" s="25" t="s">
        <v>25</v>
      </c>
      <c r="T927" s="25">
        <v>1</v>
      </c>
      <c r="U927" s="25" t="s">
        <v>2517</v>
      </c>
      <c r="V927" s="25" t="s">
        <v>6568</v>
      </c>
      <c r="W927" s="25" t="s">
        <v>6569</v>
      </c>
      <c r="X927" s="59">
        <v>45873.561111111107</v>
      </c>
      <c r="Y927" s="25" t="s">
        <v>6558</v>
      </c>
      <c r="Z927" s="25">
        <v>1</v>
      </c>
      <c r="AA927" s="25"/>
      <c r="AB927" s="25" t="s">
        <v>2521</v>
      </c>
      <c r="AC927" s="27" t="s">
        <v>6570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6571</v>
      </c>
      <c r="E928" s="25" t="s">
        <v>2504</v>
      </c>
      <c r="F928" s="25">
        <v>2259</v>
      </c>
      <c r="G928" s="25" t="s">
        <v>2631</v>
      </c>
      <c r="H928" s="25" t="s">
        <v>2507</v>
      </c>
      <c r="I928" s="25" t="s">
        <v>6572</v>
      </c>
      <c r="J928" s="25" t="s">
        <v>2930</v>
      </c>
      <c r="K928" s="25" t="s">
        <v>2510</v>
      </c>
      <c r="L928" s="25" t="s">
        <v>2537</v>
      </c>
      <c r="M928" s="26" t="s">
        <v>2538</v>
      </c>
      <c r="N928" s="25" t="s">
        <v>2539</v>
      </c>
      <c r="O928" s="26" t="s">
        <v>2540</v>
      </c>
      <c r="P928" s="27" t="s">
        <v>6573</v>
      </c>
      <c r="Q928" s="25" t="s">
        <v>2632</v>
      </c>
      <c r="R928" s="25" t="s">
        <v>2516</v>
      </c>
      <c r="S928" s="25" t="s">
        <v>25</v>
      </c>
      <c r="T928" s="25">
        <v>1</v>
      </c>
      <c r="U928" s="25" t="s">
        <v>2517</v>
      </c>
      <c r="V928" s="25" t="s">
        <v>6574</v>
      </c>
      <c r="W928" s="25" t="s">
        <v>6569</v>
      </c>
      <c r="X928" s="59">
        <v>45873.561805555553</v>
      </c>
      <c r="Y928" s="25" t="s">
        <v>6558</v>
      </c>
      <c r="Z928" s="25">
        <v>1</v>
      </c>
      <c r="AA928" s="25"/>
      <c r="AB928" s="25" t="s">
        <v>2521</v>
      </c>
      <c r="AC928" s="27" t="s">
        <v>6575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6576</v>
      </c>
      <c r="E929" s="25" t="s">
        <v>2504</v>
      </c>
      <c r="F929" s="25" t="s">
        <v>4070</v>
      </c>
      <c r="G929" s="25" t="s">
        <v>4071</v>
      </c>
      <c r="H929" s="25" t="s">
        <v>3148</v>
      </c>
      <c r="I929" s="25" t="s">
        <v>6577</v>
      </c>
      <c r="J929" s="25" t="s">
        <v>2643</v>
      </c>
      <c r="K929" s="25" t="s">
        <v>2568</v>
      </c>
      <c r="L929" s="25" t="s">
        <v>2846</v>
      </c>
      <c r="M929" s="26" t="s">
        <v>2847</v>
      </c>
      <c r="N929" s="25">
        <v>2401</v>
      </c>
      <c r="O929" s="26" t="s">
        <v>2848</v>
      </c>
      <c r="P929" s="27" t="s">
        <v>6578</v>
      </c>
      <c r="Q929" s="25" t="s">
        <v>4072</v>
      </c>
      <c r="R929" s="25" t="s">
        <v>2516</v>
      </c>
      <c r="S929" s="25" t="s">
        <v>185</v>
      </c>
      <c r="T929" s="25">
        <v>1</v>
      </c>
      <c r="U929" s="25" t="s">
        <v>2517</v>
      </c>
      <c r="V929" s="25" t="s">
        <v>6579</v>
      </c>
      <c r="W929" s="25" t="s">
        <v>6580</v>
      </c>
      <c r="X929" s="59">
        <v>45873.4375</v>
      </c>
      <c r="Y929" s="25" t="s">
        <v>6558</v>
      </c>
      <c r="Z929" s="25">
        <v>1</v>
      </c>
      <c r="AA929" s="25"/>
      <c r="AB929" s="25" t="s">
        <v>2521</v>
      </c>
      <c r="AC929" s="27" t="s">
        <v>6581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6582</v>
      </c>
      <c r="E930" s="25" t="s">
        <v>2504</v>
      </c>
      <c r="F930" s="25">
        <v>4155</v>
      </c>
      <c r="G930" s="25" t="s">
        <v>2737</v>
      </c>
      <c r="H930" s="25" t="s">
        <v>2507</v>
      </c>
      <c r="I930" s="25" t="s">
        <v>6583</v>
      </c>
      <c r="J930" s="25" t="s">
        <v>2643</v>
      </c>
      <c r="K930" s="25" t="s">
        <v>2510</v>
      </c>
      <c r="L930" s="25" t="s">
        <v>2611</v>
      </c>
      <c r="M930" s="26" t="s">
        <v>2612</v>
      </c>
      <c r="N930" s="25" t="s">
        <v>3526</v>
      </c>
      <c r="O930" s="26" t="s">
        <v>3152</v>
      </c>
      <c r="P930" s="27" t="s">
        <v>6584</v>
      </c>
      <c r="Q930" s="25" t="s">
        <v>2738</v>
      </c>
      <c r="R930" s="25" t="s">
        <v>2516</v>
      </c>
      <c r="S930" s="25" t="s">
        <v>25</v>
      </c>
      <c r="T930" s="25">
        <v>1</v>
      </c>
      <c r="U930" s="25" t="s">
        <v>2517</v>
      </c>
      <c r="V930" s="25" t="s">
        <v>6585</v>
      </c>
      <c r="W930" s="25" t="s">
        <v>6586</v>
      </c>
      <c r="X930" s="59">
        <v>45873.670138888891</v>
      </c>
      <c r="Y930" s="25" t="s">
        <v>6558</v>
      </c>
      <c r="Z930" s="25">
        <v>1.6</v>
      </c>
      <c r="AA930" s="25"/>
      <c r="AB930" s="25" t="s">
        <v>2521</v>
      </c>
      <c r="AC930" s="27" t="s">
        <v>6587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4070</v>
      </c>
      <c r="G931" s="25" t="s">
        <v>4071</v>
      </c>
      <c r="H931" s="25" t="s">
        <v>3148</v>
      </c>
      <c r="I931" s="25"/>
      <c r="J931" s="25"/>
      <c r="K931" s="25"/>
      <c r="L931" s="25"/>
      <c r="M931" s="26"/>
      <c r="N931" s="25"/>
      <c r="O931" s="26"/>
      <c r="P931" s="27"/>
      <c r="Q931" s="25" t="s">
        <v>4072</v>
      </c>
      <c r="R931" s="25" t="s">
        <v>2516</v>
      </c>
      <c r="S931" s="25" t="s">
        <v>185</v>
      </c>
      <c r="T931" s="25">
        <v>1</v>
      </c>
      <c r="U931" s="25" t="s">
        <v>2517</v>
      </c>
      <c r="V931" s="25" t="s">
        <v>6588</v>
      </c>
      <c r="W931" s="25" t="s">
        <v>6589</v>
      </c>
      <c r="X931" s="59">
        <v>45873.395833333343</v>
      </c>
      <c r="Y931" s="25"/>
      <c r="Z931" s="25">
        <v>0.5</v>
      </c>
      <c r="AA931" s="25"/>
      <c r="AB931" s="25" t="s">
        <v>2521</v>
      </c>
      <c r="AC931" s="27" t="s">
        <v>6091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4070</v>
      </c>
      <c r="G932" s="25" t="s">
        <v>4071</v>
      </c>
      <c r="H932" s="25" t="s">
        <v>3148</v>
      </c>
      <c r="I932" s="25"/>
      <c r="J932" s="25"/>
      <c r="K932" s="25"/>
      <c r="L932" s="25"/>
      <c r="M932" s="26"/>
      <c r="N932" s="25"/>
      <c r="O932" s="26"/>
      <c r="P932" s="27"/>
      <c r="Q932" s="25" t="s">
        <v>4072</v>
      </c>
      <c r="R932" s="25" t="s">
        <v>2516</v>
      </c>
      <c r="S932" s="25" t="s">
        <v>185</v>
      </c>
      <c r="T932" s="25">
        <v>1</v>
      </c>
      <c r="U932" s="25" t="s">
        <v>2517</v>
      </c>
      <c r="V932" s="25" t="s">
        <v>6590</v>
      </c>
      <c r="W932" s="25" t="s">
        <v>6589</v>
      </c>
      <c r="X932" s="59">
        <v>45873.395833333343</v>
      </c>
      <c r="Y932" s="25"/>
      <c r="Z932" s="25">
        <v>0.5</v>
      </c>
      <c r="AA932" s="25"/>
      <c r="AB932" s="25" t="s">
        <v>2521</v>
      </c>
      <c r="AC932" s="27" t="s">
        <v>6091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4067</v>
      </c>
      <c r="H933" s="25" t="s">
        <v>3148</v>
      </c>
      <c r="I933" s="25"/>
      <c r="J933" s="25"/>
      <c r="K933" s="25"/>
      <c r="L933" s="25"/>
      <c r="M933" s="26"/>
      <c r="N933" s="25"/>
      <c r="O933" s="26"/>
      <c r="P933" s="27"/>
      <c r="Q933" s="25" t="s">
        <v>4068</v>
      </c>
      <c r="R933" s="25" t="s">
        <v>2516</v>
      </c>
      <c r="S933" s="25" t="s">
        <v>185</v>
      </c>
      <c r="T933" s="25">
        <v>1</v>
      </c>
      <c r="U933" s="25" t="s">
        <v>2517</v>
      </c>
      <c r="V933" s="25" t="s">
        <v>6591</v>
      </c>
      <c r="W933" s="25" t="s">
        <v>6557</v>
      </c>
      <c r="X933" s="59">
        <v>45873.479166666657</v>
      </c>
      <c r="Y933" s="25"/>
      <c r="Z933" s="25">
        <v>0.5</v>
      </c>
      <c r="AA933" s="25"/>
      <c r="AB933" s="25" t="s">
        <v>2521</v>
      </c>
      <c r="AC933" s="27" t="s">
        <v>6091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6592</v>
      </c>
      <c r="E934" s="25" t="s">
        <v>2504</v>
      </c>
      <c r="F934" s="25">
        <v>4155</v>
      </c>
      <c r="G934" s="25" t="s">
        <v>2737</v>
      </c>
      <c r="H934" s="25" t="s">
        <v>2507</v>
      </c>
      <c r="I934" s="25" t="s">
        <v>6593</v>
      </c>
      <c r="J934" s="25" t="s">
        <v>2661</v>
      </c>
      <c r="K934" s="25" t="s">
        <v>2510</v>
      </c>
      <c r="L934" s="25" t="s">
        <v>2511</v>
      </c>
      <c r="M934" s="26" t="s">
        <v>2512</v>
      </c>
      <c r="N934" s="25">
        <v>2305</v>
      </c>
      <c r="O934" s="26" t="s">
        <v>3035</v>
      </c>
      <c r="P934" s="27" t="s">
        <v>6594</v>
      </c>
      <c r="Q934" s="25" t="s">
        <v>2738</v>
      </c>
      <c r="R934" s="25" t="s">
        <v>2516</v>
      </c>
      <c r="S934" s="25" t="s">
        <v>25</v>
      </c>
      <c r="T934" s="25">
        <v>1</v>
      </c>
      <c r="U934" s="25" t="s">
        <v>2517</v>
      </c>
      <c r="V934" s="25" t="s">
        <v>6595</v>
      </c>
      <c r="W934" s="25" t="s">
        <v>6586</v>
      </c>
      <c r="X934" s="59">
        <v>45873.669444444437</v>
      </c>
      <c r="Y934" s="25" t="s">
        <v>6596</v>
      </c>
      <c r="Z934" s="25">
        <v>1.6</v>
      </c>
      <c r="AA934" s="25"/>
      <c r="AB934" s="25" t="s">
        <v>2521</v>
      </c>
      <c r="AC934" s="27" t="s">
        <v>6587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6597</v>
      </c>
      <c r="E935" s="25" t="s">
        <v>2504</v>
      </c>
      <c r="F935" s="25">
        <v>4101</v>
      </c>
      <c r="G935" s="25" t="s">
        <v>3229</v>
      </c>
      <c r="H935" s="25" t="s">
        <v>2507</v>
      </c>
      <c r="I935" s="25" t="s">
        <v>6598</v>
      </c>
      <c r="J935" s="25" t="s">
        <v>2661</v>
      </c>
      <c r="K935" s="25" t="s">
        <v>2568</v>
      </c>
      <c r="L935" s="25" t="s">
        <v>2945</v>
      </c>
      <c r="M935" s="26" t="s">
        <v>2946</v>
      </c>
      <c r="N935" s="25" t="s">
        <v>3782</v>
      </c>
      <c r="O935" s="26" t="s">
        <v>2582</v>
      </c>
      <c r="P935" s="27" t="s">
        <v>6599</v>
      </c>
      <c r="Q935" s="25" t="s">
        <v>3232</v>
      </c>
      <c r="R935" s="25" t="s">
        <v>2516</v>
      </c>
      <c r="S935" s="25" t="s">
        <v>25</v>
      </c>
      <c r="T935" s="25">
        <v>1</v>
      </c>
      <c r="U935" s="25" t="s">
        <v>2517</v>
      </c>
      <c r="V935" s="25" t="s">
        <v>6600</v>
      </c>
      <c r="W935" s="25" t="s">
        <v>6601</v>
      </c>
      <c r="X935" s="59">
        <v>45874.416666666657</v>
      </c>
      <c r="Y935" s="25" t="s">
        <v>6602</v>
      </c>
      <c r="Z935" s="25">
        <v>0.5</v>
      </c>
      <c r="AA935" s="25"/>
      <c r="AB935" s="25" t="s">
        <v>2521</v>
      </c>
      <c r="AC935" s="27" t="s">
        <v>6603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6604</v>
      </c>
      <c r="E936" s="25" t="s">
        <v>2504</v>
      </c>
      <c r="F936" s="25">
        <v>4917</v>
      </c>
      <c r="G936" s="25" t="s">
        <v>4443</v>
      </c>
      <c r="H936" s="25" t="s">
        <v>2609</v>
      </c>
      <c r="I936" s="25" t="s">
        <v>6605</v>
      </c>
      <c r="J936" s="25" t="s">
        <v>2661</v>
      </c>
      <c r="K936" s="25" t="s">
        <v>2510</v>
      </c>
      <c r="L936" s="25" t="s">
        <v>2611</v>
      </c>
      <c r="M936" s="26" t="s">
        <v>2612</v>
      </c>
      <c r="N936" s="25" t="s">
        <v>3110</v>
      </c>
      <c r="O936" s="26" t="s">
        <v>3111</v>
      </c>
      <c r="P936" s="27" t="s">
        <v>6606</v>
      </c>
      <c r="Q936" s="25" t="s">
        <v>4444</v>
      </c>
      <c r="R936" s="25" t="s">
        <v>2516</v>
      </c>
      <c r="S936" s="25" t="s">
        <v>173</v>
      </c>
      <c r="T936" s="25">
        <v>1</v>
      </c>
      <c r="U936" s="25" t="s">
        <v>2517</v>
      </c>
      <c r="V936" s="25" t="s">
        <v>6607</v>
      </c>
      <c r="W936" s="25" t="s">
        <v>6608</v>
      </c>
      <c r="X936" s="59">
        <v>45874.509027777778</v>
      </c>
      <c r="Y936" s="25" t="s">
        <v>6609</v>
      </c>
      <c r="Z936" s="25">
        <v>0.4</v>
      </c>
      <c r="AA936" s="25"/>
      <c r="AB936" s="25" t="s">
        <v>2521</v>
      </c>
      <c r="AC936" s="27" t="s">
        <v>6610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6611</v>
      </c>
      <c r="E937" s="25" t="s">
        <v>2504</v>
      </c>
      <c r="F937" s="25">
        <v>4917</v>
      </c>
      <c r="G937" s="25" t="s">
        <v>4443</v>
      </c>
      <c r="H937" s="25" t="s">
        <v>2609</v>
      </c>
      <c r="I937" s="25" t="s">
        <v>6612</v>
      </c>
      <c r="J937" s="25" t="s">
        <v>2661</v>
      </c>
      <c r="K937" s="25" t="s">
        <v>2510</v>
      </c>
      <c r="L937" s="25" t="s">
        <v>2511</v>
      </c>
      <c r="M937" s="26" t="s">
        <v>2512</v>
      </c>
      <c r="N937" s="25">
        <v>2305</v>
      </c>
      <c r="O937" s="26" t="s">
        <v>3035</v>
      </c>
      <c r="P937" s="27" t="s">
        <v>6613</v>
      </c>
      <c r="Q937" s="25" t="s">
        <v>4444</v>
      </c>
      <c r="R937" s="25" t="s">
        <v>2516</v>
      </c>
      <c r="S937" s="25" t="s">
        <v>173</v>
      </c>
      <c r="T937" s="25">
        <v>1</v>
      </c>
      <c r="U937" s="25" t="s">
        <v>2517</v>
      </c>
      <c r="V937" s="25" t="s">
        <v>6614</v>
      </c>
      <c r="W937" s="25" t="s">
        <v>6608</v>
      </c>
      <c r="X937" s="59">
        <v>45874.509722222218</v>
      </c>
      <c r="Y937" s="25" t="s">
        <v>6615</v>
      </c>
      <c r="Z937" s="25">
        <v>0.4</v>
      </c>
      <c r="AA937" s="25"/>
      <c r="AB937" s="25" t="s">
        <v>2521</v>
      </c>
      <c r="AC937" s="27" t="s">
        <v>6610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3229</v>
      </c>
      <c r="H938" s="25" t="s">
        <v>2507</v>
      </c>
      <c r="I938" s="25"/>
      <c r="J938" s="25"/>
      <c r="K938" s="25"/>
      <c r="L938" s="25"/>
      <c r="M938" s="26"/>
      <c r="N938" s="25"/>
      <c r="O938" s="26"/>
      <c r="P938" s="27"/>
      <c r="Q938" s="25" t="s">
        <v>3232</v>
      </c>
      <c r="R938" s="25" t="s">
        <v>2516</v>
      </c>
      <c r="S938" s="25" t="s">
        <v>25</v>
      </c>
      <c r="T938" s="25">
        <v>1</v>
      </c>
      <c r="U938" s="25" t="s">
        <v>2517</v>
      </c>
      <c r="V938" s="25" t="s">
        <v>6616</v>
      </c>
      <c r="W938" s="25" t="s">
        <v>6617</v>
      </c>
      <c r="X938" s="59">
        <v>45874.445138888892</v>
      </c>
      <c r="Y938" s="25"/>
      <c r="Z938" s="25">
        <v>0.4</v>
      </c>
      <c r="AA938" s="25"/>
      <c r="AB938" s="25" t="s">
        <v>2521</v>
      </c>
      <c r="AC938" s="27" t="s">
        <v>6091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4443</v>
      </c>
      <c r="H939" s="25" t="s">
        <v>2609</v>
      </c>
      <c r="I939" s="25"/>
      <c r="J939" s="25"/>
      <c r="K939" s="25"/>
      <c r="L939" s="25"/>
      <c r="M939" s="26"/>
      <c r="N939" s="25"/>
      <c r="O939" s="26"/>
      <c r="P939" s="27"/>
      <c r="Q939" s="25" t="s">
        <v>4444</v>
      </c>
      <c r="R939" s="25" t="s">
        <v>2516</v>
      </c>
      <c r="S939" s="25" t="s">
        <v>173</v>
      </c>
      <c r="T939" s="25">
        <v>1</v>
      </c>
      <c r="U939" s="25" t="s">
        <v>2517</v>
      </c>
      <c r="V939" s="25" t="s">
        <v>6618</v>
      </c>
      <c r="W939" s="25" t="s">
        <v>6608</v>
      </c>
      <c r="X939" s="59">
        <v>45874.506944444453</v>
      </c>
      <c r="Y939" s="25"/>
      <c r="Z939" s="25">
        <v>0.3</v>
      </c>
      <c r="AA939" s="25"/>
      <c r="AB939" s="25" t="s">
        <v>2521</v>
      </c>
      <c r="AC939" s="27" t="s">
        <v>6091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6619</v>
      </c>
      <c r="E940" s="25" t="s">
        <v>2504</v>
      </c>
      <c r="F940" s="25">
        <v>2014</v>
      </c>
      <c r="G940" s="25" t="s">
        <v>6223</v>
      </c>
      <c r="H940" s="25" t="s">
        <v>2507</v>
      </c>
      <c r="I940" s="25" t="s">
        <v>6620</v>
      </c>
      <c r="J940" s="25" t="s">
        <v>2509</v>
      </c>
      <c r="K940" s="25" t="s">
        <v>2510</v>
      </c>
      <c r="L940" s="25" t="s">
        <v>2569</v>
      </c>
      <c r="M940" s="26" t="s">
        <v>2570</v>
      </c>
      <c r="N940" s="25">
        <v>2501</v>
      </c>
      <c r="O940" s="26" t="s">
        <v>2571</v>
      </c>
      <c r="P940" s="27" t="s">
        <v>6621</v>
      </c>
      <c r="Q940" s="25" t="s">
        <v>2759</v>
      </c>
      <c r="R940" s="25" t="s">
        <v>2516</v>
      </c>
      <c r="S940" s="25" t="s">
        <v>25</v>
      </c>
      <c r="T940" s="25">
        <v>1</v>
      </c>
      <c r="U940" s="25" t="s">
        <v>2517</v>
      </c>
      <c r="V940" s="25" t="s">
        <v>6622</v>
      </c>
      <c r="W940" s="25" t="s">
        <v>6623</v>
      </c>
      <c r="X940" s="59">
        <v>45875.479166666657</v>
      </c>
      <c r="Y940" s="25" t="s">
        <v>6624</v>
      </c>
      <c r="Z940" s="25">
        <v>1.8</v>
      </c>
      <c r="AA940" s="25"/>
      <c r="AB940" s="25" t="s">
        <v>2521</v>
      </c>
      <c r="AC940" s="27" t="s">
        <v>6625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6626</v>
      </c>
      <c r="E941" s="25" t="s">
        <v>2504</v>
      </c>
      <c r="F941" s="25">
        <v>4101</v>
      </c>
      <c r="G941" s="25" t="s">
        <v>3229</v>
      </c>
      <c r="H941" s="25" t="s">
        <v>2507</v>
      </c>
      <c r="I941" s="25" t="s">
        <v>6627</v>
      </c>
      <c r="J941" s="25" t="s">
        <v>2536</v>
      </c>
      <c r="K941" s="25" t="s">
        <v>2510</v>
      </c>
      <c r="L941" s="25" t="s">
        <v>2945</v>
      </c>
      <c r="M941" s="26" t="s">
        <v>2946</v>
      </c>
      <c r="N941" s="25" t="s">
        <v>3782</v>
      </c>
      <c r="O941" s="26" t="s">
        <v>2582</v>
      </c>
      <c r="P941" s="27" t="s">
        <v>6628</v>
      </c>
      <c r="Q941" s="25" t="s">
        <v>3232</v>
      </c>
      <c r="R941" s="25" t="s">
        <v>2516</v>
      </c>
      <c r="S941" s="25" t="s">
        <v>25</v>
      </c>
      <c r="T941" s="25">
        <v>1</v>
      </c>
      <c r="U941" s="25" t="s">
        <v>2517</v>
      </c>
      <c r="V941" s="25" t="s">
        <v>6629</v>
      </c>
      <c r="W941" s="25" t="s">
        <v>6630</v>
      </c>
      <c r="X941" s="59">
        <v>45876.409722222219</v>
      </c>
      <c r="Y941" s="25" t="s">
        <v>6631</v>
      </c>
      <c r="Z941" s="25">
        <v>0.3</v>
      </c>
      <c r="AA941" s="25"/>
      <c r="AB941" s="25" t="s">
        <v>2521</v>
      </c>
      <c r="AC941" s="27" t="s">
        <v>6632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6633</v>
      </c>
      <c r="E942" s="25" t="s">
        <v>2504</v>
      </c>
      <c r="F942" s="25">
        <v>4046</v>
      </c>
      <c r="G942" s="25" t="s">
        <v>4256</v>
      </c>
      <c r="H942" s="25" t="s">
        <v>2609</v>
      </c>
      <c r="I942" s="25" t="s">
        <v>6634</v>
      </c>
      <c r="J942" s="25" t="s">
        <v>2835</v>
      </c>
      <c r="K942" s="25" t="s">
        <v>2765</v>
      </c>
      <c r="L942" s="25" t="s">
        <v>2945</v>
      </c>
      <c r="M942" s="26" t="s">
        <v>2946</v>
      </c>
      <c r="N942" s="25" t="s">
        <v>2947</v>
      </c>
      <c r="O942" s="26" t="s">
        <v>2948</v>
      </c>
      <c r="P942" s="27" t="s">
        <v>6635</v>
      </c>
      <c r="Q942" s="25" t="s">
        <v>4259</v>
      </c>
      <c r="R942" s="25" t="s">
        <v>2516</v>
      </c>
      <c r="S942" s="25" t="s">
        <v>173</v>
      </c>
      <c r="T942" s="25">
        <v>1</v>
      </c>
      <c r="U942" s="25" t="s">
        <v>2517</v>
      </c>
      <c r="V942" s="25" t="s">
        <v>6636</v>
      </c>
      <c r="W942" s="25" t="s">
        <v>6637</v>
      </c>
      <c r="X942" s="59">
        <v>45876.654166666667</v>
      </c>
      <c r="Y942" s="25" t="s">
        <v>6638</v>
      </c>
      <c r="Z942" s="25">
        <v>0.4</v>
      </c>
      <c r="AA942" s="25"/>
      <c r="AB942" s="25" t="s">
        <v>2521</v>
      </c>
      <c r="AC942" s="27" t="s">
        <v>6639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6640</v>
      </c>
      <c r="E943" s="25" t="s">
        <v>2504</v>
      </c>
      <c r="F943" s="25">
        <v>3890</v>
      </c>
      <c r="G943" s="25" t="s">
        <v>2548</v>
      </c>
      <c r="H943" s="25" t="s">
        <v>2507</v>
      </c>
      <c r="I943" s="25" t="s">
        <v>6641</v>
      </c>
      <c r="J943" s="25" t="s">
        <v>2835</v>
      </c>
      <c r="K943" s="25" t="s">
        <v>2568</v>
      </c>
      <c r="L943" s="25" t="s">
        <v>2511</v>
      </c>
      <c r="M943" s="26" t="s">
        <v>2512</v>
      </c>
      <c r="N943" s="25">
        <v>2305</v>
      </c>
      <c r="O943" s="26" t="s">
        <v>3035</v>
      </c>
      <c r="P943" s="27" t="s">
        <v>6642</v>
      </c>
      <c r="Q943" s="25" t="s">
        <v>2552</v>
      </c>
      <c r="R943" s="25" t="s">
        <v>2516</v>
      </c>
      <c r="S943" s="25" t="s">
        <v>25</v>
      </c>
      <c r="T943" s="25">
        <v>1</v>
      </c>
      <c r="U943" s="25" t="s">
        <v>2517</v>
      </c>
      <c r="V943" s="25" t="s">
        <v>6643</v>
      </c>
      <c r="W943" s="25" t="s">
        <v>6644</v>
      </c>
      <c r="X943" s="59">
        <v>45876.474999999999</v>
      </c>
      <c r="Y943" s="25" t="s">
        <v>6645</v>
      </c>
      <c r="Z943" s="25">
        <v>0.5</v>
      </c>
      <c r="AA943" s="25"/>
      <c r="AB943" s="25" t="s">
        <v>2521</v>
      </c>
      <c r="AC943" s="27" t="s">
        <v>6646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6647</v>
      </c>
      <c r="E944" s="25" t="s">
        <v>2504</v>
      </c>
      <c r="F944" s="25">
        <v>5384</v>
      </c>
      <c r="G944" s="25" t="s">
        <v>6279</v>
      </c>
      <c r="H944" s="25" t="s">
        <v>2609</v>
      </c>
      <c r="I944" s="25" t="s">
        <v>6648</v>
      </c>
      <c r="J944" s="25" t="s">
        <v>2835</v>
      </c>
      <c r="K944" s="25" t="s">
        <v>2568</v>
      </c>
      <c r="L944" s="25" t="s">
        <v>3483</v>
      </c>
      <c r="M944" s="26" t="s">
        <v>3484</v>
      </c>
      <c r="N944" s="25">
        <v>6003</v>
      </c>
      <c r="O944" s="26" t="s">
        <v>3152</v>
      </c>
      <c r="P944" s="27" t="s">
        <v>6649</v>
      </c>
      <c r="Q944" s="25" t="s">
        <v>6280</v>
      </c>
      <c r="R944" s="25" t="s">
        <v>2516</v>
      </c>
      <c r="S944" s="25" t="s">
        <v>173</v>
      </c>
      <c r="T944" s="25">
        <v>1</v>
      </c>
      <c r="U944" s="25" t="s">
        <v>2517</v>
      </c>
      <c r="V944" s="25" t="s">
        <v>6650</v>
      </c>
      <c r="W944" s="25" t="s">
        <v>6651</v>
      </c>
      <c r="X944" s="59">
        <v>45876.631944444453</v>
      </c>
      <c r="Y944" s="25" t="s">
        <v>6652</v>
      </c>
      <c r="Z944" s="25">
        <v>0.8</v>
      </c>
      <c r="AA944" s="25"/>
      <c r="AB944" s="25" t="s">
        <v>2521</v>
      </c>
      <c r="AC944" s="27" t="s">
        <v>6653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6654</v>
      </c>
      <c r="E945" s="25" t="s">
        <v>2504</v>
      </c>
      <c r="F945" s="25">
        <v>5352</v>
      </c>
      <c r="G945" s="25" t="s">
        <v>4867</v>
      </c>
      <c r="H945" s="25" t="s">
        <v>2507</v>
      </c>
      <c r="I945" s="25" t="s">
        <v>6655</v>
      </c>
      <c r="J945" s="25" t="s">
        <v>2835</v>
      </c>
      <c r="K945" s="25" t="s">
        <v>2568</v>
      </c>
      <c r="L945" s="25" t="s">
        <v>2595</v>
      </c>
      <c r="M945" s="26" t="s">
        <v>2596</v>
      </c>
      <c r="N945" s="25" t="s">
        <v>6656</v>
      </c>
      <c r="O945" s="26" t="s">
        <v>3508</v>
      </c>
      <c r="P945" s="27" t="s">
        <v>6657</v>
      </c>
      <c r="Q945" s="25" t="s">
        <v>4868</v>
      </c>
      <c r="R945" s="25" t="s">
        <v>2516</v>
      </c>
      <c r="S945" s="25" t="s">
        <v>25</v>
      </c>
      <c r="T945" s="25">
        <v>1</v>
      </c>
      <c r="U945" s="25" t="s">
        <v>2517</v>
      </c>
      <c r="V945" s="25" t="s">
        <v>6658</v>
      </c>
      <c r="W945" s="25" t="s">
        <v>6659</v>
      </c>
      <c r="X945" s="59">
        <v>45876.576388888891</v>
      </c>
      <c r="Y945" s="25" t="s">
        <v>6660</v>
      </c>
      <c r="Z945" s="25">
        <v>0.5</v>
      </c>
      <c r="AA945" s="25"/>
      <c r="AB945" s="25" t="s">
        <v>2521</v>
      </c>
      <c r="AC945" s="27" t="s">
        <v>6661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2692</v>
      </c>
      <c r="H946" s="25" t="s">
        <v>2659</v>
      </c>
      <c r="I946" s="25"/>
      <c r="J946" s="25"/>
      <c r="K946" s="25"/>
      <c r="L946" s="25"/>
      <c r="M946" s="26"/>
      <c r="N946" s="25"/>
      <c r="O946" s="26"/>
      <c r="P946" s="27"/>
      <c r="Q946" s="25" t="s">
        <v>2693</v>
      </c>
      <c r="R946" s="25" t="s">
        <v>2516</v>
      </c>
      <c r="S946" s="25" t="s">
        <v>185</v>
      </c>
      <c r="T946" s="25">
        <v>1</v>
      </c>
      <c r="U946" s="25" t="s">
        <v>2517</v>
      </c>
      <c r="V946" s="25" t="s">
        <v>6662</v>
      </c>
      <c r="W946" s="25" t="s">
        <v>6663</v>
      </c>
      <c r="X946" s="59">
        <v>45876.506944444453</v>
      </c>
      <c r="Y946" s="25"/>
      <c r="Z946" s="25">
        <v>0.3</v>
      </c>
      <c r="AA946" s="25"/>
      <c r="AB946" s="25" t="s">
        <v>2521</v>
      </c>
      <c r="AC946" s="27" t="s">
        <v>6091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4285</v>
      </c>
      <c r="H947" s="25" t="s">
        <v>2659</v>
      </c>
      <c r="I947" s="25"/>
      <c r="J947" s="25"/>
      <c r="K947" s="25"/>
      <c r="L947" s="25"/>
      <c r="M947" s="26"/>
      <c r="N947" s="25"/>
      <c r="O947" s="26"/>
      <c r="P947" s="27"/>
      <c r="Q947" s="25" t="s">
        <v>4286</v>
      </c>
      <c r="R947" s="25" t="s">
        <v>2516</v>
      </c>
      <c r="S947" s="25" t="s">
        <v>185</v>
      </c>
      <c r="T947" s="25">
        <v>1</v>
      </c>
      <c r="U947" s="25" t="s">
        <v>2517</v>
      </c>
      <c r="V947" s="25" t="s">
        <v>6664</v>
      </c>
      <c r="W947" s="25" t="s">
        <v>6665</v>
      </c>
      <c r="X947" s="59">
        <v>45876.555555555547</v>
      </c>
      <c r="Y947" s="25"/>
      <c r="Z947" s="25">
        <v>0.3</v>
      </c>
      <c r="AA947" s="25"/>
      <c r="AB947" s="25" t="s">
        <v>2521</v>
      </c>
      <c r="AC947" s="27" t="s">
        <v>6091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2833</v>
      </c>
      <c r="H948" s="25" t="s">
        <v>2659</v>
      </c>
      <c r="I948" s="25"/>
      <c r="J948" s="25"/>
      <c r="K948" s="25"/>
      <c r="L948" s="25"/>
      <c r="M948" s="26"/>
      <c r="N948" s="25"/>
      <c r="O948" s="26"/>
      <c r="P948" s="27"/>
      <c r="Q948" s="25" t="s">
        <v>2837</v>
      </c>
      <c r="R948" s="25" t="s">
        <v>2516</v>
      </c>
      <c r="S948" s="25" t="s">
        <v>185</v>
      </c>
      <c r="T948" s="25">
        <v>1</v>
      </c>
      <c r="U948" s="25" t="s">
        <v>2517</v>
      </c>
      <c r="V948" s="25" t="s">
        <v>6666</v>
      </c>
      <c r="W948" s="25" t="s">
        <v>6667</v>
      </c>
      <c r="X948" s="59">
        <v>45876.576388888891</v>
      </c>
      <c r="Y948" s="25"/>
      <c r="Z948" s="25">
        <v>0.3</v>
      </c>
      <c r="AA948" s="25"/>
      <c r="AB948" s="25" t="s">
        <v>2521</v>
      </c>
      <c r="AC948" s="27" t="s">
        <v>6091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6279</v>
      </c>
      <c r="H949" s="25" t="s">
        <v>2609</v>
      </c>
      <c r="I949" s="25"/>
      <c r="J949" s="25"/>
      <c r="K949" s="25"/>
      <c r="L949" s="25"/>
      <c r="M949" s="26"/>
      <c r="N949" s="25"/>
      <c r="O949" s="26"/>
      <c r="P949" s="27"/>
      <c r="Q949" s="25" t="s">
        <v>6280</v>
      </c>
      <c r="R949" s="25" t="s">
        <v>2516</v>
      </c>
      <c r="S949" s="25" t="s">
        <v>173</v>
      </c>
      <c r="T949" s="25">
        <v>1</v>
      </c>
      <c r="U949" s="25" t="s">
        <v>2517</v>
      </c>
      <c r="V949" s="25" t="s">
        <v>6668</v>
      </c>
      <c r="W949" s="25" t="s">
        <v>6651</v>
      </c>
      <c r="X949" s="59">
        <v>45876.631944444453</v>
      </c>
      <c r="Y949" s="25"/>
      <c r="Z949" s="25">
        <v>0.8</v>
      </c>
      <c r="AA949" s="25"/>
      <c r="AB949" s="25" t="s">
        <v>2521</v>
      </c>
      <c r="AC949" s="27" t="s">
        <v>6669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4256</v>
      </c>
      <c r="H950" s="25" t="s">
        <v>2609</v>
      </c>
      <c r="I950" s="25"/>
      <c r="J950" s="25"/>
      <c r="K950" s="25"/>
      <c r="L950" s="25"/>
      <c r="M950" s="26"/>
      <c r="N950" s="25"/>
      <c r="O950" s="26"/>
      <c r="P950" s="27"/>
      <c r="Q950" s="25" t="s">
        <v>4259</v>
      </c>
      <c r="R950" s="25" t="s">
        <v>2516</v>
      </c>
      <c r="S950" s="25" t="s">
        <v>173</v>
      </c>
      <c r="T950" s="25">
        <v>1</v>
      </c>
      <c r="U950" s="25" t="s">
        <v>2517</v>
      </c>
      <c r="V950" s="25" t="s">
        <v>6670</v>
      </c>
      <c r="W950" s="25" t="s">
        <v>6671</v>
      </c>
      <c r="X950" s="59">
        <v>45876.65625</v>
      </c>
      <c r="Y950" s="25"/>
      <c r="Z950" s="25">
        <v>0.4</v>
      </c>
      <c r="AA950" s="25"/>
      <c r="AB950" s="25" t="s">
        <v>2521</v>
      </c>
      <c r="AC950" s="27" t="s">
        <v>6091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6672</v>
      </c>
      <c r="E951" s="25" t="s">
        <v>2504</v>
      </c>
      <c r="F951" s="25">
        <v>3741</v>
      </c>
      <c r="G951" s="25" t="s">
        <v>3516</v>
      </c>
      <c r="H951" s="25" t="s">
        <v>2507</v>
      </c>
      <c r="I951" s="25" t="s">
        <v>6673</v>
      </c>
      <c r="J951" s="25" t="s">
        <v>2835</v>
      </c>
      <c r="K951" s="25" t="s">
        <v>2510</v>
      </c>
      <c r="L951" s="25" t="s">
        <v>2537</v>
      </c>
      <c r="M951" s="26" t="s">
        <v>2538</v>
      </c>
      <c r="N951" s="25" t="s">
        <v>2539</v>
      </c>
      <c r="O951" s="26" t="s">
        <v>2540</v>
      </c>
      <c r="P951" s="27" t="s">
        <v>6674</v>
      </c>
      <c r="Q951" s="25" t="s">
        <v>3519</v>
      </c>
      <c r="R951" s="25" t="s">
        <v>2516</v>
      </c>
      <c r="S951" s="25" t="s">
        <v>25</v>
      </c>
      <c r="T951" s="25">
        <v>1</v>
      </c>
      <c r="U951" s="25" t="s">
        <v>2517</v>
      </c>
      <c r="V951" s="25" t="s">
        <v>6675</v>
      </c>
      <c r="W951" s="25" t="s">
        <v>6676</v>
      </c>
      <c r="X951" s="59">
        <v>45877.425000000003</v>
      </c>
      <c r="Y951" s="25" t="s">
        <v>6677</v>
      </c>
      <c r="Z951" s="25">
        <v>0.7</v>
      </c>
      <c r="AA951" s="25"/>
      <c r="AB951" s="25" t="s">
        <v>2521</v>
      </c>
      <c r="AC951" s="27" t="s">
        <v>6678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6679</v>
      </c>
      <c r="E952" s="25" t="s">
        <v>2504</v>
      </c>
      <c r="F952" s="25">
        <v>4101</v>
      </c>
      <c r="G952" s="25" t="s">
        <v>3229</v>
      </c>
      <c r="H952" s="25" t="s">
        <v>2507</v>
      </c>
      <c r="I952" s="25" t="s">
        <v>6680</v>
      </c>
      <c r="J952" s="25" t="s">
        <v>2835</v>
      </c>
      <c r="K952" s="25" t="s">
        <v>2510</v>
      </c>
      <c r="L952" s="25" t="s">
        <v>2945</v>
      </c>
      <c r="M952" s="26" t="s">
        <v>2946</v>
      </c>
      <c r="N952" s="25" t="s">
        <v>3782</v>
      </c>
      <c r="O952" s="26" t="s">
        <v>2582</v>
      </c>
      <c r="P952" s="27" t="s">
        <v>6681</v>
      </c>
      <c r="Q952" s="25" t="s">
        <v>3232</v>
      </c>
      <c r="R952" s="25" t="s">
        <v>2516</v>
      </c>
      <c r="S952" s="25" t="s">
        <v>25</v>
      </c>
      <c r="T952" s="25">
        <v>1</v>
      </c>
      <c r="U952" s="25" t="s">
        <v>2517</v>
      </c>
      <c r="V952" s="25" t="s">
        <v>6682</v>
      </c>
      <c r="W952" s="25" t="s">
        <v>6683</v>
      </c>
      <c r="X952" s="59">
        <v>45877.527777777781</v>
      </c>
      <c r="Y952" s="25" t="s">
        <v>6684</v>
      </c>
      <c r="Z952" s="25">
        <v>2.2000000000000002</v>
      </c>
      <c r="AA952" s="25"/>
      <c r="AB952" s="25" t="s">
        <v>2521</v>
      </c>
      <c r="AC952" s="27" t="s">
        <v>6685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6686</v>
      </c>
      <c r="E953" s="25" t="s">
        <v>2504</v>
      </c>
      <c r="F953" s="25">
        <v>4856</v>
      </c>
      <c r="G953" s="25" t="s">
        <v>2763</v>
      </c>
      <c r="H953" s="25" t="s">
        <v>2659</v>
      </c>
      <c r="I953" s="25" t="s">
        <v>6687</v>
      </c>
      <c r="J953" s="25" t="s">
        <v>2835</v>
      </c>
      <c r="K953" s="25" t="s">
        <v>2717</v>
      </c>
      <c r="L953" s="25" t="s">
        <v>2611</v>
      </c>
      <c r="M953" s="26" t="s">
        <v>2612</v>
      </c>
      <c r="N953" s="25" t="s">
        <v>3110</v>
      </c>
      <c r="O953" s="26" t="s">
        <v>6688</v>
      </c>
      <c r="P953" s="27" t="s">
        <v>6689</v>
      </c>
      <c r="Q953" s="25" t="s">
        <v>2767</v>
      </c>
      <c r="R953" s="25" t="s">
        <v>2516</v>
      </c>
      <c r="S953" s="25" t="s">
        <v>185</v>
      </c>
      <c r="T953" s="25">
        <v>1</v>
      </c>
      <c r="U953" s="25" t="s">
        <v>2517</v>
      </c>
      <c r="V953" s="25" t="s">
        <v>6690</v>
      </c>
      <c r="W953" s="25" t="s">
        <v>6691</v>
      </c>
      <c r="X953" s="59">
        <v>45877.364583333343</v>
      </c>
      <c r="Y953" s="25" t="s">
        <v>6692</v>
      </c>
      <c r="Z953" s="25">
        <v>0.3</v>
      </c>
      <c r="AA953" s="25"/>
      <c r="AB953" s="25" t="s">
        <v>2915</v>
      </c>
      <c r="AC953" s="27" t="s">
        <v>6693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2505</v>
      </c>
      <c r="G954" s="25" t="s">
        <v>2506</v>
      </c>
      <c r="H954" s="25" t="s">
        <v>2507</v>
      </c>
      <c r="I954" s="25"/>
      <c r="J954" s="25"/>
      <c r="K954" s="25"/>
      <c r="L954" s="25"/>
      <c r="M954" s="26"/>
      <c r="N954" s="25"/>
      <c r="O954" s="26"/>
      <c r="P954" s="27"/>
      <c r="Q954" s="25" t="s">
        <v>2515</v>
      </c>
      <c r="R954" s="25" t="s">
        <v>2516</v>
      </c>
      <c r="S954" s="25" t="s">
        <v>25</v>
      </c>
      <c r="T954" s="25">
        <v>1</v>
      </c>
      <c r="U954" s="25" t="s">
        <v>2517</v>
      </c>
      <c r="V954" s="25" t="s">
        <v>6694</v>
      </c>
      <c r="W954" s="25" t="s">
        <v>6695</v>
      </c>
      <c r="X954" s="59">
        <v>45877.597222222219</v>
      </c>
      <c r="Y954" s="25"/>
      <c r="Z954" s="25">
        <v>0.3</v>
      </c>
      <c r="AA954" s="25"/>
      <c r="AB954" s="25" t="s">
        <v>2521</v>
      </c>
      <c r="AC954" s="27" t="s">
        <v>6091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3684</v>
      </c>
      <c r="G955" s="25" t="s">
        <v>3685</v>
      </c>
      <c r="H955" s="25" t="s">
        <v>2507</v>
      </c>
      <c r="I955" s="25"/>
      <c r="J955" s="25"/>
      <c r="K955" s="25"/>
      <c r="L955" s="25"/>
      <c r="M955" s="26"/>
      <c r="N955" s="25"/>
      <c r="O955" s="26"/>
      <c r="P955" s="27"/>
      <c r="Q955" s="25" t="s">
        <v>3686</v>
      </c>
      <c r="R955" s="25" t="s">
        <v>2516</v>
      </c>
      <c r="S955" s="25" t="s">
        <v>25</v>
      </c>
      <c r="T955" s="25">
        <v>1</v>
      </c>
      <c r="U955" s="25" t="s">
        <v>2517</v>
      </c>
      <c r="V955" s="25" t="s">
        <v>6696</v>
      </c>
      <c r="W955" s="25" t="s">
        <v>6660</v>
      </c>
      <c r="X955" s="59">
        <v>45877.618750000001</v>
      </c>
      <c r="Y955" s="25"/>
      <c r="Z955" s="25">
        <v>0.4</v>
      </c>
      <c r="AA955" s="25"/>
      <c r="AB955" s="25" t="s">
        <v>2521</v>
      </c>
      <c r="AC955" s="27" t="s">
        <v>6091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2505</v>
      </c>
      <c r="G956" s="25" t="s">
        <v>2506</v>
      </c>
      <c r="H956" s="25" t="s">
        <v>2507</v>
      </c>
      <c r="I956" s="25"/>
      <c r="J956" s="25"/>
      <c r="K956" s="25"/>
      <c r="L956" s="25"/>
      <c r="M956" s="26"/>
      <c r="N956" s="25"/>
      <c r="O956" s="26"/>
      <c r="P956" s="27"/>
      <c r="Q956" s="25" t="s">
        <v>2515</v>
      </c>
      <c r="R956" s="25" t="s">
        <v>2516</v>
      </c>
      <c r="S956" s="25" t="s">
        <v>25</v>
      </c>
      <c r="T956" s="25">
        <v>1</v>
      </c>
      <c r="U956" s="25" t="s">
        <v>2517</v>
      </c>
      <c r="V956" s="25" t="s">
        <v>6697</v>
      </c>
      <c r="W956" s="25" t="s">
        <v>6695</v>
      </c>
      <c r="X956" s="59">
        <v>45877.597222222219</v>
      </c>
      <c r="Y956" s="25"/>
      <c r="Z956" s="25">
        <v>0.3</v>
      </c>
      <c r="AA956" s="25"/>
      <c r="AB956" s="25" t="s">
        <v>2521</v>
      </c>
      <c r="AC956" s="27" t="s">
        <v>6091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3831</v>
      </c>
      <c r="H957" s="25" t="s">
        <v>2507</v>
      </c>
      <c r="I957" s="25"/>
      <c r="J957" s="25"/>
      <c r="K957" s="25"/>
      <c r="L957" s="25"/>
      <c r="M957" s="26"/>
      <c r="N957" s="25"/>
      <c r="O957" s="26"/>
      <c r="P957" s="27"/>
      <c r="Q957" s="25" t="s">
        <v>3075</v>
      </c>
      <c r="R957" s="25" t="s">
        <v>2516</v>
      </c>
      <c r="S957" s="25" t="s">
        <v>25</v>
      </c>
      <c r="T957" s="25">
        <v>1</v>
      </c>
      <c r="U957" s="25" t="s">
        <v>2517</v>
      </c>
      <c r="V957" s="25" t="s">
        <v>6698</v>
      </c>
      <c r="W957" s="25" t="s">
        <v>6699</v>
      </c>
      <c r="X957" s="59">
        <v>45877.656944444447</v>
      </c>
      <c r="Y957" s="25"/>
      <c r="Z957" s="25">
        <v>0.4</v>
      </c>
      <c r="AA957" s="25"/>
      <c r="AB957" s="25" t="s">
        <v>2521</v>
      </c>
      <c r="AC957" s="27" t="s">
        <v>6091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3827</v>
      </c>
      <c r="H958" s="25" t="s">
        <v>2507</v>
      </c>
      <c r="I958" s="25"/>
      <c r="J958" s="25"/>
      <c r="K958" s="25"/>
      <c r="L958" s="25"/>
      <c r="M958" s="26"/>
      <c r="N958" s="25"/>
      <c r="O958" s="26"/>
      <c r="P958" s="27"/>
      <c r="Q958" s="25" t="s">
        <v>3828</v>
      </c>
      <c r="R958" s="25" t="s">
        <v>2516</v>
      </c>
      <c r="S958" s="25" t="s">
        <v>25</v>
      </c>
      <c r="T958" s="25">
        <v>1</v>
      </c>
      <c r="U958" s="25" t="s">
        <v>2517</v>
      </c>
      <c r="V958" s="25" t="s">
        <v>6700</v>
      </c>
      <c r="W958" s="25" t="s">
        <v>6701</v>
      </c>
      <c r="X958" s="59">
        <v>45877.711111111108</v>
      </c>
      <c r="Y958" s="25"/>
      <c r="Z958" s="25">
        <v>0.4</v>
      </c>
      <c r="AA958" s="25"/>
      <c r="AB958" s="25" t="s">
        <v>2521</v>
      </c>
      <c r="AC958" s="27" t="s">
        <v>6091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6702</v>
      </c>
      <c r="E959" s="25" t="s">
        <v>2504</v>
      </c>
      <c r="F959" s="25">
        <v>4541</v>
      </c>
      <c r="G959" s="25" t="s">
        <v>3191</v>
      </c>
      <c r="H959" s="25" t="s">
        <v>1604</v>
      </c>
      <c r="I959" s="25" t="s">
        <v>6703</v>
      </c>
      <c r="J959" s="25" t="s">
        <v>2567</v>
      </c>
      <c r="K959" s="25" t="s">
        <v>2510</v>
      </c>
      <c r="L959" s="25" t="s">
        <v>2511</v>
      </c>
      <c r="M959" s="26" t="s">
        <v>2512</v>
      </c>
      <c r="N959" s="25">
        <v>2302</v>
      </c>
      <c r="O959" s="26" t="s">
        <v>2550</v>
      </c>
      <c r="P959" s="27" t="s">
        <v>6704</v>
      </c>
      <c r="Q959" s="25" t="s">
        <v>3194</v>
      </c>
      <c r="R959" s="25" t="s">
        <v>2516</v>
      </c>
      <c r="S959" s="25" t="s">
        <v>25</v>
      </c>
      <c r="T959" s="25">
        <v>1</v>
      </c>
      <c r="U959" s="25" t="s">
        <v>2517</v>
      </c>
      <c r="V959" s="25" t="s">
        <v>6705</v>
      </c>
      <c r="W959" s="25" t="s">
        <v>6706</v>
      </c>
      <c r="X959" s="59">
        <v>45880.664583333331</v>
      </c>
      <c r="Y959" s="25" t="s">
        <v>6707</v>
      </c>
      <c r="Z959" s="25">
        <v>0.5</v>
      </c>
      <c r="AA959" s="25"/>
      <c r="AB959" s="25" t="s">
        <v>2521</v>
      </c>
      <c r="AC959" s="27" t="s">
        <v>6708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6709</v>
      </c>
      <c r="E960" s="25" t="s">
        <v>2843</v>
      </c>
      <c r="F960" s="25">
        <v>4528</v>
      </c>
      <c r="G960" s="25" t="s">
        <v>2986</v>
      </c>
      <c r="H960" s="25" t="s">
        <v>2987</v>
      </c>
      <c r="I960" s="25" t="s">
        <v>6710</v>
      </c>
      <c r="J960" s="25" t="s">
        <v>2661</v>
      </c>
      <c r="K960" s="25" t="s">
        <v>2568</v>
      </c>
      <c r="L960" s="25" t="s">
        <v>2846</v>
      </c>
      <c r="M960" s="26" t="s">
        <v>2847</v>
      </c>
      <c r="N960" s="25">
        <v>2405</v>
      </c>
      <c r="O960" s="26" t="s">
        <v>2963</v>
      </c>
      <c r="P960" s="27" t="s">
        <v>6711</v>
      </c>
      <c r="Q960" s="25" t="s">
        <v>2990</v>
      </c>
      <c r="R960" s="25" t="s">
        <v>2516</v>
      </c>
      <c r="S960" s="25" t="s">
        <v>25</v>
      </c>
      <c r="T960" s="25">
        <v>1</v>
      </c>
      <c r="U960" s="25" t="s">
        <v>2517</v>
      </c>
      <c r="V960" s="25" t="s">
        <v>6712</v>
      </c>
      <c r="W960" s="25" t="s">
        <v>6713</v>
      </c>
      <c r="X960" s="59">
        <v>45880.604166666657</v>
      </c>
      <c r="Y960" s="25" t="s">
        <v>6714</v>
      </c>
      <c r="Z960" s="25">
        <v>3.8</v>
      </c>
      <c r="AA960" s="25"/>
      <c r="AB960" s="25" t="s">
        <v>2521</v>
      </c>
      <c r="AC960" s="27" t="s">
        <v>6715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3191</v>
      </c>
      <c r="H961" s="25" t="s">
        <v>1604</v>
      </c>
      <c r="I961" s="25"/>
      <c r="J961" s="25"/>
      <c r="K961" s="25"/>
      <c r="L961" s="25"/>
      <c r="M961" s="26"/>
      <c r="N961" s="25"/>
      <c r="O961" s="26"/>
      <c r="P961" s="27"/>
      <c r="Q961" s="25" t="s">
        <v>3194</v>
      </c>
      <c r="R961" s="25" t="s">
        <v>2516</v>
      </c>
      <c r="S961" s="25" t="s">
        <v>25</v>
      </c>
      <c r="T961" s="25">
        <v>1</v>
      </c>
      <c r="U961" s="25" t="s">
        <v>2517</v>
      </c>
      <c r="V961" s="25" t="s">
        <v>6716</v>
      </c>
      <c r="W961" s="25" t="s">
        <v>6717</v>
      </c>
      <c r="X961" s="59">
        <v>45880.665972222218</v>
      </c>
      <c r="Y961" s="25"/>
      <c r="Z961" s="25">
        <v>0.5</v>
      </c>
      <c r="AA961" s="25"/>
      <c r="AB961" s="25" t="s">
        <v>2521</v>
      </c>
      <c r="AC961" s="27" t="s">
        <v>6091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6718</v>
      </c>
      <c r="E962" s="25" t="s">
        <v>2843</v>
      </c>
      <c r="F962" s="25">
        <v>2267</v>
      </c>
      <c r="G962" s="25" t="s">
        <v>3170</v>
      </c>
      <c r="H962" s="25" t="s">
        <v>3171</v>
      </c>
      <c r="I962" s="25" t="s">
        <v>6719</v>
      </c>
      <c r="J962" s="25" t="s">
        <v>2661</v>
      </c>
      <c r="K962" s="25" t="s">
        <v>2510</v>
      </c>
      <c r="L962" s="25" t="s">
        <v>2846</v>
      </c>
      <c r="M962" s="26" t="s">
        <v>2847</v>
      </c>
      <c r="N962" s="25">
        <v>2405</v>
      </c>
      <c r="O962" s="26" t="s">
        <v>2963</v>
      </c>
      <c r="P962" s="27" t="s">
        <v>6720</v>
      </c>
      <c r="Q962" s="25" t="s">
        <v>3172</v>
      </c>
      <c r="R962" s="25" t="s">
        <v>2516</v>
      </c>
      <c r="S962" s="25" t="s">
        <v>25</v>
      </c>
      <c r="T962" s="25">
        <v>1</v>
      </c>
      <c r="U962" s="25" t="s">
        <v>2517</v>
      </c>
      <c r="V962" s="25" t="s">
        <v>6721</v>
      </c>
      <c r="W962" s="25" t="s">
        <v>6722</v>
      </c>
      <c r="X962" s="59">
        <v>45880.833333333343</v>
      </c>
      <c r="Y962" s="25" t="s">
        <v>6723</v>
      </c>
      <c r="Z962" s="25">
        <v>2</v>
      </c>
      <c r="AA962" s="25"/>
      <c r="AB962" s="25" t="s">
        <v>2521</v>
      </c>
      <c r="AC962" s="27" t="s">
        <v>5437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6724</v>
      </c>
      <c r="E963" s="25" t="s">
        <v>2504</v>
      </c>
      <c r="F963" s="25">
        <v>3416</v>
      </c>
      <c r="G963" s="25" t="s">
        <v>4421</v>
      </c>
      <c r="H963" s="25" t="s">
        <v>2609</v>
      </c>
      <c r="I963" s="25" t="s">
        <v>6725</v>
      </c>
      <c r="J963" s="25" t="s">
        <v>2661</v>
      </c>
      <c r="K963" s="25" t="s">
        <v>2568</v>
      </c>
      <c r="L963" s="25" t="s">
        <v>2511</v>
      </c>
      <c r="M963" s="26" t="s">
        <v>2512</v>
      </c>
      <c r="N963" s="25">
        <v>2305</v>
      </c>
      <c r="O963" s="26" t="s">
        <v>3035</v>
      </c>
      <c r="P963" s="27" t="s">
        <v>6726</v>
      </c>
      <c r="Q963" s="25" t="s">
        <v>4422</v>
      </c>
      <c r="R963" s="25" t="s">
        <v>2516</v>
      </c>
      <c r="S963" s="25" t="s">
        <v>173</v>
      </c>
      <c r="T963" s="25">
        <v>1</v>
      </c>
      <c r="U963" s="25" t="s">
        <v>2517</v>
      </c>
      <c r="V963" s="25" t="s">
        <v>6727</v>
      </c>
      <c r="W963" s="25" t="s">
        <v>6728</v>
      </c>
      <c r="X963" s="59">
        <v>45881.538194444453</v>
      </c>
      <c r="Y963" s="25" t="s">
        <v>6729</v>
      </c>
      <c r="Z963" s="25">
        <v>0.9</v>
      </c>
      <c r="AA963" s="25"/>
      <c r="AB963" s="25" t="s">
        <v>2521</v>
      </c>
      <c r="AC963" s="27" t="s">
        <v>6730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6731</v>
      </c>
      <c r="E964" s="25" t="s">
        <v>2504</v>
      </c>
      <c r="F964" s="25">
        <v>3362</v>
      </c>
      <c r="G964" s="25" t="s">
        <v>2534</v>
      </c>
      <c r="H964" s="25" t="s">
        <v>2507</v>
      </c>
      <c r="I964" s="25" t="s">
        <v>6732</v>
      </c>
      <c r="J964" s="25" t="s">
        <v>2661</v>
      </c>
      <c r="K964" s="25" t="s">
        <v>2510</v>
      </c>
      <c r="L964" s="25" t="s">
        <v>2537</v>
      </c>
      <c r="M964" s="26" t="s">
        <v>2538</v>
      </c>
      <c r="N964" s="25" t="s">
        <v>2539</v>
      </c>
      <c r="O964" s="26" t="s">
        <v>2540</v>
      </c>
      <c r="P964" s="27" t="s">
        <v>6733</v>
      </c>
      <c r="Q964" s="25" t="s">
        <v>2542</v>
      </c>
      <c r="R964" s="25" t="s">
        <v>2516</v>
      </c>
      <c r="S964" s="25" t="s">
        <v>25</v>
      </c>
      <c r="T964" s="25">
        <v>1</v>
      </c>
      <c r="U964" s="25" t="s">
        <v>2517</v>
      </c>
      <c r="V964" s="25" t="s">
        <v>6734</v>
      </c>
      <c r="W964" s="25" t="s">
        <v>6735</v>
      </c>
      <c r="X964" s="59">
        <v>45881.525000000001</v>
      </c>
      <c r="Y964" s="25" t="s">
        <v>6736</v>
      </c>
      <c r="Z964" s="25">
        <v>1.6</v>
      </c>
      <c r="AA964" s="25"/>
      <c r="AB964" s="25" t="s">
        <v>2521</v>
      </c>
      <c r="AC964" s="27" t="s">
        <v>6737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6738</v>
      </c>
      <c r="E965" s="25" t="s">
        <v>2504</v>
      </c>
      <c r="F965" s="25">
        <v>3362</v>
      </c>
      <c r="G965" s="25" t="s">
        <v>2534</v>
      </c>
      <c r="H965" s="25" t="s">
        <v>2507</v>
      </c>
      <c r="I965" s="25" t="s">
        <v>6739</v>
      </c>
      <c r="J965" s="25" t="s">
        <v>2661</v>
      </c>
      <c r="K965" s="25" t="s">
        <v>2510</v>
      </c>
      <c r="L965" s="25" t="s">
        <v>2537</v>
      </c>
      <c r="M965" s="26" t="s">
        <v>2538</v>
      </c>
      <c r="N965" s="25" t="s">
        <v>2539</v>
      </c>
      <c r="O965" s="26" t="s">
        <v>2540</v>
      </c>
      <c r="P965" s="27" t="s">
        <v>6740</v>
      </c>
      <c r="Q965" s="25" t="s">
        <v>2542</v>
      </c>
      <c r="R965" s="25" t="s">
        <v>2516</v>
      </c>
      <c r="S965" s="25" t="s">
        <v>25</v>
      </c>
      <c r="T965" s="25">
        <v>1</v>
      </c>
      <c r="U965" s="25" t="s">
        <v>2517</v>
      </c>
      <c r="V965" s="25" t="s">
        <v>6741</v>
      </c>
      <c r="W965" s="25" t="s">
        <v>6735</v>
      </c>
      <c r="X965" s="59">
        <v>45881.522916666669</v>
      </c>
      <c r="Y965" s="25" t="s">
        <v>6742</v>
      </c>
      <c r="Z965" s="25">
        <v>1.6</v>
      </c>
      <c r="AA965" s="25"/>
      <c r="AB965" s="25" t="s">
        <v>2521</v>
      </c>
      <c r="AC965" s="27" t="s">
        <v>6743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6744</v>
      </c>
      <c r="E966" s="25" t="s">
        <v>2504</v>
      </c>
      <c r="F966" s="25">
        <v>5352</v>
      </c>
      <c r="G966" s="25" t="s">
        <v>4867</v>
      </c>
      <c r="H966" s="25" t="s">
        <v>2507</v>
      </c>
      <c r="I966" s="25" t="s">
        <v>6745</v>
      </c>
      <c r="J966" s="25" t="s">
        <v>2661</v>
      </c>
      <c r="K966" s="25" t="s">
        <v>2510</v>
      </c>
      <c r="L966" s="25" t="s">
        <v>2611</v>
      </c>
      <c r="M966" s="26" t="s">
        <v>2612</v>
      </c>
      <c r="N966" s="25" t="s">
        <v>3110</v>
      </c>
      <c r="O966" s="26" t="s">
        <v>6688</v>
      </c>
      <c r="P966" s="27" t="s">
        <v>6746</v>
      </c>
      <c r="Q966" s="25" t="s">
        <v>4868</v>
      </c>
      <c r="R966" s="25" t="s">
        <v>2516</v>
      </c>
      <c r="S966" s="25" t="s">
        <v>25</v>
      </c>
      <c r="T966" s="25">
        <v>1</v>
      </c>
      <c r="U966" s="25" t="s">
        <v>2517</v>
      </c>
      <c r="V966" s="25" t="s">
        <v>6747</v>
      </c>
      <c r="W966" s="25" t="s">
        <v>6748</v>
      </c>
      <c r="X966" s="59">
        <v>45881.574999999997</v>
      </c>
      <c r="Y966" s="25" t="s">
        <v>6749</v>
      </c>
      <c r="Z966" s="25">
        <v>0.8</v>
      </c>
      <c r="AA966" s="25"/>
      <c r="AB966" s="25" t="s">
        <v>2521</v>
      </c>
      <c r="AC966" s="27" t="s">
        <v>6750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4421</v>
      </c>
      <c r="H967" s="25" t="s">
        <v>2609</v>
      </c>
      <c r="I967" s="25"/>
      <c r="J967" s="25"/>
      <c r="K967" s="25"/>
      <c r="L967" s="25"/>
      <c r="M967" s="26"/>
      <c r="N967" s="25"/>
      <c r="O967" s="26"/>
      <c r="P967" s="27"/>
      <c r="Q967" s="25" t="s">
        <v>4422</v>
      </c>
      <c r="R967" s="25" t="s">
        <v>2516</v>
      </c>
      <c r="S967" s="25" t="s">
        <v>173</v>
      </c>
      <c r="T967" s="25">
        <v>1</v>
      </c>
      <c r="U967" s="25" t="s">
        <v>2517</v>
      </c>
      <c r="V967" s="25" t="s">
        <v>6751</v>
      </c>
      <c r="W967" s="25" t="s">
        <v>6728</v>
      </c>
      <c r="X967" s="59">
        <v>45881.538194444453</v>
      </c>
      <c r="Y967" s="25"/>
      <c r="Z967" s="25">
        <v>0.9</v>
      </c>
      <c r="AA967" s="25"/>
      <c r="AB967" s="25" t="s">
        <v>2521</v>
      </c>
      <c r="AC967" s="27" t="s">
        <v>6091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2697</v>
      </c>
      <c r="H968" s="25" t="s">
        <v>2609</v>
      </c>
      <c r="I968" s="25"/>
      <c r="J968" s="25"/>
      <c r="K968" s="25"/>
      <c r="L968" s="25"/>
      <c r="M968" s="26"/>
      <c r="N968" s="25"/>
      <c r="O968" s="26"/>
      <c r="P968" s="27"/>
      <c r="Q968" s="25" t="s">
        <v>2700</v>
      </c>
      <c r="R968" s="25" t="s">
        <v>2516</v>
      </c>
      <c r="S968" s="25" t="s">
        <v>173</v>
      </c>
      <c r="T968" s="25">
        <v>1</v>
      </c>
      <c r="U968" s="25" t="s">
        <v>2517</v>
      </c>
      <c r="V968" s="25" t="s">
        <v>6752</v>
      </c>
      <c r="W968" s="25" t="s">
        <v>6753</v>
      </c>
      <c r="X968" s="59">
        <v>45881.555555555547</v>
      </c>
      <c r="Y968" s="25"/>
      <c r="Z968" s="25">
        <v>0.3</v>
      </c>
      <c r="AA968" s="25"/>
      <c r="AB968" s="25" t="s">
        <v>2521</v>
      </c>
      <c r="AC968" s="27" t="s">
        <v>6091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3863</v>
      </c>
      <c r="G969" s="25" t="s">
        <v>3864</v>
      </c>
      <c r="H969" s="25" t="s">
        <v>2507</v>
      </c>
      <c r="I969" s="25"/>
      <c r="J969" s="25"/>
      <c r="K969" s="25"/>
      <c r="L969" s="25"/>
      <c r="M969" s="26"/>
      <c r="N969" s="25"/>
      <c r="O969" s="26"/>
      <c r="P969" s="27"/>
      <c r="Q969" s="25" t="s">
        <v>3865</v>
      </c>
      <c r="R969" s="25" t="s">
        <v>2516</v>
      </c>
      <c r="S969" s="25" t="s">
        <v>25</v>
      </c>
      <c r="T969" s="25">
        <v>1</v>
      </c>
      <c r="U969" s="25" t="s">
        <v>2517</v>
      </c>
      <c r="V969" s="25" t="s">
        <v>6754</v>
      </c>
      <c r="W969" s="25" t="s">
        <v>6755</v>
      </c>
      <c r="X969" s="59">
        <v>45881.59652777778</v>
      </c>
      <c r="Y969" s="25"/>
      <c r="Z969" s="25">
        <v>0.3</v>
      </c>
      <c r="AA969" s="25"/>
      <c r="AB969" s="25" t="s">
        <v>2521</v>
      </c>
      <c r="AC969" s="27" t="s">
        <v>6091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3859</v>
      </c>
      <c r="H970" s="25" t="s">
        <v>2507</v>
      </c>
      <c r="I970" s="25"/>
      <c r="J970" s="25"/>
      <c r="K970" s="25"/>
      <c r="L970" s="25"/>
      <c r="M970" s="26"/>
      <c r="N970" s="25"/>
      <c r="O970" s="26"/>
      <c r="P970" s="27"/>
      <c r="Q970" s="25" t="s">
        <v>3860</v>
      </c>
      <c r="R970" s="25" t="s">
        <v>2516</v>
      </c>
      <c r="S970" s="25" t="s">
        <v>25</v>
      </c>
      <c r="T970" s="25">
        <v>1</v>
      </c>
      <c r="U970" s="25" t="s">
        <v>2517</v>
      </c>
      <c r="V970" s="25" t="s">
        <v>6756</v>
      </c>
      <c r="W970" s="25" t="s">
        <v>6757</v>
      </c>
      <c r="X970" s="59">
        <v>45881.615972222222</v>
      </c>
      <c r="Y970" s="25"/>
      <c r="Z970" s="25">
        <v>0.3</v>
      </c>
      <c r="AA970" s="25"/>
      <c r="AB970" s="25" t="s">
        <v>2521</v>
      </c>
      <c r="AC970" s="27" t="s">
        <v>6091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3780</v>
      </c>
      <c r="H971" s="25" t="s">
        <v>2507</v>
      </c>
      <c r="I971" s="25"/>
      <c r="J971" s="25"/>
      <c r="K971" s="25"/>
      <c r="L971" s="25"/>
      <c r="M971" s="26"/>
      <c r="N971" s="25"/>
      <c r="O971" s="26"/>
      <c r="P971" s="27"/>
      <c r="Q971" s="25" t="s">
        <v>3784</v>
      </c>
      <c r="R971" s="25" t="s">
        <v>2516</v>
      </c>
      <c r="S971" s="25" t="s">
        <v>25</v>
      </c>
      <c r="T971" s="25">
        <v>1</v>
      </c>
      <c r="U971" s="25" t="s">
        <v>2517</v>
      </c>
      <c r="V971" s="25" t="s">
        <v>6758</v>
      </c>
      <c r="W971" s="25" t="s">
        <v>6759</v>
      </c>
      <c r="X971" s="59">
        <v>45881.645833333343</v>
      </c>
      <c r="Y971" s="25"/>
      <c r="Z971" s="25">
        <v>0.3</v>
      </c>
      <c r="AA971" s="25"/>
      <c r="AB971" s="25" t="s">
        <v>2521</v>
      </c>
      <c r="AC971" s="27" t="s">
        <v>6216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3895</v>
      </c>
      <c r="G972" s="25" t="s">
        <v>6760</v>
      </c>
      <c r="H972" s="25" t="s">
        <v>2507</v>
      </c>
      <c r="I972" s="25"/>
      <c r="J972" s="25"/>
      <c r="K972" s="25"/>
      <c r="L972" s="25"/>
      <c r="M972" s="26"/>
      <c r="N972" s="25"/>
      <c r="O972" s="26"/>
      <c r="P972" s="27"/>
      <c r="Q972" s="25" t="s">
        <v>3897</v>
      </c>
      <c r="R972" s="25" t="s">
        <v>2516</v>
      </c>
      <c r="S972" s="25" t="s">
        <v>25</v>
      </c>
      <c r="T972" s="25">
        <v>1</v>
      </c>
      <c r="U972" s="25" t="s">
        <v>2517</v>
      </c>
      <c r="V972" s="25" t="s">
        <v>6761</v>
      </c>
      <c r="W972" s="25" t="s">
        <v>6762</v>
      </c>
      <c r="X972" s="59">
        <v>45881.681944444441</v>
      </c>
      <c r="Y972" s="25"/>
      <c r="Z972" s="25">
        <v>0.4</v>
      </c>
      <c r="AA972" s="25"/>
      <c r="AB972" s="25" t="s">
        <v>2521</v>
      </c>
      <c r="AC972" s="27" t="s">
        <v>6091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6763</v>
      </c>
      <c r="E973" s="25" t="s">
        <v>2504</v>
      </c>
      <c r="F973" s="25">
        <v>4259</v>
      </c>
      <c r="G973" s="25" t="s">
        <v>3042</v>
      </c>
      <c r="H973" s="25" t="s">
        <v>2987</v>
      </c>
      <c r="I973" s="25" t="s">
        <v>6764</v>
      </c>
      <c r="J973" s="25" t="s">
        <v>2509</v>
      </c>
      <c r="K973" s="25" t="s">
        <v>2510</v>
      </c>
      <c r="L973" s="25" t="s">
        <v>4472</v>
      </c>
      <c r="M973" s="26" t="s">
        <v>4473</v>
      </c>
      <c r="N973" s="25" t="s">
        <v>4474</v>
      </c>
      <c r="O973" s="26" t="s">
        <v>4475</v>
      </c>
      <c r="P973" s="27" t="s">
        <v>6765</v>
      </c>
      <c r="Q973" s="25" t="s">
        <v>3043</v>
      </c>
      <c r="R973" s="25" t="s">
        <v>2516</v>
      </c>
      <c r="S973" s="25" t="s">
        <v>25</v>
      </c>
      <c r="T973" s="25">
        <v>1</v>
      </c>
      <c r="U973" s="25" t="s">
        <v>2517</v>
      </c>
      <c r="V973" s="25" t="s">
        <v>6766</v>
      </c>
      <c r="W973" s="25" t="s">
        <v>6767</v>
      </c>
      <c r="X973" s="59">
        <v>45882.509722222218</v>
      </c>
      <c r="Y973" s="25" t="s">
        <v>6768</v>
      </c>
      <c r="Z973" s="25">
        <v>1.2</v>
      </c>
      <c r="AA973" s="25"/>
      <c r="AB973" s="25" t="s">
        <v>2521</v>
      </c>
      <c r="AC973" s="27" t="s">
        <v>6769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4015</v>
      </c>
      <c r="H974" s="25" t="s">
        <v>2609</v>
      </c>
      <c r="I974" s="25"/>
      <c r="J974" s="25"/>
      <c r="K974" s="25"/>
      <c r="L974" s="25"/>
      <c r="M974" s="26"/>
      <c r="N974" s="25"/>
      <c r="O974" s="26"/>
      <c r="P974" s="27"/>
      <c r="Q974" s="25" t="s">
        <v>4018</v>
      </c>
      <c r="R974" s="25" t="s">
        <v>2516</v>
      </c>
      <c r="S974" s="25" t="s">
        <v>173</v>
      </c>
      <c r="T974" s="25">
        <v>1</v>
      </c>
      <c r="U974" s="25" t="s">
        <v>2517</v>
      </c>
      <c r="V974" s="25" t="s">
        <v>6770</v>
      </c>
      <c r="W974" s="25" t="s">
        <v>6771</v>
      </c>
      <c r="X974" s="59">
        <v>45882.496527777781</v>
      </c>
      <c r="Y974" s="25"/>
      <c r="Z974" s="25">
        <v>0.3</v>
      </c>
      <c r="AA974" s="25"/>
      <c r="AB974" s="25" t="s">
        <v>2521</v>
      </c>
      <c r="AC974" s="27" t="s">
        <v>6772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4390</v>
      </c>
      <c r="H975" s="25" t="s">
        <v>2609</v>
      </c>
      <c r="I975" s="25"/>
      <c r="J975" s="25"/>
      <c r="K975" s="25"/>
      <c r="L975" s="25"/>
      <c r="M975" s="26"/>
      <c r="N975" s="25"/>
      <c r="O975" s="26"/>
      <c r="P975" s="27"/>
      <c r="Q975" s="25" t="s">
        <v>4391</v>
      </c>
      <c r="R975" s="25" t="s">
        <v>2516</v>
      </c>
      <c r="S975" s="25" t="s">
        <v>173</v>
      </c>
      <c r="T975" s="25">
        <v>1</v>
      </c>
      <c r="U975" s="25" t="s">
        <v>2517</v>
      </c>
      <c r="V975" s="25" t="s">
        <v>6773</v>
      </c>
      <c r="W975" s="25" t="s">
        <v>6774</v>
      </c>
      <c r="X975" s="59">
        <v>45882.510416666657</v>
      </c>
      <c r="Y975" s="25"/>
      <c r="Z975" s="25">
        <v>0.3</v>
      </c>
      <c r="AA975" s="25"/>
      <c r="AB975" s="25" t="s">
        <v>2521</v>
      </c>
      <c r="AC975" s="27" t="s">
        <v>6091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4182</v>
      </c>
      <c r="H976" s="25" t="s">
        <v>2659</v>
      </c>
      <c r="I976" s="25"/>
      <c r="J976" s="25"/>
      <c r="K976" s="25"/>
      <c r="L976" s="25"/>
      <c r="M976" s="26"/>
      <c r="N976" s="25"/>
      <c r="O976" s="26"/>
      <c r="P976" s="27"/>
      <c r="Q976" s="25" t="s">
        <v>4183</v>
      </c>
      <c r="R976" s="25" t="s">
        <v>2516</v>
      </c>
      <c r="S976" s="25" t="s">
        <v>185</v>
      </c>
      <c r="T976" s="25">
        <v>1</v>
      </c>
      <c r="U976" s="25" t="s">
        <v>2517</v>
      </c>
      <c r="V976" s="25" t="s">
        <v>6775</v>
      </c>
      <c r="W976" s="25" t="s">
        <v>6776</v>
      </c>
      <c r="X976" s="59">
        <v>45882.534722222219</v>
      </c>
      <c r="Y976" s="25"/>
      <c r="Z976" s="25">
        <v>0.3</v>
      </c>
      <c r="AA976" s="25"/>
      <c r="AB976" s="25" t="s">
        <v>2521</v>
      </c>
      <c r="AC976" s="27" t="s">
        <v>6091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4190</v>
      </c>
      <c r="H977" s="25" t="s">
        <v>2659</v>
      </c>
      <c r="I977" s="25"/>
      <c r="J977" s="25"/>
      <c r="K977" s="25"/>
      <c r="L977" s="25"/>
      <c r="M977" s="26"/>
      <c r="N977" s="25"/>
      <c r="O977" s="26"/>
      <c r="P977" s="27"/>
      <c r="Q977" s="25" t="s">
        <v>4191</v>
      </c>
      <c r="R977" s="25" t="s">
        <v>2516</v>
      </c>
      <c r="S977" s="25" t="s">
        <v>185</v>
      </c>
      <c r="T977" s="25">
        <v>1</v>
      </c>
      <c r="U977" s="25" t="s">
        <v>2517</v>
      </c>
      <c r="V977" s="25" t="s">
        <v>6777</v>
      </c>
      <c r="W977" s="25" t="s">
        <v>6778</v>
      </c>
      <c r="X977" s="59">
        <v>45882.548611111109</v>
      </c>
      <c r="Y977" s="25"/>
      <c r="Z977" s="25">
        <v>0.3</v>
      </c>
      <c r="AA977" s="25"/>
      <c r="AB977" s="25" t="s">
        <v>2521</v>
      </c>
      <c r="AC977" s="27" t="s">
        <v>6091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3413</v>
      </c>
      <c r="H978" s="25" t="s">
        <v>2659</v>
      </c>
      <c r="I978" s="25"/>
      <c r="J978" s="25"/>
      <c r="K978" s="25"/>
      <c r="L978" s="25"/>
      <c r="M978" s="26"/>
      <c r="N978" s="25"/>
      <c r="O978" s="26"/>
      <c r="P978" s="27"/>
      <c r="Q978" s="25" t="s">
        <v>3414</v>
      </c>
      <c r="R978" s="25" t="s">
        <v>2516</v>
      </c>
      <c r="S978" s="25" t="s">
        <v>185</v>
      </c>
      <c r="T978" s="25">
        <v>1</v>
      </c>
      <c r="U978" s="25" t="s">
        <v>2517</v>
      </c>
      <c r="V978" s="25" t="s">
        <v>6779</v>
      </c>
      <c r="W978" s="25" t="s">
        <v>6780</v>
      </c>
      <c r="X978" s="59">
        <v>45882.569444444453</v>
      </c>
      <c r="Y978" s="25"/>
      <c r="Z978" s="25">
        <v>0.3</v>
      </c>
      <c r="AA978" s="25"/>
      <c r="AB978" s="25" t="s">
        <v>2521</v>
      </c>
      <c r="AC978" s="27" t="s">
        <v>6091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3656</v>
      </c>
      <c r="H979" s="25" t="s">
        <v>2641</v>
      </c>
      <c r="I979" s="25"/>
      <c r="J979" s="25"/>
      <c r="K979" s="25"/>
      <c r="L979" s="25"/>
      <c r="M979" s="26"/>
      <c r="N979" s="25"/>
      <c r="O979" s="26"/>
      <c r="P979" s="27"/>
      <c r="Q979" s="25" t="s">
        <v>3659</v>
      </c>
      <c r="R979" s="25" t="s">
        <v>2516</v>
      </c>
      <c r="S979" s="25" t="s">
        <v>25</v>
      </c>
      <c r="T979" s="25">
        <v>1</v>
      </c>
      <c r="U979" s="25" t="s">
        <v>2517</v>
      </c>
      <c r="V979" s="25" t="s">
        <v>6781</v>
      </c>
      <c r="W979" s="25" t="s">
        <v>6782</v>
      </c>
      <c r="X979" s="59">
        <v>45882.615972222222</v>
      </c>
      <c r="Y979" s="25"/>
      <c r="Z979" s="25">
        <v>0.3</v>
      </c>
      <c r="AA979" s="25"/>
      <c r="AB979" s="25" t="s">
        <v>2521</v>
      </c>
      <c r="AC979" s="27" t="s">
        <v>6091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3409</v>
      </c>
      <c r="H980" s="25" t="s">
        <v>2659</v>
      </c>
      <c r="I980" s="25"/>
      <c r="J980" s="25"/>
      <c r="K980" s="25"/>
      <c r="L980" s="25"/>
      <c r="M980" s="26"/>
      <c r="N980" s="25"/>
      <c r="O980" s="26"/>
      <c r="P980" s="27"/>
      <c r="Q980" s="25" t="s">
        <v>3410</v>
      </c>
      <c r="R980" s="25" t="s">
        <v>2516</v>
      </c>
      <c r="S980" s="25" t="s">
        <v>185</v>
      </c>
      <c r="T980" s="25">
        <v>1</v>
      </c>
      <c r="U980" s="25" t="s">
        <v>2517</v>
      </c>
      <c r="V980" s="25" t="s">
        <v>6783</v>
      </c>
      <c r="W980" s="25" t="s">
        <v>6782</v>
      </c>
      <c r="X980" s="59">
        <v>45882.618055555547</v>
      </c>
      <c r="Y980" s="25"/>
      <c r="Z980" s="25">
        <v>0.3</v>
      </c>
      <c r="AA980" s="25"/>
      <c r="AB980" s="25" t="s">
        <v>2521</v>
      </c>
      <c r="AC980" s="27" t="s">
        <v>6091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3709</v>
      </c>
      <c r="H981" s="25" t="s">
        <v>2641</v>
      </c>
      <c r="I981" s="25"/>
      <c r="J981" s="25"/>
      <c r="K981" s="25"/>
      <c r="L981" s="25"/>
      <c r="M981" s="26"/>
      <c r="N981" s="25"/>
      <c r="O981" s="26"/>
      <c r="P981" s="27"/>
      <c r="Q981" s="25" t="s">
        <v>3710</v>
      </c>
      <c r="R981" s="25" t="s">
        <v>2516</v>
      </c>
      <c r="S981" s="25" t="s">
        <v>25</v>
      </c>
      <c r="T981" s="25">
        <v>1</v>
      </c>
      <c r="U981" s="25" t="s">
        <v>2517</v>
      </c>
      <c r="V981" s="25" t="s">
        <v>6784</v>
      </c>
      <c r="W981" s="25" t="s">
        <v>6785</v>
      </c>
      <c r="X981" s="59">
        <v>45882.63958333333</v>
      </c>
      <c r="Y981" s="25"/>
      <c r="Z981" s="25">
        <v>0.4</v>
      </c>
      <c r="AA981" s="25"/>
      <c r="AB981" s="25" t="s">
        <v>2521</v>
      </c>
      <c r="AC981" s="27" t="s">
        <v>6216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3713</v>
      </c>
      <c r="H982" s="25" t="s">
        <v>2641</v>
      </c>
      <c r="I982" s="25"/>
      <c r="J982" s="25"/>
      <c r="K982" s="25"/>
      <c r="L982" s="25"/>
      <c r="M982" s="26"/>
      <c r="N982" s="25"/>
      <c r="O982" s="26"/>
      <c r="P982" s="27"/>
      <c r="Q982" s="25" t="s">
        <v>3714</v>
      </c>
      <c r="R982" s="25" t="s">
        <v>2516</v>
      </c>
      <c r="S982" s="25" t="s">
        <v>25</v>
      </c>
      <c r="T982" s="25">
        <v>1</v>
      </c>
      <c r="U982" s="25" t="s">
        <v>2517</v>
      </c>
      <c r="V982" s="25" t="s">
        <v>6786</v>
      </c>
      <c r="W982" s="25" t="s">
        <v>6787</v>
      </c>
      <c r="X982" s="59">
        <v>45882.660416666673</v>
      </c>
      <c r="Y982" s="25"/>
      <c r="Z982" s="25">
        <v>0.4</v>
      </c>
      <c r="AA982" s="25"/>
      <c r="AB982" s="25" t="s">
        <v>2521</v>
      </c>
      <c r="AC982" s="27" t="s">
        <v>6091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3724</v>
      </c>
      <c r="H983" s="25" t="s">
        <v>2641</v>
      </c>
      <c r="I983" s="25"/>
      <c r="J983" s="25"/>
      <c r="K983" s="25"/>
      <c r="L983" s="25"/>
      <c r="M983" s="26"/>
      <c r="N983" s="25"/>
      <c r="O983" s="26"/>
      <c r="P983" s="27"/>
      <c r="Q983" s="25" t="s">
        <v>3725</v>
      </c>
      <c r="R983" s="25" t="s">
        <v>2516</v>
      </c>
      <c r="S983" s="25" t="s">
        <v>25</v>
      </c>
      <c r="T983" s="25">
        <v>1</v>
      </c>
      <c r="U983" s="25" t="s">
        <v>2517</v>
      </c>
      <c r="V983" s="25" t="s">
        <v>6788</v>
      </c>
      <c r="W983" s="25" t="s">
        <v>6789</v>
      </c>
      <c r="X983" s="59">
        <v>45882.680555555547</v>
      </c>
      <c r="Y983" s="25"/>
      <c r="Z983" s="25">
        <v>0.3</v>
      </c>
      <c r="AA983" s="25"/>
      <c r="AB983" s="25" t="s">
        <v>2521</v>
      </c>
      <c r="AC983" s="27" t="s">
        <v>6091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6790</v>
      </c>
      <c r="E984" s="25" t="s">
        <v>2504</v>
      </c>
      <c r="F984" s="25">
        <v>2042</v>
      </c>
      <c r="G984" s="25" t="s">
        <v>3544</v>
      </c>
      <c r="H984" s="25" t="s">
        <v>2507</v>
      </c>
      <c r="I984" s="25" t="s">
        <v>6791</v>
      </c>
      <c r="J984" s="25" t="s">
        <v>2536</v>
      </c>
      <c r="K984" s="25" t="s">
        <v>2568</v>
      </c>
      <c r="L984" s="25" t="s">
        <v>2537</v>
      </c>
      <c r="M984" s="26" t="s">
        <v>2538</v>
      </c>
      <c r="N984" s="25" t="s">
        <v>2539</v>
      </c>
      <c r="O984" s="26" t="s">
        <v>2540</v>
      </c>
      <c r="P984" s="27" t="s">
        <v>6792</v>
      </c>
      <c r="Q984" s="25" t="s">
        <v>3545</v>
      </c>
      <c r="R984" s="25" t="s">
        <v>2516</v>
      </c>
      <c r="S984" s="25" t="s">
        <v>25</v>
      </c>
      <c r="T984" s="25">
        <v>1</v>
      </c>
      <c r="U984" s="25" t="s">
        <v>2517</v>
      </c>
      <c r="V984" s="25" t="s">
        <v>6793</v>
      </c>
      <c r="W984" s="25" t="s">
        <v>6794</v>
      </c>
      <c r="X984" s="59">
        <v>45883.604861111111</v>
      </c>
      <c r="Y984" s="25" t="s">
        <v>6795</v>
      </c>
      <c r="Z984" s="25">
        <v>1.2</v>
      </c>
      <c r="AA984" s="25"/>
      <c r="AB984" s="25" t="s">
        <v>2521</v>
      </c>
      <c r="AC984" s="27" t="s">
        <v>6796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6797</v>
      </c>
      <c r="E985" s="25" t="s">
        <v>2504</v>
      </c>
      <c r="F985" s="25" t="s">
        <v>4404</v>
      </c>
      <c r="G985" s="25" t="s">
        <v>4405</v>
      </c>
      <c r="H985" s="25" t="s">
        <v>2609</v>
      </c>
      <c r="I985" s="25" t="s">
        <v>6798</v>
      </c>
      <c r="J985" s="25" t="s">
        <v>2536</v>
      </c>
      <c r="K985" s="25" t="s">
        <v>2510</v>
      </c>
      <c r="L985" s="25" t="s">
        <v>2511</v>
      </c>
      <c r="M985" s="26" t="s">
        <v>2512</v>
      </c>
      <c r="N985" s="25">
        <v>2307</v>
      </c>
      <c r="O985" s="26" t="s">
        <v>2678</v>
      </c>
      <c r="P985" s="27" t="s">
        <v>6799</v>
      </c>
      <c r="Q985" s="25" t="s">
        <v>4406</v>
      </c>
      <c r="R985" s="25" t="s">
        <v>2516</v>
      </c>
      <c r="S985" s="25" t="s">
        <v>173</v>
      </c>
      <c r="T985" s="25">
        <v>1</v>
      </c>
      <c r="U985" s="25" t="s">
        <v>2517</v>
      </c>
      <c r="V985" s="25" t="s">
        <v>6800</v>
      </c>
      <c r="W985" s="25" t="s">
        <v>6801</v>
      </c>
      <c r="X985" s="59">
        <v>45883.628472222219</v>
      </c>
      <c r="Y985" s="25" t="s">
        <v>6802</v>
      </c>
      <c r="Z985" s="25">
        <v>1.6</v>
      </c>
      <c r="AA985" s="25"/>
      <c r="AB985" s="25" t="s">
        <v>2521</v>
      </c>
      <c r="AC985" s="27" t="s">
        <v>6803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6804</v>
      </c>
      <c r="E986" s="25" t="s">
        <v>2504</v>
      </c>
      <c r="F986" s="25" t="s">
        <v>4404</v>
      </c>
      <c r="G986" s="25" t="s">
        <v>4405</v>
      </c>
      <c r="H986" s="25" t="s">
        <v>2609</v>
      </c>
      <c r="I986" s="25" t="s">
        <v>6805</v>
      </c>
      <c r="J986" s="25" t="s">
        <v>2536</v>
      </c>
      <c r="K986" s="25" t="s">
        <v>2510</v>
      </c>
      <c r="L986" s="25" t="s">
        <v>3483</v>
      </c>
      <c r="M986" s="26" t="s">
        <v>3484</v>
      </c>
      <c r="N986" s="25">
        <v>6003</v>
      </c>
      <c r="O986" s="26" t="s">
        <v>3152</v>
      </c>
      <c r="P986" s="27" t="s">
        <v>6806</v>
      </c>
      <c r="Q986" s="25" t="s">
        <v>4406</v>
      </c>
      <c r="R986" s="25" t="s">
        <v>2516</v>
      </c>
      <c r="S986" s="25" t="s">
        <v>173</v>
      </c>
      <c r="T986" s="25">
        <v>1</v>
      </c>
      <c r="U986" s="25" t="s">
        <v>2517</v>
      </c>
      <c r="V986" s="25" t="s">
        <v>6807</v>
      </c>
      <c r="W986" s="25" t="s">
        <v>6801</v>
      </c>
      <c r="X986" s="59">
        <v>45883.628472222219</v>
      </c>
      <c r="Y986" s="25" t="s">
        <v>6808</v>
      </c>
      <c r="Z986" s="25">
        <v>1.6</v>
      </c>
      <c r="AA986" s="25"/>
      <c r="AB986" s="25" t="s">
        <v>2521</v>
      </c>
      <c r="AC986" s="27" t="s">
        <v>6809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6810</v>
      </c>
      <c r="E987" s="25" t="s">
        <v>2504</v>
      </c>
      <c r="F987" s="25">
        <v>4194</v>
      </c>
      <c r="G987" s="25" t="s">
        <v>3481</v>
      </c>
      <c r="H987" s="25" t="s">
        <v>2659</v>
      </c>
      <c r="I987" s="25" t="s">
        <v>6811</v>
      </c>
      <c r="J987" s="25" t="s">
        <v>2536</v>
      </c>
      <c r="K987" s="25" t="s">
        <v>2717</v>
      </c>
      <c r="L987" s="25" t="s">
        <v>2511</v>
      </c>
      <c r="M987" s="26" t="s">
        <v>2512</v>
      </c>
      <c r="N987" s="25">
        <v>2305</v>
      </c>
      <c r="O987" s="26" t="s">
        <v>3035</v>
      </c>
      <c r="P987" s="27" t="s">
        <v>6812</v>
      </c>
      <c r="Q987" s="25" t="s">
        <v>3486</v>
      </c>
      <c r="R987" s="25" t="s">
        <v>2516</v>
      </c>
      <c r="S987" s="25" t="s">
        <v>185</v>
      </c>
      <c r="T987" s="25">
        <v>1</v>
      </c>
      <c r="U987" s="25" t="s">
        <v>2517</v>
      </c>
      <c r="V987" s="25" t="s">
        <v>6813</v>
      </c>
      <c r="W987" s="25" t="s">
        <v>6814</v>
      </c>
      <c r="X987" s="59">
        <v>45883.4375</v>
      </c>
      <c r="Y987" s="25" t="s">
        <v>6815</v>
      </c>
      <c r="Z987" s="25">
        <v>1</v>
      </c>
      <c r="AA987" s="25"/>
      <c r="AB987" s="25" t="s">
        <v>2521</v>
      </c>
      <c r="AC987" s="27" t="s">
        <v>6816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6817</v>
      </c>
      <c r="E988" s="25" t="s">
        <v>2504</v>
      </c>
      <c r="F988" s="25">
        <v>4194</v>
      </c>
      <c r="G988" s="25" t="s">
        <v>3481</v>
      </c>
      <c r="H988" s="25" t="s">
        <v>2659</v>
      </c>
      <c r="I988" s="25" t="s">
        <v>6818</v>
      </c>
      <c r="J988" s="25" t="s">
        <v>2536</v>
      </c>
      <c r="K988" s="25" t="s">
        <v>2717</v>
      </c>
      <c r="L988" s="25" t="s">
        <v>2537</v>
      </c>
      <c r="M988" s="26" t="s">
        <v>2538</v>
      </c>
      <c r="N988" s="25" t="s">
        <v>2539</v>
      </c>
      <c r="O988" s="26" t="s">
        <v>2540</v>
      </c>
      <c r="P988" s="27" t="s">
        <v>6819</v>
      </c>
      <c r="Q988" s="25" t="s">
        <v>3486</v>
      </c>
      <c r="R988" s="25" t="s">
        <v>2516</v>
      </c>
      <c r="S988" s="25" t="s">
        <v>185</v>
      </c>
      <c r="T988" s="25">
        <v>1</v>
      </c>
      <c r="U988" s="25" t="s">
        <v>2517</v>
      </c>
      <c r="V988" s="25" t="s">
        <v>6820</v>
      </c>
      <c r="W988" s="25" t="s">
        <v>6821</v>
      </c>
      <c r="X988" s="59">
        <v>45883.458333333343</v>
      </c>
      <c r="Y988" s="25" t="s">
        <v>6822</v>
      </c>
      <c r="Z988" s="25">
        <v>0.5</v>
      </c>
      <c r="AA988" s="25"/>
      <c r="AB988" s="25" t="s">
        <v>2521</v>
      </c>
      <c r="AC988" s="27" t="s">
        <v>6823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3481</v>
      </c>
      <c r="H989" s="25" t="s">
        <v>2659</v>
      </c>
      <c r="I989" s="25"/>
      <c r="J989" s="25"/>
      <c r="K989" s="25"/>
      <c r="L989" s="25"/>
      <c r="M989" s="26"/>
      <c r="N989" s="25"/>
      <c r="O989" s="26"/>
      <c r="P989" s="27"/>
      <c r="Q989" s="25" t="s">
        <v>3486</v>
      </c>
      <c r="R989" s="25" t="s">
        <v>2516</v>
      </c>
      <c r="S989" s="25" t="s">
        <v>185</v>
      </c>
      <c r="T989" s="25">
        <v>1</v>
      </c>
      <c r="U989" s="25" t="s">
        <v>2517</v>
      </c>
      <c r="V989" s="25" t="s">
        <v>6824</v>
      </c>
      <c r="W989" s="25" t="s">
        <v>6825</v>
      </c>
      <c r="X989" s="59">
        <v>45883.472222222219</v>
      </c>
      <c r="Y989" s="25"/>
      <c r="Z989" s="25">
        <v>0.3</v>
      </c>
      <c r="AA989" s="25"/>
      <c r="AB989" s="25" t="s">
        <v>2521</v>
      </c>
      <c r="AC989" s="27" t="s">
        <v>6091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6826</v>
      </c>
      <c r="E990" s="25" t="s">
        <v>2504</v>
      </c>
      <c r="F990" s="25">
        <v>4194</v>
      </c>
      <c r="G990" s="25" t="s">
        <v>3481</v>
      </c>
      <c r="H990" s="25" t="s">
        <v>2659</v>
      </c>
      <c r="I990" s="25" t="s">
        <v>6827</v>
      </c>
      <c r="J990" s="25" t="s">
        <v>2835</v>
      </c>
      <c r="K990" s="25" t="s">
        <v>2510</v>
      </c>
      <c r="L990" s="25" t="s">
        <v>2537</v>
      </c>
      <c r="M990" s="26" t="s">
        <v>2538</v>
      </c>
      <c r="N990" s="25" t="s">
        <v>2539</v>
      </c>
      <c r="O990" s="26" t="s">
        <v>2540</v>
      </c>
      <c r="P990" s="27" t="s">
        <v>6828</v>
      </c>
      <c r="Q990" s="25" t="s">
        <v>3486</v>
      </c>
      <c r="R990" s="25" t="s">
        <v>2516</v>
      </c>
      <c r="S990" s="25" t="s">
        <v>185</v>
      </c>
      <c r="T990" s="25">
        <v>1</v>
      </c>
      <c r="U990" s="25" t="s">
        <v>2517</v>
      </c>
      <c r="V990" s="25" t="s">
        <v>6829</v>
      </c>
      <c r="W990" s="25" t="s">
        <v>6830</v>
      </c>
      <c r="X990" s="59">
        <v>45883.5625</v>
      </c>
      <c r="Y990" s="25" t="s">
        <v>6831</v>
      </c>
      <c r="Z990" s="25">
        <v>0.5</v>
      </c>
      <c r="AA990" s="25"/>
      <c r="AB990" s="25" t="s">
        <v>2521</v>
      </c>
      <c r="AC990" s="27" t="s">
        <v>6832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6833</v>
      </c>
      <c r="E991" s="25" t="s">
        <v>2504</v>
      </c>
      <c r="F991" s="25">
        <v>3772</v>
      </c>
      <c r="G991" s="25" t="s">
        <v>3831</v>
      </c>
      <c r="H991" s="25" t="s">
        <v>2507</v>
      </c>
      <c r="I991" s="25" t="s">
        <v>6834</v>
      </c>
      <c r="J991" s="25" t="s">
        <v>2567</v>
      </c>
      <c r="K991" s="25" t="s">
        <v>2765</v>
      </c>
      <c r="L991" s="25" t="s">
        <v>3150</v>
      </c>
      <c r="M991" s="26" t="s">
        <v>3151</v>
      </c>
      <c r="N991" s="25">
        <v>5902</v>
      </c>
      <c r="O991" s="26" t="s">
        <v>3508</v>
      </c>
      <c r="P991" s="27" t="s">
        <v>6835</v>
      </c>
      <c r="Q991" s="25" t="s">
        <v>3075</v>
      </c>
      <c r="R991" s="25" t="s">
        <v>2516</v>
      </c>
      <c r="S991" s="25" t="s">
        <v>25</v>
      </c>
      <c r="T991" s="25">
        <v>1</v>
      </c>
      <c r="U991" s="25" t="s">
        <v>2517</v>
      </c>
      <c r="V991" s="25" t="s">
        <v>6836</v>
      </c>
      <c r="W991" s="25" t="s">
        <v>6837</v>
      </c>
      <c r="X991" s="59">
        <v>45884.603472222218</v>
      </c>
      <c r="Y991" s="25" t="s">
        <v>6838</v>
      </c>
      <c r="Z991" s="25">
        <v>0.5</v>
      </c>
      <c r="AA991" s="25"/>
      <c r="AB991" s="25" t="s">
        <v>2521</v>
      </c>
      <c r="AC991" s="27" t="s">
        <v>6839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3298</v>
      </c>
      <c r="G992" s="25" t="s">
        <v>3299</v>
      </c>
      <c r="H992" s="25" t="s">
        <v>2507</v>
      </c>
      <c r="I992" s="25"/>
      <c r="J992" s="25"/>
      <c r="K992" s="25"/>
      <c r="L992" s="25"/>
      <c r="M992" s="26"/>
      <c r="N992" s="25"/>
      <c r="O992" s="26"/>
      <c r="P992" s="27"/>
      <c r="Q992" s="25" t="s">
        <v>3300</v>
      </c>
      <c r="R992" s="25" t="s">
        <v>2516</v>
      </c>
      <c r="S992" s="25" t="s">
        <v>25</v>
      </c>
      <c r="T992" s="25">
        <v>1</v>
      </c>
      <c r="U992" s="25" t="s">
        <v>2517</v>
      </c>
      <c r="V992" s="25" t="s">
        <v>6840</v>
      </c>
      <c r="W992" s="25" t="s">
        <v>6841</v>
      </c>
      <c r="X992" s="59">
        <v>45884.416666666657</v>
      </c>
      <c r="Y992" s="25"/>
      <c r="Z992" s="25">
        <v>0.5</v>
      </c>
      <c r="AA992" s="25"/>
      <c r="AB992" s="25" t="s">
        <v>2521</v>
      </c>
      <c r="AC992" s="27" t="s">
        <v>6091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3303</v>
      </c>
      <c r="H993" s="25" t="s">
        <v>2507</v>
      </c>
      <c r="I993" s="25"/>
      <c r="J993" s="25"/>
      <c r="K993" s="25"/>
      <c r="L993" s="25"/>
      <c r="M993" s="26"/>
      <c r="N993" s="25"/>
      <c r="O993" s="26"/>
      <c r="P993" s="27"/>
      <c r="Q993" s="25" t="s">
        <v>3304</v>
      </c>
      <c r="R993" s="25" t="s">
        <v>2516</v>
      </c>
      <c r="S993" s="25" t="s">
        <v>25</v>
      </c>
      <c r="T993" s="25">
        <v>1</v>
      </c>
      <c r="U993" s="25" t="s">
        <v>2517</v>
      </c>
      <c r="V993" s="25" t="s">
        <v>6842</v>
      </c>
      <c r="W993" s="25" t="s">
        <v>6843</v>
      </c>
      <c r="X993" s="59">
        <v>45884.4375</v>
      </c>
      <c r="Y993" s="25"/>
      <c r="Z993" s="25">
        <v>0.3</v>
      </c>
      <c r="AA993" s="25"/>
      <c r="AB993" s="25" t="s">
        <v>2521</v>
      </c>
      <c r="AC993" s="27" t="s">
        <v>6091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3353</v>
      </c>
      <c r="G994" s="25" t="s">
        <v>3354</v>
      </c>
      <c r="H994" s="25" t="s">
        <v>2507</v>
      </c>
      <c r="I994" s="25"/>
      <c r="J994" s="25"/>
      <c r="K994" s="25"/>
      <c r="L994" s="25"/>
      <c r="M994" s="26"/>
      <c r="N994" s="25"/>
      <c r="O994" s="26"/>
      <c r="P994" s="27"/>
      <c r="Q994" s="25" t="s">
        <v>3357</v>
      </c>
      <c r="R994" s="25" t="s">
        <v>2516</v>
      </c>
      <c r="S994" s="25" t="s">
        <v>25</v>
      </c>
      <c r="T994" s="25">
        <v>1</v>
      </c>
      <c r="U994" s="25" t="s">
        <v>2517</v>
      </c>
      <c r="V994" s="25" t="s">
        <v>6844</v>
      </c>
      <c r="W994" s="25" t="s">
        <v>6845</v>
      </c>
      <c r="X994" s="59">
        <v>45884.459027777782</v>
      </c>
      <c r="Y994" s="25"/>
      <c r="Z994" s="25">
        <v>0.4</v>
      </c>
      <c r="AA994" s="25"/>
      <c r="AB994" s="25" t="s">
        <v>2521</v>
      </c>
      <c r="AC994" s="27" t="s">
        <v>6091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3404</v>
      </c>
      <c r="G995" s="25" t="s">
        <v>3405</v>
      </c>
      <c r="H995" s="25" t="s">
        <v>2507</v>
      </c>
      <c r="I995" s="25"/>
      <c r="J995" s="25"/>
      <c r="K995" s="25"/>
      <c r="L995" s="25"/>
      <c r="M995" s="26"/>
      <c r="N995" s="25"/>
      <c r="O995" s="26"/>
      <c r="P995" s="27"/>
      <c r="Q995" s="25" t="s">
        <v>3406</v>
      </c>
      <c r="R995" s="25" t="s">
        <v>2516</v>
      </c>
      <c r="S995" s="25" t="s">
        <v>25</v>
      </c>
      <c r="T995" s="25">
        <v>1</v>
      </c>
      <c r="U995" s="25" t="s">
        <v>2517</v>
      </c>
      <c r="V995" s="25" t="s">
        <v>6846</v>
      </c>
      <c r="W995" s="25" t="s">
        <v>6847</v>
      </c>
      <c r="X995" s="59">
        <v>45884.480555555558</v>
      </c>
      <c r="Y995" s="25"/>
      <c r="Z995" s="25">
        <v>0.4</v>
      </c>
      <c r="AA995" s="25"/>
      <c r="AB995" s="25" t="s">
        <v>2521</v>
      </c>
      <c r="AC995" s="27" t="s">
        <v>6091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3404</v>
      </c>
      <c r="G996" s="25" t="s">
        <v>3405</v>
      </c>
      <c r="H996" s="25" t="s">
        <v>2507</v>
      </c>
      <c r="I996" s="25"/>
      <c r="J996" s="25"/>
      <c r="K996" s="25"/>
      <c r="L996" s="25"/>
      <c r="M996" s="26"/>
      <c r="N996" s="25"/>
      <c r="O996" s="26"/>
      <c r="P996" s="27"/>
      <c r="Q996" s="25" t="s">
        <v>3406</v>
      </c>
      <c r="R996" s="25" t="s">
        <v>2516</v>
      </c>
      <c r="S996" s="25" t="s">
        <v>25</v>
      </c>
      <c r="T996" s="25">
        <v>1</v>
      </c>
      <c r="U996" s="25" t="s">
        <v>2517</v>
      </c>
      <c r="V996" s="25" t="s">
        <v>6848</v>
      </c>
      <c r="W996" s="25" t="s">
        <v>6847</v>
      </c>
      <c r="X996" s="59">
        <v>45884.479166666657</v>
      </c>
      <c r="Y996" s="25"/>
      <c r="Z996" s="25">
        <v>0.3</v>
      </c>
      <c r="AA996" s="25"/>
      <c r="AB996" s="25" t="s">
        <v>2521</v>
      </c>
      <c r="AC996" s="27" t="s">
        <v>6211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3842</v>
      </c>
      <c r="H997" s="25" t="s">
        <v>2507</v>
      </c>
      <c r="I997" s="25"/>
      <c r="J997" s="25"/>
      <c r="K997" s="25"/>
      <c r="L997" s="25"/>
      <c r="M997" s="26"/>
      <c r="N997" s="25"/>
      <c r="O997" s="26"/>
      <c r="P997" s="27"/>
      <c r="Q997" s="25" t="s">
        <v>3845</v>
      </c>
      <c r="R997" s="25" t="s">
        <v>2516</v>
      </c>
      <c r="S997" s="25" t="s">
        <v>25</v>
      </c>
      <c r="T997" s="25">
        <v>1</v>
      </c>
      <c r="U997" s="25" t="s">
        <v>2517</v>
      </c>
      <c r="V997" s="25" t="s">
        <v>6849</v>
      </c>
      <c r="W997" s="25" t="s">
        <v>6850</v>
      </c>
      <c r="X997" s="59">
        <v>45884.5625</v>
      </c>
      <c r="Y997" s="25"/>
      <c r="Z997" s="25">
        <v>0.3</v>
      </c>
      <c r="AA997" s="25"/>
      <c r="AB997" s="25" t="s">
        <v>2521</v>
      </c>
      <c r="AC997" s="27" t="s">
        <v>6091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3417</v>
      </c>
      <c r="H998" s="25" t="s">
        <v>2507</v>
      </c>
      <c r="I998" s="25"/>
      <c r="J998" s="25"/>
      <c r="K998" s="25"/>
      <c r="L998" s="25"/>
      <c r="M998" s="26"/>
      <c r="N998" s="25"/>
      <c r="O998" s="26"/>
      <c r="P998" s="27"/>
      <c r="Q998" s="25" t="s">
        <v>3418</v>
      </c>
      <c r="R998" s="25" t="s">
        <v>2516</v>
      </c>
      <c r="S998" s="25" t="s">
        <v>25</v>
      </c>
      <c r="T998" s="25">
        <v>1</v>
      </c>
      <c r="U998" s="25" t="s">
        <v>2517</v>
      </c>
      <c r="V998" s="25" t="s">
        <v>6851</v>
      </c>
      <c r="W998" s="25" t="s">
        <v>6852</v>
      </c>
      <c r="X998" s="59">
        <v>45884.583333333343</v>
      </c>
      <c r="Y998" s="25"/>
      <c r="Z998" s="25">
        <v>0.3</v>
      </c>
      <c r="AA998" s="25"/>
      <c r="AB998" s="25" t="s">
        <v>2521</v>
      </c>
      <c r="AC998" s="27" t="s">
        <v>6216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6853</v>
      </c>
      <c r="E999" s="25" t="s">
        <v>2504</v>
      </c>
      <c r="F999" s="25">
        <v>4098</v>
      </c>
      <c r="G999" s="25" t="s">
        <v>3884</v>
      </c>
      <c r="H999" s="25" t="s">
        <v>2507</v>
      </c>
      <c r="I999" s="25" t="s">
        <v>6854</v>
      </c>
      <c r="J999" s="25" t="s">
        <v>2567</v>
      </c>
      <c r="K999" s="25" t="s">
        <v>2510</v>
      </c>
      <c r="L999" s="25" t="s">
        <v>2537</v>
      </c>
      <c r="M999" s="26" t="s">
        <v>2538</v>
      </c>
      <c r="N999" s="25" t="s">
        <v>2539</v>
      </c>
      <c r="O999" s="26" t="s">
        <v>2540</v>
      </c>
      <c r="P999" s="27" t="s">
        <v>6855</v>
      </c>
      <c r="Q999" s="25" t="s">
        <v>3885</v>
      </c>
      <c r="R999" s="25" t="s">
        <v>2516</v>
      </c>
      <c r="S999" s="25" t="s">
        <v>25</v>
      </c>
      <c r="T999" s="25">
        <v>1</v>
      </c>
      <c r="U999" s="25" t="s">
        <v>2517</v>
      </c>
      <c r="V999" s="25" t="s">
        <v>6856</v>
      </c>
      <c r="W999" s="25" t="s">
        <v>6857</v>
      </c>
      <c r="X999" s="59">
        <v>45884.648611111108</v>
      </c>
      <c r="Y999" s="25" t="s">
        <v>6858</v>
      </c>
      <c r="Z999" s="25">
        <v>0.5</v>
      </c>
      <c r="AA999" s="25"/>
      <c r="AB999" s="25" t="s">
        <v>2521</v>
      </c>
      <c r="AC999" s="27" t="s">
        <v>6859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6860</v>
      </c>
      <c r="E1000" s="25" t="s">
        <v>2843</v>
      </c>
      <c r="F1000" s="25">
        <v>4098</v>
      </c>
      <c r="G1000" s="25" t="s">
        <v>3884</v>
      </c>
      <c r="H1000" s="25" t="s">
        <v>2507</v>
      </c>
      <c r="I1000" s="25" t="s">
        <v>6861</v>
      </c>
      <c r="J1000" s="25" t="s">
        <v>2567</v>
      </c>
      <c r="K1000" s="25" t="s">
        <v>2510</v>
      </c>
      <c r="L1000" s="25" t="s">
        <v>2537</v>
      </c>
      <c r="M1000" s="26" t="s">
        <v>2538</v>
      </c>
      <c r="N1000" s="25" t="s">
        <v>2539</v>
      </c>
      <c r="O1000" s="26" t="s">
        <v>2540</v>
      </c>
      <c r="P1000" s="27" t="s">
        <v>6862</v>
      </c>
      <c r="Q1000" s="25" t="s">
        <v>3885</v>
      </c>
      <c r="R1000" s="25" t="s">
        <v>2516</v>
      </c>
      <c r="S1000" s="25" t="s">
        <v>25</v>
      </c>
      <c r="T1000" s="25">
        <v>1</v>
      </c>
      <c r="U1000" s="25" t="s">
        <v>2517</v>
      </c>
      <c r="V1000" s="25" t="s">
        <v>6863</v>
      </c>
      <c r="W1000" s="25" t="s">
        <v>6864</v>
      </c>
      <c r="X1000" s="59">
        <v>45884.65</v>
      </c>
      <c r="Y1000" s="25" t="s">
        <v>6865</v>
      </c>
      <c r="Z1000" s="25">
        <v>0.5</v>
      </c>
      <c r="AA1000" s="25"/>
      <c r="AB1000" s="25" t="s">
        <v>2521</v>
      </c>
      <c r="AC1000" s="27" t="s">
        <v>6859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6866</v>
      </c>
      <c r="E1001" s="25" t="s">
        <v>2504</v>
      </c>
      <c r="F1001" s="25">
        <v>3929</v>
      </c>
      <c r="G1001" s="25" t="s">
        <v>3160</v>
      </c>
      <c r="H1001" s="25" t="s">
        <v>2641</v>
      </c>
      <c r="I1001" s="25" t="s">
        <v>6867</v>
      </c>
      <c r="J1001" s="25" t="s">
        <v>2930</v>
      </c>
      <c r="K1001" s="25" t="s">
        <v>2568</v>
      </c>
      <c r="L1001" s="25" t="s">
        <v>2945</v>
      </c>
      <c r="M1001" s="26" t="s">
        <v>2946</v>
      </c>
      <c r="N1001" s="25" t="s">
        <v>2947</v>
      </c>
      <c r="O1001" s="26" t="s">
        <v>2948</v>
      </c>
      <c r="P1001" s="27" t="s">
        <v>6868</v>
      </c>
      <c r="Q1001" s="25" t="s">
        <v>3163</v>
      </c>
      <c r="R1001" s="25" t="s">
        <v>2516</v>
      </c>
      <c r="S1001" s="25" t="s">
        <v>25</v>
      </c>
      <c r="T1001" s="25">
        <v>1</v>
      </c>
      <c r="U1001" s="25" t="s">
        <v>2517</v>
      </c>
      <c r="V1001" s="25" t="s">
        <v>6869</v>
      </c>
      <c r="W1001" s="25" t="s">
        <v>6870</v>
      </c>
      <c r="X1001" s="59">
        <v>45887.506944444453</v>
      </c>
      <c r="Y1001" s="25" t="s">
        <v>6871</v>
      </c>
      <c r="Z1001" s="25">
        <v>0.3</v>
      </c>
      <c r="AA1001" s="25"/>
      <c r="AB1001" s="25" t="s">
        <v>2521</v>
      </c>
      <c r="AC1001" s="27" t="s">
        <v>6872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6873</v>
      </c>
      <c r="E1002" s="25" t="s">
        <v>2504</v>
      </c>
      <c r="F1002" s="25">
        <v>2837</v>
      </c>
      <c r="G1002" s="25" t="s">
        <v>6874</v>
      </c>
      <c r="H1002" s="25" t="s">
        <v>2507</v>
      </c>
      <c r="I1002" s="25" t="s">
        <v>6875</v>
      </c>
      <c r="J1002" s="25" t="s">
        <v>2930</v>
      </c>
      <c r="K1002" s="25" t="s">
        <v>2568</v>
      </c>
      <c r="L1002" s="25" t="s">
        <v>3150</v>
      </c>
      <c r="M1002" s="26" t="s">
        <v>3151</v>
      </c>
      <c r="N1002" s="25">
        <v>5903</v>
      </c>
      <c r="O1002" s="26" t="s">
        <v>3152</v>
      </c>
      <c r="P1002" s="27" t="s">
        <v>6876</v>
      </c>
      <c r="Q1002" s="25" t="s">
        <v>2636</v>
      </c>
      <c r="R1002" s="25" t="s">
        <v>2516</v>
      </c>
      <c r="S1002" s="25" t="s">
        <v>25</v>
      </c>
      <c r="T1002" s="25">
        <v>1</v>
      </c>
      <c r="U1002" s="25" t="s">
        <v>2517</v>
      </c>
      <c r="V1002" s="25" t="s">
        <v>6877</v>
      </c>
      <c r="W1002" s="25" t="s">
        <v>6878</v>
      </c>
      <c r="X1002" s="59">
        <v>45887.381944444453</v>
      </c>
      <c r="Y1002" s="25" t="s">
        <v>6871</v>
      </c>
      <c r="Z1002" s="25">
        <v>0.5</v>
      </c>
      <c r="AA1002" s="25"/>
      <c r="AB1002" s="25" t="s">
        <v>2915</v>
      </c>
      <c r="AC1002" s="27" t="s">
        <v>2915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6879</v>
      </c>
      <c r="E1003" s="25" t="s">
        <v>2504</v>
      </c>
      <c r="F1003" s="25">
        <v>4801</v>
      </c>
      <c r="G1003" s="25" t="s">
        <v>3008</v>
      </c>
      <c r="H1003" s="25" t="s">
        <v>2996</v>
      </c>
      <c r="I1003" s="25" t="s">
        <v>6880</v>
      </c>
      <c r="J1003" s="25" t="s">
        <v>2643</v>
      </c>
      <c r="K1003" s="25" t="s">
        <v>2568</v>
      </c>
      <c r="L1003" s="25" t="s">
        <v>3483</v>
      </c>
      <c r="M1003" s="26" t="s">
        <v>3484</v>
      </c>
      <c r="N1003" s="25">
        <v>6003</v>
      </c>
      <c r="O1003" s="26" t="s">
        <v>3152</v>
      </c>
      <c r="P1003" s="27" t="s">
        <v>6881</v>
      </c>
      <c r="Q1003" s="25" t="s">
        <v>3009</v>
      </c>
      <c r="R1003" s="25" t="s">
        <v>2516</v>
      </c>
      <c r="S1003" s="25" t="s">
        <v>185</v>
      </c>
      <c r="T1003" s="25">
        <v>1</v>
      </c>
      <c r="U1003" s="25" t="s">
        <v>2517</v>
      </c>
      <c r="V1003" s="25" t="s">
        <v>6882</v>
      </c>
      <c r="W1003" s="25" t="s">
        <v>6883</v>
      </c>
      <c r="X1003" s="59">
        <v>45887.444444444453</v>
      </c>
      <c r="Y1003" s="25" t="s">
        <v>6871</v>
      </c>
      <c r="Z1003" s="25">
        <v>0.3</v>
      </c>
      <c r="AA1003" s="25"/>
      <c r="AB1003" s="25" t="s">
        <v>2521</v>
      </c>
      <c r="AC1003" s="27" t="s">
        <v>6884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6885</v>
      </c>
      <c r="E1004" s="25" t="s">
        <v>2504</v>
      </c>
      <c r="F1004" s="25">
        <v>4025</v>
      </c>
      <c r="G1004" s="25" t="s">
        <v>4285</v>
      </c>
      <c r="H1004" s="25" t="s">
        <v>2659</v>
      </c>
      <c r="I1004" s="25" t="s">
        <v>6886</v>
      </c>
      <c r="J1004" s="25" t="s">
        <v>2643</v>
      </c>
      <c r="K1004" s="25" t="s">
        <v>2568</v>
      </c>
      <c r="L1004" s="25" t="s">
        <v>2511</v>
      </c>
      <c r="M1004" s="26" t="s">
        <v>2512</v>
      </c>
      <c r="N1004" s="25">
        <v>2307</v>
      </c>
      <c r="O1004" s="26" t="s">
        <v>2678</v>
      </c>
      <c r="P1004" s="27" t="s">
        <v>6887</v>
      </c>
      <c r="Q1004" s="25" t="s">
        <v>4286</v>
      </c>
      <c r="R1004" s="25" t="s">
        <v>2516</v>
      </c>
      <c r="S1004" s="25" t="s">
        <v>185</v>
      </c>
      <c r="T1004" s="25">
        <v>1</v>
      </c>
      <c r="U1004" s="25" t="s">
        <v>2517</v>
      </c>
      <c r="V1004" s="25" t="s">
        <v>6888</v>
      </c>
      <c r="W1004" s="25" t="s">
        <v>6889</v>
      </c>
      <c r="X1004" s="59">
        <v>45887.513888888891</v>
      </c>
      <c r="Y1004" s="25" t="s">
        <v>6871</v>
      </c>
      <c r="Z1004" s="25">
        <v>0.8</v>
      </c>
      <c r="AA1004" s="25"/>
      <c r="AB1004" s="25" t="s">
        <v>2521</v>
      </c>
      <c r="AC1004" s="27" t="s">
        <v>6890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6891</v>
      </c>
      <c r="E1005" s="25" t="s">
        <v>2843</v>
      </c>
      <c r="F1005" s="25">
        <v>3955</v>
      </c>
      <c r="G1005" s="25" t="s">
        <v>4327</v>
      </c>
      <c r="H1005" s="25" t="s">
        <v>2609</v>
      </c>
      <c r="I1005" s="25" t="s">
        <v>6892</v>
      </c>
      <c r="J1005" s="25" t="s">
        <v>2643</v>
      </c>
      <c r="K1005" s="25" t="s">
        <v>2568</v>
      </c>
      <c r="L1005" s="25" t="s">
        <v>2846</v>
      </c>
      <c r="M1005" s="26" t="s">
        <v>2847</v>
      </c>
      <c r="N1005" s="25">
        <v>2405</v>
      </c>
      <c r="O1005" s="26" t="s">
        <v>2963</v>
      </c>
      <c r="P1005" s="27" t="s">
        <v>6893</v>
      </c>
      <c r="Q1005" s="25" t="s">
        <v>4328</v>
      </c>
      <c r="R1005" s="25" t="s">
        <v>2516</v>
      </c>
      <c r="S1005" s="25" t="s">
        <v>173</v>
      </c>
      <c r="T1005" s="25">
        <v>1</v>
      </c>
      <c r="U1005" s="25" t="s">
        <v>2517</v>
      </c>
      <c r="V1005" s="25" t="s">
        <v>6894</v>
      </c>
      <c r="W1005" s="25" t="s">
        <v>6895</v>
      </c>
      <c r="X1005" s="59">
        <v>45886.606249999997</v>
      </c>
      <c r="Y1005" s="25" t="s">
        <v>6896</v>
      </c>
      <c r="Z1005" s="25">
        <v>0.7</v>
      </c>
      <c r="AA1005" s="25"/>
      <c r="AB1005" s="25" t="s">
        <v>2521</v>
      </c>
      <c r="AC1005" s="27" t="s">
        <v>6897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4327</v>
      </c>
      <c r="H1006" s="25" t="s">
        <v>2609</v>
      </c>
      <c r="I1006" s="25"/>
      <c r="J1006" s="25"/>
      <c r="K1006" s="25"/>
      <c r="L1006" s="25"/>
      <c r="M1006" s="26"/>
      <c r="N1006" s="25"/>
      <c r="O1006" s="26"/>
      <c r="P1006" s="27"/>
      <c r="Q1006" s="25" t="s">
        <v>4328</v>
      </c>
      <c r="R1006" s="25" t="s">
        <v>2516</v>
      </c>
      <c r="S1006" s="25" t="s">
        <v>173</v>
      </c>
      <c r="T1006" s="25">
        <v>1</v>
      </c>
      <c r="U1006" s="25" t="s">
        <v>2517</v>
      </c>
      <c r="V1006" s="25" t="s">
        <v>6898</v>
      </c>
      <c r="W1006" s="25" t="s">
        <v>6895</v>
      </c>
      <c r="X1006" s="59">
        <v>45886.65625</v>
      </c>
      <c r="Y1006" s="25"/>
      <c r="Z1006" s="25">
        <v>1.9</v>
      </c>
      <c r="AA1006" s="25"/>
      <c r="AB1006" s="25" t="s">
        <v>2521</v>
      </c>
      <c r="AC1006" s="27" t="s">
        <v>6091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3004</v>
      </c>
      <c r="H1007" s="25" t="s">
        <v>2996</v>
      </c>
      <c r="I1007" s="25"/>
      <c r="J1007" s="25"/>
      <c r="K1007" s="25"/>
      <c r="L1007" s="25"/>
      <c r="M1007" s="26"/>
      <c r="N1007" s="25"/>
      <c r="O1007" s="26"/>
      <c r="P1007" s="27"/>
      <c r="Q1007" s="25" t="s">
        <v>3005</v>
      </c>
      <c r="R1007" s="25" t="s">
        <v>2516</v>
      </c>
      <c r="S1007" s="25" t="s">
        <v>185</v>
      </c>
      <c r="T1007" s="25">
        <v>1</v>
      </c>
      <c r="U1007" s="25" t="s">
        <v>2517</v>
      </c>
      <c r="V1007" s="25" t="s">
        <v>6899</v>
      </c>
      <c r="W1007" s="25" t="s">
        <v>6900</v>
      </c>
      <c r="X1007" s="59">
        <v>45887.430555555547</v>
      </c>
      <c r="Y1007" s="25"/>
      <c r="Z1007" s="25">
        <v>0.3</v>
      </c>
      <c r="AA1007" s="25"/>
      <c r="AB1007" s="25" t="s">
        <v>2521</v>
      </c>
      <c r="AC1007" s="27" t="s">
        <v>6091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3008</v>
      </c>
      <c r="H1008" s="25" t="s">
        <v>2996</v>
      </c>
      <c r="I1008" s="25"/>
      <c r="J1008" s="25"/>
      <c r="K1008" s="25"/>
      <c r="L1008" s="25"/>
      <c r="M1008" s="26"/>
      <c r="N1008" s="25"/>
      <c r="O1008" s="26"/>
      <c r="P1008" s="27"/>
      <c r="Q1008" s="25" t="s">
        <v>3009</v>
      </c>
      <c r="R1008" s="25" t="s">
        <v>2516</v>
      </c>
      <c r="S1008" s="25" t="s">
        <v>185</v>
      </c>
      <c r="T1008" s="25">
        <v>1</v>
      </c>
      <c r="U1008" s="25" t="s">
        <v>2517</v>
      </c>
      <c r="V1008" s="25" t="s">
        <v>6901</v>
      </c>
      <c r="W1008" s="25" t="s">
        <v>6902</v>
      </c>
      <c r="X1008" s="59">
        <v>45887.454861111109</v>
      </c>
      <c r="Y1008" s="25"/>
      <c r="Z1008" s="25">
        <v>0.3</v>
      </c>
      <c r="AA1008" s="25"/>
      <c r="AB1008" s="25" t="s">
        <v>2521</v>
      </c>
      <c r="AC1008" s="27" t="s">
        <v>6091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3014</v>
      </c>
      <c r="H1009" s="25" t="s">
        <v>2996</v>
      </c>
      <c r="I1009" s="25"/>
      <c r="J1009" s="25"/>
      <c r="K1009" s="25"/>
      <c r="L1009" s="25"/>
      <c r="M1009" s="26"/>
      <c r="N1009" s="25"/>
      <c r="O1009" s="26"/>
      <c r="P1009" s="27"/>
      <c r="Q1009" s="25" t="s">
        <v>3015</v>
      </c>
      <c r="R1009" s="25" t="s">
        <v>2516</v>
      </c>
      <c r="S1009" s="25" t="s">
        <v>185</v>
      </c>
      <c r="T1009" s="25">
        <v>1</v>
      </c>
      <c r="U1009" s="25" t="s">
        <v>2517</v>
      </c>
      <c r="V1009" s="25" t="s">
        <v>6903</v>
      </c>
      <c r="W1009" s="25" t="s">
        <v>6904</v>
      </c>
      <c r="X1009" s="59">
        <v>45887.465277777781</v>
      </c>
      <c r="Y1009" s="25"/>
      <c r="Z1009" s="25">
        <v>0.3</v>
      </c>
      <c r="AA1009" s="25"/>
      <c r="AB1009" s="25" t="s">
        <v>2521</v>
      </c>
      <c r="AC1009" s="27" t="s">
        <v>6216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3018</v>
      </c>
      <c r="H1010" s="25" t="s">
        <v>2996</v>
      </c>
      <c r="I1010" s="25"/>
      <c r="J1010" s="25"/>
      <c r="K1010" s="25"/>
      <c r="L1010" s="25"/>
      <c r="M1010" s="26"/>
      <c r="N1010" s="25"/>
      <c r="O1010" s="26"/>
      <c r="P1010" s="27"/>
      <c r="Q1010" s="25" t="s">
        <v>3019</v>
      </c>
      <c r="R1010" s="25" t="s">
        <v>2516</v>
      </c>
      <c r="S1010" s="25" t="s">
        <v>185</v>
      </c>
      <c r="T1010" s="25">
        <v>1</v>
      </c>
      <c r="U1010" s="25" t="s">
        <v>2517</v>
      </c>
      <c r="V1010" s="25" t="s">
        <v>6905</v>
      </c>
      <c r="W1010" s="25" t="s">
        <v>6906</v>
      </c>
      <c r="X1010" s="59">
        <v>45887.479166666657</v>
      </c>
      <c r="Y1010" s="25"/>
      <c r="Z1010" s="25">
        <v>0.3</v>
      </c>
      <c r="AA1010" s="25"/>
      <c r="AB1010" s="25" t="s">
        <v>2521</v>
      </c>
      <c r="AC1010" s="27" t="s">
        <v>6091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3160</v>
      </c>
      <c r="H1011" s="25" t="s">
        <v>2641</v>
      </c>
      <c r="I1011" s="25"/>
      <c r="J1011" s="25"/>
      <c r="K1011" s="25"/>
      <c r="L1011" s="25"/>
      <c r="M1011" s="26"/>
      <c r="N1011" s="25"/>
      <c r="O1011" s="26"/>
      <c r="P1011" s="27"/>
      <c r="Q1011" s="25" t="s">
        <v>3163</v>
      </c>
      <c r="R1011" s="25" t="s">
        <v>2516</v>
      </c>
      <c r="S1011" s="25" t="s">
        <v>25</v>
      </c>
      <c r="T1011" s="25">
        <v>1</v>
      </c>
      <c r="U1011" s="25" t="s">
        <v>2517</v>
      </c>
      <c r="V1011" s="25" t="s">
        <v>6907</v>
      </c>
      <c r="W1011" s="25" t="s">
        <v>6908</v>
      </c>
      <c r="X1011" s="59">
        <v>45887.527777777781</v>
      </c>
      <c r="Y1011" s="25"/>
      <c r="Z1011" s="25">
        <v>0.3</v>
      </c>
      <c r="AA1011" s="25"/>
      <c r="AB1011" s="25" t="s">
        <v>2521</v>
      </c>
      <c r="AC1011" s="27" t="s">
        <v>6091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3728</v>
      </c>
      <c r="H1012" s="25" t="s">
        <v>2641</v>
      </c>
      <c r="I1012" s="25"/>
      <c r="J1012" s="25"/>
      <c r="K1012" s="25"/>
      <c r="L1012" s="25"/>
      <c r="M1012" s="26"/>
      <c r="N1012" s="25"/>
      <c r="O1012" s="26"/>
      <c r="P1012" s="27"/>
      <c r="Q1012" s="25" t="s">
        <v>3729</v>
      </c>
      <c r="R1012" s="25" t="s">
        <v>2516</v>
      </c>
      <c r="S1012" s="25" t="s">
        <v>25</v>
      </c>
      <c r="T1012" s="25">
        <v>1</v>
      </c>
      <c r="U1012" s="25" t="s">
        <v>2517</v>
      </c>
      <c r="V1012" s="25" t="s">
        <v>6909</v>
      </c>
      <c r="W1012" s="25" t="s">
        <v>6910</v>
      </c>
      <c r="X1012" s="59">
        <v>45887.548611111109</v>
      </c>
      <c r="Y1012" s="25"/>
      <c r="Z1012" s="25">
        <v>0.3</v>
      </c>
      <c r="AA1012" s="25"/>
      <c r="AB1012" s="25" t="s">
        <v>2521</v>
      </c>
      <c r="AC1012" s="27" t="s">
        <v>6091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6911</v>
      </c>
      <c r="E1013" s="25" t="s">
        <v>2504</v>
      </c>
      <c r="F1013" s="25">
        <v>4145</v>
      </c>
      <c r="G1013" s="25" t="s">
        <v>2676</v>
      </c>
      <c r="H1013" s="25" t="s">
        <v>2609</v>
      </c>
      <c r="I1013" s="25" t="s">
        <v>6912</v>
      </c>
      <c r="J1013" s="25" t="s">
        <v>2567</v>
      </c>
      <c r="K1013" s="25" t="s">
        <v>2568</v>
      </c>
      <c r="L1013" s="25" t="s">
        <v>2537</v>
      </c>
      <c r="M1013" s="26" t="s">
        <v>2538</v>
      </c>
      <c r="N1013" s="25" t="s">
        <v>2539</v>
      </c>
      <c r="O1013" s="26" t="s">
        <v>2540</v>
      </c>
      <c r="P1013" s="27" t="s">
        <v>6913</v>
      </c>
      <c r="Q1013" s="25" t="s">
        <v>2680</v>
      </c>
      <c r="R1013" s="25" t="s">
        <v>2516</v>
      </c>
      <c r="S1013" s="25" t="s">
        <v>173</v>
      </c>
      <c r="T1013" s="25">
        <v>1</v>
      </c>
      <c r="U1013" s="25" t="s">
        <v>2517</v>
      </c>
      <c r="V1013" s="25" t="s">
        <v>6914</v>
      </c>
      <c r="W1013" s="25" t="s">
        <v>6915</v>
      </c>
      <c r="X1013" s="59">
        <v>45887.604166666657</v>
      </c>
      <c r="Y1013" s="25" t="s">
        <v>6916</v>
      </c>
      <c r="Z1013" s="25">
        <v>0.7</v>
      </c>
      <c r="AA1013" s="25"/>
      <c r="AB1013" s="25" t="s">
        <v>2521</v>
      </c>
      <c r="AC1013" s="27" t="s">
        <v>6917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2754</v>
      </c>
      <c r="H1014" s="25" t="s">
        <v>2507</v>
      </c>
      <c r="I1014" s="25"/>
      <c r="J1014" s="25"/>
      <c r="K1014" s="25"/>
      <c r="L1014" s="25"/>
      <c r="M1014" s="26"/>
      <c r="N1014" s="25"/>
      <c r="O1014" s="26"/>
      <c r="P1014" s="27"/>
      <c r="Q1014" s="25" t="s">
        <v>2755</v>
      </c>
      <c r="R1014" s="25" t="s">
        <v>2516</v>
      </c>
      <c r="S1014" s="25" t="s">
        <v>25</v>
      </c>
      <c r="T1014" s="25">
        <v>1</v>
      </c>
      <c r="U1014" s="25" t="s">
        <v>2517</v>
      </c>
      <c r="V1014" s="25" t="s">
        <v>6918</v>
      </c>
      <c r="W1014" s="25" t="s">
        <v>6919</v>
      </c>
      <c r="X1014" s="59">
        <v>45887.569444444453</v>
      </c>
      <c r="Y1014" s="25"/>
      <c r="Z1014" s="25">
        <v>0.3</v>
      </c>
      <c r="AA1014" s="25"/>
      <c r="AB1014" s="25" t="s">
        <v>2521</v>
      </c>
      <c r="AC1014" s="27" t="s">
        <v>6091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6920</v>
      </c>
      <c r="E1015" s="25" t="s">
        <v>2504</v>
      </c>
      <c r="F1015" s="25">
        <v>4145</v>
      </c>
      <c r="G1015" s="25" t="s">
        <v>2676</v>
      </c>
      <c r="H1015" s="25" t="s">
        <v>2609</v>
      </c>
      <c r="I1015" s="25" t="s">
        <v>6921</v>
      </c>
      <c r="J1015" s="25" t="s">
        <v>2661</v>
      </c>
      <c r="K1015" s="25" t="s">
        <v>2510</v>
      </c>
      <c r="L1015" s="25" t="s">
        <v>2537</v>
      </c>
      <c r="M1015" s="26" t="s">
        <v>2538</v>
      </c>
      <c r="N1015" s="25" t="s">
        <v>2539</v>
      </c>
      <c r="O1015" s="26" t="s">
        <v>2540</v>
      </c>
      <c r="P1015" s="27" t="s">
        <v>6922</v>
      </c>
      <c r="Q1015" s="25" t="s">
        <v>2680</v>
      </c>
      <c r="R1015" s="25" t="s">
        <v>2516</v>
      </c>
      <c r="S1015" s="25" t="s">
        <v>173</v>
      </c>
      <c r="T1015" s="25">
        <v>1</v>
      </c>
      <c r="U1015" s="25" t="s">
        <v>2517</v>
      </c>
      <c r="V1015" s="25" t="s">
        <v>6923</v>
      </c>
      <c r="W1015" s="25" t="s">
        <v>6915</v>
      </c>
      <c r="X1015" s="59">
        <v>45887.604166666657</v>
      </c>
      <c r="Y1015" s="25" t="s">
        <v>6924</v>
      </c>
      <c r="Z1015" s="25">
        <v>0.7</v>
      </c>
      <c r="AA1015" s="25"/>
      <c r="AB1015" s="25" t="s">
        <v>2521</v>
      </c>
      <c r="AC1015" s="27" t="s">
        <v>6925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2676</v>
      </c>
      <c r="H1016" s="25" t="s">
        <v>2609</v>
      </c>
      <c r="I1016" s="25"/>
      <c r="J1016" s="25"/>
      <c r="K1016" s="25"/>
      <c r="L1016" s="25"/>
      <c r="M1016" s="26"/>
      <c r="N1016" s="25"/>
      <c r="O1016" s="26"/>
      <c r="P1016" s="27"/>
      <c r="Q1016" s="25" t="s">
        <v>2680</v>
      </c>
      <c r="R1016" s="25" t="s">
        <v>2516</v>
      </c>
      <c r="S1016" s="25" t="s">
        <v>173</v>
      </c>
      <c r="T1016" s="25">
        <v>1</v>
      </c>
      <c r="U1016" s="25" t="s">
        <v>2517</v>
      </c>
      <c r="V1016" s="25" t="s">
        <v>6926</v>
      </c>
      <c r="W1016" s="25" t="s">
        <v>6915</v>
      </c>
      <c r="X1016" s="59">
        <v>45887.604166666657</v>
      </c>
      <c r="Y1016" s="25"/>
      <c r="Z1016" s="25">
        <v>0.7</v>
      </c>
      <c r="AA1016" s="25"/>
      <c r="AB1016" s="25" t="s">
        <v>2521</v>
      </c>
      <c r="AC1016" s="27" t="s">
        <v>6091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6279</v>
      </c>
      <c r="H1017" s="25" t="s">
        <v>2609</v>
      </c>
      <c r="I1017" s="25"/>
      <c r="J1017" s="25"/>
      <c r="K1017" s="25"/>
      <c r="L1017" s="25"/>
      <c r="M1017" s="26"/>
      <c r="N1017" s="25"/>
      <c r="O1017" s="26"/>
      <c r="P1017" s="27"/>
      <c r="Q1017" s="25" t="s">
        <v>6280</v>
      </c>
      <c r="R1017" s="25" t="s">
        <v>2516</v>
      </c>
      <c r="S1017" s="25" t="s">
        <v>173</v>
      </c>
      <c r="T1017" s="25">
        <v>1</v>
      </c>
      <c r="U1017" s="25" t="s">
        <v>2517</v>
      </c>
      <c r="V1017" s="25" t="s">
        <v>6927</v>
      </c>
      <c r="W1017" s="25" t="s">
        <v>6928</v>
      </c>
      <c r="X1017" s="59">
        <v>45887.646527777782</v>
      </c>
      <c r="Y1017" s="25"/>
      <c r="Z1017" s="25">
        <v>0.5</v>
      </c>
      <c r="AA1017" s="25"/>
      <c r="AB1017" s="25" t="s">
        <v>2521</v>
      </c>
      <c r="AC1017" s="27" t="s">
        <v>6929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6930</v>
      </c>
      <c r="E1018" s="25" t="s">
        <v>2504</v>
      </c>
      <c r="F1018" s="25">
        <v>4538</v>
      </c>
      <c r="G1018" s="25" t="s">
        <v>3362</v>
      </c>
      <c r="H1018" s="25" t="s">
        <v>3148</v>
      </c>
      <c r="I1018" s="25" t="s">
        <v>6931</v>
      </c>
      <c r="J1018" s="25" t="s">
        <v>2661</v>
      </c>
      <c r="K1018" s="25" t="s">
        <v>2568</v>
      </c>
      <c r="L1018" s="25" t="s">
        <v>2846</v>
      </c>
      <c r="M1018" s="26" t="s">
        <v>2847</v>
      </c>
      <c r="N1018" s="25">
        <v>2403</v>
      </c>
      <c r="O1018" s="26" t="s">
        <v>4550</v>
      </c>
      <c r="P1018" s="27" t="s">
        <v>6932</v>
      </c>
      <c r="Q1018" s="25" t="s">
        <v>3363</v>
      </c>
      <c r="R1018" s="25" t="s">
        <v>2516</v>
      </c>
      <c r="S1018" s="25" t="s">
        <v>25</v>
      </c>
      <c r="T1018" s="25">
        <v>1</v>
      </c>
      <c r="U1018" s="25" t="s">
        <v>2517</v>
      </c>
      <c r="V1018" s="25" t="s">
        <v>6933</v>
      </c>
      <c r="W1018" s="25" t="s">
        <v>6934</v>
      </c>
      <c r="X1018" s="59">
        <v>45888.415972222218</v>
      </c>
      <c r="Y1018" s="25" t="s">
        <v>6935</v>
      </c>
      <c r="Z1018" s="25">
        <v>0.5</v>
      </c>
      <c r="AA1018" s="25"/>
      <c r="AB1018" s="25" t="s">
        <v>2521</v>
      </c>
      <c r="AC1018" s="27" t="s">
        <v>4555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6936</v>
      </c>
      <c r="E1019" s="25" t="s">
        <v>2504</v>
      </c>
      <c r="F1019" s="25">
        <v>4538</v>
      </c>
      <c r="G1019" s="25" t="s">
        <v>3362</v>
      </c>
      <c r="H1019" s="25" t="s">
        <v>3148</v>
      </c>
      <c r="I1019" s="25" t="s">
        <v>6937</v>
      </c>
      <c r="J1019" s="25" t="s">
        <v>2661</v>
      </c>
      <c r="K1019" s="25" t="s">
        <v>2568</v>
      </c>
      <c r="L1019" s="25" t="s">
        <v>4123</v>
      </c>
      <c r="M1019" s="26" t="s">
        <v>4124</v>
      </c>
      <c r="N1019" s="25">
        <v>2901</v>
      </c>
      <c r="O1019" s="26" t="s">
        <v>2540</v>
      </c>
      <c r="P1019" s="27" t="s">
        <v>6938</v>
      </c>
      <c r="Q1019" s="25" t="s">
        <v>3363</v>
      </c>
      <c r="R1019" s="25" t="s">
        <v>2516</v>
      </c>
      <c r="S1019" s="25" t="s">
        <v>25</v>
      </c>
      <c r="T1019" s="25">
        <v>1</v>
      </c>
      <c r="U1019" s="25" t="s">
        <v>2517</v>
      </c>
      <c r="V1019" s="25" t="s">
        <v>6939</v>
      </c>
      <c r="W1019" s="25" t="s">
        <v>6940</v>
      </c>
      <c r="X1019" s="59">
        <v>45888.415277777778</v>
      </c>
      <c r="Y1019" s="25" t="s">
        <v>6941</v>
      </c>
      <c r="Z1019" s="25">
        <v>0.5</v>
      </c>
      <c r="AA1019" s="25"/>
      <c r="AB1019" s="25" t="s">
        <v>2521</v>
      </c>
      <c r="AC1019" s="27" t="s">
        <v>6942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6943</v>
      </c>
      <c r="E1020" s="25" t="s">
        <v>2504</v>
      </c>
      <c r="F1020" s="25">
        <v>4312</v>
      </c>
      <c r="G1020" s="25" t="s">
        <v>2917</v>
      </c>
      <c r="H1020" s="25" t="s">
        <v>2507</v>
      </c>
      <c r="I1020" s="25" t="s">
        <v>6944</v>
      </c>
      <c r="J1020" s="25" t="s">
        <v>2661</v>
      </c>
      <c r="K1020" s="25" t="s">
        <v>2510</v>
      </c>
      <c r="L1020" s="25" t="s">
        <v>2611</v>
      </c>
      <c r="M1020" s="26" t="s">
        <v>2612</v>
      </c>
      <c r="N1020" s="25" t="s">
        <v>3110</v>
      </c>
      <c r="O1020" s="26" t="s">
        <v>6688</v>
      </c>
      <c r="P1020" s="27" t="s">
        <v>6945</v>
      </c>
      <c r="Q1020" s="25" t="s">
        <v>2918</v>
      </c>
      <c r="R1020" s="25" t="s">
        <v>2516</v>
      </c>
      <c r="S1020" s="25" t="s">
        <v>25</v>
      </c>
      <c r="T1020" s="25">
        <v>1</v>
      </c>
      <c r="U1020" s="25" t="s">
        <v>2517</v>
      </c>
      <c r="V1020" s="25" t="s">
        <v>6946</v>
      </c>
      <c r="W1020" s="25" t="s">
        <v>6947</v>
      </c>
      <c r="X1020" s="59">
        <v>45888.497916666667</v>
      </c>
      <c r="Y1020" s="25" t="s">
        <v>6948</v>
      </c>
      <c r="Z1020" s="25">
        <v>0.5</v>
      </c>
      <c r="AA1020" s="25"/>
      <c r="AB1020" s="25" t="s">
        <v>2521</v>
      </c>
      <c r="AC1020" s="27" t="s">
        <v>6949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6950</v>
      </c>
      <c r="E1021" s="25" t="s">
        <v>2504</v>
      </c>
      <c r="F1021" s="25">
        <v>3929</v>
      </c>
      <c r="G1021" s="25" t="s">
        <v>3160</v>
      </c>
      <c r="H1021" s="25" t="s">
        <v>2641</v>
      </c>
      <c r="I1021" s="25" t="s">
        <v>6951</v>
      </c>
      <c r="J1021" s="25" t="s">
        <v>2661</v>
      </c>
      <c r="K1021" s="25" t="s">
        <v>2510</v>
      </c>
      <c r="L1021" s="25" t="s">
        <v>2945</v>
      </c>
      <c r="M1021" s="26" t="s">
        <v>2946</v>
      </c>
      <c r="N1021" s="25" t="s">
        <v>2947</v>
      </c>
      <c r="O1021" s="26" t="s">
        <v>2948</v>
      </c>
      <c r="P1021" s="27" t="s">
        <v>6952</v>
      </c>
      <c r="Q1021" s="25" t="s">
        <v>3163</v>
      </c>
      <c r="R1021" s="25" t="s">
        <v>2516</v>
      </c>
      <c r="S1021" s="25" t="s">
        <v>25</v>
      </c>
      <c r="T1021" s="25">
        <v>1</v>
      </c>
      <c r="U1021" s="25" t="s">
        <v>2517</v>
      </c>
      <c r="V1021" s="25" t="s">
        <v>6953</v>
      </c>
      <c r="W1021" s="25" t="s">
        <v>6954</v>
      </c>
      <c r="X1021" s="59">
        <v>45888.518750000003</v>
      </c>
      <c r="Y1021" s="25" t="s">
        <v>6955</v>
      </c>
      <c r="Z1021" s="25">
        <v>0.5</v>
      </c>
      <c r="AA1021" s="25"/>
      <c r="AB1021" s="25" t="s">
        <v>2521</v>
      </c>
      <c r="AC1021" s="27" t="s">
        <v>6956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3362</v>
      </c>
      <c r="H1022" s="25" t="s">
        <v>3148</v>
      </c>
      <c r="I1022" s="25"/>
      <c r="J1022" s="25"/>
      <c r="K1022" s="25"/>
      <c r="L1022" s="25"/>
      <c r="M1022" s="26"/>
      <c r="N1022" s="25"/>
      <c r="O1022" s="26"/>
      <c r="P1022" s="27"/>
      <c r="Q1022" s="25" t="s">
        <v>3363</v>
      </c>
      <c r="R1022" s="25" t="s">
        <v>2516</v>
      </c>
      <c r="S1022" s="25" t="s">
        <v>25</v>
      </c>
      <c r="T1022" s="25">
        <v>1</v>
      </c>
      <c r="U1022" s="25" t="s">
        <v>2517</v>
      </c>
      <c r="V1022" s="25" t="s">
        <v>6957</v>
      </c>
      <c r="W1022" s="25" t="s">
        <v>6958</v>
      </c>
      <c r="X1022" s="59">
        <v>45888.429166666669</v>
      </c>
      <c r="Y1022" s="25"/>
      <c r="Z1022" s="25">
        <v>0.3</v>
      </c>
      <c r="AA1022" s="25"/>
      <c r="AB1022" s="25" t="s">
        <v>2521</v>
      </c>
      <c r="AC1022" s="27" t="s">
        <v>6216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6959</v>
      </c>
      <c r="E1023" s="25" t="s">
        <v>2504</v>
      </c>
      <c r="F1023" s="25">
        <v>4057</v>
      </c>
      <c r="G1023" s="25" t="s">
        <v>3147</v>
      </c>
      <c r="H1023" s="25" t="s">
        <v>3148</v>
      </c>
      <c r="I1023" s="25" t="s">
        <v>6960</v>
      </c>
      <c r="J1023" s="25" t="s">
        <v>2536</v>
      </c>
      <c r="K1023" s="25" t="s">
        <v>2568</v>
      </c>
      <c r="L1023" s="25" t="s">
        <v>3483</v>
      </c>
      <c r="M1023" s="26" t="s">
        <v>3484</v>
      </c>
      <c r="N1023" s="25">
        <v>6001</v>
      </c>
      <c r="O1023" s="26" t="s">
        <v>2598</v>
      </c>
      <c r="P1023" s="27" t="s">
        <v>6961</v>
      </c>
      <c r="Q1023" s="25" t="s">
        <v>3154</v>
      </c>
      <c r="R1023" s="25" t="s">
        <v>2516</v>
      </c>
      <c r="S1023" s="25" t="s">
        <v>185</v>
      </c>
      <c r="T1023" s="25">
        <v>1</v>
      </c>
      <c r="U1023" s="25" t="s">
        <v>2517</v>
      </c>
      <c r="V1023" s="25" t="s">
        <v>6962</v>
      </c>
      <c r="W1023" s="25" t="s">
        <v>6963</v>
      </c>
      <c r="X1023" s="59">
        <v>45889.645833333343</v>
      </c>
      <c r="Y1023" s="25" t="s">
        <v>6964</v>
      </c>
      <c r="Z1023" s="25">
        <v>0.5</v>
      </c>
      <c r="AA1023" s="25"/>
      <c r="AB1023" s="25" t="s">
        <v>2521</v>
      </c>
      <c r="AC1023" s="27" t="s">
        <v>6965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6966</v>
      </c>
      <c r="E1024" s="25" t="s">
        <v>2843</v>
      </c>
      <c r="F1024" s="25">
        <v>5291</v>
      </c>
      <c r="G1024" s="25" t="s">
        <v>3936</v>
      </c>
      <c r="H1024" s="25" t="s">
        <v>2659</v>
      </c>
      <c r="I1024" s="25" t="s">
        <v>6967</v>
      </c>
      <c r="J1024" s="25" t="s">
        <v>2536</v>
      </c>
      <c r="K1024" s="25" t="s">
        <v>2568</v>
      </c>
      <c r="L1024" s="25" t="s">
        <v>2846</v>
      </c>
      <c r="M1024" s="26" t="s">
        <v>2847</v>
      </c>
      <c r="N1024" s="25">
        <v>2405</v>
      </c>
      <c r="O1024" s="26" t="s">
        <v>2963</v>
      </c>
      <c r="P1024" s="27" t="s">
        <v>6968</v>
      </c>
      <c r="Q1024" s="25" t="s">
        <v>3937</v>
      </c>
      <c r="R1024" s="25" t="s">
        <v>2516</v>
      </c>
      <c r="S1024" s="25" t="s">
        <v>185</v>
      </c>
      <c r="T1024" s="25">
        <v>1</v>
      </c>
      <c r="U1024" s="25" t="s">
        <v>2517</v>
      </c>
      <c r="V1024" s="25" t="s">
        <v>6969</v>
      </c>
      <c r="W1024" s="25" t="s">
        <v>6970</v>
      </c>
      <c r="X1024" s="59">
        <v>45889.513888888891</v>
      </c>
      <c r="Y1024" s="25" t="s">
        <v>6971</v>
      </c>
      <c r="Z1024" s="25">
        <v>1.8</v>
      </c>
      <c r="AA1024" s="25"/>
      <c r="AB1024" s="25" t="s">
        <v>2521</v>
      </c>
      <c r="AC1024" s="27" t="s">
        <v>6972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5700</v>
      </c>
      <c r="H1025" s="25" t="s">
        <v>3148</v>
      </c>
      <c r="I1025" s="25"/>
      <c r="J1025" s="25"/>
      <c r="K1025" s="25"/>
      <c r="L1025" s="25"/>
      <c r="M1025" s="26"/>
      <c r="N1025" s="25"/>
      <c r="O1025" s="26"/>
      <c r="P1025" s="27"/>
      <c r="Q1025" s="25" t="s">
        <v>5701</v>
      </c>
      <c r="R1025" s="25" t="s">
        <v>2516</v>
      </c>
      <c r="S1025" s="25" t="s">
        <v>185</v>
      </c>
      <c r="T1025" s="25">
        <v>1</v>
      </c>
      <c r="U1025" s="25" t="s">
        <v>2517</v>
      </c>
      <c r="V1025" s="25" t="s">
        <v>6973</v>
      </c>
      <c r="W1025" s="25" t="s">
        <v>6974</v>
      </c>
      <c r="X1025" s="59">
        <v>45889.625</v>
      </c>
      <c r="Y1025" s="25"/>
      <c r="Z1025" s="25">
        <v>1</v>
      </c>
      <c r="AA1025" s="25"/>
      <c r="AB1025" s="25" t="s">
        <v>2521</v>
      </c>
      <c r="AC1025" s="29" t="s">
        <v>6975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6976</v>
      </c>
      <c r="E1026" s="25" t="s">
        <v>2504</v>
      </c>
      <c r="F1026" s="25">
        <v>3890</v>
      </c>
      <c r="G1026" s="25" t="s">
        <v>2548</v>
      </c>
      <c r="H1026" s="25" t="s">
        <v>2507</v>
      </c>
      <c r="I1026" s="25" t="s">
        <v>6977</v>
      </c>
      <c r="J1026" s="25" t="s">
        <v>2536</v>
      </c>
      <c r="K1026" s="25" t="s">
        <v>2568</v>
      </c>
      <c r="L1026" s="25" t="s">
        <v>2511</v>
      </c>
      <c r="M1026" s="26" t="s">
        <v>2512</v>
      </c>
      <c r="N1026" s="25">
        <v>2307</v>
      </c>
      <c r="O1026" s="26" t="s">
        <v>2678</v>
      </c>
      <c r="P1026" s="27" t="s">
        <v>6978</v>
      </c>
      <c r="Q1026" s="25" t="s">
        <v>2552</v>
      </c>
      <c r="R1026" s="25" t="s">
        <v>2516</v>
      </c>
      <c r="S1026" s="25" t="s">
        <v>25</v>
      </c>
      <c r="T1026" s="25">
        <v>1</v>
      </c>
      <c r="U1026" s="25" t="s">
        <v>2517</v>
      </c>
      <c r="V1026" s="25" t="s">
        <v>6979</v>
      </c>
      <c r="W1026" s="25" t="s">
        <v>6980</v>
      </c>
      <c r="X1026" s="59">
        <v>45890.455555555563</v>
      </c>
      <c r="Y1026" s="25" t="s">
        <v>6981</v>
      </c>
      <c r="Z1026" s="25">
        <v>1.4</v>
      </c>
      <c r="AA1026" s="25"/>
      <c r="AB1026" s="25" t="s">
        <v>2521</v>
      </c>
      <c r="AC1026" s="27" t="s">
        <v>6982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6983</v>
      </c>
      <c r="E1027" s="25" t="s">
        <v>2504</v>
      </c>
      <c r="F1027" s="25">
        <v>4144</v>
      </c>
      <c r="G1027" s="25" t="s">
        <v>3281</v>
      </c>
      <c r="H1027" s="25" t="s">
        <v>2659</v>
      </c>
      <c r="I1027" s="25" t="s">
        <v>6984</v>
      </c>
      <c r="J1027" s="25" t="s">
        <v>2835</v>
      </c>
      <c r="K1027" s="25" t="s">
        <v>2568</v>
      </c>
      <c r="L1027" s="25" t="s">
        <v>3150</v>
      </c>
      <c r="M1027" s="26" t="s">
        <v>3151</v>
      </c>
      <c r="N1027" s="25">
        <v>5903</v>
      </c>
      <c r="O1027" s="26" t="s">
        <v>3152</v>
      </c>
      <c r="P1027" s="27" t="s">
        <v>6985</v>
      </c>
      <c r="Q1027" s="25" t="s">
        <v>3284</v>
      </c>
      <c r="R1027" s="25" t="s">
        <v>2516</v>
      </c>
      <c r="S1027" s="25" t="s">
        <v>185</v>
      </c>
      <c r="T1027" s="25">
        <v>1</v>
      </c>
      <c r="U1027" s="25" t="s">
        <v>2517</v>
      </c>
      <c r="V1027" s="25" t="s">
        <v>6986</v>
      </c>
      <c r="W1027" s="25" t="s">
        <v>6987</v>
      </c>
      <c r="X1027" s="59">
        <v>45890.541666666657</v>
      </c>
      <c r="Y1027" s="25" t="s">
        <v>6988</v>
      </c>
      <c r="Z1027" s="25">
        <v>1</v>
      </c>
      <c r="AA1027" s="25"/>
      <c r="AB1027" s="25" t="s">
        <v>2521</v>
      </c>
      <c r="AC1027" s="27" t="s">
        <v>6989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2565</v>
      </c>
      <c r="H1028" s="25" t="s">
        <v>2507</v>
      </c>
      <c r="I1028" s="25"/>
      <c r="J1028" s="25"/>
      <c r="K1028" s="25"/>
      <c r="L1028" s="25"/>
      <c r="M1028" s="26"/>
      <c r="N1028" s="25"/>
      <c r="O1028" s="26"/>
      <c r="P1028" s="27"/>
      <c r="Q1028" s="25" t="s">
        <v>2573</v>
      </c>
      <c r="R1028" s="25" t="s">
        <v>2516</v>
      </c>
      <c r="S1028" s="25" t="s">
        <v>25</v>
      </c>
      <c r="T1028" s="25">
        <v>1</v>
      </c>
      <c r="U1028" s="25" t="s">
        <v>2517</v>
      </c>
      <c r="V1028" s="25" t="s">
        <v>6990</v>
      </c>
      <c r="W1028" s="25" t="s">
        <v>6991</v>
      </c>
      <c r="X1028" s="59">
        <v>45890.517361111109</v>
      </c>
      <c r="Y1028" s="25"/>
      <c r="Z1028" s="25">
        <v>0.9</v>
      </c>
      <c r="AA1028" s="25"/>
      <c r="AB1028" s="25" t="s">
        <v>2521</v>
      </c>
      <c r="AC1028" s="27" t="s">
        <v>6992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6993</v>
      </c>
      <c r="E1029" s="25" t="s">
        <v>2504</v>
      </c>
      <c r="F1029" s="25">
        <v>3796</v>
      </c>
      <c r="G1029" s="25" t="s">
        <v>3859</v>
      </c>
      <c r="H1029" s="25" t="s">
        <v>2507</v>
      </c>
      <c r="I1029" s="25" t="s">
        <v>6994</v>
      </c>
      <c r="J1029" s="25" t="s">
        <v>2835</v>
      </c>
      <c r="K1029" s="25" t="s">
        <v>2765</v>
      </c>
      <c r="L1029" s="25" t="s">
        <v>2511</v>
      </c>
      <c r="M1029" s="26" t="s">
        <v>2512</v>
      </c>
      <c r="N1029" s="25">
        <v>2307</v>
      </c>
      <c r="O1029" s="26" t="s">
        <v>2678</v>
      </c>
      <c r="P1029" s="27" t="s">
        <v>6995</v>
      </c>
      <c r="Q1029" s="25" t="s">
        <v>3860</v>
      </c>
      <c r="R1029" s="25" t="s">
        <v>2516</v>
      </c>
      <c r="S1029" s="25" t="s">
        <v>25</v>
      </c>
      <c r="T1029" s="25">
        <v>1</v>
      </c>
      <c r="U1029" s="25" t="s">
        <v>2517</v>
      </c>
      <c r="V1029" s="25" t="s">
        <v>6996</v>
      </c>
      <c r="W1029" s="25" t="s">
        <v>6997</v>
      </c>
      <c r="X1029" s="59">
        <v>45890.611805555563</v>
      </c>
      <c r="Y1029" s="25" t="s">
        <v>6998</v>
      </c>
      <c r="Z1029" s="25">
        <v>0.7</v>
      </c>
      <c r="AA1029" s="25"/>
      <c r="AB1029" s="25" t="s">
        <v>2521</v>
      </c>
      <c r="AC1029" s="27" t="s">
        <v>6999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7000</v>
      </c>
      <c r="E1030" s="25" t="s">
        <v>2504</v>
      </c>
      <c r="F1030" s="25">
        <v>4134</v>
      </c>
      <c r="G1030" s="25" t="s">
        <v>2795</v>
      </c>
      <c r="H1030" s="25" t="s">
        <v>2507</v>
      </c>
      <c r="I1030" s="25" t="s">
        <v>7001</v>
      </c>
      <c r="J1030" s="25" t="s">
        <v>2835</v>
      </c>
      <c r="K1030" s="25" t="s">
        <v>2568</v>
      </c>
      <c r="L1030" s="25" t="s">
        <v>2846</v>
      </c>
      <c r="M1030" s="26" t="s">
        <v>2847</v>
      </c>
      <c r="N1030" s="25">
        <v>2405</v>
      </c>
      <c r="O1030" s="26" t="s">
        <v>2963</v>
      </c>
      <c r="P1030" s="27" t="s">
        <v>7002</v>
      </c>
      <c r="Q1030" s="25" t="s">
        <v>2796</v>
      </c>
      <c r="R1030" s="25" t="s">
        <v>2516</v>
      </c>
      <c r="S1030" s="25" t="s">
        <v>25</v>
      </c>
      <c r="T1030" s="25">
        <v>1</v>
      </c>
      <c r="U1030" s="25" t="s">
        <v>2517</v>
      </c>
      <c r="V1030" s="25" t="s">
        <v>7003</v>
      </c>
      <c r="W1030" s="25" t="s">
        <v>7004</v>
      </c>
      <c r="X1030" s="59">
        <v>45890.70416666667</v>
      </c>
      <c r="Y1030" s="25" t="s">
        <v>7005</v>
      </c>
      <c r="Z1030" s="25">
        <v>1.4</v>
      </c>
      <c r="AA1030" s="25"/>
      <c r="AB1030" s="25" t="s">
        <v>2521</v>
      </c>
      <c r="AC1030" s="27" t="s">
        <v>5437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7006</v>
      </c>
      <c r="E1031" s="25" t="s">
        <v>2504</v>
      </c>
      <c r="F1031" s="25" t="s">
        <v>2778</v>
      </c>
      <c r="G1031" s="25" t="s">
        <v>2779</v>
      </c>
      <c r="H1031" s="25" t="s">
        <v>2507</v>
      </c>
      <c r="I1031" s="25" t="s">
        <v>7007</v>
      </c>
      <c r="J1031" s="25" t="s">
        <v>2835</v>
      </c>
      <c r="K1031" s="25" t="s">
        <v>2510</v>
      </c>
      <c r="L1031" s="25" t="s">
        <v>2611</v>
      </c>
      <c r="M1031" s="26" t="s">
        <v>2612</v>
      </c>
      <c r="N1031" s="25" t="s">
        <v>3110</v>
      </c>
      <c r="O1031" s="26" t="s">
        <v>6688</v>
      </c>
      <c r="P1031" s="27" t="s">
        <v>7008</v>
      </c>
      <c r="Q1031" s="25" t="s">
        <v>2780</v>
      </c>
      <c r="R1031" s="25" t="s">
        <v>2516</v>
      </c>
      <c r="S1031" s="25" t="s">
        <v>25</v>
      </c>
      <c r="T1031" s="25">
        <v>1</v>
      </c>
      <c r="U1031" s="25" t="s">
        <v>2517</v>
      </c>
      <c r="V1031" s="25" t="s">
        <v>7009</v>
      </c>
      <c r="W1031" s="25" t="s">
        <v>7010</v>
      </c>
      <c r="X1031" s="59">
        <v>45891.416666666657</v>
      </c>
      <c r="Y1031" s="25" t="s">
        <v>7011</v>
      </c>
      <c r="Z1031" s="25">
        <v>0.3</v>
      </c>
      <c r="AA1031" s="25"/>
      <c r="AB1031" s="25" t="s">
        <v>2521</v>
      </c>
      <c r="AC1031" s="27" t="s">
        <v>7012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7013</v>
      </c>
      <c r="E1032" s="25" t="s">
        <v>2504</v>
      </c>
      <c r="F1032" s="25">
        <v>3452</v>
      </c>
      <c r="G1032" s="25" t="s">
        <v>7014</v>
      </c>
      <c r="H1032" s="25" t="s">
        <v>2641</v>
      </c>
      <c r="I1032" s="25" t="s">
        <v>7015</v>
      </c>
      <c r="J1032" s="25" t="s">
        <v>2835</v>
      </c>
      <c r="K1032" s="25" t="s">
        <v>2510</v>
      </c>
      <c r="L1032" s="25" t="s">
        <v>3483</v>
      </c>
      <c r="M1032" s="26" t="s">
        <v>3484</v>
      </c>
      <c r="N1032" s="25">
        <v>6003</v>
      </c>
      <c r="O1032" s="26" t="s">
        <v>3152</v>
      </c>
      <c r="P1032" s="27" t="s">
        <v>7016</v>
      </c>
      <c r="Q1032" s="25" t="s">
        <v>3905</v>
      </c>
      <c r="R1032" s="25" t="s">
        <v>2516</v>
      </c>
      <c r="S1032" s="25" t="s">
        <v>25</v>
      </c>
      <c r="T1032" s="25">
        <v>1</v>
      </c>
      <c r="U1032" s="25" t="s">
        <v>2517</v>
      </c>
      <c r="V1032" s="25" t="s">
        <v>7017</v>
      </c>
      <c r="W1032" s="25" t="s">
        <v>7018</v>
      </c>
      <c r="X1032" s="59">
        <v>45891.436111111107</v>
      </c>
      <c r="Y1032" s="25" t="s">
        <v>7019</v>
      </c>
      <c r="Z1032" s="25">
        <v>0.5</v>
      </c>
      <c r="AA1032" s="25"/>
      <c r="AB1032" s="25" t="s">
        <v>2521</v>
      </c>
      <c r="AC1032" s="27" t="s">
        <v>7020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4867</v>
      </c>
      <c r="H1033" s="25" t="s">
        <v>2507</v>
      </c>
      <c r="I1033" s="25"/>
      <c r="J1033" s="25"/>
      <c r="K1033" s="25"/>
      <c r="L1033" s="25"/>
      <c r="M1033" s="26"/>
      <c r="N1033" s="25"/>
      <c r="O1033" s="26"/>
      <c r="P1033" s="27"/>
      <c r="Q1033" s="25" t="s">
        <v>4868</v>
      </c>
      <c r="R1033" s="25" t="s">
        <v>2516</v>
      </c>
      <c r="S1033" s="25" t="s">
        <v>25</v>
      </c>
      <c r="T1033" s="25">
        <v>1</v>
      </c>
      <c r="U1033" s="25" t="s">
        <v>2517</v>
      </c>
      <c r="V1033" s="25" t="s">
        <v>7021</v>
      </c>
      <c r="W1033" s="25" t="s">
        <v>7022</v>
      </c>
      <c r="X1033" s="59">
        <v>45890.572222222218</v>
      </c>
      <c r="Y1033" s="25"/>
      <c r="Z1033" s="25">
        <v>1.2</v>
      </c>
      <c r="AA1033" s="25"/>
      <c r="AB1033" s="25" t="s">
        <v>2521</v>
      </c>
      <c r="AC1033" s="27" t="s">
        <v>7023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7024</v>
      </c>
      <c r="E1034" s="25" t="s">
        <v>2504</v>
      </c>
      <c r="F1034" s="25" t="s">
        <v>2817</v>
      </c>
      <c r="G1034" s="25" t="s">
        <v>6396</v>
      </c>
      <c r="H1034" s="25" t="s">
        <v>2507</v>
      </c>
      <c r="I1034" s="25" t="s">
        <v>7025</v>
      </c>
      <c r="J1034" s="25" t="s">
        <v>2835</v>
      </c>
      <c r="K1034" s="25" t="s">
        <v>2510</v>
      </c>
      <c r="L1034" s="25" t="s">
        <v>3150</v>
      </c>
      <c r="M1034" s="26" t="s">
        <v>3151</v>
      </c>
      <c r="N1034" s="25">
        <v>5902</v>
      </c>
      <c r="O1034" s="26" t="s">
        <v>3508</v>
      </c>
      <c r="P1034" s="27" t="s">
        <v>7026</v>
      </c>
      <c r="Q1034" s="25" t="s">
        <v>2819</v>
      </c>
      <c r="R1034" s="25" t="s">
        <v>2516</v>
      </c>
      <c r="S1034" s="25" t="s">
        <v>25</v>
      </c>
      <c r="T1034" s="25">
        <v>1</v>
      </c>
      <c r="U1034" s="25" t="s">
        <v>2517</v>
      </c>
      <c r="V1034" s="25" t="s">
        <v>7027</v>
      </c>
      <c r="W1034" s="25" t="s">
        <v>7028</v>
      </c>
      <c r="X1034" s="59">
        <v>45891.40625</v>
      </c>
      <c r="Y1034" s="25" t="s">
        <v>7029</v>
      </c>
      <c r="Z1034" s="25">
        <v>0.4</v>
      </c>
      <c r="AA1034" s="25"/>
      <c r="AB1034" s="25" t="s">
        <v>2521</v>
      </c>
      <c r="AC1034" s="27" t="s">
        <v>7030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7014</v>
      </c>
      <c r="H1035" s="25" t="s">
        <v>2641</v>
      </c>
      <c r="I1035" s="25"/>
      <c r="J1035" s="25"/>
      <c r="K1035" s="25"/>
      <c r="L1035" s="25"/>
      <c r="M1035" s="26"/>
      <c r="N1035" s="25"/>
      <c r="O1035" s="26"/>
      <c r="P1035" s="27"/>
      <c r="Q1035" s="25" t="s">
        <v>3905</v>
      </c>
      <c r="R1035" s="25" t="s">
        <v>2516</v>
      </c>
      <c r="S1035" s="25" t="s">
        <v>25</v>
      </c>
      <c r="T1035" s="25">
        <v>1</v>
      </c>
      <c r="U1035" s="25" t="s">
        <v>2517</v>
      </c>
      <c r="V1035" s="25" t="s">
        <v>7031</v>
      </c>
      <c r="W1035" s="25" t="s">
        <v>7032</v>
      </c>
      <c r="X1035" s="59">
        <v>45891.4375</v>
      </c>
      <c r="Y1035" s="25"/>
      <c r="Z1035" s="25">
        <v>0.3</v>
      </c>
      <c r="AA1035" s="25"/>
      <c r="AB1035" s="25" t="s">
        <v>2521</v>
      </c>
      <c r="AC1035" s="27" t="s">
        <v>6091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4356</v>
      </c>
      <c r="H1036" s="25" t="s">
        <v>2507</v>
      </c>
      <c r="I1036" s="25"/>
      <c r="J1036" s="25"/>
      <c r="K1036" s="25"/>
      <c r="L1036" s="25"/>
      <c r="M1036" s="26"/>
      <c r="N1036" s="25"/>
      <c r="O1036" s="26"/>
      <c r="P1036" s="27"/>
      <c r="Q1036" s="25" t="s">
        <v>4357</v>
      </c>
      <c r="R1036" s="25" t="s">
        <v>2516</v>
      </c>
      <c r="S1036" s="25" t="s">
        <v>25</v>
      </c>
      <c r="T1036" s="25">
        <v>1</v>
      </c>
      <c r="U1036" s="25" t="s">
        <v>2517</v>
      </c>
      <c r="V1036" s="25" t="s">
        <v>7033</v>
      </c>
      <c r="W1036" s="25" t="s">
        <v>7034</v>
      </c>
      <c r="X1036" s="59">
        <v>45891.475694444453</v>
      </c>
      <c r="Y1036" s="25"/>
      <c r="Z1036" s="25">
        <v>0.8</v>
      </c>
      <c r="AA1036" s="25"/>
      <c r="AB1036" s="25" t="s">
        <v>2521</v>
      </c>
      <c r="AC1036" s="27" t="s">
        <v>6992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3936</v>
      </c>
      <c r="H1037" s="25" t="s">
        <v>2659</v>
      </c>
      <c r="I1037" s="25"/>
      <c r="J1037" s="25"/>
      <c r="K1037" s="25"/>
      <c r="L1037" s="25"/>
      <c r="M1037" s="26"/>
      <c r="N1037" s="25"/>
      <c r="O1037" s="26"/>
      <c r="P1037" s="27"/>
      <c r="Q1037" s="25" t="s">
        <v>3937</v>
      </c>
      <c r="R1037" s="25" t="s">
        <v>2516</v>
      </c>
      <c r="S1037" s="25" t="s">
        <v>185</v>
      </c>
      <c r="T1037" s="25">
        <v>1</v>
      </c>
      <c r="U1037" s="25" t="s">
        <v>2517</v>
      </c>
      <c r="V1037" s="25" t="s">
        <v>7035</v>
      </c>
      <c r="W1037" s="25" t="s">
        <v>7036</v>
      </c>
      <c r="X1037" s="59">
        <v>45891.576388888891</v>
      </c>
      <c r="Y1037" s="25"/>
      <c r="Z1037" s="25">
        <v>0.8</v>
      </c>
      <c r="AA1037" s="25"/>
      <c r="AB1037" s="25" t="s">
        <v>2521</v>
      </c>
      <c r="AC1037" s="27" t="s">
        <v>7037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2556</v>
      </c>
      <c r="H1038" s="25" t="s">
        <v>1604</v>
      </c>
      <c r="I1038" s="25"/>
      <c r="J1038" s="25"/>
      <c r="K1038" s="25"/>
      <c r="L1038" s="25"/>
      <c r="M1038" s="26"/>
      <c r="N1038" s="25"/>
      <c r="O1038" s="26"/>
      <c r="P1038" s="27"/>
      <c r="Q1038" s="25" t="s">
        <v>2557</v>
      </c>
      <c r="R1038" s="25" t="s">
        <v>2516</v>
      </c>
      <c r="S1038" s="25" t="s">
        <v>25</v>
      </c>
      <c r="T1038" s="25">
        <v>1</v>
      </c>
      <c r="U1038" s="25" t="s">
        <v>2517</v>
      </c>
      <c r="V1038" s="25" t="s">
        <v>7038</v>
      </c>
      <c r="W1038" s="25" t="s">
        <v>7039</v>
      </c>
      <c r="X1038" s="59">
        <v>45891.695138888892</v>
      </c>
      <c r="Y1038" s="25"/>
      <c r="Z1038" s="25">
        <v>1.7</v>
      </c>
      <c r="AA1038" s="25"/>
      <c r="AB1038" s="25" t="s">
        <v>2521</v>
      </c>
      <c r="AC1038" s="27" t="s">
        <v>7040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7041</v>
      </c>
      <c r="E1039" s="25" t="s">
        <v>2504</v>
      </c>
      <c r="F1039" s="25">
        <v>4191</v>
      </c>
      <c r="G1039" s="25" t="s">
        <v>2593</v>
      </c>
      <c r="H1039" s="25" t="s">
        <v>2507</v>
      </c>
      <c r="I1039" s="25" t="s">
        <v>7042</v>
      </c>
      <c r="J1039" s="25" t="s">
        <v>2567</v>
      </c>
      <c r="K1039" s="25" t="s">
        <v>2510</v>
      </c>
      <c r="L1039" s="25" t="s">
        <v>2537</v>
      </c>
      <c r="M1039" s="26" t="s">
        <v>2538</v>
      </c>
      <c r="N1039" s="25" t="s">
        <v>2539</v>
      </c>
      <c r="O1039" s="26" t="s">
        <v>2540</v>
      </c>
      <c r="P1039" s="27" t="s">
        <v>7043</v>
      </c>
      <c r="Q1039" s="25" t="s">
        <v>2600</v>
      </c>
      <c r="R1039" s="25" t="s">
        <v>2516</v>
      </c>
      <c r="S1039" s="25" t="s">
        <v>185</v>
      </c>
      <c r="T1039" s="25">
        <v>1</v>
      </c>
      <c r="U1039" s="25" t="s">
        <v>2517</v>
      </c>
      <c r="V1039" s="25" t="s">
        <v>7044</v>
      </c>
      <c r="W1039" s="25" t="s">
        <v>7045</v>
      </c>
      <c r="X1039" s="59">
        <v>45894.458333333343</v>
      </c>
      <c r="Y1039" s="25" t="s">
        <v>7046</v>
      </c>
      <c r="Z1039" s="25">
        <v>0.5</v>
      </c>
      <c r="AA1039" s="25"/>
      <c r="AB1039" s="25" t="s">
        <v>2521</v>
      </c>
      <c r="AC1039" s="27" t="s">
        <v>7047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7048</v>
      </c>
      <c r="E1040" s="25" t="s">
        <v>2504</v>
      </c>
      <c r="F1040" s="25">
        <v>4191</v>
      </c>
      <c r="G1040" s="25" t="s">
        <v>2593</v>
      </c>
      <c r="H1040" s="25" t="s">
        <v>2507</v>
      </c>
      <c r="I1040" s="25" t="s">
        <v>7049</v>
      </c>
      <c r="J1040" s="25" t="s">
        <v>2567</v>
      </c>
      <c r="K1040" s="25" t="s">
        <v>2510</v>
      </c>
      <c r="L1040" s="25" t="s">
        <v>2537</v>
      </c>
      <c r="M1040" s="26" t="s">
        <v>2538</v>
      </c>
      <c r="N1040" s="25" t="s">
        <v>2539</v>
      </c>
      <c r="O1040" s="26" t="s">
        <v>2540</v>
      </c>
      <c r="P1040" s="27" t="s">
        <v>7050</v>
      </c>
      <c r="Q1040" s="25" t="s">
        <v>2600</v>
      </c>
      <c r="R1040" s="25" t="s">
        <v>2516</v>
      </c>
      <c r="S1040" s="25" t="s">
        <v>185</v>
      </c>
      <c r="T1040" s="25">
        <v>1</v>
      </c>
      <c r="U1040" s="25" t="s">
        <v>2517</v>
      </c>
      <c r="V1040" s="25" t="s">
        <v>7051</v>
      </c>
      <c r="W1040" s="25" t="s">
        <v>7052</v>
      </c>
      <c r="X1040" s="59">
        <v>45894.4375</v>
      </c>
      <c r="Y1040" s="25" t="s">
        <v>7053</v>
      </c>
      <c r="Z1040" s="25">
        <v>0.5</v>
      </c>
      <c r="AA1040" s="25"/>
      <c r="AB1040" s="25" t="s">
        <v>2521</v>
      </c>
      <c r="AC1040" s="27" t="s">
        <v>7047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7054</v>
      </c>
      <c r="E1041" s="25" t="s">
        <v>2504</v>
      </c>
      <c r="F1041" s="25">
        <v>3416</v>
      </c>
      <c r="G1041" s="25" t="s">
        <v>4421</v>
      </c>
      <c r="H1041" s="25" t="s">
        <v>2609</v>
      </c>
      <c r="I1041" s="25" t="s">
        <v>7055</v>
      </c>
      <c r="J1041" s="25" t="s">
        <v>2567</v>
      </c>
      <c r="K1041" s="25" t="s">
        <v>2510</v>
      </c>
      <c r="L1041" s="25" t="s">
        <v>2511</v>
      </c>
      <c r="M1041" s="26" t="s">
        <v>2512</v>
      </c>
      <c r="N1041" s="25">
        <v>2305</v>
      </c>
      <c r="O1041" s="26" t="s">
        <v>3035</v>
      </c>
      <c r="P1041" s="27" t="s">
        <v>7056</v>
      </c>
      <c r="Q1041" s="25" t="s">
        <v>4422</v>
      </c>
      <c r="R1041" s="25" t="s">
        <v>2516</v>
      </c>
      <c r="S1041" s="25" t="s">
        <v>173</v>
      </c>
      <c r="T1041" s="25">
        <v>1</v>
      </c>
      <c r="U1041" s="25" t="s">
        <v>2517</v>
      </c>
      <c r="V1041" s="25" t="s">
        <v>7057</v>
      </c>
      <c r="W1041" s="25" t="s">
        <v>7058</v>
      </c>
      <c r="X1041" s="59">
        <v>45894.579861111109</v>
      </c>
      <c r="Y1041" s="25" t="s">
        <v>7059</v>
      </c>
      <c r="Z1041" s="25">
        <v>0.1</v>
      </c>
      <c r="AA1041" s="25"/>
      <c r="AB1041" s="25" t="s">
        <v>2521</v>
      </c>
      <c r="AC1041" s="27" t="s">
        <v>7060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7061</v>
      </c>
      <c r="E1042" s="25" t="s">
        <v>2504</v>
      </c>
      <c r="F1042" s="25" t="s">
        <v>4409</v>
      </c>
      <c r="G1042" s="25" t="s">
        <v>4410</v>
      </c>
      <c r="H1042" s="25" t="s">
        <v>2609</v>
      </c>
      <c r="I1042" s="25" t="s">
        <v>7062</v>
      </c>
      <c r="J1042" s="25" t="s">
        <v>2567</v>
      </c>
      <c r="K1042" s="25" t="s">
        <v>2510</v>
      </c>
      <c r="L1042" s="25" t="s">
        <v>3483</v>
      </c>
      <c r="M1042" s="26" t="s">
        <v>3484</v>
      </c>
      <c r="N1042" s="25">
        <v>6003</v>
      </c>
      <c r="O1042" s="26" t="s">
        <v>3152</v>
      </c>
      <c r="P1042" s="27" t="s">
        <v>7063</v>
      </c>
      <c r="Q1042" s="25" t="s">
        <v>4411</v>
      </c>
      <c r="R1042" s="25" t="s">
        <v>2516</v>
      </c>
      <c r="S1042" s="25" t="s">
        <v>173</v>
      </c>
      <c r="T1042" s="25">
        <v>1</v>
      </c>
      <c r="U1042" s="25" t="s">
        <v>2517</v>
      </c>
      <c r="V1042" s="25" t="s">
        <v>7064</v>
      </c>
      <c r="W1042" s="25" t="s">
        <v>7065</v>
      </c>
      <c r="X1042" s="59">
        <v>45894.565972222219</v>
      </c>
      <c r="Y1042" s="25" t="s">
        <v>7066</v>
      </c>
      <c r="Z1042" s="25">
        <v>0.3</v>
      </c>
      <c r="AA1042" s="25"/>
      <c r="AB1042" s="25" t="s">
        <v>2521</v>
      </c>
      <c r="AC1042" s="27" t="s">
        <v>7067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7068</v>
      </c>
      <c r="E1043" s="25" t="s">
        <v>2504</v>
      </c>
      <c r="F1043" s="25">
        <v>5082</v>
      </c>
      <c r="G1043" s="25" t="s">
        <v>2729</v>
      </c>
      <c r="H1043" s="25" t="s">
        <v>2641</v>
      </c>
      <c r="I1043" s="25" t="s">
        <v>7069</v>
      </c>
      <c r="J1043" s="25" t="s">
        <v>2567</v>
      </c>
      <c r="K1043" s="25" t="s">
        <v>2510</v>
      </c>
      <c r="L1043" s="25" t="s">
        <v>3483</v>
      </c>
      <c r="M1043" s="26" t="s">
        <v>3484</v>
      </c>
      <c r="N1043" s="25">
        <v>6002</v>
      </c>
      <c r="O1043" s="26" t="s">
        <v>3508</v>
      </c>
      <c r="P1043" s="27" t="s">
        <v>7070</v>
      </c>
      <c r="Q1043" s="25" t="s">
        <v>2730</v>
      </c>
      <c r="R1043" s="25" t="s">
        <v>2516</v>
      </c>
      <c r="S1043" s="25" t="s">
        <v>25</v>
      </c>
      <c r="T1043" s="25">
        <v>1</v>
      </c>
      <c r="U1043" s="25" t="s">
        <v>2517</v>
      </c>
      <c r="V1043" s="25" t="s">
        <v>7071</v>
      </c>
      <c r="W1043" s="25" t="s">
        <v>7072</v>
      </c>
      <c r="X1043" s="59">
        <v>45894.571527777778</v>
      </c>
      <c r="Y1043" s="25" t="s">
        <v>7073</v>
      </c>
      <c r="Z1043" s="25">
        <v>0.5</v>
      </c>
      <c r="AA1043" s="25"/>
      <c r="AB1043" s="25" t="s">
        <v>2521</v>
      </c>
      <c r="AC1043" s="27" t="s">
        <v>7074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4186</v>
      </c>
      <c r="H1044" s="25" t="s">
        <v>1604</v>
      </c>
      <c r="I1044" s="25"/>
      <c r="J1044" s="25"/>
      <c r="K1044" s="25"/>
      <c r="L1044" s="25"/>
      <c r="M1044" s="26"/>
      <c r="N1044" s="25"/>
      <c r="O1044" s="26"/>
      <c r="P1044" s="27"/>
      <c r="Q1044" s="25" t="s">
        <v>4187</v>
      </c>
      <c r="R1044" s="25" t="s">
        <v>2516</v>
      </c>
      <c r="S1044" s="25" t="s">
        <v>25</v>
      </c>
      <c r="T1044" s="25">
        <v>1</v>
      </c>
      <c r="U1044" s="25" t="s">
        <v>2517</v>
      </c>
      <c r="V1044" s="25" t="s">
        <v>7075</v>
      </c>
      <c r="W1044" s="25" t="s">
        <v>7076</v>
      </c>
      <c r="X1044" s="59">
        <v>45894.46875</v>
      </c>
      <c r="Y1044" s="25"/>
      <c r="Z1044" s="25">
        <v>0.3</v>
      </c>
      <c r="AA1044" s="25"/>
      <c r="AB1044" s="25" t="s">
        <v>2521</v>
      </c>
      <c r="AC1044" s="27" t="s">
        <v>6091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2556</v>
      </c>
      <c r="H1045" s="25" t="s">
        <v>1604</v>
      </c>
      <c r="I1045" s="25"/>
      <c r="J1045" s="25"/>
      <c r="K1045" s="25"/>
      <c r="L1045" s="25"/>
      <c r="M1045" s="26"/>
      <c r="N1045" s="25"/>
      <c r="O1045" s="26"/>
      <c r="P1045" s="27"/>
      <c r="Q1045" s="25" t="s">
        <v>2557</v>
      </c>
      <c r="R1045" s="25" t="s">
        <v>2516</v>
      </c>
      <c r="S1045" s="25" t="s">
        <v>25</v>
      </c>
      <c r="T1045" s="25">
        <v>1</v>
      </c>
      <c r="U1045" s="25" t="s">
        <v>2517</v>
      </c>
      <c r="V1045" s="25" t="s">
        <v>7077</v>
      </c>
      <c r="W1045" s="25" t="s">
        <v>7045</v>
      </c>
      <c r="X1045" s="59">
        <v>45894.506944444453</v>
      </c>
      <c r="Y1045" s="25"/>
      <c r="Z1045" s="25">
        <v>1.7</v>
      </c>
      <c r="AA1045" s="25"/>
      <c r="AB1045" s="25" t="s">
        <v>2521</v>
      </c>
      <c r="AC1045" s="27" t="s">
        <v>7078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4409</v>
      </c>
      <c r="G1046" s="25" t="s">
        <v>4410</v>
      </c>
      <c r="H1046" s="25" t="s">
        <v>2609</v>
      </c>
      <c r="I1046" s="25"/>
      <c r="J1046" s="25"/>
      <c r="K1046" s="25"/>
      <c r="L1046" s="25"/>
      <c r="M1046" s="26"/>
      <c r="N1046" s="25"/>
      <c r="O1046" s="26"/>
      <c r="P1046" s="27"/>
      <c r="Q1046" s="25" t="s">
        <v>4411</v>
      </c>
      <c r="R1046" s="25" t="s">
        <v>2516</v>
      </c>
      <c r="S1046" s="25" t="s">
        <v>173</v>
      </c>
      <c r="T1046" s="25">
        <v>1</v>
      </c>
      <c r="U1046" s="25" t="s">
        <v>2517</v>
      </c>
      <c r="V1046" s="25" t="s">
        <v>7079</v>
      </c>
      <c r="W1046" s="25" t="s">
        <v>7065</v>
      </c>
      <c r="X1046" s="59">
        <v>45894.565972222219</v>
      </c>
      <c r="Y1046" s="25"/>
      <c r="Z1046" s="25">
        <v>0.3</v>
      </c>
      <c r="AA1046" s="25"/>
      <c r="AB1046" s="25" t="s">
        <v>2521</v>
      </c>
      <c r="AC1046" s="27" t="s">
        <v>6091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4371</v>
      </c>
      <c r="H1047" s="25" t="s">
        <v>2659</v>
      </c>
      <c r="I1047" s="25"/>
      <c r="J1047" s="25"/>
      <c r="K1047" s="25"/>
      <c r="L1047" s="25"/>
      <c r="M1047" s="26"/>
      <c r="N1047" s="25"/>
      <c r="O1047" s="26"/>
      <c r="P1047" s="27"/>
      <c r="Q1047" s="25" t="s">
        <v>4372</v>
      </c>
      <c r="R1047" s="25" t="s">
        <v>2516</v>
      </c>
      <c r="S1047" s="25" t="s">
        <v>185</v>
      </c>
      <c r="T1047" s="25">
        <v>1</v>
      </c>
      <c r="U1047" s="25" t="s">
        <v>2517</v>
      </c>
      <c r="V1047" s="25" t="s">
        <v>7080</v>
      </c>
      <c r="W1047" s="25" t="s">
        <v>7081</v>
      </c>
      <c r="X1047" s="59">
        <v>45894.555555555547</v>
      </c>
      <c r="Y1047" s="25"/>
      <c r="Z1047" s="25">
        <v>0.3</v>
      </c>
      <c r="AA1047" s="25"/>
      <c r="AB1047" s="25" t="s">
        <v>2521</v>
      </c>
      <c r="AC1047" s="27" t="s">
        <v>6091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2729</v>
      </c>
      <c r="H1048" s="25" t="s">
        <v>2641</v>
      </c>
      <c r="I1048" s="25"/>
      <c r="J1048" s="25"/>
      <c r="K1048" s="25"/>
      <c r="L1048" s="25"/>
      <c r="M1048" s="26"/>
      <c r="N1048" s="25"/>
      <c r="O1048" s="26"/>
      <c r="P1048" s="27"/>
      <c r="Q1048" s="25" t="s">
        <v>2730</v>
      </c>
      <c r="R1048" s="25" t="s">
        <v>2516</v>
      </c>
      <c r="S1048" s="25" t="s">
        <v>25</v>
      </c>
      <c r="T1048" s="25">
        <v>1</v>
      </c>
      <c r="U1048" s="25" t="s">
        <v>2517</v>
      </c>
      <c r="V1048" s="25" t="s">
        <v>7082</v>
      </c>
      <c r="W1048" s="25" t="s">
        <v>7065</v>
      </c>
      <c r="X1048" s="59">
        <v>45894.573611111111</v>
      </c>
      <c r="Y1048" s="25"/>
      <c r="Z1048" s="25">
        <v>0.5</v>
      </c>
      <c r="AA1048" s="25"/>
      <c r="AB1048" s="25" t="s">
        <v>2521</v>
      </c>
      <c r="AC1048" s="27" t="s">
        <v>6091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4379</v>
      </c>
      <c r="H1049" s="25" t="s">
        <v>2659</v>
      </c>
      <c r="I1049" s="25"/>
      <c r="J1049" s="25"/>
      <c r="K1049" s="25"/>
      <c r="L1049" s="25"/>
      <c r="M1049" s="26"/>
      <c r="N1049" s="25"/>
      <c r="O1049" s="26"/>
      <c r="P1049" s="27"/>
      <c r="Q1049" s="25" t="s">
        <v>4380</v>
      </c>
      <c r="R1049" s="25" t="s">
        <v>2516</v>
      </c>
      <c r="S1049" s="25" t="s">
        <v>185</v>
      </c>
      <c r="T1049" s="25">
        <v>1</v>
      </c>
      <c r="U1049" s="25" t="s">
        <v>2517</v>
      </c>
      <c r="V1049" s="25" t="s">
        <v>7083</v>
      </c>
      <c r="W1049" s="25" t="s">
        <v>7084</v>
      </c>
      <c r="X1049" s="59">
        <v>45894.576388888891</v>
      </c>
      <c r="Y1049" s="25"/>
      <c r="Z1049" s="25">
        <v>0.3</v>
      </c>
      <c r="AA1049" s="25"/>
      <c r="AB1049" s="25" t="s">
        <v>2521</v>
      </c>
      <c r="AC1049" s="27" t="s">
        <v>6091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4375</v>
      </c>
      <c r="H1050" s="25" t="s">
        <v>2659</v>
      </c>
      <c r="I1050" s="25"/>
      <c r="J1050" s="25"/>
      <c r="K1050" s="25"/>
      <c r="L1050" s="25"/>
      <c r="M1050" s="26"/>
      <c r="N1050" s="25"/>
      <c r="O1050" s="26"/>
      <c r="P1050" s="27"/>
      <c r="Q1050" s="25" t="s">
        <v>4376</v>
      </c>
      <c r="R1050" s="25" t="s">
        <v>2516</v>
      </c>
      <c r="S1050" s="25" t="s">
        <v>185</v>
      </c>
      <c r="T1050" s="25">
        <v>1</v>
      </c>
      <c r="U1050" s="25" t="s">
        <v>2517</v>
      </c>
      <c r="V1050" s="25" t="s">
        <v>7085</v>
      </c>
      <c r="W1050" s="25" t="s">
        <v>7086</v>
      </c>
      <c r="X1050" s="59">
        <v>45894.597222222219</v>
      </c>
      <c r="Y1050" s="25"/>
      <c r="Z1050" s="25">
        <v>0.3</v>
      </c>
      <c r="AA1050" s="25"/>
      <c r="AB1050" s="25" t="s">
        <v>2521</v>
      </c>
      <c r="AC1050" s="27" t="s">
        <v>6216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7087</v>
      </c>
      <c r="E1051" s="25" t="s">
        <v>2504</v>
      </c>
      <c r="F1051" s="25">
        <v>4210</v>
      </c>
      <c r="G1051" s="25" t="s">
        <v>3693</v>
      </c>
      <c r="H1051" s="25" t="s">
        <v>2507</v>
      </c>
      <c r="I1051" s="25" t="s">
        <v>7088</v>
      </c>
      <c r="J1051" s="25" t="s">
        <v>2661</v>
      </c>
      <c r="K1051" s="25" t="s">
        <v>2568</v>
      </c>
      <c r="L1051" s="25" t="s">
        <v>2846</v>
      </c>
      <c r="M1051" s="26" t="s">
        <v>2847</v>
      </c>
      <c r="N1051" s="25">
        <v>2402</v>
      </c>
      <c r="O1051" s="26" t="s">
        <v>3741</v>
      </c>
      <c r="P1051" s="27" t="s">
        <v>7089</v>
      </c>
      <c r="Q1051" s="25" t="s">
        <v>3694</v>
      </c>
      <c r="R1051" s="25" t="s">
        <v>2516</v>
      </c>
      <c r="S1051" s="25" t="s">
        <v>25</v>
      </c>
      <c r="T1051" s="25">
        <v>1</v>
      </c>
      <c r="U1051" s="25" t="s">
        <v>2517</v>
      </c>
      <c r="V1051" s="25" t="s">
        <v>7090</v>
      </c>
      <c r="W1051" s="25" t="s">
        <v>7091</v>
      </c>
      <c r="X1051" s="59">
        <v>45894.679861111108</v>
      </c>
      <c r="Y1051" s="25" t="s">
        <v>7092</v>
      </c>
      <c r="Z1051" s="25">
        <v>0.5</v>
      </c>
      <c r="AA1051" s="25"/>
      <c r="AB1051" s="25" t="s">
        <v>2521</v>
      </c>
      <c r="AC1051" s="27" t="s">
        <v>5430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3775</v>
      </c>
      <c r="H1052" s="25" t="s">
        <v>2659</v>
      </c>
      <c r="I1052" s="25"/>
      <c r="J1052" s="25"/>
      <c r="K1052" s="25"/>
      <c r="L1052" s="25"/>
      <c r="M1052" s="26"/>
      <c r="N1052" s="25"/>
      <c r="O1052" s="26"/>
      <c r="P1052" s="27"/>
      <c r="Q1052" s="25" t="s">
        <v>3776</v>
      </c>
      <c r="R1052" s="25" t="s">
        <v>2516</v>
      </c>
      <c r="S1052" s="25" t="s">
        <v>185</v>
      </c>
      <c r="T1052" s="25">
        <v>1</v>
      </c>
      <c r="U1052" s="25" t="s">
        <v>2517</v>
      </c>
      <c r="V1052" s="25" t="s">
        <v>7093</v>
      </c>
      <c r="W1052" s="25" t="s">
        <v>7094</v>
      </c>
      <c r="X1052" s="59">
        <v>45894.618055555547</v>
      </c>
      <c r="Y1052" s="25"/>
      <c r="Z1052" s="25">
        <v>0.3</v>
      </c>
      <c r="AA1052" s="25"/>
      <c r="AB1052" s="25" t="s">
        <v>2521</v>
      </c>
      <c r="AC1052" s="27" t="s">
        <v>6091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3200</v>
      </c>
      <c r="H1053" s="25" t="s">
        <v>2641</v>
      </c>
      <c r="I1053" s="25"/>
      <c r="J1053" s="25"/>
      <c r="K1053" s="25"/>
      <c r="L1053" s="25"/>
      <c r="M1053" s="26"/>
      <c r="N1053" s="25"/>
      <c r="O1053" s="26"/>
      <c r="P1053" s="27"/>
      <c r="Q1053" s="25" t="s">
        <v>3203</v>
      </c>
      <c r="R1053" s="25" t="s">
        <v>2516</v>
      </c>
      <c r="S1053" s="25" t="s">
        <v>25</v>
      </c>
      <c r="T1053" s="25">
        <v>1</v>
      </c>
      <c r="U1053" s="25" t="s">
        <v>2517</v>
      </c>
      <c r="V1053" s="25" t="s">
        <v>7095</v>
      </c>
      <c r="W1053" s="25" t="s">
        <v>7096</v>
      </c>
      <c r="X1053" s="59">
        <v>45894.65625</v>
      </c>
      <c r="Y1053" s="25"/>
      <c r="Z1053" s="25">
        <v>0.8</v>
      </c>
      <c r="AA1053" s="25"/>
      <c r="AB1053" s="25" t="s">
        <v>2521</v>
      </c>
      <c r="AC1053" s="27" t="s">
        <v>7097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7098</v>
      </c>
      <c r="E1054" s="25" t="s">
        <v>2504</v>
      </c>
      <c r="F1054" s="25">
        <v>5341</v>
      </c>
      <c r="G1054" s="25" t="s">
        <v>4772</v>
      </c>
      <c r="H1054" s="25" t="s">
        <v>2641</v>
      </c>
      <c r="I1054" s="25" t="s">
        <v>7099</v>
      </c>
      <c r="J1054" s="25" t="s">
        <v>2509</v>
      </c>
      <c r="K1054" s="25" t="s">
        <v>2568</v>
      </c>
      <c r="L1054" s="25" t="s">
        <v>3497</v>
      </c>
      <c r="M1054" s="26" t="s">
        <v>3498</v>
      </c>
      <c r="N1054" s="25">
        <v>3404</v>
      </c>
      <c r="O1054" s="26" t="s">
        <v>3499</v>
      </c>
      <c r="P1054" s="27" t="s">
        <v>7100</v>
      </c>
      <c r="Q1054" s="25" t="s">
        <v>4773</v>
      </c>
      <c r="R1054" s="25" t="s">
        <v>2516</v>
      </c>
      <c r="S1054" s="25" t="s">
        <v>25</v>
      </c>
      <c r="T1054" s="25">
        <v>1</v>
      </c>
      <c r="U1054" s="25" t="s">
        <v>2517</v>
      </c>
      <c r="V1054" s="25" t="s">
        <v>7101</v>
      </c>
      <c r="W1054" s="25" t="s">
        <v>7102</v>
      </c>
      <c r="X1054" s="59">
        <v>45895.456250000003</v>
      </c>
      <c r="Y1054" s="25" t="s">
        <v>7103</v>
      </c>
      <c r="Z1054" s="25">
        <v>0.5</v>
      </c>
      <c r="AA1054" s="25"/>
      <c r="AB1054" s="25" t="s">
        <v>2521</v>
      </c>
      <c r="AC1054" s="27" t="s">
        <v>7104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4772</v>
      </c>
      <c r="H1055" s="25" t="s">
        <v>2641</v>
      </c>
      <c r="I1055" s="25"/>
      <c r="J1055" s="25"/>
      <c r="K1055" s="25"/>
      <c r="L1055" s="25"/>
      <c r="M1055" s="26"/>
      <c r="N1055" s="25"/>
      <c r="O1055" s="26"/>
      <c r="P1055" s="27"/>
      <c r="Q1055" s="25" t="s">
        <v>4773</v>
      </c>
      <c r="R1055" s="25" t="s">
        <v>2516</v>
      </c>
      <c r="S1055" s="25" t="s">
        <v>25</v>
      </c>
      <c r="T1055" s="25">
        <v>1</v>
      </c>
      <c r="U1055" s="25" t="s">
        <v>2517</v>
      </c>
      <c r="V1055" s="25" t="s">
        <v>7105</v>
      </c>
      <c r="W1055" s="25" t="s">
        <v>7106</v>
      </c>
      <c r="X1055" s="59">
        <v>45895.459027777782</v>
      </c>
      <c r="Y1055" s="25"/>
      <c r="Z1055" s="25">
        <v>1</v>
      </c>
      <c r="AA1055" s="25"/>
      <c r="AB1055" s="25" t="s">
        <v>2521</v>
      </c>
      <c r="AC1055" s="27" t="s">
        <v>7107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5951</v>
      </c>
      <c r="H1056" s="25" t="s">
        <v>2641</v>
      </c>
      <c r="I1056" s="25"/>
      <c r="J1056" s="25"/>
      <c r="K1056" s="25"/>
      <c r="L1056" s="25"/>
      <c r="M1056" s="26"/>
      <c r="N1056" s="25"/>
      <c r="O1056" s="26"/>
      <c r="P1056" s="27"/>
      <c r="Q1056" s="25" t="s">
        <v>5952</v>
      </c>
      <c r="R1056" s="25" t="s">
        <v>2516</v>
      </c>
      <c r="S1056" s="25" t="s">
        <v>25</v>
      </c>
      <c r="T1056" s="25">
        <v>1</v>
      </c>
      <c r="U1056" s="25" t="s">
        <v>2517</v>
      </c>
      <c r="V1056" s="25" t="s">
        <v>7108</v>
      </c>
      <c r="W1056" s="25" t="s">
        <v>7109</v>
      </c>
      <c r="X1056" s="59">
        <v>45895.5</v>
      </c>
      <c r="Y1056" s="25"/>
      <c r="Z1056" s="25">
        <v>0.8</v>
      </c>
      <c r="AA1056" s="25"/>
      <c r="AB1056" s="25" t="s">
        <v>2521</v>
      </c>
      <c r="AC1056" s="27" t="s">
        <v>7107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7110</v>
      </c>
      <c r="E1057" s="25" t="s">
        <v>2843</v>
      </c>
      <c r="F1057" s="25">
        <v>2399</v>
      </c>
      <c r="G1057" s="25" t="s">
        <v>3096</v>
      </c>
      <c r="H1057" s="25" t="s">
        <v>2507</v>
      </c>
      <c r="I1057" s="25" t="s">
        <v>7111</v>
      </c>
      <c r="J1057" s="25" t="s">
        <v>2509</v>
      </c>
      <c r="K1057" s="25" t="s">
        <v>2568</v>
      </c>
      <c r="L1057" s="25" t="s">
        <v>2846</v>
      </c>
      <c r="M1057" s="26" t="s">
        <v>2847</v>
      </c>
      <c r="N1057" s="25">
        <v>2405</v>
      </c>
      <c r="O1057" s="26" t="s">
        <v>2963</v>
      </c>
      <c r="P1057" s="27" t="s">
        <v>7112</v>
      </c>
      <c r="Q1057" s="25" t="s">
        <v>3097</v>
      </c>
      <c r="R1057" s="25" t="s">
        <v>2516</v>
      </c>
      <c r="S1057" s="25" t="s">
        <v>25</v>
      </c>
      <c r="T1057" s="25">
        <v>1</v>
      </c>
      <c r="U1057" s="25" t="s">
        <v>2517</v>
      </c>
      <c r="V1057" s="25" t="s">
        <v>7113</v>
      </c>
      <c r="W1057" s="25" t="s">
        <v>7114</v>
      </c>
      <c r="X1057" s="59">
        <v>45895.59375</v>
      </c>
      <c r="Y1057" s="25" t="s">
        <v>7115</v>
      </c>
      <c r="Z1057" s="25">
        <v>1.8</v>
      </c>
      <c r="AA1057" s="25"/>
      <c r="AB1057" s="25" t="s">
        <v>2521</v>
      </c>
      <c r="AC1057" s="27" t="s">
        <v>7116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3096</v>
      </c>
      <c r="H1058" s="25" t="s">
        <v>2507</v>
      </c>
      <c r="I1058" s="25"/>
      <c r="J1058" s="25"/>
      <c r="K1058" s="25"/>
      <c r="L1058" s="25"/>
      <c r="M1058" s="26"/>
      <c r="N1058" s="25"/>
      <c r="O1058" s="26"/>
      <c r="P1058" s="27"/>
      <c r="Q1058" s="25" t="s">
        <v>3097</v>
      </c>
      <c r="R1058" s="25" t="s">
        <v>2516</v>
      </c>
      <c r="S1058" s="25" t="s">
        <v>25</v>
      </c>
      <c r="T1058" s="25">
        <v>1</v>
      </c>
      <c r="U1058" s="25" t="s">
        <v>2517</v>
      </c>
      <c r="V1058" s="25" t="s">
        <v>7117</v>
      </c>
      <c r="W1058" s="25" t="s">
        <v>7114</v>
      </c>
      <c r="X1058" s="59">
        <v>45895.595138888893</v>
      </c>
      <c r="Y1058" s="25"/>
      <c r="Z1058" s="25">
        <v>1.8</v>
      </c>
      <c r="AA1058" s="25"/>
      <c r="AB1058" s="25" t="s">
        <v>2521</v>
      </c>
      <c r="AC1058" s="27" t="s">
        <v>6091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3160</v>
      </c>
      <c r="H1059" s="25" t="s">
        <v>2641</v>
      </c>
      <c r="I1059" s="25"/>
      <c r="J1059" s="25"/>
      <c r="K1059" s="25"/>
      <c r="L1059" s="25"/>
      <c r="M1059" s="26"/>
      <c r="N1059" s="25"/>
      <c r="O1059" s="26"/>
      <c r="P1059" s="27"/>
      <c r="Q1059" s="25" t="s">
        <v>3163</v>
      </c>
      <c r="R1059" s="25" t="s">
        <v>2516</v>
      </c>
      <c r="S1059" s="25" t="s">
        <v>25</v>
      </c>
      <c r="T1059" s="25">
        <v>1</v>
      </c>
      <c r="U1059" s="25" t="s">
        <v>2517</v>
      </c>
      <c r="V1059" s="25" t="s">
        <v>7118</v>
      </c>
      <c r="W1059" s="25" t="s">
        <v>7119</v>
      </c>
      <c r="X1059" s="59">
        <v>45895.627083333333</v>
      </c>
      <c r="Y1059" s="25"/>
      <c r="Z1059" s="25">
        <v>0.6</v>
      </c>
      <c r="AA1059" s="25"/>
      <c r="AB1059" s="25" t="s">
        <v>2521</v>
      </c>
      <c r="AC1059" s="27" t="s">
        <v>7120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3160</v>
      </c>
      <c r="H1060" s="25" t="s">
        <v>2641</v>
      </c>
      <c r="I1060" s="25"/>
      <c r="J1060" s="25"/>
      <c r="K1060" s="25"/>
      <c r="L1060" s="25"/>
      <c r="M1060" s="26"/>
      <c r="N1060" s="25"/>
      <c r="O1060" s="26"/>
      <c r="P1060" s="27"/>
      <c r="Q1060" s="25" t="s">
        <v>3163</v>
      </c>
      <c r="R1060" s="25" t="s">
        <v>2516</v>
      </c>
      <c r="S1060" s="25" t="s">
        <v>185</v>
      </c>
      <c r="T1060" s="25">
        <v>1</v>
      </c>
      <c r="U1060" s="25" t="s">
        <v>2517</v>
      </c>
      <c r="V1060" s="25" t="s">
        <v>7121</v>
      </c>
      <c r="W1060" s="25" t="s">
        <v>7122</v>
      </c>
      <c r="X1060" s="59">
        <v>45895.631944444453</v>
      </c>
      <c r="Y1060" s="25"/>
      <c r="Z1060" s="25">
        <v>1.2</v>
      </c>
      <c r="AA1060" s="25"/>
      <c r="AB1060" s="25" t="s">
        <v>2521</v>
      </c>
      <c r="AC1060" s="27" t="s">
        <v>7123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7124</v>
      </c>
      <c r="E1061" s="25" t="s">
        <v>2504</v>
      </c>
      <c r="F1061" s="25">
        <v>4406</v>
      </c>
      <c r="G1061" s="25" t="s">
        <v>3214</v>
      </c>
      <c r="H1061" s="25" t="s">
        <v>2609</v>
      </c>
      <c r="I1061" s="25" t="s">
        <v>7125</v>
      </c>
      <c r="J1061" s="25" t="s">
        <v>2509</v>
      </c>
      <c r="K1061" s="25" t="s">
        <v>2568</v>
      </c>
      <c r="L1061" s="25" t="s">
        <v>3483</v>
      </c>
      <c r="M1061" s="26" t="s">
        <v>3484</v>
      </c>
      <c r="N1061" s="25">
        <v>6004</v>
      </c>
      <c r="O1061" s="26" t="s">
        <v>2893</v>
      </c>
      <c r="P1061" s="27" t="s">
        <v>7126</v>
      </c>
      <c r="Q1061" s="25" t="s">
        <v>3217</v>
      </c>
      <c r="R1061" s="25" t="s">
        <v>2516</v>
      </c>
      <c r="S1061" s="25" t="s">
        <v>173</v>
      </c>
      <c r="T1061" s="25">
        <v>1</v>
      </c>
      <c r="U1061" s="25" t="s">
        <v>2517</v>
      </c>
      <c r="V1061" s="25" t="s">
        <v>7127</v>
      </c>
      <c r="W1061" s="25" t="s">
        <v>7128</v>
      </c>
      <c r="X1061" s="59">
        <v>45896.517361111109</v>
      </c>
      <c r="Y1061" s="25" t="s">
        <v>7129</v>
      </c>
      <c r="Z1061" s="25">
        <v>0.6</v>
      </c>
      <c r="AA1061" s="25"/>
      <c r="AB1061" s="25" t="s">
        <v>2521</v>
      </c>
      <c r="AC1061" s="27" t="s">
        <v>4349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7130</v>
      </c>
      <c r="E1062" s="25" t="s">
        <v>2504</v>
      </c>
      <c r="F1062" s="25">
        <v>5080</v>
      </c>
      <c r="G1062" s="25" t="s">
        <v>3247</v>
      </c>
      <c r="H1062" s="25" t="s">
        <v>3248</v>
      </c>
      <c r="I1062" s="25" t="s">
        <v>7131</v>
      </c>
      <c r="J1062" s="25" t="s">
        <v>2509</v>
      </c>
      <c r="K1062" s="25" t="s">
        <v>2568</v>
      </c>
      <c r="L1062" s="25" t="s">
        <v>2511</v>
      </c>
      <c r="M1062" s="26" t="s">
        <v>2512</v>
      </c>
      <c r="N1062" s="25">
        <v>2304</v>
      </c>
      <c r="O1062" s="26" t="s">
        <v>2513</v>
      </c>
      <c r="P1062" s="27" t="s">
        <v>7132</v>
      </c>
      <c r="Q1062" s="25" t="s">
        <v>3251</v>
      </c>
      <c r="R1062" s="25" t="s">
        <v>2516</v>
      </c>
      <c r="S1062" s="25" t="s">
        <v>25</v>
      </c>
      <c r="T1062" s="25">
        <v>1</v>
      </c>
      <c r="U1062" s="25" t="s">
        <v>2517</v>
      </c>
      <c r="V1062" s="25" t="s">
        <v>7133</v>
      </c>
      <c r="W1062" s="25" t="s">
        <v>7134</v>
      </c>
      <c r="X1062" s="59">
        <v>45896.509722222218</v>
      </c>
      <c r="Y1062" s="25" t="s">
        <v>7135</v>
      </c>
      <c r="Z1062" s="25">
        <v>0.5</v>
      </c>
      <c r="AA1062" s="25"/>
      <c r="AB1062" s="25" t="s">
        <v>2521</v>
      </c>
      <c r="AC1062" s="27" t="s">
        <v>7136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3214</v>
      </c>
      <c r="H1063" s="25" t="s">
        <v>2609</v>
      </c>
      <c r="I1063" s="25"/>
      <c r="J1063" s="25"/>
      <c r="K1063" s="25"/>
      <c r="L1063" s="25"/>
      <c r="M1063" s="26"/>
      <c r="N1063" s="25"/>
      <c r="O1063" s="26"/>
      <c r="P1063" s="27"/>
      <c r="Q1063" s="25" t="s">
        <v>3217</v>
      </c>
      <c r="R1063" s="25" t="s">
        <v>2516</v>
      </c>
      <c r="S1063" s="25" t="s">
        <v>173</v>
      </c>
      <c r="T1063" s="25">
        <v>1</v>
      </c>
      <c r="U1063" s="25" t="s">
        <v>2517</v>
      </c>
      <c r="V1063" s="25" t="s">
        <v>7137</v>
      </c>
      <c r="W1063" s="25" t="s">
        <v>7138</v>
      </c>
      <c r="X1063" s="59">
        <v>45896.517361111109</v>
      </c>
      <c r="Y1063" s="25"/>
      <c r="Z1063" s="25">
        <v>0.3</v>
      </c>
      <c r="AA1063" s="25"/>
      <c r="AB1063" s="25" t="s">
        <v>2521</v>
      </c>
      <c r="AC1063" s="27" t="s">
        <v>6091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3175</v>
      </c>
      <c r="H1064" s="25" t="s">
        <v>3171</v>
      </c>
      <c r="I1064" s="25"/>
      <c r="J1064" s="25"/>
      <c r="K1064" s="25"/>
      <c r="L1064" s="25"/>
      <c r="M1064" s="26"/>
      <c r="N1064" s="25"/>
      <c r="O1064" s="26"/>
      <c r="P1064" s="27"/>
      <c r="Q1064" s="25" t="s">
        <v>3176</v>
      </c>
      <c r="R1064" s="25" t="s">
        <v>2516</v>
      </c>
      <c r="S1064" s="25" t="s">
        <v>25</v>
      </c>
      <c r="T1064" s="25">
        <v>1</v>
      </c>
      <c r="U1064" s="25" t="s">
        <v>2517</v>
      </c>
      <c r="V1064" s="25" t="s">
        <v>7139</v>
      </c>
      <c r="W1064" s="25" t="s">
        <v>7140</v>
      </c>
      <c r="X1064" s="59">
        <v>45896.652777777781</v>
      </c>
      <c r="Y1064" s="25"/>
      <c r="Z1064" s="25">
        <v>0.3</v>
      </c>
      <c r="AA1064" s="25"/>
      <c r="AB1064" s="25" t="s">
        <v>2521</v>
      </c>
      <c r="AC1064" s="27" t="s">
        <v>6091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3170</v>
      </c>
      <c r="H1065" s="25" t="s">
        <v>3171</v>
      </c>
      <c r="I1065" s="25"/>
      <c r="J1065" s="25"/>
      <c r="K1065" s="25"/>
      <c r="L1065" s="25"/>
      <c r="M1065" s="26"/>
      <c r="N1065" s="25"/>
      <c r="O1065" s="26"/>
      <c r="P1065" s="27"/>
      <c r="Q1065" s="25" t="s">
        <v>3172</v>
      </c>
      <c r="R1065" s="25" t="s">
        <v>2516</v>
      </c>
      <c r="S1065" s="25" t="s">
        <v>25</v>
      </c>
      <c r="T1065" s="25">
        <v>1</v>
      </c>
      <c r="U1065" s="25" t="s">
        <v>2517</v>
      </c>
      <c r="V1065" s="25" t="s">
        <v>7141</v>
      </c>
      <c r="W1065" s="25" t="s">
        <v>7142</v>
      </c>
      <c r="X1065" s="59">
        <v>45896.670138888891</v>
      </c>
      <c r="Y1065" s="25"/>
      <c r="Z1065" s="25">
        <v>0.4</v>
      </c>
      <c r="AA1065" s="25"/>
      <c r="AB1065" s="25" t="s">
        <v>2521</v>
      </c>
      <c r="AC1065" s="27" t="s">
        <v>6091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7143</v>
      </c>
      <c r="E1066" s="25" t="s">
        <v>2504</v>
      </c>
      <c r="F1066" s="25">
        <v>3796</v>
      </c>
      <c r="G1066" s="25" t="s">
        <v>3859</v>
      </c>
      <c r="H1066" s="25" t="s">
        <v>2507</v>
      </c>
      <c r="I1066" s="25" t="s">
        <v>7144</v>
      </c>
      <c r="J1066" s="25" t="s">
        <v>2536</v>
      </c>
      <c r="K1066" s="25" t="s">
        <v>2510</v>
      </c>
      <c r="L1066" s="25" t="s">
        <v>3380</v>
      </c>
      <c r="M1066" s="26" t="s">
        <v>3381</v>
      </c>
      <c r="N1066" s="25" t="s">
        <v>3382</v>
      </c>
      <c r="O1066" s="26" t="s">
        <v>3383</v>
      </c>
      <c r="P1066" s="27" t="s">
        <v>7145</v>
      </c>
      <c r="Q1066" s="25" t="s">
        <v>3860</v>
      </c>
      <c r="R1066" s="25" t="s">
        <v>2516</v>
      </c>
      <c r="S1066" s="25" t="s">
        <v>25</v>
      </c>
      <c r="T1066" s="25">
        <v>1</v>
      </c>
      <c r="U1066" s="25" t="s">
        <v>2517</v>
      </c>
      <c r="V1066" s="25" t="s">
        <v>7146</v>
      </c>
      <c r="W1066" s="25" t="s">
        <v>7147</v>
      </c>
      <c r="X1066" s="59">
        <v>45897.438888888893</v>
      </c>
      <c r="Y1066" s="25" t="s">
        <v>7148</v>
      </c>
      <c r="Z1066" s="25">
        <v>0.5</v>
      </c>
      <c r="AA1066" s="25"/>
      <c r="AB1066" s="25" t="s">
        <v>2521</v>
      </c>
      <c r="AC1066" s="27" t="s">
        <v>7149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7150</v>
      </c>
      <c r="E1067" s="25" t="s">
        <v>2504</v>
      </c>
      <c r="F1067" s="25">
        <v>4652</v>
      </c>
      <c r="G1067" s="25" t="s">
        <v>6508</v>
      </c>
      <c r="H1067" s="25" t="s">
        <v>2507</v>
      </c>
      <c r="I1067" s="25" t="s">
        <v>7151</v>
      </c>
      <c r="J1067" s="25" t="s">
        <v>2536</v>
      </c>
      <c r="K1067" s="25" t="s">
        <v>2510</v>
      </c>
      <c r="L1067" s="25" t="s">
        <v>4123</v>
      </c>
      <c r="M1067" s="26" t="s">
        <v>4124</v>
      </c>
      <c r="N1067" s="25">
        <v>2902</v>
      </c>
      <c r="O1067" s="26" t="s">
        <v>4155</v>
      </c>
      <c r="P1067" s="27" t="s">
        <v>7152</v>
      </c>
      <c r="Q1067" s="25" t="s">
        <v>3089</v>
      </c>
      <c r="R1067" s="25" t="s">
        <v>2516</v>
      </c>
      <c r="S1067" s="25" t="s">
        <v>25</v>
      </c>
      <c r="T1067" s="25">
        <v>1</v>
      </c>
      <c r="U1067" s="25" t="s">
        <v>2517</v>
      </c>
      <c r="V1067" s="25" t="s">
        <v>7153</v>
      </c>
      <c r="W1067" s="25" t="s">
        <v>7154</v>
      </c>
      <c r="X1067" s="59">
        <v>45897.523611111108</v>
      </c>
      <c r="Y1067" s="25" t="s">
        <v>7155</v>
      </c>
      <c r="Z1067" s="25">
        <v>0.5</v>
      </c>
      <c r="AA1067" s="25"/>
      <c r="AB1067" s="25" t="s">
        <v>2521</v>
      </c>
      <c r="AC1067" s="27" t="s">
        <v>7156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7157</v>
      </c>
      <c r="E1068" s="25" t="s">
        <v>2504</v>
      </c>
      <c r="F1068" s="25">
        <v>4144</v>
      </c>
      <c r="G1068" s="25" t="s">
        <v>3281</v>
      </c>
      <c r="H1068" s="25" t="s">
        <v>2659</v>
      </c>
      <c r="I1068" s="25" t="s">
        <v>7158</v>
      </c>
      <c r="J1068" s="25" t="s">
        <v>2536</v>
      </c>
      <c r="K1068" s="25" t="s">
        <v>2717</v>
      </c>
      <c r="L1068" s="25" t="s">
        <v>3150</v>
      </c>
      <c r="M1068" s="26" t="s">
        <v>3151</v>
      </c>
      <c r="N1068" s="25">
        <v>5903</v>
      </c>
      <c r="O1068" s="26" t="s">
        <v>3152</v>
      </c>
      <c r="P1068" s="27" t="s">
        <v>7159</v>
      </c>
      <c r="Q1068" s="25" t="s">
        <v>3284</v>
      </c>
      <c r="R1068" s="25" t="s">
        <v>2516</v>
      </c>
      <c r="S1068" s="25" t="s">
        <v>185</v>
      </c>
      <c r="T1068" s="25">
        <v>1</v>
      </c>
      <c r="U1068" s="25" t="s">
        <v>2517</v>
      </c>
      <c r="V1068" s="25" t="s">
        <v>7160</v>
      </c>
      <c r="W1068" s="25" t="s">
        <v>7161</v>
      </c>
      <c r="X1068" s="59">
        <v>45897.430555555547</v>
      </c>
      <c r="Y1068" s="25" t="s">
        <v>7162</v>
      </c>
      <c r="Z1068" s="25">
        <v>0.5</v>
      </c>
      <c r="AA1068" s="25"/>
      <c r="AB1068" s="25" t="s">
        <v>2521</v>
      </c>
      <c r="AC1068" s="27" t="s">
        <v>7163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7164</v>
      </c>
      <c r="E1069" s="25" t="s">
        <v>2504</v>
      </c>
      <c r="F1069" s="25">
        <v>4241</v>
      </c>
      <c r="G1069" s="25" t="s">
        <v>3033</v>
      </c>
      <c r="H1069" s="25" t="s">
        <v>2507</v>
      </c>
      <c r="I1069" s="25" t="s">
        <v>7165</v>
      </c>
      <c r="J1069" s="25" t="s">
        <v>2835</v>
      </c>
      <c r="K1069" s="25" t="s">
        <v>2568</v>
      </c>
      <c r="L1069" s="25" t="s">
        <v>2611</v>
      </c>
      <c r="M1069" s="26" t="s">
        <v>2612</v>
      </c>
      <c r="N1069" s="25" t="s">
        <v>3110</v>
      </c>
      <c r="O1069" s="26" t="s">
        <v>6688</v>
      </c>
      <c r="P1069" s="27" t="s">
        <v>7166</v>
      </c>
      <c r="Q1069" s="25" t="s">
        <v>3037</v>
      </c>
      <c r="R1069" s="25" t="s">
        <v>2516</v>
      </c>
      <c r="S1069" s="25" t="s">
        <v>25</v>
      </c>
      <c r="T1069" s="25">
        <v>1</v>
      </c>
      <c r="U1069" s="25" t="s">
        <v>2517</v>
      </c>
      <c r="V1069" s="25" t="s">
        <v>7167</v>
      </c>
      <c r="W1069" s="25" t="s">
        <v>7168</v>
      </c>
      <c r="X1069" s="59">
        <v>45897.481944444437</v>
      </c>
      <c r="Y1069" s="25" t="s">
        <v>7169</v>
      </c>
      <c r="Z1069" s="25">
        <v>0.5</v>
      </c>
      <c r="AA1069" s="25"/>
      <c r="AB1069" s="25" t="s">
        <v>2521</v>
      </c>
      <c r="AC1069" s="27" t="s">
        <v>7170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7171</v>
      </c>
      <c r="E1070" s="25" t="s">
        <v>2504</v>
      </c>
      <c r="F1070" s="25">
        <v>4341</v>
      </c>
      <c r="G1070" s="25" t="s">
        <v>4297</v>
      </c>
      <c r="H1070" s="25" t="s">
        <v>2659</v>
      </c>
      <c r="I1070" s="25" t="s">
        <v>7172</v>
      </c>
      <c r="J1070" s="25" t="s">
        <v>2835</v>
      </c>
      <c r="K1070" s="25" t="s">
        <v>2568</v>
      </c>
      <c r="L1070" s="25" t="s">
        <v>2511</v>
      </c>
      <c r="M1070" s="26" t="s">
        <v>2512</v>
      </c>
      <c r="N1070" s="25">
        <v>2306</v>
      </c>
      <c r="O1070" s="26" t="s">
        <v>2893</v>
      </c>
      <c r="P1070" s="27" t="s">
        <v>7173</v>
      </c>
      <c r="Q1070" s="25" t="s">
        <v>4298</v>
      </c>
      <c r="R1070" s="25" t="s">
        <v>2516</v>
      </c>
      <c r="S1070" s="25" t="s">
        <v>185</v>
      </c>
      <c r="T1070" s="25">
        <v>1</v>
      </c>
      <c r="U1070" s="25" t="s">
        <v>2517</v>
      </c>
      <c r="V1070" s="25" t="s">
        <v>7174</v>
      </c>
      <c r="W1070" s="25" t="s">
        <v>7175</v>
      </c>
      <c r="X1070" s="59">
        <v>45897.411111111112</v>
      </c>
      <c r="Y1070" s="25" t="s">
        <v>7176</v>
      </c>
      <c r="Z1070" s="25">
        <v>0.5</v>
      </c>
      <c r="AA1070" s="25"/>
      <c r="AB1070" s="25" t="s">
        <v>2521</v>
      </c>
      <c r="AC1070" s="27" t="s">
        <v>7177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7178</v>
      </c>
      <c r="E1071" s="25" t="s">
        <v>2504</v>
      </c>
      <c r="F1071" s="25">
        <v>2109</v>
      </c>
      <c r="G1071" s="25" t="s">
        <v>6202</v>
      </c>
      <c r="H1071" s="25" t="s">
        <v>2659</v>
      </c>
      <c r="I1071" s="25" t="s">
        <v>7179</v>
      </c>
      <c r="J1071" s="25" t="s">
        <v>2835</v>
      </c>
      <c r="K1071" s="25" t="s">
        <v>2510</v>
      </c>
      <c r="L1071" s="25" t="s">
        <v>2611</v>
      </c>
      <c r="M1071" s="26" t="s">
        <v>2612</v>
      </c>
      <c r="N1071" s="25" t="s">
        <v>3526</v>
      </c>
      <c r="O1071" s="26" t="s">
        <v>3152</v>
      </c>
      <c r="P1071" s="27" t="s">
        <v>7180</v>
      </c>
      <c r="Q1071" s="25" t="s">
        <v>3395</v>
      </c>
      <c r="R1071" s="25" t="s">
        <v>2516</v>
      </c>
      <c r="S1071" s="25" t="s">
        <v>185</v>
      </c>
      <c r="T1071" s="25">
        <v>1</v>
      </c>
      <c r="U1071" s="25" t="s">
        <v>2517</v>
      </c>
      <c r="V1071" s="25" t="s">
        <v>7181</v>
      </c>
      <c r="W1071" s="25" t="s">
        <v>7182</v>
      </c>
      <c r="X1071" s="59">
        <v>45897.680555555547</v>
      </c>
      <c r="Y1071" s="25" t="s">
        <v>7183</v>
      </c>
      <c r="Z1071" s="25">
        <v>0.5</v>
      </c>
      <c r="AA1071" s="25"/>
      <c r="AB1071" s="25" t="s">
        <v>2521</v>
      </c>
      <c r="AC1071" s="27" t="s">
        <v>7184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2921</v>
      </c>
      <c r="H1072" s="25" t="s">
        <v>2507</v>
      </c>
      <c r="I1072" s="25"/>
      <c r="J1072" s="25"/>
      <c r="K1072" s="25"/>
      <c r="L1072" s="25"/>
      <c r="M1072" s="26"/>
      <c r="N1072" s="25"/>
      <c r="O1072" s="26"/>
      <c r="P1072" s="27"/>
      <c r="Q1072" s="25" t="s">
        <v>2922</v>
      </c>
      <c r="R1072" s="25" t="s">
        <v>2516</v>
      </c>
      <c r="S1072" s="25" t="s">
        <v>25</v>
      </c>
      <c r="T1072" s="25">
        <v>1</v>
      </c>
      <c r="U1072" s="25" t="s">
        <v>2517</v>
      </c>
      <c r="V1072" s="25" t="s">
        <v>7185</v>
      </c>
      <c r="W1072" s="25" t="s">
        <v>7186</v>
      </c>
      <c r="X1072" s="59">
        <v>45897.638888888891</v>
      </c>
      <c r="Y1072" s="25"/>
      <c r="Z1072" s="25">
        <v>0.6</v>
      </c>
      <c r="AA1072" s="25"/>
      <c r="AB1072" s="25" t="s">
        <v>2521</v>
      </c>
      <c r="AC1072" s="27" t="s">
        <v>5308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7187</v>
      </c>
      <c r="E1073" s="25" t="s">
        <v>2504</v>
      </c>
      <c r="F1073" s="25">
        <v>3890</v>
      </c>
      <c r="G1073" s="25" t="s">
        <v>2548</v>
      </c>
      <c r="H1073" s="25" t="s">
        <v>2507</v>
      </c>
      <c r="I1073" s="25" t="s">
        <v>7188</v>
      </c>
      <c r="J1073" s="25" t="s">
        <v>2567</v>
      </c>
      <c r="K1073" s="25" t="s">
        <v>2568</v>
      </c>
      <c r="L1073" s="25" t="s">
        <v>2511</v>
      </c>
      <c r="M1073" s="26" t="s">
        <v>2512</v>
      </c>
      <c r="N1073" s="25">
        <v>2307</v>
      </c>
      <c r="O1073" s="26" t="s">
        <v>2678</v>
      </c>
      <c r="P1073" s="27" t="s">
        <v>7189</v>
      </c>
      <c r="Q1073" s="25" t="s">
        <v>2552</v>
      </c>
      <c r="R1073" s="25" t="s">
        <v>2516</v>
      </c>
      <c r="S1073" s="25" t="s">
        <v>25</v>
      </c>
      <c r="T1073" s="25">
        <v>1</v>
      </c>
      <c r="U1073" s="25" t="s">
        <v>2517</v>
      </c>
      <c r="V1073" s="25" t="s">
        <v>7190</v>
      </c>
      <c r="W1073" s="25" t="s">
        <v>7191</v>
      </c>
      <c r="X1073" s="59">
        <v>45898.520833333343</v>
      </c>
      <c r="Y1073" s="25" t="s">
        <v>7192</v>
      </c>
      <c r="Z1073" s="25">
        <v>2</v>
      </c>
      <c r="AA1073" s="25"/>
      <c r="AB1073" s="25" t="s">
        <v>2521</v>
      </c>
      <c r="AC1073" s="27" t="s">
        <v>7193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7194</v>
      </c>
      <c r="E1074" s="25" t="s">
        <v>2843</v>
      </c>
      <c r="F1074" s="25">
        <v>3890</v>
      </c>
      <c r="G1074" s="25" t="s">
        <v>2548</v>
      </c>
      <c r="H1074" s="25" t="s">
        <v>2507</v>
      </c>
      <c r="I1074" s="25" t="s">
        <v>7195</v>
      </c>
      <c r="J1074" s="25" t="s">
        <v>2567</v>
      </c>
      <c r="K1074" s="25" t="s">
        <v>2568</v>
      </c>
      <c r="L1074" s="25" t="s">
        <v>2511</v>
      </c>
      <c r="M1074" s="26" t="s">
        <v>2512</v>
      </c>
      <c r="N1074" s="25">
        <v>2307</v>
      </c>
      <c r="O1074" s="26" t="s">
        <v>2678</v>
      </c>
      <c r="P1074" s="27" t="s">
        <v>7196</v>
      </c>
      <c r="Q1074" s="25" t="s">
        <v>2552</v>
      </c>
      <c r="R1074" s="25" t="s">
        <v>2516</v>
      </c>
      <c r="S1074" s="25" t="s">
        <v>25</v>
      </c>
      <c r="T1074" s="25">
        <v>1</v>
      </c>
      <c r="U1074" s="25" t="s">
        <v>2517</v>
      </c>
      <c r="V1074" s="25" t="s">
        <v>7197</v>
      </c>
      <c r="W1074" s="25" t="s">
        <v>7191</v>
      </c>
      <c r="X1074" s="59">
        <v>45898.520833333343</v>
      </c>
      <c r="Y1074" s="25" t="s">
        <v>7198</v>
      </c>
      <c r="Z1074" s="25">
        <v>2</v>
      </c>
      <c r="AA1074" s="25"/>
      <c r="AB1074" s="25" t="s">
        <v>2521</v>
      </c>
      <c r="AC1074" s="27" t="s">
        <v>7199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7200</v>
      </c>
      <c r="E1075" s="25" t="s">
        <v>2504</v>
      </c>
      <c r="F1075" s="25">
        <v>3452</v>
      </c>
      <c r="G1075" s="25" t="s">
        <v>7014</v>
      </c>
      <c r="H1075" s="25" t="s">
        <v>2641</v>
      </c>
      <c r="I1075" s="25" t="s">
        <v>7201</v>
      </c>
      <c r="J1075" s="25" t="s">
        <v>2567</v>
      </c>
      <c r="K1075" s="25" t="s">
        <v>2510</v>
      </c>
      <c r="L1075" s="25" t="s">
        <v>2511</v>
      </c>
      <c r="M1075" s="26" t="s">
        <v>2512</v>
      </c>
      <c r="N1075" s="25">
        <v>2305</v>
      </c>
      <c r="O1075" s="26" t="s">
        <v>3035</v>
      </c>
      <c r="P1075" s="27" t="s">
        <v>7202</v>
      </c>
      <c r="Q1075" s="25" t="s">
        <v>3905</v>
      </c>
      <c r="R1075" s="25" t="s">
        <v>2516</v>
      </c>
      <c r="S1075" s="25" t="s">
        <v>25</v>
      </c>
      <c r="T1075" s="25">
        <v>1</v>
      </c>
      <c r="U1075" s="25" t="s">
        <v>2517</v>
      </c>
      <c r="V1075" s="25" t="s">
        <v>7203</v>
      </c>
      <c r="W1075" s="25" t="s">
        <v>7204</v>
      </c>
      <c r="X1075" s="59">
        <v>45901.479166666657</v>
      </c>
      <c r="Y1075" s="25" t="s">
        <v>7205</v>
      </c>
      <c r="Z1075" s="25">
        <v>0.5</v>
      </c>
      <c r="AA1075" s="25"/>
      <c r="AB1075" s="25" t="s">
        <v>2521</v>
      </c>
      <c r="AC1075" s="27" t="s">
        <v>7206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7207</v>
      </c>
      <c r="E1076" s="25" t="s">
        <v>2504</v>
      </c>
      <c r="F1076" s="25">
        <v>2543</v>
      </c>
      <c r="G1076" s="25" t="s">
        <v>2828</v>
      </c>
      <c r="H1076" s="25" t="s">
        <v>2507</v>
      </c>
      <c r="I1076" s="25" t="s">
        <v>7208</v>
      </c>
      <c r="J1076" s="25" t="s">
        <v>2930</v>
      </c>
      <c r="K1076" s="25" t="s">
        <v>2765</v>
      </c>
      <c r="L1076" s="25" t="s">
        <v>2945</v>
      </c>
      <c r="M1076" s="26" t="s">
        <v>2946</v>
      </c>
      <c r="N1076" s="25" t="s">
        <v>3782</v>
      </c>
      <c r="O1076" s="26" t="s">
        <v>2582</v>
      </c>
      <c r="P1076" s="27" t="s">
        <v>7209</v>
      </c>
      <c r="Q1076" s="25" t="s">
        <v>2829</v>
      </c>
      <c r="R1076" s="25" t="s">
        <v>2516</v>
      </c>
      <c r="S1076" s="25" t="s">
        <v>25</v>
      </c>
      <c r="T1076" s="25">
        <v>1</v>
      </c>
      <c r="U1076" s="25" t="s">
        <v>2517</v>
      </c>
      <c r="V1076" s="25" t="s">
        <v>7210</v>
      </c>
      <c r="W1076" s="25" t="s">
        <v>7211</v>
      </c>
      <c r="X1076" s="59">
        <v>45901.497916666667</v>
      </c>
      <c r="Y1076" s="25" t="s">
        <v>7212</v>
      </c>
      <c r="Z1076" s="25">
        <v>0.5</v>
      </c>
      <c r="AA1076" s="25"/>
      <c r="AB1076" s="25" t="s">
        <v>2521</v>
      </c>
      <c r="AC1076" s="27" t="s">
        <v>7213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3334</v>
      </c>
      <c r="H1077" s="25" t="s">
        <v>2996</v>
      </c>
      <c r="I1077" s="25"/>
      <c r="J1077" s="25"/>
      <c r="K1077" s="25"/>
      <c r="L1077" s="25"/>
      <c r="M1077" s="26"/>
      <c r="N1077" s="25"/>
      <c r="O1077" s="26"/>
      <c r="P1077" s="27"/>
      <c r="Q1077" s="25" t="s">
        <v>3335</v>
      </c>
      <c r="R1077" s="25" t="s">
        <v>2516</v>
      </c>
      <c r="S1077" s="25" t="s">
        <v>185</v>
      </c>
      <c r="T1077" s="25">
        <v>1</v>
      </c>
      <c r="U1077" s="25" t="s">
        <v>2517</v>
      </c>
      <c r="V1077" s="25" t="s">
        <v>7214</v>
      </c>
      <c r="W1077" s="25" t="s">
        <v>7215</v>
      </c>
      <c r="X1077" s="59">
        <v>45901.5</v>
      </c>
      <c r="Y1077" s="25"/>
      <c r="Z1077" s="25">
        <v>0.5</v>
      </c>
      <c r="AA1077" s="25"/>
      <c r="AB1077" s="25" t="s">
        <v>2521</v>
      </c>
      <c r="AC1077" s="27" t="s">
        <v>6091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7216</v>
      </c>
      <c r="E1078" s="25" t="s">
        <v>2504</v>
      </c>
      <c r="F1078" s="25">
        <v>4917</v>
      </c>
      <c r="G1078" s="25" t="s">
        <v>4443</v>
      </c>
      <c r="H1078" s="25" t="s">
        <v>2609</v>
      </c>
      <c r="I1078" s="25" t="s">
        <v>7217</v>
      </c>
      <c r="J1078" s="25" t="s">
        <v>2567</v>
      </c>
      <c r="K1078" s="25" t="s">
        <v>2717</v>
      </c>
      <c r="L1078" s="25" t="s">
        <v>2611</v>
      </c>
      <c r="M1078" s="26" t="s">
        <v>2612</v>
      </c>
      <c r="N1078" s="25" t="s">
        <v>3110</v>
      </c>
      <c r="O1078" s="26" t="s">
        <v>6688</v>
      </c>
      <c r="P1078" s="27" t="s">
        <v>7218</v>
      </c>
      <c r="Q1078" s="25" t="s">
        <v>4444</v>
      </c>
      <c r="R1078" s="25" t="s">
        <v>2516</v>
      </c>
      <c r="S1078" s="25" t="s">
        <v>173</v>
      </c>
      <c r="T1078" s="25">
        <v>1</v>
      </c>
      <c r="U1078" s="25" t="s">
        <v>2517</v>
      </c>
      <c r="V1078" s="25" t="s">
        <v>7219</v>
      </c>
      <c r="W1078" s="25" t="s">
        <v>7220</v>
      </c>
      <c r="X1078" s="59">
        <v>45901.649305555547</v>
      </c>
      <c r="Y1078" s="25" t="s">
        <v>7221</v>
      </c>
      <c r="Z1078" s="25">
        <v>1.1000000000000001</v>
      </c>
      <c r="AA1078" s="25"/>
      <c r="AB1078" s="25" t="s">
        <v>2521</v>
      </c>
      <c r="AC1078" s="27" t="s">
        <v>7222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7223</v>
      </c>
      <c r="E1079" s="25" t="s">
        <v>2504</v>
      </c>
      <c r="F1079" s="25">
        <v>3652</v>
      </c>
      <c r="G1079" s="25" t="s">
        <v>4182</v>
      </c>
      <c r="H1079" s="25" t="s">
        <v>2659</v>
      </c>
      <c r="I1079" s="25" t="s">
        <v>7224</v>
      </c>
      <c r="J1079" s="25" t="s">
        <v>2567</v>
      </c>
      <c r="K1079" s="25" t="s">
        <v>2717</v>
      </c>
      <c r="L1079" s="25" t="s">
        <v>2537</v>
      </c>
      <c r="M1079" s="26" t="s">
        <v>2538</v>
      </c>
      <c r="N1079" s="25" t="s">
        <v>2539</v>
      </c>
      <c r="O1079" s="26" t="s">
        <v>2540</v>
      </c>
      <c r="P1079" s="27" t="s">
        <v>7225</v>
      </c>
      <c r="Q1079" s="25" t="s">
        <v>4183</v>
      </c>
      <c r="R1079" s="25" t="s">
        <v>2516</v>
      </c>
      <c r="S1079" s="25" t="s">
        <v>185</v>
      </c>
      <c r="T1079" s="25">
        <v>1</v>
      </c>
      <c r="U1079" s="25" t="s">
        <v>2517</v>
      </c>
      <c r="V1079" s="25" t="s">
        <v>7226</v>
      </c>
      <c r="W1079" s="25" t="s">
        <v>7227</v>
      </c>
      <c r="X1079" s="59">
        <v>45901.722222222219</v>
      </c>
      <c r="Y1079" s="25" t="s">
        <v>7228</v>
      </c>
      <c r="Z1079" s="25">
        <v>0.3</v>
      </c>
      <c r="AA1079" s="25"/>
      <c r="AB1079" s="25" t="s">
        <v>2521</v>
      </c>
      <c r="AC1079" s="27" t="s">
        <v>7229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7230</v>
      </c>
      <c r="E1080" s="25" t="s">
        <v>2504</v>
      </c>
      <c r="F1080" s="25" t="s">
        <v>4404</v>
      </c>
      <c r="G1080" s="25" t="s">
        <v>4405</v>
      </c>
      <c r="H1080" s="25" t="s">
        <v>2609</v>
      </c>
      <c r="I1080" s="25" t="s">
        <v>7231</v>
      </c>
      <c r="J1080" s="25" t="s">
        <v>2643</v>
      </c>
      <c r="K1080" s="25" t="s">
        <v>2568</v>
      </c>
      <c r="L1080" s="25" t="s">
        <v>2511</v>
      </c>
      <c r="M1080" s="26" t="s">
        <v>2512</v>
      </c>
      <c r="N1080" s="25">
        <v>2307</v>
      </c>
      <c r="O1080" s="26" t="s">
        <v>2678</v>
      </c>
      <c r="P1080" s="27" t="s">
        <v>7232</v>
      </c>
      <c r="Q1080" s="25" t="s">
        <v>4406</v>
      </c>
      <c r="R1080" s="25" t="s">
        <v>2516</v>
      </c>
      <c r="S1080" s="25" t="s">
        <v>173</v>
      </c>
      <c r="T1080" s="25">
        <v>1</v>
      </c>
      <c r="U1080" s="25" t="s">
        <v>2517</v>
      </c>
      <c r="V1080" s="25" t="s">
        <v>7233</v>
      </c>
      <c r="W1080" s="25" t="s">
        <v>7234</v>
      </c>
      <c r="X1080" s="59">
        <v>45901.697916666657</v>
      </c>
      <c r="Y1080" s="25" t="s">
        <v>7212</v>
      </c>
      <c r="Z1080" s="25">
        <v>0.6</v>
      </c>
      <c r="AA1080" s="25"/>
      <c r="AB1080" s="25" t="s">
        <v>2521</v>
      </c>
      <c r="AC1080" s="27" t="s">
        <v>7235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3338</v>
      </c>
      <c r="H1081" s="25" t="s">
        <v>2996</v>
      </c>
      <c r="I1081" s="25"/>
      <c r="J1081" s="25"/>
      <c r="K1081" s="25"/>
      <c r="L1081" s="25"/>
      <c r="M1081" s="26"/>
      <c r="N1081" s="25"/>
      <c r="O1081" s="26"/>
      <c r="P1081" s="27"/>
      <c r="Q1081" s="25" t="s">
        <v>3339</v>
      </c>
      <c r="R1081" s="25" t="s">
        <v>2516</v>
      </c>
      <c r="S1081" s="25" t="s">
        <v>185</v>
      </c>
      <c r="T1081" s="25">
        <v>1</v>
      </c>
      <c r="U1081" s="25" t="s">
        <v>2517</v>
      </c>
      <c r="V1081" s="25" t="s">
        <v>7236</v>
      </c>
      <c r="W1081" s="25" t="s">
        <v>7237</v>
      </c>
      <c r="X1081" s="59">
        <v>45901.576388888891</v>
      </c>
      <c r="Y1081" s="25"/>
      <c r="Z1081" s="25">
        <v>0.3</v>
      </c>
      <c r="AA1081" s="25"/>
      <c r="AB1081" s="25" t="s">
        <v>2521</v>
      </c>
      <c r="AC1081" s="27" t="s">
        <v>6091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3900</v>
      </c>
      <c r="H1082" s="25" t="s">
        <v>2507</v>
      </c>
      <c r="I1082" s="25"/>
      <c r="J1082" s="25"/>
      <c r="K1082" s="25"/>
      <c r="L1082" s="25"/>
      <c r="M1082" s="26"/>
      <c r="N1082" s="25"/>
      <c r="O1082" s="26"/>
      <c r="P1082" s="27"/>
      <c r="Q1082" s="25" t="s">
        <v>3901</v>
      </c>
      <c r="R1082" s="25" t="s">
        <v>2516</v>
      </c>
      <c r="S1082" s="25" t="s">
        <v>25</v>
      </c>
      <c r="T1082" s="25">
        <v>1</v>
      </c>
      <c r="U1082" s="25" t="s">
        <v>2517</v>
      </c>
      <c r="V1082" s="25" t="s">
        <v>7238</v>
      </c>
      <c r="W1082" s="25" t="s">
        <v>7239</v>
      </c>
      <c r="X1082" s="59">
        <v>45901.607638888891</v>
      </c>
      <c r="Y1082" s="25"/>
      <c r="Z1082" s="25">
        <v>0.3</v>
      </c>
      <c r="AA1082" s="25"/>
      <c r="AB1082" s="25" t="s">
        <v>2521</v>
      </c>
      <c r="AC1082" s="27" t="s">
        <v>6091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3890</v>
      </c>
      <c r="G1083" s="25" t="s">
        <v>3891</v>
      </c>
      <c r="H1083" s="25" t="s">
        <v>2641</v>
      </c>
      <c r="I1083" s="25"/>
      <c r="J1083" s="25"/>
      <c r="K1083" s="25"/>
      <c r="L1083" s="25"/>
      <c r="M1083" s="26"/>
      <c r="N1083" s="25"/>
      <c r="O1083" s="26"/>
      <c r="P1083" s="27"/>
      <c r="Q1083" s="25" t="s">
        <v>3892</v>
      </c>
      <c r="R1083" s="25" t="s">
        <v>2516</v>
      </c>
      <c r="S1083" s="25" t="s">
        <v>25</v>
      </c>
      <c r="T1083" s="25">
        <v>1</v>
      </c>
      <c r="U1083" s="25" t="s">
        <v>2517</v>
      </c>
      <c r="V1083" s="25" t="s">
        <v>7240</v>
      </c>
      <c r="W1083" s="25" t="s">
        <v>7241</v>
      </c>
      <c r="X1083" s="59">
        <v>45901.618055555547</v>
      </c>
      <c r="Y1083" s="25"/>
      <c r="Z1083" s="25">
        <v>0.3</v>
      </c>
      <c r="AA1083" s="25"/>
      <c r="AB1083" s="25" t="s">
        <v>2521</v>
      </c>
      <c r="AC1083" s="27" t="s">
        <v>6091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3613</v>
      </c>
      <c r="H1084" s="25" t="s">
        <v>2641</v>
      </c>
      <c r="I1084" s="25"/>
      <c r="J1084" s="25"/>
      <c r="K1084" s="25"/>
      <c r="L1084" s="25"/>
      <c r="M1084" s="26"/>
      <c r="N1084" s="25"/>
      <c r="O1084" s="26"/>
      <c r="P1084" s="27"/>
      <c r="Q1084" s="25" t="s">
        <v>3616</v>
      </c>
      <c r="R1084" s="25" t="s">
        <v>2516</v>
      </c>
      <c r="S1084" s="25" t="s">
        <v>25</v>
      </c>
      <c r="T1084" s="25">
        <v>1</v>
      </c>
      <c r="U1084" s="25" t="s">
        <v>2517</v>
      </c>
      <c r="V1084" s="25" t="s">
        <v>7242</v>
      </c>
      <c r="W1084" s="25" t="s">
        <v>7243</v>
      </c>
      <c r="X1084" s="59">
        <v>45901.654861111107</v>
      </c>
      <c r="Y1084" s="25"/>
      <c r="Z1084" s="25">
        <v>0.4</v>
      </c>
      <c r="AA1084" s="25"/>
      <c r="AB1084" s="25" t="s">
        <v>2521</v>
      </c>
      <c r="AC1084" s="27" t="s">
        <v>6091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2724</v>
      </c>
      <c r="G1085" s="25" t="s">
        <v>2725</v>
      </c>
      <c r="H1085" s="25" t="s">
        <v>2641</v>
      </c>
      <c r="I1085" s="25"/>
      <c r="J1085" s="25"/>
      <c r="K1085" s="25"/>
      <c r="L1085" s="25"/>
      <c r="M1085" s="26"/>
      <c r="N1085" s="25"/>
      <c r="O1085" s="26"/>
      <c r="P1085" s="27"/>
      <c r="Q1085" s="25" t="s">
        <v>2726</v>
      </c>
      <c r="R1085" s="25" t="s">
        <v>2516</v>
      </c>
      <c r="S1085" s="25" t="s">
        <v>25</v>
      </c>
      <c r="T1085" s="25">
        <v>1</v>
      </c>
      <c r="U1085" s="25" t="s">
        <v>2517</v>
      </c>
      <c r="V1085" s="25" t="s">
        <v>7244</v>
      </c>
      <c r="W1085" s="25" t="s">
        <v>7245</v>
      </c>
      <c r="X1085" s="59">
        <v>45901.673611111109</v>
      </c>
      <c r="Y1085" s="25"/>
      <c r="Z1085" s="25">
        <v>0.3</v>
      </c>
      <c r="AA1085" s="25"/>
      <c r="AB1085" s="25" t="s">
        <v>2521</v>
      </c>
      <c r="AC1085" s="27" t="s">
        <v>6091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3092</v>
      </c>
      <c r="H1086" s="25" t="s">
        <v>2641</v>
      </c>
      <c r="I1086" s="25"/>
      <c r="J1086" s="25"/>
      <c r="K1086" s="25"/>
      <c r="L1086" s="25"/>
      <c r="M1086" s="26"/>
      <c r="N1086" s="25"/>
      <c r="O1086" s="26"/>
      <c r="P1086" s="27"/>
      <c r="Q1086" s="25" t="s">
        <v>3093</v>
      </c>
      <c r="R1086" s="25" t="s">
        <v>2516</v>
      </c>
      <c r="S1086" s="25" t="s">
        <v>25</v>
      </c>
      <c r="T1086" s="25">
        <v>1</v>
      </c>
      <c r="U1086" s="25" t="s">
        <v>2517</v>
      </c>
      <c r="V1086" s="25" t="s">
        <v>7246</v>
      </c>
      <c r="W1086" s="25" t="s">
        <v>7247</v>
      </c>
      <c r="X1086" s="59">
        <v>45901.694444444453</v>
      </c>
      <c r="Y1086" s="25"/>
      <c r="Z1086" s="25">
        <v>0.3</v>
      </c>
      <c r="AA1086" s="25"/>
      <c r="AB1086" s="25" t="s">
        <v>2521</v>
      </c>
      <c r="AC1086" s="27" t="s">
        <v>6091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7248</v>
      </c>
      <c r="E1087" s="25" t="s">
        <v>2504</v>
      </c>
      <c r="F1087" s="25">
        <v>3752</v>
      </c>
      <c r="G1087" s="25" t="s">
        <v>4432</v>
      </c>
      <c r="H1087" s="25" t="s">
        <v>2609</v>
      </c>
      <c r="I1087" s="25" t="s">
        <v>7249</v>
      </c>
      <c r="J1087" s="25" t="s">
        <v>2661</v>
      </c>
      <c r="K1087" s="25" t="s">
        <v>2568</v>
      </c>
      <c r="L1087" s="25" t="s">
        <v>2511</v>
      </c>
      <c r="M1087" s="26" t="s">
        <v>2512</v>
      </c>
      <c r="N1087" s="25">
        <v>2307</v>
      </c>
      <c r="O1087" s="26" t="s">
        <v>2678</v>
      </c>
      <c r="P1087" s="27" t="s">
        <v>7250</v>
      </c>
      <c r="Q1087" s="25" t="s">
        <v>4433</v>
      </c>
      <c r="R1087" s="25" t="s">
        <v>2516</v>
      </c>
      <c r="S1087" s="25" t="s">
        <v>173</v>
      </c>
      <c r="T1087" s="25">
        <v>1</v>
      </c>
      <c r="U1087" s="25" t="s">
        <v>2517</v>
      </c>
      <c r="V1087" s="25" t="s">
        <v>7251</v>
      </c>
      <c r="W1087" s="25" t="s">
        <v>7252</v>
      </c>
      <c r="X1087" s="59">
        <v>45902.407638888893</v>
      </c>
      <c r="Y1087" s="25" t="s">
        <v>7253</v>
      </c>
      <c r="Z1087" s="25">
        <v>0.5</v>
      </c>
      <c r="AA1087" s="25"/>
      <c r="AB1087" s="25" t="s">
        <v>2521</v>
      </c>
      <c r="AC1087" s="27" t="s">
        <v>7254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7255</v>
      </c>
      <c r="E1088" s="25" t="s">
        <v>2843</v>
      </c>
      <c r="F1088" s="25">
        <v>3752</v>
      </c>
      <c r="G1088" s="25" t="s">
        <v>4432</v>
      </c>
      <c r="H1088" s="25" t="s">
        <v>2609</v>
      </c>
      <c r="I1088" s="25" t="s">
        <v>7256</v>
      </c>
      <c r="J1088" s="25" t="s">
        <v>2661</v>
      </c>
      <c r="K1088" s="25" t="s">
        <v>2510</v>
      </c>
      <c r="L1088" s="25" t="s">
        <v>2511</v>
      </c>
      <c r="M1088" s="26" t="s">
        <v>2512</v>
      </c>
      <c r="N1088" s="25">
        <v>2307</v>
      </c>
      <c r="O1088" s="26" t="s">
        <v>2678</v>
      </c>
      <c r="P1088" s="27" t="s">
        <v>7257</v>
      </c>
      <c r="Q1088" s="25" t="s">
        <v>4433</v>
      </c>
      <c r="R1088" s="25" t="s">
        <v>2516</v>
      </c>
      <c r="S1088" s="25" t="s">
        <v>173</v>
      </c>
      <c r="T1088" s="25">
        <v>1</v>
      </c>
      <c r="U1088" s="25" t="s">
        <v>2517</v>
      </c>
      <c r="V1088" s="25" t="s">
        <v>7258</v>
      </c>
      <c r="W1088" s="25" t="s">
        <v>7259</v>
      </c>
      <c r="X1088" s="59">
        <v>45902.409722222219</v>
      </c>
      <c r="Y1088" s="25" t="s">
        <v>7260</v>
      </c>
      <c r="Z1088" s="25">
        <v>1</v>
      </c>
      <c r="AA1088" s="25"/>
      <c r="AB1088" s="25" t="s">
        <v>2521</v>
      </c>
      <c r="AC1088" s="27" t="s">
        <v>7261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7262</v>
      </c>
      <c r="E1089" s="25" t="s">
        <v>2504</v>
      </c>
      <c r="F1089" s="25">
        <v>2224</v>
      </c>
      <c r="G1089" s="25" t="s">
        <v>4224</v>
      </c>
      <c r="H1089" s="25" t="s">
        <v>2609</v>
      </c>
      <c r="I1089" s="25" t="s">
        <v>7263</v>
      </c>
      <c r="J1089" s="25" t="s">
        <v>2509</v>
      </c>
      <c r="K1089" s="25" t="s">
        <v>2765</v>
      </c>
      <c r="L1089" s="25" t="s">
        <v>2511</v>
      </c>
      <c r="M1089" s="26" t="s">
        <v>2512</v>
      </c>
      <c r="N1089" s="25">
        <v>2306</v>
      </c>
      <c r="O1089" s="26" t="s">
        <v>2893</v>
      </c>
      <c r="P1089" s="27" t="s">
        <v>7264</v>
      </c>
      <c r="Q1089" s="25" t="s">
        <v>4227</v>
      </c>
      <c r="R1089" s="25" t="s">
        <v>2516</v>
      </c>
      <c r="S1089" s="25" t="s">
        <v>173</v>
      </c>
      <c r="T1089" s="25">
        <v>1</v>
      </c>
      <c r="U1089" s="25" t="s">
        <v>2517</v>
      </c>
      <c r="V1089" s="25" t="s">
        <v>7265</v>
      </c>
      <c r="W1089" s="25" t="s">
        <v>7266</v>
      </c>
      <c r="X1089" s="59">
        <v>45902.411111111112</v>
      </c>
      <c r="Y1089" s="25" t="s">
        <v>7267</v>
      </c>
      <c r="Z1089" s="25">
        <v>0.5</v>
      </c>
      <c r="AA1089" s="25"/>
      <c r="AB1089" s="25" t="s">
        <v>2521</v>
      </c>
      <c r="AC1089" s="27" t="s">
        <v>2684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4432</v>
      </c>
      <c r="H1090" s="25" t="s">
        <v>2609</v>
      </c>
      <c r="I1090" s="25"/>
      <c r="J1090" s="25"/>
      <c r="K1090" s="25"/>
      <c r="L1090" s="25"/>
      <c r="M1090" s="26"/>
      <c r="N1090" s="25"/>
      <c r="O1090" s="26"/>
      <c r="P1090" s="27"/>
      <c r="Q1090" s="25" t="s">
        <v>4433</v>
      </c>
      <c r="R1090" s="25" t="s">
        <v>2516</v>
      </c>
      <c r="S1090" s="25" t="s">
        <v>173</v>
      </c>
      <c r="T1090" s="25">
        <v>1</v>
      </c>
      <c r="U1090" s="25" t="s">
        <v>2517</v>
      </c>
      <c r="V1090" s="25" t="s">
        <v>7268</v>
      </c>
      <c r="W1090" s="25" t="s">
        <v>7259</v>
      </c>
      <c r="X1090" s="59">
        <v>45902.430555555547</v>
      </c>
      <c r="Y1090" s="25"/>
      <c r="Z1090" s="25">
        <v>1.5</v>
      </c>
      <c r="AA1090" s="25"/>
      <c r="AB1090" s="25" t="s">
        <v>2521</v>
      </c>
      <c r="AC1090" s="27" t="s">
        <v>6091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7269</v>
      </c>
      <c r="E1091" s="25" t="s">
        <v>2504</v>
      </c>
      <c r="F1091" s="25">
        <v>4856</v>
      </c>
      <c r="G1091" s="25" t="s">
        <v>2763</v>
      </c>
      <c r="H1091" s="25" t="s">
        <v>2659</v>
      </c>
      <c r="I1091" s="25" t="s">
        <v>7270</v>
      </c>
      <c r="J1091" s="25" t="s">
        <v>2661</v>
      </c>
      <c r="K1091" s="25" t="s">
        <v>2510</v>
      </c>
      <c r="L1091" s="25" t="s">
        <v>3483</v>
      </c>
      <c r="M1091" s="26" t="s">
        <v>3484</v>
      </c>
      <c r="N1091" s="25">
        <v>6001</v>
      </c>
      <c r="O1091" s="26" t="s">
        <v>2598</v>
      </c>
      <c r="P1091" s="27" t="s">
        <v>7271</v>
      </c>
      <c r="Q1091" s="25" t="s">
        <v>2767</v>
      </c>
      <c r="R1091" s="25" t="s">
        <v>2516</v>
      </c>
      <c r="S1091" s="25" t="s">
        <v>185</v>
      </c>
      <c r="T1091" s="25">
        <v>1</v>
      </c>
      <c r="U1091" s="25" t="s">
        <v>2517</v>
      </c>
      <c r="V1091" s="25" t="s">
        <v>7272</v>
      </c>
      <c r="W1091" s="25" t="s">
        <v>7273</v>
      </c>
      <c r="X1091" s="59">
        <v>45902.576388888891</v>
      </c>
      <c r="Y1091" s="25" t="s">
        <v>7274</v>
      </c>
      <c r="Z1091" s="25">
        <v>0.5</v>
      </c>
      <c r="AA1091" s="25"/>
      <c r="AB1091" s="25" t="s">
        <v>2521</v>
      </c>
      <c r="AC1091" s="27" t="s">
        <v>7275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2579</v>
      </c>
      <c r="G1092" s="25" t="s">
        <v>2580</v>
      </c>
      <c r="H1092" s="25" t="s">
        <v>1604</v>
      </c>
      <c r="I1092" s="25"/>
      <c r="J1092" s="25"/>
      <c r="K1092" s="25"/>
      <c r="L1092" s="25"/>
      <c r="M1092" s="26"/>
      <c r="N1092" s="25"/>
      <c r="O1092" s="26"/>
      <c r="P1092" s="27"/>
      <c r="Q1092" s="25" t="s">
        <v>2584</v>
      </c>
      <c r="R1092" s="25" t="s">
        <v>2516</v>
      </c>
      <c r="S1092" s="25" t="s">
        <v>25</v>
      </c>
      <c r="T1092" s="25">
        <v>1</v>
      </c>
      <c r="U1092" s="25" t="s">
        <v>2517</v>
      </c>
      <c r="V1092" s="25" t="s">
        <v>7276</v>
      </c>
      <c r="W1092" s="25" t="s">
        <v>7277</v>
      </c>
      <c r="X1092" s="59">
        <v>45902.478472222218</v>
      </c>
      <c r="Y1092" s="25"/>
      <c r="Z1092" s="25">
        <v>0.5</v>
      </c>
      <c r="AA1092" s="25"/>
      <c r="AB1092" s="25" t="s">
        <v>2521</v>
      </c>
      <c r="AC1092" s="27" t="s">
        <v>6091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3314</v>
      </c>
      <c r="H1093" s="25" t="s">
        <v>1604</v>
      </c>
      <c r="I1093" s="25"/>
      <c r="J1093" s="25"/>
      <c r="K1093" s="25"/>
      <c r="L1093" s="25"/>
      <c r="M1093" s="26"/>
      <c r="N1093" s="25"/>
      <c r="O1093" s="26"/>
      <c r="P1093" s="27"/>
      <c r="Q1093" s="25" t="s">
        <v>3315</v>
      </c>
      <c r="R1093" s="25" t="s">
        <v>2516</v>
      </c>
      <c r="S1093" s="25" t="s">
        <v>25</v>
      </c>
      <c r="T1093" s="25">
        <v>1</v>
      </c>
      <c r="U1093" s="25" t="s">
        <v>2517</v>
      </c>
      <c r="V1093" s="25" t="s">
        <v>7278</v>
      </c>
      <c r="W1093" s="25" t="s">
        <v>7279</v>
      </c>
      <c r="X1093" s="59">
        <v>45902.531944444447</v>
      </c>
      <c r="Y1093" s="25"/>
      <c r="Z1093" s="25">
        <v>0.4</v>
      </c>
      <c r="AA1093" s="25"/>
      <c r="AB1093" s="25" t="s">
        <v>2521</v>
      </c>
      <c r="AC1093" s="27" t="s">
        <v>6091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7280</v>
      </c>
      <c r="H1094" s="25" t="s">
        <v>3248</v>
      </c>
      <c r="I1094" s="25"/>
      <c r="J1094" s="25"/>
      <c r="K1094" s="25"/>
      <c r="L1094" s="25"/>
      <c r="M1094" s="26"/>
      <c r="N1094" s="25"/>
      <c r="O1094" s="26"/>
      <c r="P1094" s="27"/>
      <c r="Q1094" s="25" t="s">
        <v>3331</v>
      </c>
      <c r="R1094" s="25" t="s">
        <v>2516</v>
      </c>
      <c r="S1094" s="25" t="s">
        <v>25</v>
      </c>
      <c r="T1094" s="25">
        <v>1</v>
      </c>
      <c r="U1094" s="25" t="s">
        <v>2517</v>
      </c>
      <c r="V1094" s="25" t="s">
        <v>7281</v>
      </c>
      <c r="W1094" s="25" t="s">
        <v>7212</v>
      </c>
      <c r="X1094" s="59">
        <v>45902.557638888888</v>
      </c>
      <c r="Y1094" s="25"/>
      <c r="Z1094" s="25">
        <v>0.4</v>
      </c>
      <c r="AA1094" s="25"/>
      <c r="AB1094" s="25" t="s">
        <v>2521</v>
      </c>
      <c r="AC1094" s="27" t="s">
        <v>6091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3342</v>
      </c>
      <c r="H1095" s="25" t="s">
        <v>3248</v>
      </c>
      <c r="I1095" s="25"/>
      <c r="J1095" s="25"/>
      <c r="K1095" s="25"/>
      <c r="L1095" s="25"/>
      <c r="M1095" s="26"/>
      <c r="N1095" s="25"/>
      <c r="O1095" s="26"/>
      <c r="P1095" s="27"/>
      <c r="Q1095" s="25" t="s">
        <v>3343</v>
      </c>
      <c r="R1095" s="25" t="s">
        <v>2516</v>
      </c>
      <c r="S1095" s="25" t="s">
        <v>25</v>
      </c>
      <c r="T1095" s="25">
        <v>1</v>
      </c>
      <c r="U1095" s="25" t="s">
        <v>2517</v>
      </c>
      <c r="V1095" s="25" t="s">
        <v>7282</v>
      </c>
      <c r="W1095" s="25" t="s">
        <v>7283</v>
      </c>
      <c r="X1095" s="59">
        <v>45902.609027777777</v>
      </c>
      <c r="Y1095" s="25"/>
      <c r="Z1095" s="25">
        <v>0.4</v>
      </c>
      <c r="AA1095" s="25"/>
      <c r="AB1095" s="25" t="s">
        <v>2521</v>
      </c>
      <c r="AC1095" s="27" t="s">
        <v>6091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4045</v>
      </c>
      <c r="H1096" s="25" t="s">
        <v>1604</v>
      </c>
      <c r="I1096" s="25"/>
      <c r="J1096" s="25"/>
      <c r="K1096" s="25"/>
      <c r="L1096" s="25"/>
      <c r="M1096" s="26"/>
      <c r="N1096" s="25"/>
      <c r="O1096" s="26"/>
      <c r="P1096" s="27"/>
      <c r="Q1096" s="25" t="s">
        <v>4048</v>
      </c>
      <c r="R1096" s="25" t="s">
        <v>2516</v>
      </c>
      <c r="S1096" s="25" t="s">
        <v>25</v>
      </c>
      <c r="T1096" s="25">
        <v>1</v>
      </c>
      <c r="U1096" s="25" t="s">
        <v>2517</v>
      </c>
      <c r="V1096" s="25" t="s">
        <v>7284</v>
      </c>
      <c r="W1096" s="25" t="s">
        <v>7285</v>
      </c>
      <c r="X1096" s="59">
        <v>45902.67291666667</v>
      </c>
      <c r="Y1096" s="25"/>
      <c r="Z1096" s="25">
        <v>0.3</v>
      </c>
      <c r="AA1096" s="25"/>
      <c r="AB1096" s="25" t="s">
        <v>2521</v>
      </c>
      <c r="AC1096" s="27" t="s">
        <v>6091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4054</v>
      </c>
      <c r="H1097" s="25" t="s">
        <v>1604</v>
      </c>
      <c r="I1097" s="25"/>
      <c r="J1097" s="25"/>
      <c r="K1097" s="25"/>
      <c r="L1097" s="25"/>
      <c r="M1097" s="26"/>
      <c r="N1097" s="25"/>
      <c r="O1097" s="26"/>
      <c r="P1097" s="27"/>
      <c r="Q1097" s="25" t="s">
        <v>4055</v>
      </c>
      <c r="R1097" s="25" t="s">
        <v>2516</v>
      </c>
      <c r="S1097" s="25" t="s">
        <v>25</v>
      </c>
      <c r="T1097" s="25">
        <v>1</v>
      </c>
      <c r="U1097" s="25" t="s">
        <v>2517</v>
      </c>
      <c r="V1097" s="25" t="s">
        <v>7286</v>
      </c>
      <c r="W1097" s="25" t="s">
        <v>7287</v>
      </c>
      <c r="X1097" s="59">
        <v>45902.696527777778</v>
      </c>
      <c r="Y1097" s="25"/>
      <c r="Z1097" s="25">
        <v>0.4</v>
      </c>
      <c r="AA1097" s="25"/>
      <c r="AB1097" s="25" t="s">
        <v>2521</v>
      </c>
      <c r="AC1097" s="27" t="s">
        <v>6091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3973</v>
      </c>
      <c r="H1098" s="25" t="s">
        <v>1604</v>
      </c>
      <c r="I1098" s="25"/>
      <c r="J1098" s="25"/>
      <c r="K1098" s="25"/>
      <c r="L1098" s="25"/>
      <c r="M1098" s="26"/>
      <c r="N1098" s="25"/>
      <c r="O1098" s="26"/>
      <c r="P1098" s="27"/>
      <c r="Q1098" s="25" t="s">
        <v>3974</v>
      </c>
      <c r="R1098" s="25" t="s">
        <v>2516</v>
      </c>
      <c r="S1098" s="25" t="s">
        <v>25</v>
      </c>
      <c r="T1098" s="25">
        <v>1</v>
      </c>
      <c r="U1098" s="25" t="s">
        <v>2517</v>
      </c>
      <c r="V1098" s="25" t="s">
        <v>7288</v>
      </c>
      <c r="W1098" s="25" t="s">
        <v>7289</v>
      </c>
      <c r="X1098" s="59">
        <v>45903.532638888893</v>
      </c>
      <c r="Y1098" s="25"/>
      <c r="Z1098" s="25">
        <v>0.5</v>
      </c>
      <c r="AA1098" s="25"/>
      <c r="AB1098" s="25" t="s">
        <v>2521</v>
      </c>
      <c r="AC1098" s="27" t="s">
        <v>6216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4172</v>
      </c>
      <c r="H1099" s="25" t="s">
        <v>1604</v>
      </c>
      <c r="I1099" s="25"/>
      <c r="J1099" s="25"/>
      <c r="K1099" s="25"/>
      <c r="L1099" s="25"/>
      <c r="M1099" s="26"/>
      <c r="N1099" s="25"/>
      <c r="O1099" s="26"/>
      <c r="P1099" s="27"/>
      <c r="Q1099" s="25" t="s">
        <v>4173</v>
      </c>
      <c r="R1099" s="25" t="s">
        <v>2516</v>
      </c>
      <c r="S1099" s="25" t="s">
        <v>25</v>
      </c>
      <c r="T1099" s="25">
        <v>1</v>
      </c>
      <c r="U1099" s="25" t="s">
        <v>2517</v>
      </c>
      <c r="V1099" s="25" t="s">
        <v>7290</v>
      </c>
      <c r="W1099" s="25" t="s">
        <v>7291</v>
      </c>
      <c r="X1099" s="59">
        <v>45903.645833333343</v>
      </c>
      <c r="Y1099" s="25"/>
      <c r="Z1099" s="25">
        <v>0.3</v>
      </c>
      <c r="AA1099" s="25"/>
      <c r="AB1099" s="25" t="s">
        <v>2521</v>
      </c>
      <c r="AC1099" s="27" t="s">
        <v>6091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7292</v>
      </c>
      <c r="E1100" s="25" t="s">
        <v>2504</v>
      </c>
      <c r="F1100" s="25">
        <v>4145</v>
      </c>
      <c r="G1100" s="25" t="s">
        <v>2676</v>
      </c>
      <c r="H1100" s="25" t="s">
        <v>2609</v>
      </c>
      <c r="I1100" s="25" t="s">
        <v>7293</v>
      </c>
      <c r="J1100" s="25" t="s">
        <v>2536</v>
      </c>
      <c r="K1100" s="25" t="s">
        <v>2568</v>
      </c>
      <c r="L1100" s="25" t="s">
        <v>2511</v>
      </c>
      <c r="M1100" s="26" t="s">
        <v>2512</v>
      </c>
      <c r="N1100" s="25">
        <v>2307</v>
      </c>
      <c r="O1100" s="26" t="s">
        <v>2678</v>
      </c>
      <c r="P1100" s="27" t="s">
        <v>7294</v>
      </c>
      <c r="Q1100" s="25" t="s">
        <v>2680</v>
      </c>
      <c r="R1100" s="25" t="s">
        <v>2516</v>
      </c>
      <c r="S1100" s="25" t="s">
        <v>173</v>
      </c>
      <c r="T1100" s="25">
        <v>1</v>
      </c>
      <c r="U1100" s="25" t="s">
        <v>2517</v>
      </c>
      <c r="V1100" s="25" t="s">
        <v>7295</v>
      </c>
      <c r="W1100" s="25" t="s">
        <v>7296</v>
      </c>
      <c r="X1100" s="59">
        <v>45904.565972222219</v>
      </c>
      <c r="Y1100" s="25" t="s">
        <v>7297</v>
      </c>
      <c r="Z1100" s="25">
        <v>1.6</v>
      </c>
      <c r="AA1100" s="25"/>
      <c r="AB1100" s="25" t="s">
        <v>2521</v>
      </c>
      <c r="AC1100" s="27" t="s">
        <v>7298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4161</v>
      </c>
      <c r="H1101" s="25" t="s">
        <v>1604</v>
      </c>
      <c r="I1101" s="25"/>
      <c r="J1101" s="25"/>
      <c r="K1101" s="25"/>
      <c r="L1101" s="25"/>
      <c r="M1101" s="26"/>
      <c r="N1101" s="25"/>
      <c r="O1101" s="26"/>
      <c r="P1101" s="27"/>
      <c r="Q1101" s="25" t="s">
        <v>4162</v>
      </c>
      <c r="R1101" s="25" t="s">
        <v>2516</v>
      </c>
      <c r="S1101" s="25" t="s">
        <v>25</v>
      </c>
      <c r="T1101" s="25">
        <v>1</v>
      </c>
      <c r="U1101" s="25" t="s">
        <v>2517</v>
      </c>
      <c r="V1101" s="25" t="s">
        <v>7299</v>
      </c>
      <c r="W1101" s="25" t="s">
        <v>7300</v>
      </c>
      <c r="X1101" s="59">
        <v>45903.668749999997</v>
      </c>
      <c r="Y1101" s="25"/>
      <c r="Z1101" s="25">
        <v>0.4</v>
      </c>
      <c r="AA1101" s="25"/>
      <c r="AB1101" s="25" t="s">
        <v>2521</v>
      </c>
      <c r="AC1101" s="27" t="s">
        <v>6091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7301</v>
      </c>
      <c r="E1102" s="25" t="s">
        <v>2504</v>
      </c>
      <c r="F1102" s="25">
        <v>3818</v>
      </c>
      <c r="G1102" s="25" t="s">
        <v>2875</v>
      </c>
      <c r="H1102" s="25" t="s">
        <v>2609</v>
      </c>
      <c r="I1102" s="25" t="s">
        <v>7302</v>
      </c>
      <c r="J1102" s="25" t="s">
        <v>2835</v>
      </c>
      <c r="K1102" s="25" t="s">
        <v>2568</v>
      </c>
      <c r="L1102" s="25" t="s">
        <v>2611</v>
      </c>
      <c r="M1102" s="26" t="s">
        <v>2612</v>
      </c>
      <c r="N1102" s="25" t="s">
        <v>3110</v>
      </c>
      <c r="O1102" s="26" t="s">
        <v>6688</v>
      </c>
      <c r="P1102" s="27" t="s">
        <v>7303</v>
      </c>
      <c r="Q1102" s="25" t="s">
        <v>2878</v>
      </c>
      <c r="R1102" s="25" t="s">
        <v>2516</v>
      </c>
      <c r="S1102" s="25" t="s">
        <v>173</v>
      </c>
      <c r="T1102" s="25">
        <v>1</v>
      </c>
      <c r="U1102" s="25" t="s">
        <v>2517</v>
      </c>
      <c r="V1102" s="25" t="s">
        <v>7304</v>
      </c>
      <c r="W1102" s="25" t="s">
        <v>7305</v>
      </c>
      <c r="X1102" s="59">
        <v>45904.675000000003</v>
      </c>
      <c r="Y1102" s="25" t="s">
        <v>7306</v>
      </c>
      <c r="Z1102" s="25">
        <v>0.5</v>
      </c>
      <c r="AA1102" s="25"/>
      <c r="AB1102" s="25" t="s">
        <v>2521</v>
      </c>
      <c r="AC1102" s="27" t="s">
        <v>7307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7308</v>
      </c>
      <c r="E1103" s="25" t="s">
        <v>2843</v>
      </c>
      <c r="F1103" s="25">
        <v>4025</v>
      </c>
      <c r="G1103" s="25" t="s">
        <v>4285</v>
      </c>
      <c r="H1103" s="25" t="s">
        <v>2659</v>
      </c>
      <c r="I1103" s="25" t="s">
        <v>7309</v>
      </c>
      <c r="J1103" s="25" t="s">
        <v>2835</v>
      </c>
      <c r="K1103" s="25" t="s">
        <v>2568</v>
      </c>
      <c r="L1103" s="25" t="s">
        <v>2846</v>
      </c>
      <c r="M1103" s="26" t="s">
        <v>2847</v>
      </c>
      <c r="N1103" s="25">
        <v>2405</v>
      </c>
      <c r="O1103" s="26" t="s">
        <v>2963</v>
      </c>
      <c r="P1103" s="27" t="s">
        <v>7310</v>
      </c>
      <c r="Q1103" s="25" t="s">
        <v>4286</v>
      </c>
      <c r="R1103" s="25" t="s">
        <v>2516</v>
      </c>
      <c r="S1103" s="25" t="s">
        <v>185</v>
      </c>
      <c r="T1103" s="25">
        <v>1</v>
      </c>
      <c r="U1103" s="25" t="s">
        <v>2517</v>
      </c>
      <c r="V1103" s="25" t="s">
        <v>7311</v>
      </c>
      <c r="W1103" s="25" t="s">
        <v>7296</v>
      </c>
      <c r="X1103" s="59">
        <v>45904.566666666673</v>
      </c>
      <c r="Y1103" s="25" t="s">
        <v>7312</v>
      </c>
      <c r="Z1103" s="25">
        <v>1.6</v>
      </c>
      <c r="AA1103" s="25"/>
      <c r="AB1103" s="25" t="s">
        <v>2521</v>
      </c>
      <c r="AC1103" s="27" t="s">
        <v>7313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4288</v>
      </c>
      <c r="H1104" s="25" t="s">
        <v>2609</v>
      </c>
      <c r="I1104" s="25"/>
      <c r="J1104" s="25"/>
      <c r="K1104" s="25"/>
      <c r="L1104" s="25"/>
      <c r="M1104" s="26"/>
      <c r="N1104" s="25"/>
      <c r="O1104" s="26"/>
      <c r="P1104" s="27"/>
      <c r="Q1104" s="25" t="s">
        <v>4289</v>
      </c>
      <c r="R1104" s="25" t="s">
        <v>2516</v>
      </c>
      <c r="S1104" s="25" t="s">
        <v>173</v>
      </c>
      <c r="T1104" s="25">
        <v>1</v>
      </c>
      <c r="U1104" s="25" t="s">
        <v>2517</v>
      </c>
      <c r="V1104" s="25" t="s">
        <v>7314</v>
      </c>
      <c r="W1104" s="25" t="s">
        <v>7315</v>
      </c>
      <c r="X1104" s="59">
        <v>45904.586805555547</v>
      </c>
      <c r="Y1104" s="25"/>
      <c r="Z1104" s="25">
        <v>0.3</v>
      </c>
      <c r="AA1104" s="25"/>
      <c r="AB1104" s="25" t="s">
        <v>2521</v>
      </c>
      <c r="AC1104" s="27" t="s">
        <v>6091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4292</v>
      </c>
      <c r="G1105" s="25" t="s">
        <v>4293</v>
      </c>
      <c r="H1105" s="25" t="s">
        <v>2609</v>
      </c>
      <c r="I1105" s="25"/>
      <c r="J1105" s="25"/>
      <c r="K1105" s="25"/>
      <c r="L1105" s="25"/>
      <c r="M1105" s="26"/>
      <c r="N1105" s="25"/>
      <c r="O1105" s="26"/>
      <c r="P1105" s="27"/>
      <c r="Q1105" s="25" t="s">
        <v>4294</v>
      </c>
      <c r="R1105" s="25" t="s">
        <v>2516</v>
      </c>
      <c r="S1105" s="25" t="s">
        <v>173</v>
      </c>
      <c r="T1105" s="25">
        <v>1</v>
      </c>
      <c r="U1105" s="25" t="s">
        <v>2517</v>
      </c>
      <c r="V1105" s="25" t="s">
        <v>7316</v>
      </c>
      <c r="W1105" s="25" t="s">
        <v>7317</v>
      </c>
      <c r="X1105" s="59">
        <v>45904.599305555559</v>
      </c>
      <c r="Y1105" s="25"/>
      <c r="Z1105" s="25">
        <v>0.2</v>
      </c>
      <c r="AA1105" s="25"/>
      <c r="AB1105" s="25" t="s">
        <v>2521</v>
      </c>
      <c r="AC1105" s="27" t="s">
        <v>6091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4463</v>
      </c>
      <c r="H1106" s="25" t="s">
        <v>2609</v>
      </c>
      <c r="I1106" s="25"/>
      <c r="J1106" s="25"/>
      <c r="K1106" s="25"/>
      <c r="L1106" s="25"/>
      <c r="M1106" s="26"/>
      <c r="N1106" s="25"/>
      <c r="O1106" s="26"/>
      <c r="P1106" s="27"/>
      <c r="Q1106" s="25" t="s">
        <v>4464</v>
      </c>
      <c r="R1106" s="25" t="s">
        <v>2516</v>
      </c>
      <c r="S1106" s="25" t="s">
        <v>173</v>
      </c>
      <c r="T1106" s="25">
        <v>1</v>
      </c>
      <c r="U1106" s="25" t="s">
        <v>2517</v>
      </c>
      <c r="V1106" s="25" t="s">
        <v>7318</v>
      </c>
      <c r="W1106" s="25" t="s">
        <v>7319</v>
      </c>
      <c r="X1106" s="59">
        <v>45904.611111111109</v>
      </c>
      <c r="Y1106" s="25"/>
      <c r="Z1106" s="25">
        <v>0.2</v>
      </c>
      <c r="AA1106" s="25"/>
      <c r="AB1106" s="25" t="s">
        <v>2521</v>
      </c>
      <c r="AC1106" s="27" t="s">
        <v>6091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4452</v>
      </c>
      <c r="H1107" s="25" t="s">
        <v>2609</v>
      </c>
      <c r="I1107" s="25"/>
      <c r="J1107" s="25"/>
      <c r="K1107" s="25"/>
      <c r="L1107" s="25"/>
      <c r="M1107" s="26"/>
      <c r="N1107" s="25"/>
      <c r="O1107" s="26"/>
      <c r="P1107" s="27"/>
      <c r="Q1107" s="25" t="s">
        <v>4453</v>
      </c>
      <c r="R1107" s="25" t="s">
        <v>2516</v>
      </c>
      <c r="S1107" s="25" t="s">
        <v>173</v>
      </c>
      <c r="T1107" s="25">
        <v>1</v>
      </c>
      <c r="U1107" s="25" t="s">
        <v>2517</v>
      </c>
      <c r="V1107" s="25" t="s">
        <v>7320</v>
      </c>
      <c r="W1107" s="25" t="s">
        <v>7321</v>
      </c>
      <c r="X1107" s="59">
        <v>45904.630555555559</v>
      </c>
      <c r="Y1107" s="25"/>
      <c r="Z1107" s="25">
        <v>0.3</v>
      </c>
      <c r="AA1107" s="25"/>
      <c r="AB1107" s="25" t="s">
        <v>2521</v>
      </c>
      <c r="AC1107" s="27" t="s">
        <v>6091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4278</v>
      </c>
      <c r="G1108" s="25" t="s">
        <v>4279</v>
      </c>
      <c r="H1108" s="25" t="s">
        <v>2609</v>
      </c>
      <c r="I1108" s="25"/>
      <c r="J1108" s="25"/>
      <c r="K1108" s="25"/>
      <c r="L1108" s="25"/>
      <c r="M1108" s="26"/>
      <c r="N1108" s="25"/>
      <c r="O1108" s="26"/>
      <c r="P1108" s="27"/>
      <c r="Q1108" s="25" t="s">
        <v>4280</v>
      </c>
      <c r="R1108" s="25" t="s">
        <v>2516</v>
      </c>
      <c r="S1108" s="25" t="s">
        <v>173</v>
      </c>
      <c r="T1108" s="25">
        <v>1</v>
      </c>
      <c r="U1108" s="25" t="s">
        <v>2517</v>
      </c>
      <c r="V1108" s="25" t="s">
        <v>7322</v>
      </c>
      <c r="W1108" s="25" t="s">
        <v>7323</v>
      </c>
      <c r="X1108" s="59">
        <v>45904.649305555547</v>
      </c>
      <c r="Y1108" s="25"/>
      <c r="Z1108" s="25">
        <v>0.3</v>
      </c>
      <c r="AA1108" s="25"/>
      <c r="AB1108" s="25" t="s">
        <v>2521</v>
      </c>
      <c r="AC1108" s="27" t="s">
        <v>6091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2875</v>
      </c>
      <c r="H1109" s="25" t="s">
        <v>2609</v>
      </c>
      <c r="I1109" s="25"/>
      <c r="J1109" s="25"/>
      <c r="K1109" s="25"/>
      <c r="L1109" s="25"/>
      <c r="M1109" s="26"/>
      <c r="N1109" s="25"/>
      <c r="O1109" s="26"/>
      <c r="P1109" s="27"/>
      <c r="Q1109" s="25" t="s">
        <v>2878</v>
      </c>
      <c r="R1109" s="25" t="s">
        <v>2516</v>
      </c>
      <c r="S1109" s="25" t="s">
        <v>173</v>
      </c>
      <c r="T1109" s="25">
        <v>1</v>
      </c>
      <c r="U1109" s="25" t="s">
        <v>2517</v>
      </c>
      <c r="V1109" s="25" t="s">
        <v>7324</v>
      </c>
      <c r="W1109" s="25" t="s">
        <v>7305</v>
      </c>
      <c r="X1109" s="59">
        <v>45904.675000000003</v>
      </c>
      <c r="Y1109" s="25"/>
      <c r="Z1109" s="25">
        <v>0.5</v>
      </c>
      <c r="AA1109" s="25"/>
      <c r="AB1109" s="25" t="s">
        <v>2521</v>
      </c>
      <c r="AC1109" s="27" t="s">
        <v>6091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7325</v>
      </c>
      <c r="E1110" s="25" t="s">
        <v>2504</v>
      </c>
      <c r="F1110" s="25">
        <v>4145</v>
      </c>
      <c r="G1110" s="25" t="s">
        <v>2676</v>
      </c>
      <c r="H1110" s="25" t="s">
        <v>2609</v>
      </c>
      <c r="I1110" s="25" t="s">
        <v>7326</v>
      </c>
      <c r="J1110" s="25" t="s">
        <v>2835</v>
      </c>
      <c r="K1110" s="25" t="s">
        <v>2510</v>
      </c>
      <c r="L1110" s="25" t="s">
        <v>2511</v>
      </c>
      <c r="M1110" s="26" t="s">
        <v>2512</v>
      </c>
      <c r="N1110" s="25">
        <v>2302</v>
      </c>
      <c r="O1110" s="26" t="s">
        <v>2550</v>
      </c>
      <c r="P1110" s="27" t="s">
        <v>7327</v>
      </c>
      <c r="Q1110" s="25" t="s">
        <v>2680</v>
      </c>
      <c r="R1110" s="25" t="s">
        <v>2516</v>
      </c>
      <c r="S1110" s="25" t="s">
        <v>173</v>
      </c>
      <c r="T1110" s="25">
        <v>1</v>
      </c>
      <c r="U1110" s="25" t="s">
        <v>2517</v>
      </c>
      <c r="V1110" s="25" t="s">
        <v>7328</v>
      </c>
      <c r="W1110" s="25" t="s">
        <v>7329</v>
      </c>
      <c r="X1110" s="59">
        <v>45905.481944444437</v>
      </c>
      <c r="Y1110" s="25" t="s">
        <v>7330</v>
      </c>
      <c r="Z1110" s="25">
        <v>0.4</v>
      </c>
      <c r="AA1110" s="25"/>
      <c r="AB1110" s="25" t="s">
        <v>2521</v>
      </c>
      <c r="AC1110" s="27" t="s">
        <v>3645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7331</v>
      </c>
      <c r="E1111" s="25" t="s">
        <v>2504</v>
      </c>
      <c r="F1111" s="25">
        <v>4698</v>
      </c>
      <c r="G1111" s="25" t="s">
        <v>3417</v>
      </c>
      <c r="H1111" s="25" t="s">
        <v>2507</v>
      </c>
      <c r="I1111" s="25" t="s">
        <v>7332</v>
      </c>
      <c r="J1111" s="25" t="s">
        <v>2567</v>
      </c>
      <c r="K1111" s="25" t="s">
        <v>2568</v>
      </c>
      <c r="L1111" s="25" t="s">
        <v>2569</v>
      </c>
      <c r="M1111" s="26" t="s">
        <v>2570</v>
      </c>
      <c r="N1111" s="25">
        <v>2501</v>
      </c>
      <c r="O1111" s="26" t="s">
        <v>2571</v>
      </c>
      <c r="P1111" s="27" t="s">
        <v>7333</v>
      </c>
      <c r="Q1111" s="25" t="s">
        <v>3418</v>
      </c>
      <c r="R1111" s="25" t="s">
        <v>2516</v>
      </c>
      <c r="S1111" s="25" t="s">
        <v>25</v>
      </c>
      <c r="T1111" s="25">
        <v>1</v>
      </c>
      <c r="U1111" s="25" t="s">
        <v>2517</v>
      </c>
      <c r="V1111" s="25" t="s">
        <v>7334</v>
      </c>
      <c r="W1111" s="25" t="s">
        <v>7335</v>
      </c>
      <c r="X1111" s="59">
        <v>45905.694444444453</v>
      </c>
      <c r="Y1111" s="25" t="s">
        <v>7336</v>
      </c>
      <c r="Z1111" s="25">
        <v>0.5</v>
      </c>
      <c r="AA1111" s="25"/>
      <c r="AB1111" s="25" t="s">
        <v>2521</v>
      </c>
      <c r="AC1111" s="27" t="s">
        <v>7337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7338</v>
      </c>
      <c r="E1112" s="25" t="s">
        <v>2504</v>
      </c>
      <c r="F1112" s="25">
        <v>5080</v>
      </c>
      <c r="G1112" s="25" t="s">
        <v>3247</v>
      </c>
      <c r="H1112" s="25" t="s">
        <v>3248</v>
      </c>
      <c r="I1112" s="25" t="s">
        <v>7339</v>
      </c>
      <c r="J1112" s="25" t="s">
        <v>2509</v>
      </c>
      <c r="K1112" s="25" t="s">
        <v>2510</v>
      </c>
      <c r="L1112" s="25" t="s">
        <v>7340</v>
      </c>
      <c r="M1112" s="26" t="s">
        <v>7341</v>
      </c>
      <c r="N1112" s="25">
        <v>9902</v>
      </c>
      <c r="O1112" s="26" t="s">
        <v>7342</v>
      </c>
      <c r="P1112" s="27" t="s">
        <v>7343</v>
      </c>
      <c r="Q1112" s="25" t="s">
        <v>3251</v>
      </c>
      <c r="R1112" s="25" t="s">
        <v>2516</v>
      </c>
      <c r="S1112" s="25" t="s">
        <v>25</v>
      </c>
      <c r="T1112" s="25">
        <v>1</v>
      </c>
      <c r="U1112" s="25" t="s">
        <v>2517</v>
      </c>
      <c r="V1112" s="25" t="s">
        <v>7344</v>
      </c>
      <c r="W1112" s="25" t="s">
        <v>7345</v>
      </c>
      <c r="X1112" s="59">
        <v>45908.454861111109</v>
      </c>
      <c r="Y1112" s="25" t="s">
        <v>7346</v>
      </c>
      <c r="Z1112" s="25">
        <v>0.9</v>
      </c>
      <c r="AA1112" s="25" t="s">
        <v>7347</v>
      </c>
      <c r="AB1112" s="25" t="s">
        <v>2521</v>
      </c>
      <c r="AC1112" s="27" t="s">
        <v>7348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7349</v>
      </c>
      <c r="E1113" s="25" t="s">
        <v>2504</v>
      </c>
      <c r="F1113" s="25">
        <v>3818</v>
      </c>
      <c r="G1113" s="25" t="s">
        <v>2875</v>
      </c>
      <c r="H1113" s="25" t="s">
        <v>2609</v>
      </c>
      <c r="I1113" s="25" t="s">
        <v>7350</v>
      </c>
      <c r="J1113" s="25" t="s">
        <v>2567</v>
      </c>
      <c r="K1113" s="25" t="s">
        <v>2510</v>
      </c>
      <c r="L1113" s="25" t="s">
        <v>2537</v>
      </c>
      <c r="M1113" s="26" t="s">
        <v>2538</v>
      </c>
      <c r="N1113" s="25" t="s">
        <v>2539</v>
      </c>
      <c r="O1113" s="26" t="s">
        <v>2540</v>
      </c>
      <c r="P1113" s="27" t="s">
        <v>7351</v>
      </c>
      <c r="Q1113" s="25" t="s">
        <v>2878</v>
      </c>
      <c r="R1113" s="25" t="s">
        <v>2516</v>
      </c>
      <c r="S1113" s="25" t="s">
        <v>173</v>
      </c>
      <c r="T1113" s="25">
        <v>1</v>
      </c>
      <c r="U1113" s="25" t="s">
        <v>2517</v>
      </c>
      <c r="V1113" s="25" t="s">
        <v>7352</v>
      </c>
      <c r="W1113" s="25" t="s">
        <v>7353</v>
      </c>
      <c r="X1113" s="59">
        <v>45908.506944444453</v>
      </c>
      <c r="Y1113" s="25" t="s">
        <v>7354</v>
      </c>
      <c r="Z1113" s="25">
        <v>0.5</v>
      </c>
      <c r="AA1113" s="25"/>
      <c r="AB1113" s="25" t="s">
        <v>2521</v>
      </c>
      <c r="AC1113" s="27" t="s">
        <v>2684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7355</v>
      </c>
      <c r="E1114" s="25" t="s">
        <v>2504</v>
      </c>
      <c r="F1114" s="25" t="s">
        <v>4409</v>
      </c>
      <c r="G1114" s="25" t="s">
        <v>4410</v>
      </c>
      <c r="H1114" s="25" t="s">
        <v>2609</v>
      </c>
      <c r="I1114" s="25" t="s">
        <v>7356</v>
      </c>
      <c r="J1114" s="25" t="s">
        <v>2567</v>
      </c>
      <c r="K1114" s="25" t="s">
        <v>2510</v>
      </c>
      <c r="L1114" s="25" t="s">
        <v>2537</v>
      </c>
      <c r="M1114" s="26" t="s">
        <v>2538</v>
      </c>
      <c r="N1114" s="25" t="s">
        <v>2539</v>
      </c>
      <c r="O1114" s="26" t="s">
        <v>2540</v>
      </c>
      <c r="P1114" s="27" t="s">
        <v>7357</v>
      </c>
      <c r="Q1114" s="25" t="s">
        <v>4411</v>
      </c>
      <c r="R1114" s="25" t="s">
        <v>2516</v>
      </c>
      <c r="S1114" s="25" t="s">
        <v>173</v>
      </c>
      <c r="T1114" s="25">
        <v>1</v>
      </c>
      <c r="U1114" s="25" t="s">
        <v>2517</v>
      </c>
      <c r="V1114" s="25" t="s">
        <v>7358</v>
      </c>
      <c r="W1114" s="25" t="s">
        <v>7359</v>
      </c>
      <c r="X1114" s="59">
        <v>45908.538194444453</v>
      </c>
      <c r="Y1114" s="25" t="s">
        <v>7360</v>
      </c>
      <c r="Z1114" s="25">
        <v>0.5</v>
      </c>
      <c r="AA1114" s="25"/>
      <c r="AB1114" s="25" t="s">
        <v>2521</v>
      </c>
      <c r="AC1114" s="27" t="s">
        <v>7361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7362</v>
      </c>
      <c r="E1115" s="25" t="s">
        <v>2504</v>
      </c>
      <c r="F1115" s="25" t="s">
        <v>2817</v>
      </c>
      <c r="G1115" s="25" t="s">
        <v>6396</v>
      </c>
      <c r="H1115" s="25" t="s">
        <v>2507</v>
      </c>
      <c r="I1115" s="25" t="s">
        <v>7363</v>
      </c>
      <c r="J1115" s="25" t="s">
        <v>2930</v>
      </c>
      <c r="K1115" s="25" t="s">
        <v>2568</v>
      </c>
      <c r="L1115" s="25" t="s">
        <v>2511</v>
      </c>
      <c r="M1115" s="26" t="s">
        <v>2512</v>
      </c>
      <c r="N1115" s="25">
        <v>2307</v>
      </c>
      <c r="O1115" s="26" t="s">
        <v>2678</v>
      </c>
      <c r="P1115" s="27" t="s">
        <v>7364</v>
      </c>
      <c r="Q1115" s="25" t="s">
        <v>2819</v>
      </c>
      <c r="R1115" s="25" t="s">
        <v>2516</v>
      </c>
      <c r="S1115" s="25" t="s">
        <v>25</v>
      </c>
      <c r="T1115" s="25">
        <v>1</v>
      </c>
      <c r="U1115" s="25" t="s">
        <v>2517</v>
      </c>
      <c r="V1115" s="25" t="s">
        <v>7365</v>
      </c>
      <c r="W1115" s="25" t="s">
        <v>7366</v>
      </c>
      <c r="X1115" s="59">
        <v>45908.686111111107</v>
      </c>
      <c r="Y1115" s="25" t="s">
        <v>7367</v>
      </c>
      <c r="Z1115" s="25">
        <v>1.1000000000000001</v>
      </c>
      <c r="AA1115" s="25"/>
      <c r="AB1115" s="25" t="s">
        <v>2521</v>
      </c>
      <c r="AC1115" s="27" t="s">
        <v>7368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7369</v>
      </c>
      <c r="E1116" s="25" t="s">
        <v>2504</v>
      </c>
      <c r="F1116" s="25" t="s">
        <v>3353</v>
      </c>
      <c r="G1116" s="25" t="s">
        <v>3354</v>
      </c>
      <c r="H1116" s="25" t="s">
        <v>2507</v>
      </c>
      <c r="I1116" s="25" t="s">
        <v>7370</v>
      </c>
      <c r="J1116" s="25" t="s">
        <v>2930</v>
      </c>
      <c r="K1116" s="25" t="s">
        <v>2510</v>
      </c>
      <c r="L1116" s="25" t="s">
        <v>3483</v>
      </c>
      <c r="M1116" s="26" t="s">
        <v>3484</v>
      </c>
      <c r="N1116" s="25">
        <v>6004</v>
      </c>
      <c r="O1116" s="26" t="s">
        <v>2893</v>
      </c>
      <c r="P1116" s="27" t="s">
        <v>7371</v>
      </c>
      <c r="Q1116" s="25" t="s">
        <v>3357</v>
      </c>
      <c r="R1116" s="25" t="s">
        <v>2516</v>
      </c>
      <c r="S1116" s="25" t="s">
        <v>25</v>
      </c>
      <c r="T1116" s="25">
        <v>1</v>
      </c>
      <c r="U1116" s="25" t="s">
        <v>2517</v>
      </c>
      <c r="V1116" s="25" t="s">
        <v>7372</v>
      </c>
      <c r="W1116" s="25" t="s">
        <v>7373</v>
      </c>
      <c r="X1116" s="59">
        <v>45908.621527777781</v>
      </c>
      <c r="Y1116" s="25" t="s">
        <v>7367</v>
      </c>
      <c r="Z1116" s="25">
        <v>0.5</v>
      </c>
      <c r="AA1116" s="25"/>
      <c r="AB1116" s="25" t="s">
        <v>2521</v>
      </c>
      <c r="AC1116" s="27" t="s">
        <v>7374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3629</v>
      </c>
      <c r="H1117" s="25" t="s">
        <v>3148</v>
      </c>
      <c r="I1117" s="25"/>
      <c r="J1117" s="25"/>
      <c r="K1117" s="25"/>
      <c r="L1117" s="25"/>
      <c r="M1117" s="26"/>
      <c r="N1117" s="25"/>
      <c r="O1117" s="26"/>
      <c r="P1117" s="27"/>
      <c r="Q1117" s="25" t="s">
        <v>3630</v>
      </c>
      <c r="R1117" s="25" t="s">
        <v>2516</v>
      </c>
      <c r="S1117" s="25" t="s">
        <v>185</v>
      </c>
      <c r="T1117" s="25">
        <v>1</v>
      </c>
      <c r="U1117" s="25" t="s">
        <v>2517</v>
      </c>
      <c r="V1117" s="25" t="s">
        <v>7375</v>
      </c>
      <c r="W1117" s="25" t="s">
        <v>7376</v>
      </c>
      <c r="X1117" s="59">
        <v>45908.395833333343</v>
      </c>
      <c r="Y1117" s="25"/>
      <c r="Z1117" s="25">
        <v>0.5</v>
      </c>
      <c r="AA1117" s="25"/>
      <c r="AB1117" s="25" t="s">
        <v>2521</v>
      </c>
      <c r="AC1117" s="27" t="s">
        <v>6091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3625</v>
      </c>
      <c r="H1118" s="25" t="s">
        <v>3148</v>
      </c>
      <c r="I1118" s="25"/>
      <c r="J1118" s="25"/>
      <c r="K1118" s="25"/>
      <c r="L1118" s="25"/>
      <c r="M1118" s="26"/>
      <c r="N1118" s="25"/>
      <c r="O1118" s="26"/>
      <c r="P1118" s="27"/>
      <c r="Q1118" s="25" t="s">
        <v>3626</v>
      </c>
      <c r="R1118" s="25" t="s">
        <v>2516</v>
      </c>
      <c r="S1118" s="25" t="s">
        <v>185</v>
      </c>
      <c r="T1118" s="25">
        <v>1</v>
      </c>
      <c r="U1118" s="25" t="s">
        <v>2517</v>
      </c>
      <c r="V1118" s="25" t="s">
        <v>7377</v>
      </c>
      <c r="W1118" s="25" t="s">
        <v>7378</v>
      </c>
      <c r="X1118" s="59">
        <v>45908.416666666657</v>
      </c>
      <c r="Y1118" s="25"/>
      <c r="Z1118" s="25">
        <v>0.5</v>
      </c>
      <c r="AA1118" s="25"/>
      <c r="AB1118" s="25" t="s">
        <v>2521</v>
      </c>
      <c r="AC1118" s="27" t="s">
        <v>6216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3621</v>
      </c>
      <c r="H1119" s="25" t="s">
        <v>3148</v>
      </c>
      <c r="I1119" s="25"/>
      <c r="J1119" s="25"/>
      <c r="K1119" s="25"/>
      <c r="L1119" s="25"/>
      <c r="M1119" s="26"/>
      <c r="N1119" s="25"/>
      <c r="O1119" s="26"/>
      <c r="P1119" s="27"/>
      <c r="Q1119" s="25" t="s">
        <v>3622</v>
      </c>
      <c r="R1119" s="25" t="s">
        <v>2516</v>
      </c>
      <c r="S1119" s="25" t="s">
        <v>185</v>
      </c>
      <c r="T1119" s="25">
        <v>1</v>
      </c>
      <c r="U1119" s="25" t="s">
        <v>2517</v>
      </c>
      <c r="V1119" s="25" t="s">
        <v>7379</v>
      </c>
      <c r="W1119" s="25" t="s">
        <v>7345</v>
      </c>
      <c r="X1119" s="59">
        <v>45908.4375</v>
      </c>
      <c r="Y1119" s="25"/>
      <c r="Z1119" s="25">
        <v>0.5</v>
      </c>
      <c r="AA1119" s="25"/>
      <c r="AB1119" s="25" t="s">
        <v>2521</v>
      </c>
      <c r="AC1119" s="27" t="s">
        <v>6091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3635</v>
      </c>
      <c r="H1120" s="25" t="s">
        <v>3148</v>
      </c>
      <c r="I1120" s="25"/>
      <c r="J1120" s="25"/>
      <c r="K1120" s="25"/>
      <c r="L1120" s="25"/>
      <c r="M1120" s="26"/>
      <c r="N1120" s="25"/>
      <c r="O1120" s="26"/>
      <c r="P1120" s="27"/>
      <c r="Q1120" s="25" t="s">
        <v>3636</v>
      </c>
      <c r="R1120" s="25" t="s">
        <v>2516</v>
      </c>
      <c r="S1120" s="25" t="s">
        <v>185</v>
      </c>
      <c r="T1120" s="25">
        <v>1</v>
      </c>
      <c r="U1120" s="25" t="s">
        <v>2517</v>
      </c>
      <c r="V1120" s="25" t="s">
        <v>7380</v>
      </c>
      <c r="W1120" s="25" t="s">
        <v>7381</v>
      </c>
      <c r="X1120" s="59">
        <v>45908.479166666657</v>
      </c>
      <c r="Y1120" s="25"/>
      <c r="Z1120" s="25">
        <v>0.5</v>
      </c>
      <c r="AA1120" s="25"/>
      <c r="AB1120" s="25" t="s">
        <v>2521</v>
      </c>
      <c r="AC1120" s="27" t="s">
        <v>6091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7382</v>
      </c>
      <c r="E1121" s="25" t="s">
        <v>2504</v>
      </c>
      <c r="F1121" s="25">
        <v>5384</v>
      </c>
      <c r="G1121" s="25" t="s">
        <v>6279</v>
      </c>
      <c r="H1121" s="25" t="s">
        <v>2609</v>
      </c>
      <c r="I1121" s="25" t="s">
        <v>7383</v>
      </c>
      <c r="J1121" s="25" t="s">
        <v>2661</v>
      </c>
      <c r="K1121" s="25" t="s">
        <v>2510</v>
      </c>
      <c r="L1121" s="25" t="s">
        <v>2511</v>
      </c>
      <c r="M1121" s="26" t="s">
        <v>2512</v>
      </c>
      <c r="N1121" s="25">
        <v>2306</v>
      </c>
      <c r="O1121" s="26" t="s">
        <v>2893</v>
      </c>
      <c r="P1121" s="27" t="s">
        <v>7384</v>
      </c>
      <c r="Q1121" s="25" t="s">
        <v>6280</v>
      </c>
      <c r="R1121" s="25" t="s">
        <v>2516</v>
      </c>
      <c r="S1121" s="25" t="s">
        <v>173</v>
      </c>
      <c r="T1121" s="25">
        <v>1</v>
      </c>
      <c r="U1121" s="25" t="s">
        <v>2517</v>
      </c>
      <c r="V1121" s="25" t="s">
        <v>7385</v>
      </c>
      <c r="W1121" s="25" t="s">
        <v>7386</v>
      </c>
      <c r="X1121" s="59">
        <v>45908.657638888893</v>
      </c>
      <c r="Y1121" s="25" t="s">
        <v>7387</v>
      </c>
      <c r="Z1121" s="25">
        <v>0.5</v>
      </c>
      <c r="AA1121" s="25"/>
      <c r="AB1121" s="25" t="s">
        <v>2521</v>
      </c>
      <c r="AC1121" s="27" t="s">
        <v>7254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4075</v>
      </c>
      <c r="H1122" s="25" t="s">
        <v>3148</v>
      </c>
      <c r="I1122" s="25"/>
      <c r="J1122" s="25"/>
      <c r="K1122" s="25"/>
      <c r="L1122" s="25"/>
      <c r="M1122" s="26"/>
      <c r="N1122" s="25"/>
      <c r="O1122" s="26"/>
      <c r="P1122" s="27"/>
      <c r="Q1122" s="25" t="s">
        <v>4076</v>
      </c>
      <c r="R1122" s="25" t="s">
        <v>2516</v>
      </c>
      <c r="S1122" s="25" t="s">
        <v>185</v>
      </c>
      <c r="T1122" s="25">
        <v>1</v>
      </c>
      <c r="U1122" s="25" t="s">
        <v>2517</v>
      </c>
      <c r="V1122" s="25" t="s">
        <v>7388</v>
      </c>
      <c r="W1122" s="25" t="s">
        <v>7389</v>
      </c>
      <c r="X1122" s="59">
        <v>45908.5625</v>
      </c>
      <c r="Y1122" s="25"/>
      <c r="Z1122" s="25">
        <v>0.5</v>
      </c>
      <c r="AA1122" s="25"/>
      <c r="AB1122" s="25" t="s">
        <v>2521</v>
      </c>
      <c r="AC1122" s="27" t="s">
        <v>6091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3370</v>
      </c>
      <c r="H1123" s="25" t="s">
        <v>3148</v>
      </c>
      <c r="I1123" s="25"/>
      <c r="J1123" s="25"/>
      <c r="K1123" s="25"/>
      <c r="L1123" s="25"/>
      <c r="M1123" s="26"/>
      <c r="N1123" s="25"/>
      <c r="O1123" s="26"/>
      <c r="P1123" s="27"/>
      <c r="Q1123" s="25" t="s">
        <v>3371</v>
      </c>
      <c r="R1123" s="25" t="s">
        <v>2516</v>
      </c>
      <c r="S1123" s="25" t="s">
        <v>185</v>
      </c>
      <c r="T1123" s="25">
        <v>1</v>
      </c>
      <c r="U1123" s="25" t="s">
        <v>2517</v>
      </c>
      <c r="V1123" s="25" t="s">
        <v>7390</v>
      </c>
      <c r="W1123" s="25" t="s">
        <v>7391</v>
      </c>
      <c r="X1123" s="59">
        <v>45908.583333333343</v>
      </c>
      <c r="Y1123" s="25"/>
      <c r="Z1123" s="25">
        <v>0.5</v>
      </c>
      <c r="AA1123" s="25"/>
      <c r="AB1123" s="25" t="s">
        <v>2521</v>
      </c>
      <c r="AC1123" s="27" t="s">
        <v>6091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7392</v>
      </c>
      <c r="E1124" s="25" t="s">
        <v>2843</v>
      </c>
      <c r="F1124" s="25">
        <v>5384</v>
      </c>
      <c r="G1124" s="25" t="s">
        <v>6279</v>
      </c>
      <c r="H1124" s="25" t="s">
        <v>2609</v>
      </c>
      <c r="I1124" s="25" t="s">
        <v>7393</v>
      </c>
      <c r="J1124" s="25" t="s">
        <v>2661</v>
      </c>
      <c r="K1124" s="25" t="s">
        <v>2510</v>
      </c>
      <c r="L1124" s="25" t="s">
        <v>2511</v>
      </c>
      <c r="M1124" s="26" t="s">
        <v>2512</v>
      </c>
      <c r="N1124" s="25">
        <v>2301</v>
      </c>
      <c r="O1124" s="26" t="s">
        <v>3953</v>
      </c>
      <c r="P1124" s="27" t="s">
        <v>7394</v>
      </c>
      <c r="Q1124" s="25" t="s">
        <v>6280</v>
      </c>
      <c r="R1124" s="25" t="s">
        <v>2516</v>
      </c>
      <c r="S1124" s="25" t="s">
        <v>173</v>
      </c>
      <c r="T1124" s="25">
        <v>1</v>
      </c>
      <c r="U1124" s="25" t="s">
        <v>2517</v>
      </c>
      <c r="V1124" s="25" t="s">
        <v>7395</v>
      </c>
      <c r="W1124" s="25" t="s">
        <v>7396</v>
      </c>
      <c r="X1124" s="59">
        <v>45908.659722222219</v>
      </c>
      <c r="Y1124" s="25" t="s">
        <v>7397</v>
      </c>
      <c r="Z1124" s="25">
        <v>0.2</v>
      </c>
      <c r="AA1124" s="25"/>
      <c r="AB1124" s="25" t="s">
        <v>2521</v>
      </c>
      <c r="AC1124" s="27" t="s">
        <v>7398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7399</v>
      </c>
      <c r="E1125" s="25" t="s">
        <v>2504</v>
      </c>
      <c r="F1125" s="25">
        <v>3751</v>
      </c>
      <c r="G1125" s="25" t="s">
        <v>3979</v>
      </c>
      <c r="H1125" s="25" t="s">
        <v>1604</v>
      </c>
      <c r="I1125" s="25" t="s">
        <v>7400</v>
      </c>
      <c r="J1125" s="25" t="s">
        <v>2661</v>
      </c>
      <c r="K1125" s="25" t="s">
        <v>2568</v>
      </c>
      <c r="L1125" s="25" t="s">
        <v>3497</v>
      </c>
      <c r="M1125" s="26" t="s">
        <v>3498</v>
      </c>
      <c r="N1125" s="25">
        <v>3402</v>
      </c>
      <c r="O1125" s="26" t="s">
        <v>7401</v>
      </c>
      <c r="P1125" s="27" t="s">
        <v>7402</v>
      </c>
      <c r="Q1125" s="25" t="s">
        <v>3980</v>
      </c>
      <c r="R1125" s="25" t="s">
        <v>2516</v>
      </c>
      <c r="S1125" s="25" t="s">
        <v>25</v>
      </c>
      <c r="T1125" s="25">
        <v>1</v>
      </c>
      <c r="U1125" s="25" t="s">
        <v>2517</v>
      </c>
      <c r="V1125" s="25" t="s">
        <v>7403</v>
      </c>
      <c r="W1125" s="25" t="s">
        <v>7404</v>
      </c>
      <c r="X1125" s="59">
        <v>45909.563888888893</v>
      </c>
      <c r="Y1125" s="25" t="s">
        <v>7405</v>
      </c>
      <c r="Z1125" s="25">
        <v>2.5</v>
      </c>
      <c r="AA1125" s="25"/>
      <c r="AB1125" s="25" t="s">
        <v>2521</v>
      </c>
      <c r="AC1125" s="27" t="s">
        <v>7406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7407</v>
      </c>
      <c r="E1126" s="25" t="s">
        <v>2504</v>
      </c>
      <c r="F1126" s="25">
        <v>3751</v>
      </c>
      <c r="G1126" s="25" t="s">
        <v>3979</v>
      </c>
      <c r="H1126" s="25" t="s">
        <v>1604</v>
      </c>
      <c r="I1126" s="25" t="s">
        <v>7408</v>
      </c>
      <c r="J1126" s="25" t="s">
        <v>2661</v>
      </c>
      <c r="K1126" s="25" t="s">
        <v>2568</v>
      </c>
      <c r="L1126" s="25" t="s">
        <v>2846</v>
      </c>
      <c r="M1126" s="26" t="s">
        <v>2847</v>
      </c>
      <c r="N1126" s="25">
        <v>2401</v>
      </c>
      <c r="O1126" s="26" t="s">
        <v>2848</v>
      </c>
      <c r="P1126" s="27" t="s">
        <v>7409</v>
      </c>
      <c r="Q1126" s="25" t="s">
        <v>3980</v>
      </c>
      <c r="R1126" s="25" t="s">
        <v>2516</v>
      </c>
      <c r="S1126" s="25" t="s">
        <v>25</v>
      </c>
      <c r="T1126" s="25">
        <v>1</v>
      </c>
      <c r="U1126" s="25" t="s">
        <v>2517</v>
      </c>
      <c r="V1126" s="25" t="s">
        <v>7410</v>
      </c>
      <c r="W1126" s="25" t="s">
        <v>7404</v>
      </c>
      <c r="X1126" s="59">
        <v>45909.749305555553</v>
      </c>
      <c r="Y1126" s="25" t="s">
        <v>7411</v>
      </c>
      <c r="Z1126" s="25">
        <v>7</v>
      </c>
      <c r="AA1126" s="25" t="s">
        <v>7412</v>
      </c>
      <c r="AB1126" s="25" t="s">
        <v>2521</v>
      </c>
      <c r="AC1126" s="27" t="s">
        <v>7413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7414</v>
      </c>
      <c r="E1127" s="25" t="s">
        <v>2504</v>
      </c>
      <c r="F1127" s="25">
        <v>3243</v>
      </c>
      <c r="G1127" s="25" t="s">
        <v>4087</v>
      </c>
      <c r="H1127" s="25" t="s">
        <v>3148</v>
      </c>
      <c r="I1127" s="25" t="s">
        <v>7415</v>
      </c>
      <c r="J1127" s="25" t="s">
        <v>2661</v>
      </c>
      <c r="K1127" s="25" t="s">
        <v>2510</v>
      </c>
      <c r="L1127" s="25" t="s">
        <v>2662</v>
      </c>
      <c r="M1127" s="26" t="s">
        <v>2663</v>
      </c>
      <c r="N1127" s="25">
        <v>2702</v>
      </c>
      <c r="O1127" s="26" t="s">
        <v>3065</v>
      </c>
      <c r="P1127" s="27" t="s">
        <v>7416</v>
      </c>
      <c r="Q1127" s="25" t="s">
        <v>4088</v>
      </c>
      <c r="R1127" s="25" t="s">
        <v>2516</v>
      </c>
      <c r="S1127" s="25" t="s">
        <v>185</v>
      </c>
      <c r="T1127" s="25">
        <v>1</v>
      </c>
      <c r="U1127" s="25" t="s">
        <v>2517</v>
      </c>
      <c r="V1127" s="25" t="s">
        <v>7417</v>
      </c>
      <c r="W1127" s="25" t="s">
        <v>7418</v>
      </c>
      <c r="X1127" s="59">
        <v>45909.668749999997</v>
      </c>
      <c r="Y1127" s="25" t="s">
        <v>7419</v>
      </c>
      <c r="Z1127" s="25">
        <v>0.5</v>
      </c>
      <c r="AA1127" s="25"/>
      <c r="AB1127" s="25" t="s">
        <v>2521</v>
      </c>
      <c r="AC1127" s="27" t="s">
        <v>7420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7421</v>
      </c>
      <c r="E1128" s="25" t="s">
        <v>2504</v>
      </c>
      <c r="F1128" s="25">
        <v>4326</v>
      </c>
      <c r="G1128" s="25" t="s">
        <v>3635</v>
      </c>
      <c r="H1128" s="25" t="s">
        <v>3148</v>
      </c>
      <c r="I1128" s="25" t="s">
        <v>7422</v>
      </c>
      <c r="J1128" s="25" t="s">
        <v>2661</v>
      </c>
      <c r="K1128" s="25" t="s">
        <v>2510</v>
      </c>
      <c r="L1128" s="25" t="s">
        <v>2611</v>
      </c>
      <c r="M1128" s="26" t="s">
        <v>2612</v>
      </c>
      <c r="N1128" s="25" t="s">
        <v>3110</v>
      </c>
      <c r="O1128" s="26" t="s">
        <v>6688</v>
      </c>
      <c r="P1128" s="27" t="s">
        <v>7423</v>
      </c>
      <c r="Q1128" s="25" t="s">
        <v>3636</v>
      </c>
      <c r="R1128" s="25" t="s">
        <v>2516</v>
      </c>
      <c r="S1128" s="25" t="s">
        <v>185</v>
      </c>
      <c r="T1128" s="25">
        <v>1</v>
      </c>
      <c r="U1128" s="25" t="s">
        <v>2517</v>
      </c>
      <c r="V1128" s="25" t="s">
        <v>7424</v>
      </c>
      <c r="W1128" s="25" t="s">
        <v>7425</v>
      </c>
      <c r="X1128" s="59">
        <v>45909.604166666657</v>
      </c>
      <c r="Y1128" s="25" t="s">
        <v>7426</v>
      </c>
      <c r="Z1128" s="25">
        <v>0.5</v>
      </c>
      <c r="AA1128" s="25"/>
      <c r="AB1128" s="25" t="s">
        <v>2521</v>
      </c>
      <c r="AC1128" s="27" t="s">
        <v>7427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7428</v>
      </c>
      <c r="E1129" s="25" t="s">
        <v>2504</v>
      </c>
      <c r="F1129" s="25">
        <v>4326</v>
      </c>
      <c r="G1129" s="25" t="s">
        <v>3635</v>
      </c>
      <c r="H1129" s="25" t="s">
        <v>3148</v>
      </c>
      <c r="I1129" s="25" t="s">
        <v>7429</v>
      </c>
      <c r="J1129" s="25" t="s">
        <v>2661</v>
      </c>
      <c r="K1129" s="25" t="s">
        <v>2510</v>
      </c>
      <c r="L1129" s="25" t="s">
        <v>2611</v>
      </c>
      <c r="M1129" s="26" t="s">
        <v>2612</v>
      </c>
      <c r="N1129" s="25" t="s">
        <v>3110</v>
      </c>
      <c r="O1129" s="26" t="s">
        <v>6688</v>
      </c>
      <c r="P1129" s="27" t="s">
        <v>7430</v>
      </c>
      <c r="Q1129" s="25" t="s">
        <v>3636</v>
      </c>
      <c r="R1129" s="25" t="s">
        <v>2516</v>
      </c>
      <c r="S1129" s="25" t="s">
        <v>185</v>
      </c>
      <c r="T1129" s="25">
        <v>1</v>
      </c>
      <c r="U1129" s="25" t="s">
        <v>2517</v>
      </c>
      <c r="V1129" s="25" t="s">
        <v>7431</v>
      </c>
      <c r="W1129" s="25" t="s">
        <v>7432</v>
      </c>
      <c r="X1129" s="59">
        <v>45909.625</v>
      </c>
      <c r="Y1129" s="25" t="s">
        <v>7433</v>
      </c>
      <c r="Z1129" s="25">
        <v>0.5</v>
      </c>
      <c r="AA1129" s="25"/>
      <c r="AB1129" s="25" t="s">
        <v>2521</v>
      </c>
      <c r="AC1129" s="27" t="s">
        <v>7434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7435</v>
      </c>
      <c r="E1130" s="25" t="s">
        <v>2504</v>
      </c>
      <c r="F1130" s="25">
        <v>5352</v>
      </c>
      <c r="G1130" s="25" t="s">
        <v>4867</v>
      </c>
      <c r="H1130" s="25" t="s">
        <v>2507</v>
      </c>
      <c r="I1130" s="25" t="s">
        <v>7436</v>
      </c>
      <c r="J1130" s="25" t="s">
        <v>2661</v>
      </c>
      <c r="K1130" s="25" t="s">
        <v>2510</v>
      </c>
      <c r="L1130" s="25" t="s">
        <v>2611</v>
      </c>
      <c r="M1130" s="26" t="s">
        <v>2612</v>
      </c>
      <c r="N1130" s="25" t="s">
        <v>3110</v>
      </c>
      <c r="O1130" s="26" t="s">
        <v>6688</v>
      </c>
      <c r="P1130" s="27" t="s">
        <v>7437</v>
      </c>
      <c r="Q1130" s="25" t="s">
        <v>4868</v>
      </c>
      <c r="R1130" s="25" t="s">
        <v>2516</v>
      </c>
      <c r="S1130" s="25" t="s">
        <v>25</v>
      </c>
      <c r="T1130" s="25">
        <v>1</v>
      </c>
      <c r="U1130" s="25" t="s">
        <v>2517</v>
      </c>
      <c r="V1130" s="25" t="s">
        <v>7438</v>
      </c>
      <c r="W1130" s="25" t="s">
        <v>7439</v>
      </c>
      <c r="X1130" s="59">
        <v>45909.806250000001</v>
      </c>
      <c r="Y1130" s="25" t="s">
        <v>7440</v>
      </c>
      <c r="Z1130" s="25">
        <v>0.5</v>
      </c>
      <c r="AA1130" s="25"/>
      <c r="AB1130" s="25" t="s">
        <v>2521</v>
      </c>
      <c r="AC1130" s="27" t="s">
        <v>7441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7442</v>
      </c>
      <c r="E1131" s="25" t="s">
        <v>2504</v>
      </c>
      <c r="F1131" s="25">
        <v>5291</v>
      </c>
      <c r="G1131" s="25" t="s">
        <v>3936</v>
      </c>
      <c r="H1131" s="25" t="s">
        <v>2659</v>
      </c>
      <c r="I1131" s="25" t="s">
        <v>7443</v>
      </c>
      <c r="J1131" s="25" t="s">
        <v>2509</v>
      </c>
      <c r="K1131" s="25" t="s">
        <v>2568</v>
      </c>
      <c r="L1131" s="25" t="s">
        <v>2846</v>
      </c>
      <c r="M1131" s="26" t="s">
        <v>2847</v>
      </c>
      <c r="N1131" s="25">
        <v>2405</v>
      </c>
      <c r="O1131" s="26" t="s">
        <v>2963</v>
      </c>
      <c r="P1131" s="27" t="s">
        <v>7444</v>
      </c>
      <c r="Q1131" s="25" t="s">
        <v>3937</v>
      </c>
      <c r="R1131" s="25" t="s">
        <v>2516</v>
      </c>
      <c r="S1131" s="25" t="s">
        <v>185</v>
      </c>
      <c r="T1131" s="25">
        <v>1</v>
      </c>
      <c r="U1131" s="25" t="s">
        <v>2517</v>
      </c>
      <c r="V1131" s="25" t="s">
        <v>7445</v>
      </c>
      <c r="W1131" s="25" t="s">
        <v>7446</v>
      </c>
      <c r="X1131" s="59">
        <v>45909.569444444453</v>
      </c>
      <c r="Y1131" s="25" t="s">
        <v>7447</v>
      </c>
      <c r="Z1131" s="25">
        <v>1.7</v>
      </c>
      <c r="AA1131" s="25"/>
      <c r="AB1131" s="25" t="s">
        <v>2521</v>
      </c>
      <c r="AC1131" s="27" t="s">
        <v>7448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3979</v>
      </c>
      <c r="H1132" s="25" t="s">
        <v>1604</v>
      </c>
      <c r="I1132" s="25"/>
      <c r="J1132" s="25"/>
      <c r="K1132" s="25"/>
      <c r="L1132" s="25"/>
      <c r="M1132" s="26"/>
      <c r="N1132" s="25"/>
      <c r="O1132" s="26"/>
      <c r="P1132" s="27"/>
      <c r="Q1132" s="25" t="s">
        <v>3980</v>
      </c>
      <c r="R1132" s="25" t="s">
        <v>2516</v>
      </c>
      <c r="S1132" s="25" t="s">
        <v>25</v>
      </c>
      <c r="T1132" s="25">
        <v>1</v>
      </c>
      <c r="U1132" s="25" t="s">
        <v>2517</v>
      </c>
      <c r="V1132" s="25" t="s">
        <v>7449</v>
      </c>
      <c r="W1132" s="25" t="s">
        <v>7450</v>
      </c>
      <c r="X1132" s="59">
        <v>45909.75</v>
      </c>
      <c r="Y1132" s="25"/>
      <c r="Z1132" s="25">
        <v>0.7</v>
      </c>
      <c r="AA1132" s="25"/>
      <c r="AB1132" s="25" t="s">
        <v>2521</v>
      </c>
      <c r="AC1132" s="27" t="s">
        <v>7451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4087</v>
      </c>
      <c r="H1133" s="25" t="s">
        <v>3148</v>
      </c>
      <c r="I1133" s="25"/>
      <c r="J1133" s="25"/>
      <c r="K1133" s="25"/>
      <c r="L1133" s="25"/>
      <c r="M1133" s="26"/>
      <c r="N1133" s="25"/>
      <c r="O1133" s="26"/>
      <c r="P1133" s="27"/>
      <c r="Q1133" s="25" t="s">
        <v>4088</v>
      </c>
      <c r="R1133" s="25" t="s">
        <v>2516</v>
      </c>
      <c r="S1133" s="25" t="s">
        <v>185</v>
      </c>
      <c r="T1133" s="25">
        <v>1</v>
      </c>
      <c r="U1133" s="25" t="s">
        <v>2517</v>
      </c>
      <c r="V1133" s="25" t="s">
        <v>7452</v>
      </c>
      <c r="W1133" s="25" t="s">
        <v>7453</v>
      </c>
      <c r="X1133" s="59">
        <v>45910.423611111109</v>
      </c>
      <c r="Y1133" s="25"/>
      <c r="Z1133" s="25">
        <v>0.3</v>
      </c>
      <c r="AA1133" s="25"/>
      <c r="AB1133" s="25" t="s">
        <v>2521</v>
      </c>
      <c r="AC1133" s="27" t="s">
        <v>6091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4091</v>
      </c>
      <c r="H1134" s="25" t="s">
        <v>3138</v>
      </c>
      <c r="I1134" s="25"/>
      <c r="J1134" s="25"/>
      <c r="K1134" s="25"/>
      <c r="L1134" s="25"/>
      <c r="M1134" s="26"/>
      <c r="N1134" s="25"/>
      <c r="O1134" s="26"/>
      <c r="P1134" s="27"/>
      <c r="Q1134" s="25" t="s">
        <v>4092</v>
      </c>
      <c r="R1134" s="25" t="s">
        <v>2516</v>
      </c>
      <c r="S1134" s="25" t="s">
        <v>185</v>
      </c>
      <c r="T1134" s="25">
        <v>1</v>
      </c>
      <c r="U1134" s="25" t="s">
        <v>2517</v>
      </c>
      <c r="V1134" s="25" t="s">
        <v>7454</v>
      </c>
      <c r="W1134" s="25" t="s">
        <v>7455</v>
      </c>
      <c r="X1134" s="59">
        <v>45910.4375</v>
      </c>
      <c r="Y1134" s="25"/>
      <c r="Z1134" s="25">
        <v>0.3</v>
      </c>
      <c r="AA1134" s="25"/>
      <c r="AB1134" s="25" t="s">
        <v>2521</v>
      </c>
      <c r="AC1134" s="27" t="s">
        <v>6091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7456</v>
      </c>
      <c r="E1135" s="25" t="s">
        <v>2504</v>
      </c>
      <c r="F1135" s="25">
        <v>2759</v>
      </c>
      <c r="G1135" s="25" t="s">
        <v>2799</v>
      </c>
      <c r="H1135" s="25" t="s">
        <v>2507</v>
      </c>
      <c r="I1135" s="25" t="s">
        <v>7457</v>
      </c>
      <c r="J1135" s="25" t="s">
        <v>2509</v>
      </c>
      <c r="K1135" s="25" t="s">
        <v>2510</v>
      </c>
      <c r="L1135" s="25" t="s">
        <v>2569</v>
      </c>
      <c r="M1135" s="26" t="s">
        <v>2570</v>
      </c>
      <c r="N1135" s="25">
        <v>2503</v>
      </c>
      <c r="O1135" s="26" t="s">
        <v>7458</v>
      </c>
      <c r="P1135" s="27" t="s">
        <v>7459</v>
      </c>
      <c r="Q1135" s="25" t="s">
        <v>2800</v>
      </c>
      <c r="R1135" s="25" t="s">
        <v>2516</v>
      </c>
      <c r="S1135" s="25" t="s">
        <v>25</v>
      </c>
      <c r="T1135" s="25">
        <v>1</v>
      </c>
      <c r="U1135" s="25" t="s">
        <v>2517</v>
      </c>
      <c r="V1135" s="25" t="s">
        <v>7460</v>
      </c>
      <c r="W1135" s="25" t="s">
        <v>7461</v>
      </c>
      <c r="X1135" s="59">
        <v>45910.494444444441</v>
      </c>
      <c r="Y1135" s="25" t="s">
        <v>7462</v>
      </c>
      <c r="Z1135" s="25">
        <v>0.5</v>
      </c>
      <c r="AA1135" s="25"/>
      <c r="AB1135" s="25" t="s">
        <v>2521</v>
      </c>
      <c r="AC1135" s="27" t="s">
        <v>7463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7464</v>
      </c>
      <c r="E1136" s="25" t="s">
        <v>2504</v>
      </c>
      <c r="F1136" s="25">
        <v>4856</v>
      </c>
      <c r="G1136" s="25" t="s">
        <v>2763</v>
      </c>
      <c r="H1136" s="25" t="s">
        <v>2659</v>
      </c>
      <c r="I1136" s="25" t="s">
        <v>7465</v>
      </c>
      <c r="J1136" s="25" t="s">
        <v>2509</v>
      </c>
      <c r="K1136" s="25" t="s">
        <v>2717</v>
      </c>
      <c r="L1136" s="25" t="s">
        <v>7466</v>
      </c>
      <c r="M1136" s="26" t="s">
        <v>7467</v>
      </c>
      <c r="N1136" s="25" t="s">
        <v>7468</v>
      </c>
      <c r="O1136" s="26" t="s">
        <v>2540</v>
      </c>
      <c r="P1136" s="27" t="s">
        <v>7469</v>
      </c>
      <c r="Q1136" s="25" t="s">
        <v>2767</v>
      </c>
      <c r="R1136" s="25" t="s">
        <v>2516</v>
      </c>
      <c r="S1136" s="25" t="s">
        <v>185</v>
      </c>
      <c r="T1136" s="25">
        <v>1</v>
      </c>
      <c r="U1136" s="25" t="s">
        <v>2517</v>
      </c>
      <c r="V1136" s="25" t="s">
        <v>7470</v>
      </c>
      <c r="W1136" s="25" t="s">
        <v>7471</v>
      </c>
      <c r="X1136" s="59">
        <v>45910.576388888891</v>
      </c>
      <c r="Y1136" s="25" t="s">
        <v>7472</v>
      </c>
      <c r="Z1136" s="25">
        <v>0.3</v>
      </c>
      <c r="AA1136" s="25"/>
      <c r="AB1136" s="25" t="s">
        <v>2521</v>
      </c>
      <c r="AC1136" s="27" t="s">
        <v>7473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7474</v>
      </c>
      <c r="E1137" s="25" t="s">
        <v>2504</v>
      </c>
      <c r="F1137" s="25">
        <v>4228</v>
      </c>
      <c r="G1137" s="25" t="s">
        <v>4379</v>
      </c>
      <c r="H1137" s="25" t="s">
        <v>2659</v>
      </c>
      <c r="I1137" s="25" t="s">
        <v>7475</v>
      </c>
      <c r="J1137" s="25" t="s">
        <v>2536</v>
      </c>
      <c r="K1137" s="25" t="s">
        <v>2765</v>
      </c>
      <c r="L1137" s="25" t="s">
        <v>2511</v>
      </c>
      <c r="M1137" s="26" t="s">
        <v>2512</v>
      </c>
      <c r="N1137" s="25">
        <v>2306</v>
      </c>
      <c r="O1137" s="26" t="s">
        <v>2893</v>
      </c>
      <c r="P1137" s="27" t="s">
        <v>7476</v>
      </c>
      <c r="Q1137" s="25" t="s">
        <v>4380</v>
      </c>
      <c r="R1137" s="25" t="s">
        <v>2516</v>
      </c>
      <c r="S1137" s="25" t="s">
        <v>185</v>
      </c>
      <c r="T1137" s="25">
        <v>1</v>
      </c>
      <c r="U1137" s="25" t="s">
        <v>2517</v>
      </c>
      <c r="V1137" s="25" t="s">
        <v>7477</v>
      </c>
      <c r="W1137" s="25" t="s">
        <v>7478</v>
      </c>
      <c r="X1137" s="59">
        <v>45910.479166666657</v>
      </c>
      <c r="Y1137" s="25" t="s">
        <v>7479</v>
      </c>
      <c r="Z1137" s="25">
        <v>0.5</v>
      </c>
      <c r="AA1137" s="25"/>
      <c r="AB1137" s="25" t="s">
        <v>2521</v>
      </c>
      <c r="AC1137" s="27" t="s">
        <v>7480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7481</v>
      </c>
      <c r="E1138" s="25" t="s">
        <v>2504</v>
      </c>
      <c r="F1138" s="25">
        <v>3380</v>
      </c>
      <c r="G1138" s="25" t="s">
        <v>2710</v>
      </c>
      <c r="H1138" s="25" t="s">
        <v>2659</v>
      </c>
      <c r="I1138" s="25" t="s">
        <v>7482</v>
      </c>
      <c r="J1138" s="25" t="s">
        <v>2536</v>
      </c>
      <c r="K1138" s="25" t="s">
        <v>2568</v>
      </c>
      <c r="L1138" s="25" t="s">
        <v>2611</v>
      </c>
      <c r="M1138" s="26" t="s">
        <v>2612</v>
      </c>
      <c r="N1138" s="25" t="s">
        <v>3110</v>
      </c>
      <c r="O1138" s="26" t="s">
        <v>6688</v>
      </c>
      <c r="P1138" s="27" t="s">
        <v>7483</v>
      </c>
      <c r="Q1138" s="25" t="s">
        <v>2711</v>
      </c>
      <c r="R1138" s="25" t="s">
        <v>2516</v>
      </c>
      <c r="S1138" s="25" t="s">
        <v>185</v>
      </c>
      <c r="T1138" s="25">
        <v>1</v>
      </c>
      <c r="U1138" s="25" t="s">
        <v>2517</v>
      </c>
      <c r="V1138" s="25" t="s">
        <v>7484</v>
      </c>
      <c r="W1138" s="25" t="s">
        <v>7485</v>
      </c>
      <c r="X1138" s="59">
        <v>45910.5625</v>
      </c>
      <c r="Y1138" s="25" t="s">
        <v>7486</v>
      </c>
      <c r="Z1138" s="25">
        <v>0.5</v>
      </c>
      <c r="AA1138" s="25"/>
      <c r="AB1138" s="25" t="s">
        <v>2521</v>
      </c>
      <c r="AC1138" s="27" t="s">
        <v>7487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7488</v>
      </c>
      <c r="E1139" s="25" t="s">
        <v>2504</v>
      </c>
      <c r="F1139" s="25">
        <v>2042</v>
      </c>
      <c r="G1139" s="25" t="s">
        <v>3544</v>
      </c>
      <c r="H1139" s="25" t="s">
        <v>2507</v>
      </c>
      <c r="I1139" s="25" t="s">
        <v>7489</v>
      </c>
      <c r="J1139" s="25" t="s">
        <v>2536</v>
      </c>
      <c r="K1139" s="25" t="s">
        <v>2568</v>
      </c>
      <c r="L1139" s="25" t="s">
        <v>2537</v>
      </c>
      <c r="M1139" s="26" t="s">
        <v>2538</v>
      </c>
      <c r="N1139" s="25" t="s">
        <v>2539</v>
      </c>
      <c r="O1139" s="26" t="s">
        <v>2540</v>
      </c>
      <c r="P1139" s="27" t="s">
        <v>7490</v>
      </c>
      <c r="Q1139" s="25" t="s">
        <v>3545</v>
      </c>
      <c r="R1139" s="25" t="s">
        <v>2516</v>
      </c>
      <c r="S1139" s="25" t="s">
        <v>25</v>
      </c>
      <c r="T1139" s="25">
        <v>1</v>
      </c>
      <c r="U1139" s="25" t="s">
        <v>2517</v>
      </c>
      <c r="V1139" s="25" t="s">
        <v>7491</v>
      </c>
      <c r="W1139" s="25" t="s">
        <v>7492</v>
      </c>
      <c r="X1139" s="59">
        <v>45910.515277777777</v>
      </c>
      <c r="Y1139" s="25" t="s">
        <v>7493</v>
      </c>
      <c r="Z1139" s="25">
        <v>0.5</v>
      </c>
      <c r="AA1139" s="25"/>
      <c r="AB1139" s="25" t="s">
        <v>2521</v>
      </c>
      <c r="AC1139" s="27" t="s">
        <v>7494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7495</v>
      </c>
      <c r="E1140" s="25" t="s">
        <v>2504</v>
      </c>
      <c r="F1140" s="25">
        <v>4029</v>
      </c>
      <c r="G1140" s="25" t="s">
        <v>3568</v>
      </c>
      <c r="H1140" s="25" t="s">
        <v>2507</v>
      </c>
      <c r="I1140" s="25" t="s">
        <v>7496</v>
      </c>
      <c r="J1140" s="25" t="s">
        <v>2536</v>
      </c>
      <c r="K1140" s="25" t="s">
        <v>2568</v>
      </c>
      <c r="L1140" s="25" t="s">
        <v>2537</v>
      </c>
      <c r="M1140" s="26" t="s">
        <v>2538</v>
      </c>
      <c r="N1140" s="25" t="s">
        <v>2539</v>
      </c>
      <c r="O1140" s="26" t="s">
        <v>2540</v>
      </c>
      <c r="P1140" s="27" t="s">
        <v>7497</v>
      </c>
      <c r="Q1140" s="25" t="s">
        <v>3569</v>
      </c>
      <c r="R1140" s="25" t="s">
        <v>2516</v>
      </c>
      <c r="S1140" s="25" t="s">
        <v>25</v>
      </c>
      <c r="T1140" s="25">
        <v>1</v>
      </c>
      <c r="U1140" s="25" t="s">
        <v>2517</v>
      </c>
      <c r="V1140" s="25" t="s">
        <v>7498</v>
      </c>
      <c r="W1140" s="25" t="s">
        <v>7499</v>
      </c>
      <c r="X1140" s="59">
        <v>45911.541666666657</v>
      </c>
      <c r="Y1140" s="25" t="s">
        <v>7500</v>
      </c>
      <c r="Z1140" s="25">
        <v>0.5</v>
      </c>
      <c r="AA1140" s="25"/>
      <c r="AB1140" s="25" t="s">
        <v>2521</v>
      </c>
      <c r="AC1140" s="27" t="s">
        <v>7501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7502</v>
      </c>
      <c r="E1141" s="25" t="s">
        <v>2504</v>
      </c>
      <c r="F1141" s="25">
        <v>3243</v>
      </c>
      <c r="G1141" s="25" t="s">
        <v>4087</v>
      </c>
      <c r="H1141" s="25" t="s">
        <v>3148</v>
      </c>
      <c r="I1141" s="25" t="s">
        <v>7503</v>
      </c>
      <c r="J1141" s="25" t="s">
        <v>2536</v>
      </c>
      <c r="K1141" s="25" t="s">
        <v>2568</v>
      </c>
      <c r="L1141" s="25" t="s">
        <v>2569</v>
      </c>
      <c r="M1141" s="26" t="s">
        <v>2570</v>
      </c>
      <c r="N1141" s="25">
        <v>2501</v>
      </c>
      <c r="O1141" s="26" t="s">
        <v>2571</v>
      </c>
      <c r="P1141" s="27" t="s">
        <v>7504</v>
      </c>
      <c r="Q1141" s="25" t="s">
        <v>4088</v>
      </c>
      <c r="R1141" s="25" t="s">
        <v>2516</v>
      </c>
      <c r="S1141" s="25" t="s">
        <v>185</v>
      </c>
      <c r="T1141" s="25">
        <v>1</v>
      </c>
      <c r="U1141" s="25" t="s">
        <v>2517</v>
      </c>
      <c r="V1141" s="25" t="s">
        <v>7505</v>
      </c>
      <c r="W1141" s="25" t="s">
        <v>7506</v>
      </c>
      <c r="X1141" s="59">
        <v>45910.634027777778</v>
      </c>
      <c r="Y1141" s="25" t="s">
        <v>7507</v>
      </c>
      <c r="Z1141" s="25">
        <v>0.5</v>
      </c>
      <c r="AA1141" s="25"/>
      <c r="AB1141" s="25" t="s">
        <v>2915</v>
      </c>
      <c r="AC1141" s="27" t="s">
        <v>6693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7508</v>
      </c>
      <c r="E1142" s="25" t="s">
        <v>2504</v>
      </c>
      <c r="F1142" s="25" t="s">
        <v>4278</v>
      </c>
      <c r="G1142" s="25" t="s">
        <v>4279</v>
      </c>
      <c r="H1142" s="25" t="s">
        <v>2609</v>
      </c>
      <c r="I1142" s="25" t="s">
        <v>7509</v>
      </c>
      <c r="J1142" s="25" t="s">
        <v>2536</v>
      </c>
      <c r="K1142" s="25" t="s">
        <v>2568</v>
      </c>
      <c r="L1142" s="25" t="s">
        <v>2611</v>
      </c>
      <c r="M1142" s="26" t="s">
        <v>2612</v>
      </c>
      <c r="N1142" s="25" t="s">
        <v>3110</v>
      </c>
      <c r="O1142" s="26" t="s">
        <v>6688</v>
      </c>
      <c r="P1142" s="27" t="s">
        <v>7510</v>
      </c>
      <c r="Q1142" s="25" t="s">
        <v>4280</v>
      </c>
      <c r="R1142" s="25" t="s">
        <v>2516</v>
      </c>
      <c r="S1142" s="25" t="s">
        <v>173</v>
      </c>
      <c r="T1142" s="25">
        <v>1</v>
      </c>
      <c r="U1142" s="25" t="s">
        <v>2517</v>
      </c>
      <c r="V1142" s="25" t="s">
        <v>7511</v>
      </c>
      <c r="W1142" s="25" t="s">
        <v>7512</v>
      </c>
      <c r="X1142" s="59">
        <v>45911.618055555547</v>
      </c>
      <c r="Y1142" s="25" t="s">
        <v>7513</v>
      </c>
      <c r="Z1142" s="25">
        <v>0.2</v>
      </c>
      <c r="AA1142" s="25"/>
      <c r="AB1142" s="25" t="s">
        <v>2521</v>
      </c>
      <c r="AC1142" s="27" t="s">
        <v>7514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7515</v>
      </c>
      <c r="E1143" s="25" t="s">
        <v>2504</v>
      </c>
      <c r="F1143" s="25">
        <v>3601</v>
      </c>
      <c r="G1143" s="25" t="s">
        <v>3842</v>
      </c>
      <c r="H1143" s="25" t="s">
        <v>2507</v>
      </c>
      <c r="I1143" s="25" t="s">
        <v>7516</v>
      </c>
      <c r="J1143" s="25" t="s">
        <v>2536</v>
      </c>
      <c r="K1143" s="25" t="s">
        <v>2510</v>
      </c>
      <c r="L1143" s="25" t="s">
        <v>2611</v>
      </c>
      <c r="M1143" s="26" t="s">
        <v>2612</v>
      </c>
      <c r="N1143" s="25" t="s">
        <v>3110</v>
      </c>
      <c r="O1143" s="26" t="s">
        <v>6688</v>
      </c>
      <c r="P1143" s="27" t="s">
        <v>7517</v>
      </c>
      <c r="Q1143" s="25" t="s">
        <v>3845</v>
      </c>
      <c r="R1143" s="25" t="s">
        <v>2516</v>
      </c>
      <c r="S1143" s="25" t="s">
        <v>25</v>
      </c>
      <c r="T1143" s="25">
        <v>1</v>
      </c>
      <c r="U1143" s="25" t="s">
        <v>2517</v>
      </c>
      <c r="V1143" s="25" t="s">
        <v>7518</v>
      </c>
      <c r="W1143" s="25" t="s">
        <v>7519</v>
      </c>
      <c r="X1143" s="59">
        <v>45911.419444444437</v>
      </c>
      <c r="Y1143" s="25" t="s">
        <v>7520</v>
      </c>
      <c r="Z1143" s="25">
        <v>0.5</v>
      </c>
      <c r="AA1143" s="25"/>
      <c r="AB1143" s="25" t="s">
        <v>2521</v>
      </c>
      <c r="AC1143" s="27" t="s">
        <v>7521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7522</v>
      </c>
      <c r="E1144" s="25" t="s">
        <v>2504</v>
      </c>
      <c r="F1144" s="25">
        <v>3601</v>
      </c>
      <c r="G1144" s="25" t="s">
        <v>3842</v>
      </c>
      <c r="H1144" s="25" t="s">
        <v>2507</v>
      </c>
      <c r="I1144" s="25" t="s">
        <v>7523</v>
      </c>
      <c r="J1144" s="25" t="s">
        <v>2536</v>
      </c>
      <c r="K1144" s="25" t="s">
        <v>2510</v>
      </c>
      <c r="L1144" s="25" t="s">
        <v>2611</v>
      </c>
      <c r="M1144" s="26" t="s">
        <v>2612</v>
      </c>
      <c r="N1144" s="25" t="s">
        <v>3110</v>
      </c>
      <c r="O1144" s="26" t="s">
        <v>6688</v>
      </c>
      <c r="P1144" s="27" t="s">
        <v>7524</v>
      </c>
      <c r="Q1144" s="25" t="s">
        <v>3845</v>
      </c>
      <c r="R1144" s="25" t="s">
        <v>2516</v>
      </c>
      <c r="S1144" s="25" t="s">
        <v>25</v>
      </c>
      <c r="T1144" s="25">
        <v>1</v>
      </c>
      <c r="U1144" s="25" t="s">
        <v>2517</v>
      </c>
      <c r="V1144" s="25" t="s">
        <v>7525</v>
      </c>
      <c r="W1144" s="25" t="s">
        <v>7526</v>
      </c>
      <c r="X1144" s="59">
        <v>45911.421527777777</v>
      </c>
      <c r="Y1144" s="25" t="s">
        <v>7527</v>
      </c>
      <c r="Z1144" s="25">
        <v>0.6</v>
      </c>
      <c r="AA1144" s="25"/>
      <c r="AB1144" s="25" t="s">
        <v>2521</v>
      </c>
      <c r="AC1144" s="27" t="s">
        <v>7528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7529</v>
      </c>
      <c r="E1145" s="25" t="s">
        <v>2504</v>
      </c>
      <c r="F1145" s="25">
        <v>5354</v>
      </c>
      <c r="G1145" s="25" t="s">
        <v>5951</v>
      </c>
      <c r="H1145" s="25" t="s">
        <v>2641</v>
      </c>
      <c r="I1145" s="25" t="s">
        <v>7530</v>
      </c>
      <c r="J1145" s="25" t="s">
        <v>2536</v>
      </c>
      <c r="K1145" s="25" t="s">
        <v>2510</v>
      </c>
      <c r="L1145" s="25" t="s">
        <v>3150</v>
      </c>
      <c r="M1145" s="26" t="s">
        <v>3151</v>
      </c>
      <c r="N1145" s="25">
        <v>5902</v>
      </c>
      <c r="O1145" s="26" t="s">
        <v>3508</v>
      </c>
      <c r="P1145" s="27" t="s">
        <v>7531</v>
      </c>
      <c r="Q1145" s="25" t="s">
        <v>5952</v>
      </c>
      <c r="R1145" s="25" t="s">
        <v>2516</v>
      </c>
      <c r="S1145" s="25" t="s">
        <v>25</v>
      </c>
      <c r="T1145" s="25">
        <v>1</v>
      </c>
      <c r="U1145" s="25" t="s">
        <v>2517</v>
      </c>
      <c r="V1145" s="25" t="s">
        <v>7532</v>
      </c>
      <c r="W1145" s="25" t="s">
        <v>7533</v>
      </c>
      <c r="X1145" s="59">
        <v>45911.668055555558</v>
      </c>
      <c r="Y1145" s="25" t="s">
        <v>7534</v>
      </c>
      <c r="Z1145" s="25">
        <v>0.5</v>
      </c>
      <c r="AA1145" s="25"/>
      <c r="AB1145" s="25" t="s">
        <v>2521</v>
      </c>
      <c r="AC1145" s="27" t="s">
        <v>7535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7536</v>
      </c>
      <c r="E1146" s="25" t="s">
        <v>2504</v>
      </c>
      <c r="F1146" s="25" t="s">
        <v>4278</v>
      </c>
      <c r="G1146" s="25" t="s">
        <v>4279</v>
      </c>
      <c r="H1146" s="25" t="s">
        <v>2609</v>
      </c>
      <c r="I1146" s="25" t="s">
        <v>7537</v>
      </c>
      <c r="J1146" s="25" t="s">
        <v>2536</v>
      </c>
      <c r="K1146" s="25" t="s">
        <v>2510</v>
      </c>
      <c r="L1146" s="25" t="s">
        <v>2511</v>
      </c>
      <c r="M1146" s="26" t="s">
        <v>2512</v>
      </c>
      <c r="N1146" s="25">
        <v>2307</v>
      </c>
      <c r="O1146" s="26" t="s">
        <v>2678</v>
      </c>
      <c r="P1146" s="27" t="s">
        <v>7538</v>
      </c>
      <c r="Q1146" s="25" t="s">
        <v>4280</v>
      </c>
      <c r="R1146" s="25" t="s">
        <v>2516</v>
      </c>
      <c r="S1146" s="25" t="s">
        <v>173</v>
      </c>
      <c r="T1146" s="25">
        <v>1</v>
      </c>
      <c r="U1146" s="25" t="s">
        <v>2517</v>
      </c>
      <c r="V1146" s="25" t="s">
        <v>7539</v>
      </c>
      <c r="W1146" s="25" t="s">
        <v>7540</v>
      </c>
      <c r="X1146" s="59">
        <v>45911.636111111111</v>
      </c>
      <c r="Y1146" s="25" t="s">
        <v>7541</v>
      </c>
      <c r="Z1146" s="25">
        <v>0.5</v>
      </c>
      <c r="AA1146" s="25"/>
      <c r="AB1146" s="25" t="s">
        <v>2521</v>
      </c>
      <c r="AC1146" s="27" t="s">
        <v>7542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7543</v>
      </c>
      <c r="E1147" s="25" t="s">
        <v>2504</v>
      </c>
      <c r="F1147" s="25">
        <v>2209</v>
      </c>
      <c r="G1147" s="25" t="s">
        <v>5697</v>
      </c>
      <c r="H1147" s="25" t="s">
        <v>2507</v>
      </c>
      <c r="I1147" s="25" t="s">
        <v>7544</v>
      </c>
      <c r="J1147" s="25" t="s">
        <v>2835</v>
      </c>
      <c r="K1147" s="25" t="s">
        <v>2568</v>
      </c>
      <c r="L1147" s="25" t="s">
        <v>2511</v>
      </c>
      <c r="M1147" s="26" t="s">
        <v>2512</v>
      </c>
      <c r="N1147" s="25">
        <v>2305</v>
      </c>
      <c r="O1147" s="26" t="s">
        <v>3035</v>
      </c>
      <c r="P1147" s="27" t="s">
        <v>7545</v>
      </c>
      <c r="Q1147" s="25" t="s">
        <v>2856</v>
      </c>
      <c r="R1147" s="25" t="s">
        <v>2516</v>
      </c>
      <c r="S1147" s="25" t="s">
        <v>25</v>
      </c>
      <c r="T1147" s="25">
        <v>1</v>
      </c>
      <c r="U1147" s="25" t="s">
        <v>2517</v>
      </c>
      <c r="V1147" s="25" t="s">
        <v>7546</v>
      </c>
      <c r="W1147" s="25" t="s">
        <v>7547</v>
      </c>
      <c r="X1147" s="59">
        <v>45911.606249999997</v>
      </c>
      <c r="Y1147" s="25" t="s">
        <v>7548</v>
      </c>
      <c r="Z1147" s="25">
        <v>1.6</v>
      </c>
      <c r="AA1147" s="25"/>
      <c r="AB1147" s="25" t="s">
        <v>2521</v>
      </c>
      <c r="AC1147" s="27" t="s">
        <v>7549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7550</v>
      </c>
      <c r="E1148" s="25" t="s">
        <v>2504</v>
      </c>
      <c r="F1148" s="25">
        <v>2209</v>
      </c>
      <c r="G1148" s="25" t="s">
        <v>5697</v>
      </c>
      <c r="H1148" s="25" t="s">
        <v>2507</v>
      </c>
      <c r="I1148" s="25" t="s">
        <v>7551</v>
      </c>
      <c r="J1148" s="25" t="s">
        <v>2835</v>
      </c>
      <c r="K1148" s="25" t="s">
        <v>2568</v>
      </c>
      <c r="L1148" s="25" t="s">
        <v>2511</v>
      </c>
      <c r="M1148" s="26" t="s">
        <v>2512</v>
      </c>
      <c r="N1148" s="25">
        <v>2307</v>
      </c>
      <c r="O1148" s="26" t="s">
        <v>2678</v>
      </c>
      <c r="P1148" s="27" t="s">
        <v>7552</v>
      </c>
      <c r="Q1148" s="25" t="s">
        <v>2856</v>
      </c>
      <c r="R1148" s="25" t="s">
        <v>2516</v>
      </c>
      <c r="S1148" s="25" t="s">
        <v>25</v>
      </c>
      <c r="T1148" s="25">
        <v>1</v>
      </c>
      <c r="U1148" s="25" t="s">
        <v>2517</v>
      </c>
      <c r="V1148" s="25" t="s">
        <v>7553</v>
      </c>
      <c r="W1148" s="25" t="s">
        <v>7547</v>
      </c>
      <c r="X1148" s="59">
        <v>45911.605555555558</v>
      </c>
      <c r="Y1148" s="25" t="s">
        <v>7554</v>
      </c>
      <c r="Z1148" s="25">
        <v>1.5</v>
      </c>
      <c r="AA1148" s="25"/>
      <c r="AB1148" s="25" t="s">
        <v>2521</v>
      </c>
      <c r="AC1148" s="27" t="s">
        <v>7555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7556</v>
      </c>
      <c r="E1149" s="25" t="s">
        <v>2504</v>
      </c>
      <c r="F1149" s="25" t="s">
        <v>4278</v>
      </c>
      <c r="G1149" s="25" t="s">
        <v>4279</v>
      </c>
      <c r="H1149" s="25" t="s">
        <v>2609</v>
      </c>
      <c r="I1149" s="25" t="s">
        <v>7557</v>
      </c>
      <c r="J1149" s="25" t="s">
        <v>2835</v>
      </c>
      <c r="K1149" s="25" t="s">
        <v>2510</v>
      </c>
      <c r="L1149" s="25" t="s">
        <v>2511</v>
      </c>
      <c r="M1149" s="26" t="s">
        <v>2512</v>
      </c>
      <c r="N1149" s="25">
        <v>2307</v>
      </c>
      <c r="O1149" s="26" t="s">
        <v>2678</v>
      </c>
      <c r="P1149" s="27" t="s">
        <v>7558</v>
      </c>
      <c r="Q1149" s="25" t="s">
        <v>4280</v>
      </c>
      <c r="R1149" s="25" t="s">
        <v>2516</v>
      </c>
      <c r="S1149" s="25" t="s">
        <v>173</v>
      </c>
      <c r="T1149" s="25">
        <v>1</v>
      </c>
      <c r="U1149" s="25" t="s">
        <v>2517</v>
      </c>
      <c r="V1149" s="25" t="s">
        <v>7559</v>
      </c>
      <c r="W1149" s="25" t="s">
        <v>7512</v>
      </c>
      <c r="X1149" s="59">
        <v>45911.642361111109</v>
      </c>
      <c r="Y1149" s="25" t="s">
        <v>7560</v>
      </c>
      <c r="Z1149" s="25">
        <v>0.8</v>
      </c>
      <c r="AA1149" s="25"/>
      <c r="AB1149" s="25" t="s">
        <v>2521</v>
      </c>
      <c r="AC1149" s="27" t="s">
        <v>7561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3294</v>
      </c>
      <c r="H1150" s="25" t="s">
        <v>2507</v>
      </c>
      <c r="I1150" s="25"/>
      <c r="J1150" s="25"/>
      <c r="K1150" s="25"/>
      <c r="L1150" s="25"/>
      <c r="M1150" s="26"/>
      <c r="N1150" s="25"/>
      <c r="O1150" s="26"/>
      <c r="P1150" s="27"/>
      <c r="Q1150" s="25" t="s">
        <v>3295</v>
      </c>
      <c r="R1150" s="25" t="s">
        <v>2516</v>
      </c>
      <c r="S1150" s="25" t="s">
        <v>25</v>
      </c>
      <c r="T1150" s="25">
        <v>1</v>
      </c>
      <c r="U1150" s="25" t="s">
        <v>2517</v>
      </c>
      <c r="V1150" s="25" t="s">
        <v>7562</v>
      </c>
      <c r="W1150" s="25" t="s">
        <v>7563</v>
      </c>
      <c r="X1150" s="59">
        <v>45912.578472222223</v>
      </c>
      <c r="Y1150" s="25"/>
      <c r="Z1150" s="25">
        <v>0.4</v>
      </c>
      <c r="AA1150" s="25"/>
      <c r="AB1150" s="25" t="s">
        <v>2521</v>
      </c>
      <c r="AC1150" s="27" t="s">
        <v>6091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7564</v>
      </c>
      <c r="E1151" s="25" t="s">
        <v>2504</v>
      </c>
      <c r="F1151" s="25">
        <v>2209</v>
      </c>
      <c r="G1151" s="25" t="s">
        <v>5697</v>
      </c>
      <c r="H1151" s="25" t="s">
        <v>2507</v>
      </c>
      <c r="I1151" s="25" t="s">
        <v>7565</v>
      </c>
      <c r="J1151" s="25" t="s">
        <v>2661</v>
      </c>
      <c r="K1151" s="25" t="s">
        <v>2765</v>
      </c>
      <c r="L1151" s="25" t="s">
        <v>2511</v>
      </c>
      <c r="M1151" s="26" t="s">
        <v>2512</v>
      </c>
      <c r="N1151" s="25">
        <v>2307</v>
      </c>
      <c r="O1151" s="26" t="s">
        <v>2678</v>
      </c>
      <c r="P1151" s="27" t="s">
        <v>7566</v>
      </c>
      <c r="Q1151" s="25" t="s">
        <v>2856</v>
      </c>
      <c r="R1151" s="25" t="s">
        <v>2516</v>
      </c>
      <c r="S1151" s="25" t="s">
        <v>25</v>
      </c>
      <c r="T1151" s="25">
        <v>1</v>
      </c>
      <c r="U1151" s="25" t="s">
        <v>2517</v>
      </c>
      <c r="V1151" s="25" t="s">
        <v>7567</v>
      </c>
      <c r="W1151" s="25" t="s">
        <v>7568</v>
      </c>
      <c r="X1151" s="59">
        <v>45915.498611111107</v>
      </c>
      <c r="Y1151" s="25" t="s">
        <v>7569</v>
      </c>
      <c r="Z1151" s="25">
        <v>1.5</v>
      </c>
      <c r="AA1151" s="25"/>
      <c r="AB1151" s="25" t="s">
        <v>2521</v>
      </c>
      <c r="AC1151" s="27" t="s">
        <v>7570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7571</v>
      </c>
      <c r="E1152" s="25" t="s">
        <v>2504</v>
      </c>
      <c r="F1152" s="25">
        <v>3751</v>
      </c>
      <c r="G1152" s="25" t="s">
        <v>3979</v>
      </c>
      <c r="H1152" s="25" t="s">
        <v>1604</v>
      </c>
      <c r="I1152" s="25" t="s">
        <v>7572</v>
      </c>
      <c r="J1152" s="25" t="s">
        <v>2661</v>
      </c>
      <c r="K1152" s="25" t="s">
        <v>2568</v>
      </c>
      <c r="L1152" s="25" t="s">
        <v>2945</v>
      </c>
      <c r="M1152" s="26" t="s">
        <v>2946</v>
      </c>
      <c r="N1152" s="25" t="s">
        <v>4130</v>
      </c>
      <c r="O1152" s="26" t="s">
        <v>3383</v>
      </c>
      <c r="P1152" s="27" t="s">
        <v>7573</v>
      </c>
      <c r="Q1152" s="25" t="s">
        <v>3980</v>
      </c>
      <c r="R1152" s="25" t="s">
        <v>2516</v>
      </c>
      <c r="S1152" s="25" t="s">
        <v>25</v>
      </c>
      <c r="T1152" s="25">
        <v>1</v>
      </c>
      <c r="U1152" s="25" t="s">
        <v>2517</v>
      </c>
      <c r="V1152" s="25" t="s">
        <v>7574</v>
      </c>
      <c r="W1152" s="25" t="s">
        <v>7575</v>
      </c>
      <c r="X1152" s="59">
        <v>45915.628472222219</v>
      </c>
      <c r="Y1152" s="25" t="s">
        <v>7576</v>
      </c>
      <c r="Z1152" s="25">
        <v>0.5</v>
      </c>
      <c r="AA1152" s="25"/>
      <c r="AB1152" s="25" t="s">
        <v>2521</v>
      </c>
      <c r="AC1152" s="27" t="s">
        <v>7577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3771</v>
      </c>
      <c r="H1153" s="25" t="s">
        <v>2659</v>
      </c>
      <c r="I1153" s="25"/>
      <c r="J1153" s="25"/>
      <c r="K1153" s="25"/>
      <c r="L1153" s="25"/>
      <c r="M1153" s="26"/>
      <c r="N1153" s="25"/>
      <c r="O1153" s="26"/>
      <c r="P1153" s="27"/>
      <c r="Q1153" s="25" t="s">
        <v>3772</v>
      </c>
      <c r="R1153" s="25" t="s">
        <v>2516</v>
      </c>
      <c r="S1153" s="25" t="s">
        <v>185</v>
      </c>
      <c r="T1153" s="25">
        <v>1</v>
      </c>
      <c r="U1153" s="25" t="s">
        <v>2517</v>
      </c>
      <c r="V1153" s="25" t="s">
        <v>7578</v>
      </c>
      <c r="W1153" s="25" t="s">
        <v>7568</v>
      </c>
      <c r="X1153" s="59">
        <v>45915.645833333343</v>
      </c>
      <c r="Y1153" s="25"/>
      <c r="Z1153" s="25">
        <v>5</v>
      </c>
      <c r="AA1153" s="25"/>
      <c r="AB1153" s="25" t="s">
        <v>2521</v>
      </c>
      <c r="AC1153" s="27" t="s">
        <v>7579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2685</v>
      </c>
      <c r="G1154" s="25" t="s">
        <v>2686</v>
      </c>
      <c r="H1154" s="25" t="s">
        <v>2609</v>
      </c>
      <c r="I1154" s="25"/>
      <c r="J1154" s="25"/>
      <c r="K1154" s="25"/>
      <c r="L1154" s="25"/>
      <c r="M1154" s="26"/>
      <c r="N1154" s="25"/>
      <c r="O1154" s="26"/>
      <c r="P1154" s="27"/>
      <c r="Q1154" s="25" t="s">
        <v>2687</v>
      </c>
      <c r="R1154" s="25" t="s">
        <v>2516</v>
      </c>
      <c r="S1154" s="25" t="s">
        <v>173</v>
      </c>
      <c r="T1154" s="25">
        <v>1</v>
      </c>
      <c r="U1154" s="25" t="s">
        <v>2517</v>
      </c>
      <c r="V1154" s="25" t="s">
        <v>7580</v>
      </c>
      <c r="W1154" s="25" t="s">
        <v>7581</v>
      </c>
      <c r="X1154" s="59">
        <v>45916.510416666657</v>
      </c>
      <c r="Y1154" s="25"/>
      <c r="Z1154" s="25">
        <v>0.3</v>
      </c>
      <c r="AA1154" s="25"/>
      <c r="AB1154" s="25" t="s">
        <v>2521</v>
      </c>
      <c r="AC1154" s="27" t="s">
        <v>6091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4083</v>
      </c>
      <c r="H1155" s="25" t="s">
        <v>2609</v>
      </c>
      <c r="I1155" s="25"/>
      <c r="J1155" s="25"/>
      <c r="K1155" s="25"/>
      <c r="L1155" s="25"/>
      <c r="M1155" s="26"/>
      <c r="N1155" s="25"/>
      <c r="O1155" s="26"/>
      <c r="P1155" s="27"/>
      <c r="Q1155" s="25" t="s">
        <v>4084</v>
      </c>
      <c r="R1155" s="25" t="s">
        <v>2516</v>
      </c>
      <c r="S1155" s="25" t="s">
        <v>173</v>
      </c>
      <c r="T1155" s="25">
        <v>1</v>
      </c>
      <c r="U1155" s="25" t="s">
        <v>2517</v>
      </c>
      <c r="V1155" s="25" t="s">
        <v>7582</v>
      </c>
      <c r="W1155" s="25" t="s">
        <v>7583</v>
      </c>
      <c r="X1155" s="59">
        <v>45916.529861111107</v>
      </c>
      <c r="Y1155" s="25"/>
      <c r="Z1155" s="25">
        <v>0.4</v>
      </c>
      <c r="AA1155" s="25"/>
      <c r="AB1155" s="25" t="s">
        <v>2521</v>
      </c>
      <c r="AC1155" s="27" t="s">
        <v>6091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3506</v>
      </c>
      <c r="H1156" s="25" t="s">
        <v>2609</v>
      </c>
      <c r="I1156" s="25"/>
      <c r="J1156" s="25"/>
      <c r="K1156" s="25"/>
      <c r="L1156" s="25"/>
      <c r="M1156" s="26"/>
      <c r="N1156" s="25"/>
      <c r="O1156" s="26"/>
      <c r="P1156" s="27"/>
      <c r="Q1156" s="25" t="s">
        <v>3510</v>
      </c>
      <c r="R1156" s="25" t="s">
        <v>2516</v>
      </c>
      <c r="S1156" s="25" t="s">
        <v>173</v>
      </c>
      <c r="T1156" s="25">
        <v>1</v>
      </c>
      <c r="U1156" s="25" t="s">
        <v>2517</v>
      </c>
      <c r="V1156" s="25" t="s">
        <v>7584</v>
      </c>
      <c r="W1156" s="25" t="s">
        <v>7585</v>
      </c>
      <c r="X1156" s="59">
        <v>45916.547222222223</v>
      </c>
      <c r="Y1156" s="25"/>
      <c r="Z1156" s="25">
        <v>0.4</v>
      </c>
      <c r="AA1156" s="25"/>
      <c r="AB1156" s="25" t="s">
        <v>2521</v>
      </c>
      <c r="AC1156" s="27" t="s">
        <v>6216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2890</v>
      </c>
      <c r="H1157" s="25" t="s">
        <v>2609</v>
      </c>
      <c r="I1157" s="25"/>
      <c r="J1157" s="25"/>
      <c r="K1157" s="25"/>
      <c r="L1157" s="25"/>
      <c r="M1157" s="26"/>
      <c r="N1157" s="25"/>
      <c r="O1157" s="26"/>
      <c r="P1157" s="27"/>
      <c r="Q1157" s="25" t="s">
        <v>2895</v>
      </c>
      <c r="R1157" s="25" t="s">
        <v>2516</v>
      </c>
      <c r="S1157" s="25" t="s">
        <v>173</v>
      </c>
      <c r="T1157" s="25">
        <v>1</v>
      </c>
      <c r="U1157" s="25" t="s">
        <v>2517</v>
      </c>
      <c r="V1157" s="25" t="s">
        <v>7586</v>
      </c>
      <c r="W1157" s="25" t="s">
        <v>7587</v>
      </c>
      <c r="X1157" s="59">
        <v>45916.570833333331</v>
      </c>
      <c r="Y1157" s="25"/>
      <c r="Z1157" s="25">
        <v>0.5</v>
      </c>
      <c r="AA1157" s="25"/>
      <c r="AB1157" s="25" t="s">
        <v>2521</v>
      </c>
      <c r="AC1157" s="27" t="s">
        <v>6091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4224</v>
      </c>
      <c r="H1158" s="25" t="s">
        <v>2609</v>
      </c>
      <c r="I1158" s="25"/>
      <c r="J1158" s="25"/>
      <c r="K1158" s="25"/>
      <c r="L1158" s="25"/>
      <c r="M1158" s="26"/>
      <c r="N1158" s="25"/>
      <c r="O1158" s="26"/>
      <c r="P1158" s="27"/>
      <c r="Q1158" s="25" t="s">
        <v>4227</v>
      </c>
      <c r="R1158" s="25" t="s">
        <v>2516</v>
      </c>
      <c r="S1158" s="25" t="s">
        <v>173</v>
      </c>
      <c r="T1158" s="25">
        <v>1</v>
      </c>
      <c r="U1158" s="25" t="s">
        <v>2517</v>
      </c>
      <c r="V1158" s="25" t="s">
        <v>7588</v>
      </c>
      <c r="W1158" s="25" t="s">
        <v>7589</v>
      </c>
      <c r="X1158" s="59">
        <v>45916.587500000001</v>
      </c>
      <c r="Y1158" s="25"/>
      <c r="Z1158" s="25">
        <v>0.3</v>
      </c>
      <c r="AA1158" s="25"/>
      <c r="AB1158" s="25" t="s">
        <v>2521</v>
      </c>
      <c r="AC1158" s="27" t="s">
        <v>6091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3806</v>
      </c>
      <c r="H1159" s="25" t="s">
        <v>2609</v>
      </c>
      <c r="I1159" s="25"/>
      <c r="J1159" s="25"/>
      <c r="K1159" s="25"/>
      <c r="L1159" s="25"/>
      <c r="M1159" s="26"/>
      <c r="N1159" s="25"/>
      <c r="O1159" s="26"/>
      <c r="P1159" s="27"/>
      <c r="Q1159" s="25" t="s">
        <v>3809</v>
      </c>
      <c r="R1159" s="25" t="s">
        <v>2516</v>
      </c>
      <c r="S1159" s="25" t="s">
        <v>173</v>
      </c>
      <c r="T1159" s="25">
        <v>1</v>
      </c>
      <c r="U1159" s="25" t="s">
        <v>2517</v>
      </c>
      <c r="V1159" s="25" t="s">
        <v>7590</v>
      </c>
      <c r="W1159" s="25" t="s">
        <v>7591</v>
      </c>
      <c r="X1159" s="59">
        <v>45916.602777777778</v>
      </c>
      <c r="Y1159" s="25"/>
      <c r="Z1159" s="25">
        <v>0.3</v>
      </c>
      <c r="AA1159" s="25"/>
      <c r="AB1159" s="25" t="s">
        <v>2521</v>
      </c>
      <c r="AC1159" s="27" t="s">
        <v>6091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7592</v>
      </c>
      <c r="E1160" s="25" t="s">
        <v>2504</v>
      </c>
      <c r="F1160" s="25">
        <v>4680</v>
      </c>
      <c r="G1160" s="25" t="s">
        <v>2608</v>
      </c>
      <c r="H1160" s="25" t="s">
        <v>2609</v>
      </c>
      <c r="I1160" s="25" t="s">
        <v>7593</v>
      </c>
      <c r="J1160" s="25" t="s">
        <v>2509</v>
      </c>
      <c r="K1160" s="25" t="s">
        <v>2510</v>
      </c>
      <c r="L1160" s="25" t="s">
        <v>3497</v>
      </c>
      <c r="M1160" s="26" t="s">
        <v>3498</v>
      </c>
      <c r="N1160" s="25">
        <v>3404</v>
      </c>
      <c r="O1160" s="26" t="s">
        <v>3499</v>
      </c>
      <c r="P1160" s="27" t="s">
        <v>7594</v>
      </c>
      <c r="Q1160" s="25" t="s">
        <v>2616</v>
      </c>
      <c r="R1160" s="25" t="s">
        <v>2516</v>
      </c>
      <c r="S1160" s="25" t="s">
        <v>173</v>
      </c>
      <c r="T1160" s="25">
        <v>1</v>
      </c>
      <c r="U1160" s="25" t="s">
        <v>2517</v>
      </c>
      <c r="V1160" s="25" t="s">
        <v>7595</v>
      </c>
      <c r="W1160" s="25" t="s">
        <v>7596</v>
      </c>
      <c r="X1160" s="59">
        <v>45916.624305555553</v>
      </c>
      <c r="Y1160" s="25" t="s">
        <v>7597</v>
      </c>
      <c r="Z1160" s="25">
        <v>0.6</v>
      </c>
      <c r="AA1160" s="25"/>
      <c r="AB1160" s="25" t="s">
        <v>2521</v>
      </c>
      <c r="AC1160" s="27" t="s">
        <v>7598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7599</v>
      </c>
      <c r="E1161" s="25" t="s">
        <v>2504</v>
      </c>
      <c r="F1161" s="25">
        <v>4282</v>
      </c>
      <c r="G1161" s="25" t="s">
        <v>3625</v>
      </c>
      <c r="H1161" s="25" t="s">
        <v>3148</v>
      </c>
      <c r="I1161" s="25" t="s">
        <v>7600</v>
      </c>
      <c r="J1161" s="25" t="s">
        <v>2509</v>
      </c>
      <c r="K1161" s="25" t="s">
        <v>2510</v>
      </c>
      <c r="L1161" s="25" t="s">
        <v>3150</v>
      </c>
      <c r="M1161" s="26" t="s">
        <v>3151</v>
      </c>
      <c r="N1161" s="25">
        <v>5902</v>
      </c>
      <c r="O1161" s="26" t="s">
        <v>3508</v>
      </c>
      <c r="P1161" s="27" t="s">
        <v>7601</v>
      </c>
      <c r="Q1161" s="25" t="s">
        <v>3626</v>
      </c>
      <c r="R1161" s="25" t="s">
        <v>2516</v>
      </c>
      <c r="S1161" s="25" t="s">
        <v>185</v>
      </c>
      <c r="T1161" s="25">
        <v>1</v>
      </c>
      <c r="U1161" s="25" t="s">
        <v>2517</v>
      </c>
      <c r="V1161" s="25" t="s">
        <v>7602</v>
      </c>
      <c r="W1161" s="25" t="s">
        <v>7603</v>
      </c>
      <c r="X1161" s="59">
        <v>45917.604166666657</v>
      </c>
      <c r="Y1161" s="25" t="s">
        <v>7604</v>
      </c>
      <c r="Z1161" s="25">
        <v>1</v>
      </c>
      <c r="AA1161" s="25"/>
      <c r="AB1161" s="25" t="s">
        <v>2521</v>
      </c>
      <c r="AC1161" s="27" t="s">
        <v>7605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3771</v>
      </c>
      <c r="H1162" s="25" t="s">
        <v>2659</v>
      </c>
      <c r="I1162" s="25"/>
      <c r="J1162" s="25"/>
      <c r="K1162" s="25"/>
      <c r="L1162" s="25"/>
      <c r="M1162" s="26"/>
      <c r="N1162" s="25"/>
      <c r="O1162" s="26"/>
      <c r="P1162" s="27"/>
      <c r="Q1162" s="25" t="s">
        <v>3772</v>
      </c>
      <c r="R1162" s="25" t="s">
        <v>2516</v>
      </c>
      <c r="S1162" s="25" t="s">
        <v>185</v>
      </c>
      <c r="T1162" s="25">
        <v>1</v>
      </c>
      <c r="U1162" s="25" t="s">
        <v>2517</v>
      </c>
      <c r="V1162" s="25" t="s">
        <v>7606</v>
      </c>
      <c r="W1162" s="25" t="s">
        <v>7607</v>
      </c>
      <c r="X1162" s="59">
        <v>45917.444444444453</v>
      </c>
      <c r="Y1162" s="25"/>
      <c r="Z1162" s="25">
        <v>0.5</v>
      </c>
      <c r="AA1162" s="25"/>
      <c r="AB1162" s="25" t="s">
        <v>2521</v>
      </c>
      <c r="AC1162" s="27" t="s">
        <v>6091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3160</v>
      </c>
      <c r="H1163" s="25" t="s">
        <v>2641</v>
      </c>
      <c r="I1163" s="25"/>
      <c r="J1163" s="25"/>
      <c r="K1163" s="25"/>
      <c r="L1163" s="25"/>
      <c r="M1163" s="26"/>
      <c r="N1163" s="25"/>
      <c r="O1163" s="26"/>
      <c r="P1163" s="27"/>
      <c r="Q1163" s="25" t="s">
        <v>3163</v>
      </c>
      <c r="R1163" s="25" t="s">
        <v>2516</v>
      </c>
      <c r="S1163" s="25" t="s">
        <v>25</v>
      </c>
      <c r="T1163" s="25">
        <v>1</v>
      </c>
      <c r="U1163" s="25" t="s">
        <v>2517</v>
      </c>
      <c r="V1163" s="25" t="s">
        <v>7608</v>
      </c>
      <c r="W1163" s="25" t="s">
        <v>7609</v>
      </c>
      <c r="X1163" s="59">
        <v>45917.576388888891</v>
      </c>
      <c r="Y1163" s="25"/>
      <c r="Z1163" s="25">
        <v>0.4</v>
      </c>
      <c r="AA1163" s="25"/>
      <c r="AB1163" s="25"/>
      <c r="AC1163" s="27" t="s">
        <v>7610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7611</v>
      </c>
      <c r="E1164" s="25" t="s">
        <v>2504</v>
      </c>
      <c r="F1164" s="25" t="s">
        <v>3863</v>
      </c>
      <c r="G1164" s="25" t="s">
        <v>7612</v>
      </c>
      <c r="H1164" s="25" t="s">
        <v>2507</v>
      </c>
      <c r="I1164" s="25" t="s">
        <v>7613</v>
      </c>
      <c r="J1164" s="25" t="s">
        <v>2835</v>
      </c>
      <c r="K1164" s="25" t="s">
        <v>2765</v>
      </c>
      <c r="L1164" s="25" t="s">
        <v>2537</v>
      </c>
      <c r="M1164" s="26" t="s">
        <v>2538</v>
      </c>
      <c r="N1164" s="25" t="s">
        <v>2539</v>
      </c>
      <c r="O1164" s="26" t="s">
        <v>2540</v>
      </c>
      <c r="P1164" s="27" t="s">
        <v>7614</v>
      </c>
      <c r="Q1164" s="25" t="s">
        <v>3865</v>
      </c>
      <c r="R1164" s="25" t="s">
        <v>2516</v>
      </c>
      <c r="S1164" s="25" t="s">
        <v>25</v>
      </c>
      <c r="T1164" s="25">
        <v>1</v>
      </c>
      <c r="U1164" s="25" t="s">
        <v>2517</v>
      </c>
      <c r="V1164" s="25" t="s">
        <v>7615</v>
      </c>
      <c r="W1164" s="25" t="s">
        <v>7616</v>
      </c>
      <c r="X1164" s="59">
        <v>45918.57708333333</v>
      </c>
      <c r="Y1164" s="25" t="s">
        <v>7617</v>
      </c>
      <c r="Z1164" s="25">
        <v>0.5</v>
      </c>
      <c r="AA1164" s="25"/>
      <c r="AB1164" s="25" t="s">
        <v>2521</v>
      </c>
      <c r="AC1164" s="27" t="s">
        <v>7618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7619</v>
      </c>
      <c r="E1165" s="25" t="s">
        <v>2504</v>
      </c>
      <c r="F1165" s="25" t="s">
        <v>3298</v>
      </c>
      <c r="G1165" s="25" t="s">
        <v>3299</v>
      </c>
      <c r="H1165" s="25" t="s">
        <v>2507</v>
      </c>
      <c r="I1165" s="25" t="s">
        <v>7620</v>
      </c>
      <c r="J1165" s="25" t="s">
        <v>2835</v>
      </c>
      <c r="K1165" s="25" t="s">
        <v>2568</v>
      </c>
      <c r="L1165" s="25" t="s">
        <v>2537</v>
      </c>
      <c r="M1165" s="26" t="s">
        <v>2538</v>
      </c>
      <c r="N1165" s="25" t="s">
        <v>2539</v>
      </c>
      <c r="O1165" s="26" t="s">
        <v>2540</v>
      </c>
      <c r="P1165" s="27" t="s">
        <v>7621</v>
      </c>
      <c r="Q1165" s="25" t="s">
        <v>3300</v>
      </c>
      <c r="R1165" s="25" t="s">
        <v>2516</v>
      </c>
      <c r="S1165" s="25" t="s">
        <v>25</v>
      </c>
      <c r="T1165" s="25">
        <v>1</v>
      </c>
      <c r="U1165" s="25" t="s">
        <v>2517</v>
      </c>
      <c r="V1165" s="25" t="s">
        <v>7622</v>
      </c>
      <c r="W1165" s="25" t="s">
        <v>7623</v>
      </c>
      <c r="X1165" s="59">
        <v>45918.527777777781</v>
      </c>
      <c r="Y1165" s="25" t="s">
        <v>7624</v>
      </c>
      <c r="Z1165" s="25">
        <v>0.5</v>
      </c>
      <c r="AA1165" s="25"/>
      <c r="AB1165" s="25" t="s">
        <v>2521</v>
      </c>
      <c r="AC1165" s="27" t="s">
        <v>7625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3748</v>
      </c>
      <c r="H1166" s="25" t="s">
        <v>2659</v>
      </c>
      <c r="I1166" s="25"/>
      <c r="J1166" s="25"/>
      <c r="K1166" s="25"/>
      <c r="L1166" s="25"/>
      <c r="M1166" s="26"/>
      <c r="N1166" s="25"/>
      <c r="O1166" s="26"/>
      <c r="P1166" s="27"/>
      <c r="Q1166" s="25" t="s">
        <v>3751</v>
      </c>
      <c r="R1166" s="25" t="s">
        <v>2516</v>
      </c>
      <c r="S1166" s="25" t="s">
        <v>185</v>
      </c>
      <c r="T1166" s="25">
        <v>1</v>
      </c>
      <c r="U1166" s="25" t="s">
        <v>2517</v>
      </c>
      <c r="V1166" s="25" t="s">
        <v>7626</v>
      </c>
      <c r="W1166" s="25" t="s">
        <v>7627</v>
      </c>
      <c r="X1166" s="59">
        <v>45918.472222222219</v>
      </c>
      <c r="Y1166" s="25"/>
      <c r="Z1166" s="25">
        <v>0.3</v>
      </c>
      <c r="AA1166" s="25"/>
      <c r="AB1166" s="25" t="s">
        <v>2521</v>
      </c>
      <c r="AC1166" s="27" t="s">
        <v>6216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4301</v>
      </c>
      <c r="H1167" s="25" t="s">
        <v>2659</v>
      </c>
      <c r="I1167" s="25"/>
      <c r="J1167" s="25"/>
      <c r="K1167" s="25"/>
      <c r="L1167" s="25"/>
      <c r="M1167" s="26"/>
      <c r="N1167" s="25"/>
      <c r="O1167" s="26"/>
      <c r="P1167" s="27"/>
      <c r="Q1167" s="25" t="s">
        <v>4302</v>
      </c>
      <c r="R1167" s="25" t="s">
        <v>2516</v>
      </c>
      <c r="S1167" s="25" t="s">
        <v>185</v>
      </c>
      <c r="T1167" s="25">
        <v>1</v>
      </c>
      <c r="U1167" s="25" t="s">
        <v>2517</v>
      </c>
      <c r="V1167" s="25" t="s">
        <v>7628</v>
      </c>
      <c r="W1167" s="25" t="s">
        <v>7629</v>
      </c>
      <c r="X1167" s="59">
        <v>45918.486111111109</v>
      </c>
      <c r="Y1167" s="25"/>
      <c r="Z1167" s="25">
        <v>0.3</v>
      </c>
      <c r="AA1167" s="25"/>
      <c r="AB1167" s="25" t="s">
        <v>2521</v>
      </c>
      <c r="AC1167" s="27" t="s">
        <v>6091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7630</v>
      </c>
      <c r="H1168" s="25" t="s">
        <v>2659</v>
      </c>
      <c r="I1168" s="25"/>
      <c r="J1168" s="25"/>
      <c r="K1168" s="25"/>
      <c r="L1168" s="25"/>
      <c r="M1168" s="26"/>
      <c r="N1168" s="25"/>
      <c r="O1168" s="26"/>
      <c r="P1168" s="27"/>
      <c r="Q1168" s="25" t="s">
        <v>4218</v>
      </c>
      <c r="R1168" s="25" t="s">
        <v>2516</v>
      </c>
      <c r="S1168" s="25" t="s">
        <v>185</v>
      </c>
      <c r="T1168" s="25">
        <v>1</v>
      </c>
      <c r="U1168" s="25" t="s">
        <v>2517</v>
      </c>
      <c r="V1168" s="25" t="s">
        <v>7631</v>
      </c>
      <c r="W1168" s="25" t="s">
        <v>7632</v>
      </c>
      <c r="X1168" s="59">
        <v>45918.555555555547</v>
      </c>
      <c r="Y1168" s="25"/>
      <c r="Z1168" s="25">
        <v>0.3</v>
      </c>
      <c r="AA1168" s="25"/>
      <c r="AB1168" s="25" t="s">
        <v>2521</v>
      </c>
      <c r="AC1168" s="27" t="s">
        <v>6216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7633</v>
      </c>
      <c r="E1169" s="25" t="s">
        <v>2504</v>
      </c>
      <c r="F1169" s="25">
        <v>3243</v>
      </c>
      <c r="G1169" s="25" t="s">
        <v>4087</v>
      </c>
      <c r="H1169" s="25" t="s">
        <v>3148</v>
      </c>
      <c r="I1169" s="25" t="s">
        <v>7634</v>
      </c>
      <c r="J1169" s="25" t="s">
        <v>2835</v>
      </c>
      <c r="K1169" s="25" t="s">
        <v>2510</v>
      </c>
      <c r="L1169" s="25" t="s">
        <v>2662</v>
      </c>
      <c r="M1169" s="26" t="s">
        <v>2663</v>
      </c>
      <c r="N1169" s="25">
        <v>2701</v>
      </c>
      <c r="O1169" s="26" t="s">
        <v>2664</v>
      </c>
      <c r="P1169" s="27" t="s">
        <v>7635</v>
      </c>
      <c r="Q1169" s="25" t="s">
        <v>4088</v>
      </c>
      <c r="R1169" s="25" t="s">
        <v>2516</v>
      </c>
      <c r="S1169" s="25" t="s">
        <v>185</v>
      </c>
      <c r="T1169" s="25">
        <v>1</v>
      </c>
      <c r="U1169" s="25" t="s">
        <v>2517</v>
      </c>
      <c r="V1169" s="25" t="s">
        <v>7636</v>
      </c>
      <c r="W1169" s="25" t="s">
        <v>7637</v>
      </c>
      <c r="X1169" s="59">
        <v>45919.645833333343</v>
      </c>
      <c r="Y1169" s="25" t="s">
        <v>7638</v>
      </c>
      <c r="Z1169" s="25">
        <v>0.5</v>
      </c>
      <c r="AA1169" s="25"/>
      <c r="AB1169" s="25" t="s">
        <v>2521</v>
      </c>
      <c r="AC1169" s="27" t="s">
        <v>7639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7640</v>
      </c>
      <c r="E1170" s="25" t="s">
        <v>2504</v>
      </c>
      <c r="F1170" s="25">
        <v>4341</v>
      </c>
      <c r="G1170" s="25" t="s">
        <v>4297</v>
      </c>
      <c r="H1170" s="25" t="s">
        <v>2659</v>
      </c>
      <c r="I1170" s="25" t="s">
        <v>7641</v>
      </c>
      <c r="J1170" s="25" t="s">
        <v>2567</v>
      </c>
      <c r="K1170" s="25" t="s">
        <v>2568</v>
      </c>
      <c r="L1170" s="25" t="s">
        <v>2945</v>
      </c>
      <c r="M1170" s="26" t="s">
        <v>2946</v>
      </c>
      <c r="N1170" s="25" t="s">
        <v>2947</v>
      </c>
      <c r="O1170" s="26" t="s">
        <v>2948</v>
      </c>
      <c r="P1170" s="27" t="s">
        <v>7642</v>
      </c>
      <c r="Q1170" s="25" t="s">
        <v>4298</v>
      </c>
      <c r="R1170" s="25" t="s">
        <v>2516</v>
      </c>
      <c r="S1170" s="25" t="s">
        <v>185</v>
      </c>
      <c r="T1170" s="25">
        <v>1</v>
      </c>
      <c r="U1170" s="25" t="s">
        <v>2517</v>
      </c>
      <c r="V1170" s="25" t="s">
        <v>7643</v>
      </c>
      <c r="W1170" s="25" t="s">
        <v>7644</v>
      </c>
      <c r="X1170" s="59">
        <v>45922.4375</v>
      </c>
      <c r="Y1170" s="25" t="s">
        <v>7645</v>
      </c>
      <c r="Z1170" s="25">
        <v>1</v>
      </c>
      <c r="AA1170" s="25"/>
      <c r="AB1170" s="25" t="s">
        <v>2521</v>
      </c>
      <c r="AC1170" s="27" t="s">
        <v>7646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7647</v>
      </c>
      <c r="E1171" s="25" t="s">
        <v>2843</v>
      </c>
      <c r="F1171" s="25">
        <v>4788</v>
      </c>
      <c r="G1171" s="25" t="s">
        <v>4161</v>
      </c>
      <c r="H1171" s="25" t="s">
        <v>1604</v>
      </c>
      <c r="I1171" s="25" t="s">
        <v>7648</v>
      </c>
      <c r="J1171" s="25" t="s">
        <v>2643</v>
      </c>
      <c r="K1171" s="25" t="s">
        <v>2568</v>
      </c>
      <c r="L1171" s="25" t="s">
        <v>2846</v>
      </c>
      <c r="M1171" s="26" t="s">
        <v>2847</v>
      </c>
      <c r="N1171" s="25">
        <v>2405</v>
      </c>
      <c r="O1171" s="26" t="s">
        <v>2963</v>
      </c>
      <c r="P1171" s="27" t="s">
        <v>7649</v>
      </c>
      <c r="Q1171" s="25" t="s">
        <v>4162</v>
      </c>
      <c r="R1171" s="25" t="s">
        <v>2516</v>
      </c>
      <c r="S1171" s="25" t="s">
        <v>185</v>
      </c>
      <c r="T1171" s="25">
        <v>1</v>
      </c>
      <c r="U1171" s="25" t="s">
        <v>2517</v>
      </c>
      <c r="V1171" s="25" t="s">
        <v>7650</v>
      </c>
      <c r="W1171" s="25" t="s">
        <v>7651</v>
      </c>
      <c r="X1171" s="59">
        <v>45921.611111111109</v>
      </c>
      <c r="Y1171" s="25" t="s">
        <v>7652</v>
      </c>
      <c r="Z1171" s="25">
        <v>1.7</v>
      </c>
      <c r="AA1171" s="25"/>
      <c r="AB1171" s="25" t="s">
        <v>2521</v>
      </c>
      <c r="AC1171" s="27" t="s">
        <v>7653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7654</v>
      </c>
      <c r="E1172" s="25" t="s">
        <v>2504</v>
      </c>
      <c r="F1172" s="25">
        <v>3147</v>
      </c>
      <c r="G1172" s="25" t="s">
        <v>3238</v>
      </c>
      <c r="H1172" s="25" t="s">
        <v>2609</v>
      </c>
      <c r="I1172" s="25" t="s">
        <v>7655</v>
      </c>
      <c r="J1172" s="25" t="s">
        <v>2567</v>
      </c>
      <c r="K1172" s="25" t="s">
        <v>2510</v>
      </c>
      <c r="L1172" s="25" t="s">
        <v>2662</v>
      </c>
      <c r="M1172" s="26" t="s">
        <v>2663</v>
      </c>
      <c r="N1172" s="25">
        <v>2705</v>
      </c>
      <c r="O1172" s="26" t="s">
        <v>3240</v>
      </c>
      <c r="P1172" s="27" t="s">
        <v>7656</v>
      </c>
      <c r="Q1172" s="25" t="s">
        <v>3242</v>
      </c>
      <c r="R1172" s="25" t="s">
        <v>2516</v>
      </c>
      <c r="S1172" s="25" t="s">
        <v>173</v>
      </c>
      <c r="T1172" s="25">
        <v>1</v>
      </c>
      <c r="U1172" s="25" t="s">
        <v>2517</v>
      </c>
      <c r="V1172" s="25" t="s">
        <v>7657</v>
      </c>
      <c r="W1172" s="25" t="s">
        <v>7658</v>
      </c>
      <c r="X1172" s="59">
        <v>45922.663194444453</v>
      </c>
      <c r="Y1172" s="25" t="s">
        <v>7659</v>
      </c>
      <c r="Z1172" s="25">
        <v>0.5</v>
      </c>
      <c r="AA1172" s="25"/>
      <c r="AB1172" s="25" t="s">
        <v>2521</v>
      </c>
      <c r="AC1172" s="27" t="s">
        <v>7660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7661</v>
      </c>
      <c r="E1173" s="25" t="s">
        <v>2504</v>
      </c>
      <c r="F1173" s="25">
        <v>2224</v>
      </c>
      <c r="G1173" s="25" t="s">
        <v>4224</v>
      </c>
      <c r="H1173" s="25" t="s">
        <v>2609</v>
      </c>
      <c r="I1173" s="25" t="s">
        <v>7662</v>
      </c>
      <c r="J1173" s="25" t="s">
        <v>2567</v>
      </c>
      <c r="K1173" s="25" t="s">
        <v>2717</v>
      </c>
      <c r="L1173" s="25" t="s">
        <v>2525</v>
      </c>
      <c r="M1173" s="26" t="s">
        <v>2526</v>
      </c>
      <c r="N1173" s="25">
        <v>5804</v>
      </c>
      <c r="O1173" s="26" t="s">
        <v>2582</v>
      </c>
      <c r="P1173" s="27" t="s">
        <v>7663</v>
      </c>
      <c r="Q1173" s="25" t="s">
        <v>4227</v>
      </c>
      <c r="R1173" s="25" t="s">
        <v>2516</v>
      </c>
      <c r="S1173" s="25" t="s">
        <v>173</v>
      </c>
      <c r="T1173" s="25">
        <v>1</v>
      </c>
      <c r="U1173" s="25" t="s">
        <v>2517</v>
      </c>
      <c r="V1173" s="25" t="s">
        <v>7664</v>
      </c>
      <c r="W1173" s="25" t="s">
        <v>7665</v>
      </c>
      <c r="X1173" s="59">
        <v>45922.715277777781</v>
      </c>
      <c r="Y1173" s="25" t="s">
        <v>7666</v>
      </c>
      <c r="Z1173" s="25">
        <v>0.5</v>
      </c>
      <c r="AA1173" s="25"/>
      <c r="AB1173" s="25" t="s">
        <v>2521</v>
      </c>
      <c r="AC1173" s="27" t="s">
        <v>7667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3238</v>
      </c>
      <c r="H1174" s="25" t="s">
        <v>2609</v>
      </c>
      <c r="I1174" s="25"/>
      <c r="J1174" s="25"/>
      <c r="K1174" s="25"/>
      <c r="L1174" s="25"/>
      <c r="M1174" s="26"/>
      <c r="N1174" s="25"/>
      <c r="O1174" s="26"/>
      <c r="P1174" s="27"/>
      <c r="Q1174" s="25" t="s">
        <v>3242</v>
      </c>
      <c r="R1174" s="25" t="s">
        <v>2516</v>
      </c>
      <c r="S1174" s="25" t="s">
        <v>173</v>
      </c>
      <c r="T1174" s="25">
        <v>1</v>
      </c>
      <c r="U1174" s="25" t="s">
        <v>2517</v>
      </c>
      <c r="V1174" s="25" t="s">
        <v>7668</v>
      </c>
      <c r="W1174" s="25" t="s">
        <v>7669</v>
      </c>
      <c r="X1174" s="59">
        <v>45922.675000000003</v>
      </c>
      <c r="Y1174" s="25"/>
      <c r="Z1174" s="25">
        <v>0.7</v>
      </c>
      <c r="AA1174" s="25"/>
      <c r="AB1174" s="25" t="s">
        <v>2521</v>
      </c>
      <c r="AC1174" s="27" t="s">
        <v>6091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7670</v>
      </c>
      <c r="E1175" s="25" t="s">
        <v>2504</v>
      </c>
      <c r="F1175" s="25" t="s">
        <v>2865</v>
      </c>
      <c r="G1175" s="25" t="s">
        <v>2866</v>
      </c>
      <c r="H1175" s="25" t="s">
        <v>2507</v>
      </c>
      <c r="I1175" s="25" t="s">
        <v>7671</v>
      </c>
      <c r="J1175" s="25" t="s">
        <v>2661</v>
      </c>
      <c r="K1175" s="25" t="s">
        <v>2568</v>
      </c>
      <c r="L1175" s="25" t="s">
        <v>2525</v>
      </c>
      <c r="M1175" s="26" t="s">
        <v>2526</v>
      </c>
      <c r="N1175" s="25">
        <v>5801</v>
      </c>
      <c r="O1175" s="26" t="s">
        <v>2527</v>
      </c>
      <c r="P1175" s="27" t="s">
        <v>7672</v>
      </c>
      <c r="Q1175" s="25" t="s">
        <v>2867</v>
      </c>
      <c r="R1175" s="25" t="s">
        <v>2516</v>
      </c>
      <c r="S1175" s="25" t="s">
        <v>25</v>
      </c>
      <c r="T1175" s="25">
        <v>1</v>
      </c>
      <c r="U1175" s="25" t="s">
        <v>2517</v>
      </c>
      <c r="V1175" s="25" t="s">
        <v>7673</v>
      </c>
      <c r="W1175" s="25" t="s">
        <v>7674</v>
      </c>
      <c r="X1175" s="59">
        <v>45923.45208333333</v>
      </c>
      <c r="Y1175" s="25" t="s">
        <v>7675</v>
      </c>
      <c r="Z1175" s="25">
        <v>0.5</v>
      </c>
      <c r="AA1175" s="25"/>
      <c r="AB1175" s="25" t="s">
        <v>2521</v>
      </c>
      <c r="AC1175" s="27" t="s">
        <v>7676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7677</v>
      </c>
      <c r="E1176" s="25" t="s">
        <v>2504</v>
      </c>
      <c r="F1176" s="25">
        <v>4698</v>
      </c>
      <c r="G1176" s="25" t="s">
        <v>3417</v>
      </c>
      <c r="H1176" s="25" t="s">
        <v>2507</v>
      </c>
      <c r="I1176" s="25" t="s">
        <v>7678</v>
      </c>
      <c r="J1176" s="25" t="s">
        <v>2661</v>
      </c>
      <c r="K1176" s="25" t="s">
        <v>2717</v>
      </c>
      <c r="L1176" s="25" t="s">
        <v>2537</v>
      </c>
      <c r="M1176" s="26" t="s">
        <v>2538</v>
      </c>
      <c r="N1176" s="25" t="s">
        <v>2539</v>
      </c>
      <c r="O1176" s="26" t="s">
        <v>2540</v>
      </c>
      <c r="P1176" s="27" t="s">
        <v>7679</v>
      </c>
      <c r="Q1176" s="25" t="s">
        <v>3418</v>
      </c>
      <c r="R1176" s="25" t="s">
        <v>2516</v>
      </c>
      <c r="S1176" s="25" t="s">
        <v>25</v>
      </c>
      <c r="T1176" s="25">
        <v>1</v>
      </c>
      <c r="U1176" s="25" t="s">
        <v>2517</v>
      </c>
      <c r="V1176" s="25" t="s">
        <v>7680</v>
      </c>
      <c r="W1176" s="25" t="s">
        <v>7681</v>
      </c>
      <c r="X1176" s="59">
        <v>45923.419444444437</v>
      </c>
      <c r="Y1176" s="25" t="s">
        <v>7682</v>
      </c>
      <c r="Z1176" s="25">
        <v>0.5</v>
      </c>
      <c r="AA1176" s="25"/>
      <c r="AB1176" s="25" t="s">
        <v>2521</v>
      </c>
      <c r="AC1176" s="27" t="s">
        <v>7683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7684</v>
      </c>
      <c r="E1177" s="25" t="s">
        <v>2504</v>
      </c>
      <c r="F1177" s="25" t="s">
        <v>7685</v>
      </c>
      <c r="G1177" s="25" t="s">
        <v>6538</v>
      </c>
      <c r="H1177" s="25" t="s">
        <v>2996</v>
      </c>
      <c r="I1177" s="25" t="s">
        <v>7686</v>
      </c>
      <c r="J1177" s="25" t="s">
        <v>2509</v>
      </c>
      <c r="K1177" s="25" t="s">
        <v>2568</v>
      </c>
      <c r="L1177" s="25" t="s">
        <v>2846</v>
      </c>
      <c r="M1177" s="26" t="s">
        <v>2847</v>
      </c>
      <c r="N1177" s="25">
        <v>2401</v>
      </c>
      <c r="O1177" s="26" t="s">
        <v>2848</v>
      </c>
      <c r="P1177" s="27" t="s">
        <v>7687</v>
      </c>
      <c r="Q1177" s="25" t="s">
        <v>7688</v>
      </c>
      <c r="R1177" s="25" t="s">
        <v>2516</v>
      </c>
      <c r="S1177" s="25" t="s">
        <v>185</v>
      </c>
      <c r="T1177" s="25">
        <v>1</v>
      </c>
      <c r="U1177" s="25" t="s">
        <v>2517</v>
      </c>
      <c r="V1177" s="25" t="s">
        <v>7689</v>
      </c>
      <c r="W1177" s="25" t="s">
        <v>7690</v>
      </c>
      <c r="X1177" s="59">
        <v>45923.604166666657</v>
      </c>
      <c r="Y1177" s="25" t="s">
        <v>7691</v>
      </c>
      <c r="Z1177" s="25">
        <v>0.3</v>
      </c>
      <c r="AA1177" s="25"/>
      <c r="AB1177" s="25" t="s">
        <v>2521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7692</v>
      </c>
      <c r="E1178" s="25" t="s">
        <v>2504</v>
      </c>
      <c r="F1178" s="25" t="s">
        <v>7693</v>
      </c>
      <c r="G1178" s="25" t="s">
        <v>6538</v>
      </c>
      <c r="H1178" s="25" t="s">
        <v>2996</v>
      </c>
      <c r="I1178" s="25" t="s">
        <v>7694</v>
      </c>
      <c r="J1178" s="25" t="s">
        <v>2509</v>
      </c>
      <c r="K1178" s="25" t="s">
        <v>2568</v>
      </c>
      <c r="L1178" s="25" t="s">
        <v>2846</v>
      </c>
      <c r="M1178" s="26" t="s">
        <v>2847</v>
      </c>
      <c r="N1178" s="25">
        <v>2401</v>
      </c>
      <c r="O1178" s="26" t="s">
        <v>2848</v>
      </c>
      <c r="P1178" s="27" t="s">
        <v>7695</v>
      </c>
      <c r="Q1178" s="25" t="s">
        <v>7696</v>
      </c>
      <c r="R1178" s="25" t="s">
        <v>2516</v>
      </c>
      <c r="S1178" s="25" t="s">
        <v>185</v>
      </c>
      <c r="T1178" s="25">
        <v>1</v>
      </c>
      <c r="U1178" s="25" t="s">
        <v>2517</v>
      </c>
      <c r="V1178" s="25" t="s">
        <v>7697</v>
      </c>
      <c r="W1178" s="25" t="s">
        <v>7698</v>
      </c>
      <c r="X1178" s="59">
        <v>45923.625</v>
      </c>
      <c r="Y1178" s="25" t="s">
        <v>7691</v>
      </c>
      <c r="Z1178" s="25">
        <v>0.5</v>
      </c>
      <c r="AA1178" s="25"/>
      <c r="AB1178" s="25" t="s">
        <v>2521</v>
      </c>
      <c r="AC1178" s="27" t="s">
        <v>7699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7700</v>
      </c>
      <c r="E1179" s="25" t="s">
        <v>2504</v>
      </c>
      <c r="F1179" s="25" t="s">
        <v>6537</v>
      </c>
      <c r="G1179" s="25" t="s">
        <v>6538</v>
      </c>
      <c r="H1179" s="25" t="s">
        <v>2996</v>
      </c>
      <c r="I1179" s="25" t="s">
        <v>7701</v>
      </c>
      <c r="J1179" s="25" t="s">
        <v>2509</v>
      </c>
      <c r="K1179" s="25" t="s">
        <v>2568</v>
      </c>
      <c r="L1179" s="25" t="s">
        <v>2846</v>
      </c>
      <c r="M1179" s="26" t="s">
        <v>2847</v>
      </c>
      <c r="N1179" s="25">
        <v>2403</v>
      </c>
      <c r="O1179" s="26" t="s">
        <v>4550</v>
      </c>
      <c r="P1179" s="27" t="s">
        <v>7702</v>
      </c>
      <c r="Q1179" s="25" t="s">
        <v>6541</v>
      </c>
      <c r="R1179" s="25" t="s">
        <v>2516</v>
      </c>
      <c r="S1179" s="25" t="s">
        <v>185</v>
      </c>
      <c r="T1179" s="25">
        <v>1</v>
      </c>
      <c r="U1179" s="25" t="s">
        <v>2517</v>
      </c>
      <c r="V1179" s="25" t="s">
        <v>7703</v>
      </c>
      <c r="W1179" s="25" t="s">
        <v>7704</v>
      </c>
      <c r="X1179" s="59">
        <v>45923.59375</v>
      </c>
      <c r="Y1179" s="25" t="s">
        <v>7691</v>
      </c>
      <c r="Z1179" s="25">
        <v>0.3</v>
      </c>
      <c r="AA1179" s="25"/>
      <c r="AB1179" s="25" t="s">
        <v>2521</v>
      </c>
      <c r="AC1179" s="27" t="s">
        <v>4555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4136</v>
      </c>
      <c r="H1180" s="25" t="s">
        <v>1604</v>
      </c>
      <c r="I1180" s="25"/>
      <c r="J1180" s="25"/>
      <c r="K1180" s="25"/>
      <c r="L1180" s="25"/>
      <c r="M1180" s="26"/>
      <c r="N1180" s="25"/>
      <c r="O1180" s="26"/>
      <c r="P1180" s="27"/>
      <c r="Q1180" s="25" t="s">
        <v>4137</v>
      </c>
      <c r="R1180" s="25" t="s">
        <v>2516</v>
      </c>
      <c r="S1180" s="25" t="s">
        <v>25</v>
      </c>
      <c r="T1180" s="25">
        <v>1</v>
      </c>
      <c r="U1180" s="25" t="s">
        <v>2517</v>
      </c>
      <c r="V1180" s="25" t="s">
        <v>7705</v>
      </c>
      <c r="W1180" s="25" t="s">
        <v>7706</v>
      </c>
      <c r="X1180" s="59">
        <v>45923.493750000001</v>
      </c>
      <c r="Y1180" s="25"/>
      <c r="Z1180" s="25">
        <v>0.4</v>
      </c>
      <c r="AA1180" s="25"/>
      <c r="AB1180" s="25" t="s">
        <v>2521</v>
      </c>
      <c r="AC1180" s="27" t="s">
        <v>6091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3464</v>
      </c>
      <c r="H1181" s="25" t="s">
        <v>1604</v>
      </c>
      <c r="I1181" s="25"/>
      <c r="J1181" s="25"/>
      <c r="K1181" s="25"/>
      <c r="L1181" s="25"/>
      <c r="M1181" s="26"/>
      <c r="N1181" s="25"/>
      <c r="O1181" s="26"/>
      <c r="P1181" s="27"/>
      <c r="Q1181" s="25" t="s">
        <v>3467</v>
      </c>
      <c r="R1181" s="25" t="s">
        <v>2516</v>
      </c>
      <c r="S1181" s="25" t="s">
        <v>25</v>
      </c>
      <c r="T1181" s="25">
        <v>1</v>
      </c>
      <c r="U1181" s="25" t="s">
        <v>2517</v>
      </c>
      <c r="V1181" s="25" t="s">
        <v>7707</v>
      </c>
      <c r="W1181" s="25" t="s">
        <v>7708</v>
      </c>
      <c r="X1181" s="59">
        <v>45923.53125</v>
      </c>
      <c r="Y1181" s="25"/>
      <c r="Z1181" s="25">
        <v>0.3</v>
      </c>
      <c r="AA1181" s="25"/>
      <c r="AB1181" s="25" t="s">
        <v>2521</v>
      </c>
      <c r="AC1181" s="27" t="s">
        <v>6091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4147</v>
      </c>
      <c r="H1182" s="25" t="s">
        <v>1604</v>
      </c>
      <c r="I1182" s="25"/>
      <c r="J1182" s="25"/>
      <c r="K1182" s="25"/>
      <c r="L1182" s="25"/>
      <c r="M1182" s="26"/>
      <c r="N1182" s="25"/>
      <c r="O1182" s="26"/>
      <c r="P1182" s="27"/>
      <c r="Q1182" s="25" t="s">
        <v>4148</v>
      </c>
      <c r="R1182" s="25" t="s">
        <v>2516</v>
      </c>
      <c r="S1182" s="25" t="s">
        <v>25</v>
      </c>
      <c r="T1182" s="25">
        <v>1</v>
      </c>
      <c r="U1182" s="25" t="s">
        <v>2517</v>
      </c>
      <c r="V1182" s="25" t="s">
        <v>7709</v>
      </c>
      <c r="W1182" s="25" t="s">
        <v>7710</v>
      </c>
      <c r="X1182" s="59">
        <v>45923.556250000001</v>
      </c>
      <c r="Y1182" s="25"/>
      <c r="Z1182" s="25">
        <v>0.4</v>
      </c>
      <c r="AA1182" s="25"/>
      <c r="AB1182" s="25" t="s">
        <v>2521</v>
      </c>
      <c r="AC1182" s="27" t="s">
        <v>6091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3269</v>
      </c>
      <c r="H1183" s="25" t="s">
        <v>1604</v>
      </c>
      <c r="I1183" s="25"/>
      <c r="J1183" s="25"/>
      <c r="K1183" s="25"/>
      <c r="L1183" s="25"/>
      <c r="M1183" s="26"/>
      <c r="N1183" s="25"/>
      <c r="O1183" s="26"/>
      <c r="P1183" s="27"/>
      <c r="Q1183" s="25" t="s">
        <v>3276</v>
      </c>
      <c r="R1183" s="25" t="s">
        <v>2516</v>
      </c>
      <c r="S1183" s="25" t="s">
        <v>25</v>
      </c>
      <c r="T1183" s="25">
        <v>1</v>
      </c>
      <c r="U1183" s="25" t="s">
        <v>2517</v>
      </c>
      <c r="V1183" s="25" t="s">
        <v>7711</v>
      </c>
      <c r="W1183" s="25" t="s">
        <v>7712</v>
      </c>
      <c r="X1183" s="59">
        <v>45923.588194444441</v>
      </c>
      <c r="Y1183" s="25"/>
      <c r="Z1183" s="25">
        <v>0.4</v>
      </c>
      <c r="AA1183" s="25"/>
      <c r="AB1183" s="25" t="s">
        <v>2521</v>
      </c>
      <c r="AC1183" s="27" t="s">
        <v>6091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3797</v>
      </c>
      <c r="H1184" s="25" t="s">
        <v>1604</v>
      </c>
      <c r="I1184" s="25"/>
      <c r="J1184" s="25"/>
      <c r="K1184" s="25"/>
      <c r="L1184" s="25"/>
      <c r="M1184" s="26"/>
      <c r="N1184" s="25"/>
      <c r="O1184" s="26"/>
      <c r="P1184" s="27"/>
      <c r="Q1184" s="25" t="s">
        <v>3800</v>
      </c>
      <c r="R1184" s="25" t="s">
        <v>2516</v>
      </c>
      <c r="S1184" s="25" t="s">
        <v>25</v>
      </c>
      <c r="T1184" s="25">
        <v>1</v>
      </c>
      <c r="U1184" s="25" t="s">
        <v>2517</v>
      </c>
      <c r="V1184" s="25" t="s">
        <v>7713</v>
      </c>
      <c r="W1184" s="25" t="s">
        <v>7698</v>
      </c>
      <c r="X1184" s="59">
        <v>45923.618055555547</v>
      </c>
      <c r="Y1184" s="25"/>
      <c r="Z1184" s="25">
        <v>0.3</v>
      </c>
      <c r="AA1184" s="25"/>
      <c r="AB1184" s="25" t="s">
        <v>2521</v>
      </c>
      <c r="AC1184" s="27" t="s">
        <v>6091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4178</v>
      </c>
      <c r="H1185" s="25" t="s">
        <v>1604</v>
      </c>
      <c r="I1185" s="25"/>
      <c r="J1185" s="25"/>
      <c r="K1185" s="25"/>
      <c r="L1185" s="25"/>
      <c r="M1185" s="26"/>
      <c r="N1185" s="25"/>
      <c r="O1185" s="26"/>
      <c r="P1185" s="27"/>
      <c r="Q1185" s="25" t="s">
        <v>4179</v>
      </c>
      <c r="R1185" s="25" t="s">
        <v>2516</v>
      </c>
      <c r="S1185" s="25" t="s">
        <v>25</v>
      </c>
      <c r="T1185" s="25">
        <v>1</v>
      </c>
      <c r="U1185" s="25" t="s">
        <v>2517</v>
      </c>
      <c r="V1185" s="25" t="s">
        <v>7714</v>
      </c>
      <c r="W1185" s="25" t="s">
        <v>7715</v>
      </c>
      <c r="X1185" s="59">
        <v>45923.64166666667</v>
      </c>
      <c r="Y1185" s="25"/>
      <c r="Z1185" s="25">
        <v>0.4</v>
      </c>
      <c r="AA1185" s="25"/>
      <c r="AB1185" s="25" t="s">
        <v>2521</v>
      </c>
      <c r="AC1185" s="27" t="s">
        <v>6091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4487</v>
      </c>
      <c r="G1186" s="25" t="s">
        <v>4488</v>
      </c>
      <c r="H1186" s="25" t="s">
        <v>2996</v>
      </c>
      <c r="I1186" s="25"/>
      <c r="J1186" s="25"/>
      <c r="K1186" s="25"/>
      <c r="L1186" s="25"/>
      <c r="M1186" s="26"/>
      <c r="N1186" s="25"/>
      <c r="O1186" s="26"/>
      <c r="P1186" s="27"/>
      <c r="Q1186" s="25" t="s">
        <v>4489</v>
      </c>
      <c r="R1186" s="25" t="s">
        <v>2516</v>
      </c>
      <c r="S1186" s="25" t="s">
        <v>185</v>
      </c>
      <c r="T1186" s="25">
        <v>1</v>
      </c>
      <c r="U1186" s="25" t="s">
        <v>2517</v>
      </c>
      <c r="V1186" s="25" t="s">
        <v>7716</v>
      </c>
      <c r="W1186" s="25" t="s">
        <v>7715</v>
      </c>
      <c r="X1186" s="59">
        <v>45923.645833333343</v>
      </c>
      <c r="Y1186" s="25"/>
      <c r="Z1186" s="25">
        <v>0.5</v>
      </c>
      <c r="AA1186" s="25"/>
      <c r="AB1186" s="25" t="s">
        <v>2521</v>
      </c>
      <c r="AC1186" s="27" t="s">
        <v>6091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4483</v>
      </c>
      <c r="H1187" s="25" t="s">
        <v>2996</v>
      </c>
      <c r="I1187" s="25"/>
      <c r="J1187" s="25"/>
      <c r="K1187" s="25"/>
      <c r="L1187" s="25"/>
      <c r="M1187" s="26"/>
      <c r="N1187" s="25"/>
      <c r="O1187" s="26"/>
      <c r="P1187" s="27"/>
      <c r="Q1187" s="25" t="s">
        <v>4484</v>
      </c>
      <c r="R1187" s="25" t="s">
        <v>2516</v>
      </c>
      <c r="S1187" s="25" t="s">
        <v>185</v>
      </c>
      <c r="T1187" s="25">
        <v>1</v>
      </c>
      <c r="U1187" s="25" t="s">
        <v>2517</v>
      </c>
      <c r="V1187" s="25" t="s">
        <v>7717</v>
      </c>
      <c r="W1187" s="25" t="s">
        <v>7718</v>
      </c>
      <c r="X1187" s="59">
        <v>45923.65625</v>
      </c>
      <c r="Y1187" s="25"/>
      <c r="Z1187" s="25">
        <v>0.3</v>
      </c>
      <c r="AA1187" s="25"/>
      <c r="AB1187" s="25" t="s">
        <v>2521</v>
      </c>
      <c r="AC1187" s="27" t="s">
        <v>6216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2995</v>
      </c>
      <c r="H1188" s="25" t="s">
        <v>2996</v>
      </c>
      <c r="I1188" s="25"/>
      <c r="J1188" s="25"/>
      <c r="K1188" s="25"/>
      <c r="L1188" s="25"/>
      <c r="M1188" s="26"/>
      <c r="N1188" s="25"/>
      <c r="O1188" s="26"/>
      <c r="P1188" s="27"/>
      <c r="Q1188" s="25" t="s">
        <v>2997</v>
      </c>
      <c r="R1188" s="25" t="s">
        <v>2516</v>
      </c>
      <c r="S1188" s="25" t="s">
        <v>185</v>
      </c>
      <c r="T1188" s="25">
        <v>1</v>
      </c>
      <c r="U1188" s="25" t="s">
        <v>2517</v>
      </c>
      <c r="V1188" s="25" t="s">
        <v>7719</v>
      </c>
      <c r="W1188" s="25" t="s">
        <v>7720</v>
      </c>
      <c r="X1188" s="59">
        <v>45923.666666666657</v>
      </c>
      <c r="Y1188" s="25"/>
      <c r="Z1188" s="25">
        <v>0.3</v>
      </c>
      <c r="AA1188" s="25"/>
      <c r="AB1188" s="25" t="s">
        <v>2521</v>
      </c>
      <c r="AC1188" s="27" t="s">
        <v>6216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3000</v>
      </c>
      <c r="H1189" s="25" t="s">
        <v>2996</v>
      </c>
      <c r="I1189" s="25"/>
      <c r="J1189" s="25"/>
      <c r="K1189" s="25"/>
      <c r="L1189" s="25"/>
      <c r="M1189" s="26"/>
      <c r="N1189" s="25"/>
      <c r="O1189" s="26"/>
      <c r="P1189" s="27"/>
      <c r="Q1189" s="25" t="s">
        <v>3001</v>
      </c>
      <c r="R1189" s="25" t="s">
        <v>2516</v>
      </c>
      <c r="S1189" s="25" t="s">
        <v>185</v>
      </c>
      <c r="T1189" s="25">
        <v>1</v>
      </c>
      <c r="U1189" s="25" t="s">
        <v>2517</v>
      </c>
      <c r="V1189" s="25" t="s">
        <v>7721</v>
      </c>
      <c r="W1189" s="25" t="s">
        <v>7722</v>
      </c>
      <c r="X1189" s="59">
        <v>45923.677083333343</v>
      </c>
      <c r="Y1189" s="25"/>
      <c r="Z1189" s="25">
        <v>0.3</v>
      </c>
      <c r="AA1189" s="25"/>
      <c r="AB1189" s="25" t="s">
        <v>2521</v>
      </c>
      <c r="AC1189" s="27" t="s">
        <v>6216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4331</v>
      </c>
      <c r="G1190" s="25" t="s">
        <v>4332</v>
      </c>
      <c r="H1190" s="25" t="s">
        <v>2659</v>
      </c>
      <c r="I1190" s="25"/>
      <c r="J1190" s="25"/>
      <c r="K1190" s="25"/>
      <c r="L1190" s="25"/>
      <c r="M1190" s="26"/>
      <c r="N1190" s="25"/>
      <c r="O1190" s="26"/>
      <c r="P1190" s="27"/>
      <c r="Q1190" s="25" t="s">
        <v>4333</v>
      </c>
      <c r="R1190" s="25" t="s">
        <v>2516</v>
      </c>
      <c r="S1190" s="25" t="s">
        <v>185</v>
      </c>
      <c r="T1190" s="25">
        <v>1</v>
      </c>
      <c r="U1190" s="25" t="s">
        <v>2517</v>
      </c>
      <c r="V1190" s="25" t="s">
        <v>7723</v>
      </c>
      <c r="W1190" s="25" t="s">
        <v>7724</v>
      </c>
      <c r="X1190" s="59">
        <v>45923.6875</v>
      </c>
      <c r="Y1190" s="25"/>
      <c r="Z1190" s="25">
        <v>0.3</v>
      </c>
      <c r="AA1190" s="25"/>
      <c r="AB1190" s="25" t="s">
        <v>2521</v>
      </c>
      <c r="AC1190" s="27" t="s">
        <v>6091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7725</v>
      </c>
      <c r="E1191" s="25" t="s">
        <v>2504</v>
      </c>
      <c r="F1191" s="25">
        <v>4312</v>
      </c>
      <c r="G1191" s="25" t="s">
        <v>2917</v>
      </c>
      <c r="H1191" s="25" t="s">
        <v>2507</v>
      </c>
      <c r="I1191" s="25" t="s">
        <v>7726</v>
      </c>
      <c r="J1191" s="25" t="s">
        <v>2509</v>
      </c>
      <c r="K1191" s="25" t="s">
        <v>2568</v>
      </c>
      <c r="L1191" s="25" t="s">
        <v>2511</v>
      </c>
      <c r="M1191" s="26" t="s">
        <v>2512</v>
      </c>
      <c r="N1191" s="25">
        <v>2307</v>
      </c>
      <c r="O1191" s="26" t="s">
        <v>2678</v>
      </c>
      <c r="P1191" s="27" t="s">
        <v>7727</v>
      </c>
      <c r="Q1191" s="25" t="s">
        <v>2918</v>
      </c>
      <c r="R1191" s="25" t="s">
        <v>2516</v>
      </c>
      <c r="S1191" s="25" t="s">
        <v>25</v>
      </c>
      <c r="T1191" s="25">
        <v>1</v>
      </c>
      <c r="U1191" s="25" t="s">
        <v>2517</v>
      </c>
      <c r="V1191" s="25" t="s">
        <v>7728</v>
      </c>
      <c r="W1191" s="25" t="s">
        <v>7729</v>
      </c>
      <c r="X1191" s="59">
        <v>45924.408333333333</v>
      </c>
      <c r="Y1191" s="25" t="s">
        <v>7730</v>
      </c>
      <c r="Z1191" s="25">
        <v>0.5</v>
      </c>
      <c r="AA1191" s="25"/>
      <c r="AB1191" s="25" t="s">
        <v>2915</v>
      </c>
      <c r="AC1191" s="27" t="s">
        <v>7731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3200</v>
      </c>
      <c r="H1192" s="25" t="s">
        <v>2641</v>
      </c>
      <c r="I1192" s="25"/>
      <c r="J1192" s="25"/>
      <c r="K1192" s="25"/>
      <c r="L1192" s="25"/>
      <c r="M1192" s="26"/>
      <c r="N1192" s="25"/>
      <c r="O1192" s="26"/>
      <c r="P1192" s="27"/>
      <c r="Q1192" s="25" t="s">
        <v>3203</v>
      </c>
      <c r="R1192" s="25" t="s">
        <v>2516</v>
      </c>
      <c r="S1192" s="25" t="s">
        <v>25</v>
      </c>
      <c r="T1192" s="25">
        <v>1</v>
      </c>
      <c r="U1192" s="25" t="s">
        <v>2517</v>
      </c>
      <c r="V1192" s="25" t="s">
        <v>7732</v>
      </c>
      <c r="W1192" s="25" t="s">
        <v>7733</v>
      </c>
      <c r="X1192" s="59">
        <v>45924.583333333343</v>
      </c>
      <c r="Y1192" s="25"/>
      <c r="Z1192" s="25">
        <v>3</v>
      </c>
      <c r="AA1192" s="25"/>
      <c r="AB1192" s="25" t="s">
        <v>2521</v>
      </c>
      <c r="AC1192" s="27" t="s">
        <v>7610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3200</v>
      </c>
      <c r="H1193" s="25" t="s">
        <v>2641</v>
      </c>
      <c r="I1193" s="25"/>
      <c r="J1193" s="25"/>
      <c r="K1193" s="25"/>
      <c r="L1193" s="25"/>
      <c r="M1193" s="26"/>
      <c r="N1193" s="25"/>
      <c r="O1193" s="26"/>
      <c r="P1193" s="27"/>
      <c r="Q1193" s="25" t="s">
        <v>3203</v>
      </c>
      <c r="R1193" s="25" t="s">
        <v>2516</v>
      </c>
      <c r="S1193" s="25" t="s">
        <v>25</v>
      </c>
      <c r="T1193" s="25">
        <v>1</v>
      </c>
      <c r="U1193" s="25" t="s">
        <v>2517</v>
      </c>
      <c r="V1193" s="25" t="s">
        <v>7734</v>
      </c>
      <c r="W1193" s="25" t="s">
        <v>7735</v>
      </c>
      <c r="X1193" s="59">
        <v>45924.5625</v>
      </c>
      <c r="Y1193" s="25"/>
      <c r="Z1193" s="25">
        <v>0.5</v>
      </c>
      <c r="AA1193" s="25"/>
      <c r="AB1193" s="25" t="s">
        <v>2521</v>
      </c>
      <c r="AC1193" s="27" t="s">
        <v>6091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3950</v>
      </c>
      <c r="G1194" s="25" t="s">
        <v>7736</v>
      </c>
      <c r="H1194" s="25" t="s">
        <v>2609</v>
      </c>
      <c r="I1194" s="25"/>
      <c r="J1194" s="25"/>
      <c r="K1194" s="25"/>
      <c r="L1194" s="25"/>
      <c r="M1194" s="26"/>
      <c r="N1194" s="25"/>
      <c r="O1194" s="26"/>
      <c r="P1194" s="27"/>
      <c r="Q1194" s="25" t="s">
        <v>3955</v>
      </c>
      <c r="R1194" s="25" t="s">
        <v>2516</v>
      </c>
      <c r="S1194" s="25" t="s">
        <v>173</v>
      </c>
      <c r="T1194" s="25">
        <v>1</v>
      </c>
      <c r="U1194" s="25" t="s">
        <v>2517</v>
      </c>
      <c r="V1194" s="25" t="s">
        <v>7737</v>
      </c>
      <c r="W1194" s="25" t="s">
        <v>7738</v>
      </c>
      <c r="X1194" s="59">
        <v>45925.566666666673</v>
      </c>
      <c r="Y1194" s="25"/>
      <c r="Z1194" s="25">
        <v>0.4</v>
      </c>
      <c r="AA1194" s="25"/>
      <c r="AB1194" s="25" t="s">
        <v>2521</v>
      </c>
      <c r="AC1194" s="27" t="s">
        <v>6091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7739</v>
      </c>
      <c r="H1195" s="25" t="s">
        <v>2609</v>
      </c>
      <c r="I1195" s="25"/>
      <c r="J1195" s="25"/>
      <c r="K1195" s="25"/>
      <c r="L1195" s="25"/>
      <c r="M1195" s="26"/>
      <c r="N1195" s="25"/>
      <c r="O1195" s="26"/>
      <c r="P1195" s="27"/>
      <c r="Q1195" s="25" t="s">
        <v>3455</v>
      </c>
      <c r="R1195" s="25" t="s">
        <v>2516</v>
      </c>
      <c r="S1195" s="25" t="s">
        <v>173</v>
      </c>
      <c r="T1195" s="25">
        <v>1</v>
      </c>
      <c r="U1195" s="25" t="s">
        <v>2517</v>
      </c>
      <c r="V1195" s="25" t="s">
        <v>7740</v>
      </c>
      <c r="W1195" s="25" t="s">
        <v>7741</v>
      </c>
      <c r="X1195" s="59">
        <v>45925.585416666669</v>
      </c>
      <c r="Y1195" s="25"/>
      <c r="Z1195" s="25">
        <v>0.3</v>
      </c>
      <c r="AA1195" s="25"/>
      <c r="AB1195" s="25" t="s">
        <v>2521</v>
      </c>
      <c r="AC1195" s="27" t="s">
        <v>6091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2961</v>
      </c>
      <c r="H1196" s="25" t="s">
        <v>2609</v>
      </c>
      <c r="I1196" s="25"/>
      <c r="J1196" s="25"/>
      <c r="K1196" s="25"/>
      <c r="L1196" s="25"/>
      <c r="M1196" s="26"/>
      <c r="N1196" s="25"/>
      <c r="O1196" s="26"/>
      <c r="P1196" s="27"/>
      <c r="Q1196" s="25" t="s">
        <v>2965</v>
      </c>
      <c r="R1196" s="25" t="s">
        <v>2516</v>
      </c>
      <c r="S1196" s="25" t="s">
        <v>173</v>
      </c>
      <c r="T1196" s="25">
        <v>1</v>
      </c>
      <c r="U1196" s="25" t="s">
        <v>2517</v>
      </c>
      <c r="V1196" s="25" t="s">
        <v>7742</v>
      </c>
      <c r="W1196" s="25" t="s">
        <v>7743</v>
      </c>
      <c r="X1196" s="59">
        <v>45925.603472222218</v>
      </c>
      <c r="Y1196" s="25"/>
      <c r="Z1196" s="25">
        <v>0.3</v>
      </c>
      <c r="AA1196" s="25"/>
      <c r="AB1196" s="25" t="s">
        <v>2521</v>
      </c>
      <c r="AC1196" s="27" t="s">
        <v>6091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2844</v>
      </c>
      <c r="H1197" s="25" t="s">
        <v>2609</v>
      </c>
      <c r="I1197" s="25"/>
      <c r="J1197" s="25"/>
      <c r="K1197" s="25"/>
      <c r="L1197" s="25"/>
      <c r="M1197" s="26"/>
      <c r="N1197" s="25"/>
      <c r="O1197" s="26"/>
      <c r="P1197" s="27"/>
      <c r="Q1197" s="25" t="s">
        <v>2850</v>
      </c>
      <c r="R1197" s="25" t="s">
        <v>2516</v>
      </c>
      <c r="S1197" s="25" t="s">
        <v>173</v>
      </c>
      <c r="T1197" s="25">
        <v>1</v>
      </c>
      <c r="U1197" s="25" t="s">
        <v>2517</v>
      </c>
      <c r="V1197" s="25" t="s">
        <v>7744</v>
      </c>
      <c r="W1197" s="25" t="s">
        <v>7745</v>
      </c>
      <c r="X1197" s="59">
        <v>45925.625</v>
      </c>
      <c r="Y1197" s="25"/>
      <c r="Z1197" s="25">
        <v>0.4</v>
      </c>
      <c r="AA1197" s="25"/>
      <c r="AB1197" s="25" t="s">
        <v>2521</v>
      </c>
      <c r="AC1197" s="27" t="s">
        <v>6091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7746</v>
      </c>
      <c r="E1198" s="25" t="s">
        <v>2504</v>
      </c>
      <c r="F1198" s="25">
        <v>3818</v>
      </c>
      <c r="G1198" s="25" t="s">
        <v>2875</v>
      </c>
      <c r="H1198" s="25" t="s">
        <v>2609</v>
      </c>
      <c r="I1198" s="25" t="s">
        <v>7747</v>
      </c>
      <c r="J1198" s="25" t="s">
        <v>2835</v>
      </c>
      <c r="K1198" s="25" t="s">
        <v>2510</v>
      </c>
      <c r="L1198" s="25" t="s">
        <v>2846</v>
      </c>
      <c r="M1198" s="26" t="s">
        <v>2847</v>
      </c>
      <c r="N1198" s="25">
        <v>2405</v>
      </c>
      <c r="O1198" s="26" t="s">
        <v>2963</v>
      </c>
      <c r="P1198" s="27" t="s">
        <v>7748</v>
      </c>
      <c r="Q1198" s="25" t="s">
        <v>2878</v>
      </c>
      <c r="R1198" s="25" t="s">
        <v>2516</v>
      </c>
      <c r="S1198" s="25" t="s">
        <v>173</v>
      </c>
      <c r="T1198" s="25">
        <v>1</v>
      </c>
      <c r="U1198" s="25" t="s">
        <v>2517</v>
      </c>
      <c r="V1198" s="25" t="s">
        <v>7749</v>
      </c>
      <c r="W1198" s="25" t="s">
        <v>7750</v>
      </c>
      <c r="X1198" s="59">
        <v>45925.703472222223</v>
      </c>
      <c r="Y1198" s="25" t="s">
        <v>7751</v>
      </c>
      <c r="Z1198" s="25">
        <v>0.5</v>
      </c>
      <c r="AA1198" s="25"/>
      <c r="AB1198" s="25" t="s">
        <v>2521</v>
      </c>
      <c r="AC1198" s="27" t="s">
        <v>7752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7753</v>
      </c>
      <c r="E1199" s="25" t="s">
        <v>2504</v>
      </c>
      <c r="F1199" s="25">
        <v>3551</v>
      </c>
      <c r="G1199" s="25" t="s">
        <v>7754</v>
      </c>
      <c r="H1199" s="25" t="s">
        <v>2609</v>
      </c>
      <c r="I1199" s="25" t="s">
        <v>7755</v>
      </c>
      <c r="J1199" s="25" t="s">
        <v>2835</v>
      </c>
      <c r="K1199" s="25" t="s">
        <v>2510</v>
      </c>
      <c r="L1199" s="25" t="s">
        <v>2537</v>
      </c>
      <c r="M1199" s="26" t="s">
        <v>2538</v>
      </c>
      <c r="N1199" s="25" t="s">
        <v>2539</v>
      </c>
      <c r="O1199" s="26" t="s">
        <v>2540</v>
      </c>
      <c r="P1199" s="27" t="s">
        <v>7756</v>
      </c>
      <c r="Q1199" s="25" t="s">
        <v>4401</v>
      </c>
      <c r="R1199" s="25" t="s">
        <v>2516</v>
      </c>
      <c r="S1199" s="25" t="s">
        <v>173</v>
      </c>
      <c r="T1199" s="25">
        <v>1</v>
      </c>
      <c r="U1199" s="25" t="s">
        <v>2517</v>
      </c>
      <c r="V1199" s="25" t="s">
        <v>7757</v>
      </c>
      <c r="W1199" s="25" t="s">
        <v>7758</v>
      </c>
      <c r="X1199" s="59">
        <v>45925.644444444442</v>
      </c>
      <c r="Y1199" s="25" t="s">
        <v>7759</v>
      </c>
      <c r="Z1199" s="25">
        <v>0.5</v>
      </c>
      <c r="AA1199" s="25"/>
      <c r="AB1199" s="25" t="s">
        <v>2521</v>
      </c>
      <c r="AC1199" s="27" t="s">
        <v>7760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7761</v>
      </c>
      <c r="E1200" s="25" t="s">
        <v>2504</v>
      </c>
      <c r="F1200" s="25">
        <v>3551</v>
      </c>
      <c r="G1200" s="25" t="s">
        <v>7754</v>
      </c>
      <c r="H1200" s="25" t="s">
        <v>2609</v>
      </c>
      <c r="I1200" s="25" t="s">
        <v>7762</v>
      </c>
      <c r="J1200" s="25" t="s">
        <v>2835</v>
      </c>
      <c r="K1200" s="25" t="s">
        <v>2510</v>
      </c>
      <c r="L1200" s="25" t="s">
        <v>2537</v>
      </c>
      <c r="M1200" s="26" t="s">
        <v>2538</v>
      </c>
      <c r="N1200" s="25" t="s">
        <v>2539</v>
      </c>
      <c r="O1200" s="26" t="s">
        <v>2540</v>
      </c>
      <c r="P1200" s="27" t="s">
        <v>7763</v>
      </c>
      <c r="Q1200" s="25" t="s">
        <v>4401</v>
      </c>
      <c r="R1200" s="25" t="s">
        <v>2516</v>
      </c>
      <c r="S1200" s="25" t="s">
        <v>173</v>
      </c>
      <c r="T1200" s="25">
        <v>1</v>
      </c>
      <c r="U1200" s="25" t="s">
        <v>2517</v>
      </c>
      <c r="V1200" s="25" t="s">
        <v>7764</v>
      </c>
      <c r="W1200" s="25" t="s">
        <v>7765</v>
      </c>
      <c r="X1200" s="59">
        <v>45925.643750000003</v>
      </c>
      <c r="Y1200" s="25" t="s">
        <v>7766</v>
      </c>
      <c r="Z1200" s="25">
        <v>0.3</v>
      </c>
      <c r="AA1200" s="25"/>
      <c r="AB1200" s="25" t="s">
        <v>2521</v>
      </c>
      <c r="AC1200" s="27" t="s">
        <v>7767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7754</v>
      </c>
      <c r="H1201" s="25" t="s">
        <v>2609</v>
      </c>
      <c r="I1201" s="25"/>
      <c r="J1201" s="25"/>
      <c r="K1201" s="25"/>
      <c r="L1201" s="25"/>
      <c r="M1201" s="26"/>
      <c r="N1201" s="25"/>
      <c r="O1201" s="26"/>
      <c r="P1201" s="27"/>
      <c r="Q1201" s="25" t="s">
        <v>4401</v>
      </c>
      <c r="R1201" s="25" t="s">
        <v>2516</v>
      </c>
      <c r="S1201" s="25" t="s">
        <v>173</v>
      </c>
      <c r="T1201" s="25">
        <v>1</v>
      </c>
      <c r="U1201" s="25" t="s">
        <v>2517</v>
      </c>
      <c r="V1201" s="25" t="s">
        <v>7768</v>
      </c>
      <c r="W1201" s="25" t="s">
        <v>7765</v>
      </c>
      <c r="X1201" s="59">
        <v>45925.643750000003</v>
      </c>
      <c r="Y1201" s="25"/>
      <c r="Z1201" s="25">
        <v>0.3</v>
      </c>
      <c r="AA1201" s="25"/>
      <c r="AB1201" s="25" t="s">
        <v>2521</v>
      </c>
      <c r="AC1201" s="27" t="s">
        <v>6091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4396</v>
      </c>
      <c r="H1202" s="25" t="s">
        <v>2609</v>
      </c>
      <c r="I1202" s="25"/>
      <c r="J1202" s="25"/>
      <c r="K1202" s="25"/>
      <c r="L1202" s="25"/>
      <c r="M1202" s="26"/>
      <c r="N1202" s="25"/>
      <c r="O1202" s="26"/>
      <c r="P1202" s="27"/>
      <c r="Q1202" s="25" t="s">
        <v>4397</v>
      </c>
      <c r="R1202" s="25" t="s">
        <v>2516</v>
      </c>
      <c r="S1202" s="25" t="s">
        <v>173</v>
      </c>
      <c r="T1202" s="25">
        <v>1</v>
      </c>
      <c r="U1202" s="25" t="s">
        <v>2517</v>
      </c>
      <c r="V1202" s="25" t="s">
        <v>7769</v>
      </c>
      <c r="W1202" s="25" t="s">
        <v>7770</v>
      </c>
      <c r="X1202" s="59">
        <v>45925.656944444447</v>
      </c>
      <c r="Y1202" s="25"/>
      <c r="Z1202" s="25">
        <v>0.2</v>
      </c>
      <c r="AA1202" s="25"/>
      <c r="AB1202" s="25" t="s">
        <v>2521</v>
      </c>
      <c r="AC1202" s="27" t="s">
        <v>6091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4447</v>
      </c>
      <c r="G1203" s="25" t="s">
        <v>4448</v>
      </c>
      <c r="H1203" s="25" t="s">
        <v>2609</v>
      </c>
      <c r="I1203" s="25"/>
      <c r="J1203" s="25"/>
      <c r="K1203" s="25"/>
      <c r="L1203" s="25"/>
      <c r="M1203" s="26"/>
      <c r="N1203" s="25"/>
      <c r="O1203" s="26"/>
      <c r="P1203" s="27"/>
      <c r="Q1203" s="25" t="s">
        <v>4449</v>
      </c>
      <c r="R1203" s="25" t="s">
        <v>2516</v>
      </c>
      <c r="S1203" s="25" t="s">
        <v>173</v>
      </c>
      <c r="T1203" s="25">
        <v>1</v>
      </c>
      <c r="U1203" s="25" t="s">
        <v>2517</v>
      </c>
      <c r="V1203" s="25" t="s">
        <v>7771</v>
      </c>
      <c r="W1203" s="25" t="s">
        <v>7772</v>
      </c>
      <c r="X1203" s="59">
        <v>45925.670138888891</v>
      </c>
      <c r="Y1203" s="25"/>
      <c r="Z1203" s="25">
        <v>0.2</v>
      </c>
      <c r="AA1203" s="25"/>
      <c r="AB1203" s="25" t="s">
        <v>2521</v>
      </c>
      <c r="AC1203" s="27" t="s">
        <v>6091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7773</v>
      </c>
      <c r="E1204" s="25" t="s">
        <v>2504</v>
      </c>
      <c r="F1204" s="25">
        <v>2318</v>
      </c>
      <c r="G1204" s="25" t="s">
        <v>3464</v>
      </c>
      <c r="H1204" s="25" t="s">
        <v>1604</v>
      </c>
      <c r="I1204" s="25" t="s">
        <v>7774</v>
      </c>
      <c r="J1204" s="25" t="s">
        <v>2536</v>
      </c>
      <c r="K1204" s="25" t="s">
        <v>2765</v>
      </c>
      <c r="L1204" s="25" t="s">
        <v>3150</v>
      </c>
      <c r="M1204" s="26" t="s">
        <v>3151</v>
      </c>
      <c r="N1204" s="25">
        <v>5903</v>
      </c>
      <c r="O1204" s="26" t="s">
        <v>3152</v>
      </c>
      <c r="P1204" s="27" t="s">
        <v>7775</v>
      </c>
      <c r="Q1204" s="25" t="s">
        <v>3467</v>
      </c>
      <c r="R1204" s="25" t="s">
        <v>2516</v>
      </c>
      <c r="S1204" s="25" t="s">
        <v>25</v>
      </c>
      <c r="T1204" s="25">
        <v>1</v>
      </c>
      <c r="U1204" s="25" t="s">
        <v>2517</v>
      </c>
      <c r="V1204" s="25" t="s">
        <v>7776</v>
      </c>
      <c r="W1204" s="25" t="s">
        <v>7777</v>
      </c>
      <c r="X1204" s="59">
        <v>45931.520138888889</v>
      </c>
      <c r="Y1204" s="25" t="s">
        <v>7778</v>
      </c>
      <c r="Z1204" s="25">
        <v>0.5</v>
      </c>
      <c r="AA1204" s="25"/>
      <c r="AB1204" s="25" t="s">
        <v>2521</v>
      </c>
      <c r="AC1204" s="27" t="s">
        <v>7779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7780</v>
      </c>
      <c r="E1205" s="25" t="s">
        <v>2504</v>
      </c>
      <c r="F1205" s="25">
        <v>3052</v>
      </c>
      <c r="G1205" s="25" t="s">
        <v>2692</v>
      </c>
      <c r="H1205" s="25" t="s">
        <v>2659</v>
      </c>
      <c r="I1205" s="25" t="s">
        <v>7781</v>
      </c>
      <c r="J1205" s="25" t="s">
        <v>2509</v>
      </c>
      <c r="K1205" s="25" t="s">
        <v>2717</v>
      </c>
      <c r="L1205" s="25" t="s">
        <v>3150</v>
      </c>
      <c r="M1205" s="26" t="s">
        <v>3151</v>
      </c>
      <c r="N1205" s="25">
        <v>5901</v>
      </c>
      <c r="O1205" s="26" t="s">
        <v>2598</v>
      </c>
      <c r="P1205" s="27" t="s">
        <v>7782</v>
      </c>
      <c r="Q1205" s="25" t="s">
        <v>2693</v>
      </c>
      <c r="R1205" s="25" t="s">
        <v>2516</v>
      </c>
      <c r="S1205" s="25" t="s">
        <v>185</v>
      </c>
      <c r="T1205" s="25">
        <v>1</v>
      </c>
      <c r="U1205" s="25" t="s">
        <v>2517</v>
      </c>
      <c r="V1205" s="25" t="s">
        <v>7783</v>
      </c>
      <c r="W1205" s="25" t="s">
        <v>7784</v>
      </c>
      <c r="X1205" s="59">
        <v>45931.5</v>
      </c>
      <c r="Y1205" s="25" t="s">
        <v>7785</v>
      </c>
      <c r="Z1205" s="25">
        <v>0.5</v>
      </c>
      <c r="AA1205" s="25"/>
      <c r="AB1205" s="25" t="s">
        <v>2521</v>
      </c>
      <c r="AC1205" s="27" t="s">
        <v>4029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2692</v>
      </c>
      <c r="H1206" s="25" t="s">
        <v>2659</v>
      </c>
      <c r="I1206" s="25"/>
      <c r="J1206" s="25"/>
      <c r="K1206" s="25"/>
      <c r="L1206" s="25"/>
      <c r="M1206" s="26"/>
      <c r="N1206" s="25"/>
      <c r="O1206" s="26"/>
      <c r="P1206" s="27"/>
      <c r="Q1206" s="25" t="s">
        <v>2693</v>
      </c>
      <c r="R1206" s="25" t="s">
        <v>2516</v>
      </c>
      <c r="S1206" s="25" t="s">
        <v>185</v>
      </c>
      <c r="T1206" s="25">
        <v>1</v>
      </c>
      <c r="U1206" s="25" t="s">
        <v>2517</v>
      </c>
      <c r="V1206" s="25" t="s">
        <v>7786</v>
      </c>
      <c r="W1206" s="25" t="s">
        <v>7787</v>
      </c>
      <c r="X1206" s="59">
        <v>45931.520833333343</v>
      </c>
      <c r="Y1206" s="25"/>
      <c r="Z1206" s="25">
        <v>0.5</v>
      </c>
      <c r="AA1206" s="25"/>
      <c r="AB1206" s="25" t="s">
        <v>2521</v>
      </c>
      <c r="AC1206" s="27" t="s">
        <v>7788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7789</v>
      </c>
      <c r="E1207" s="25" t="s">
        <v>2504</v>
      </c>
      <c r="F1207" s="25">
        <v>4983</v>
      </c>
      <c r="G1207" s="25" t="s">
        <v>2961</v>
      </c>
      <c r="H1207" s="25" t="s">
        <v>2609</v>
      </c>
      <c r="I1207" s="25" t="s">
        <v>7790</v>
      </c>
      <c r="J1207" s="25" t="s">
        <v>2509</v>
      </c>
      <c r="K1207" s="25" t="s">
        <v>2717</v>
      </c>
      <c r="L1207" s="25" t="s">
        <v>2611</v>
      </c>
      <c r="M1207" s="26" t="s">
        <v>2612</v>
      </c>
      <c r="N1207" s="25" t="s">
        <v>2972</v>
      </c>
      <c r="O1207" s="26" t="s">
        <v>2973</v>
      </c>
      <c r="P1207" s="27" t="s">
        <v>7791</v>
      </c>
      <c r="Q1207" s="25" t="s">
        <v>2965</v>
      </c>
      <c r="R1207" s="25" t="s">
        <v>2516</v>
      </c>
      <c r="S1207" s="25" t="s">
        <v>173</v>
      </c>
      <c r="T1207" s="25">
        <v>1</v>
      </c>
      <c r="U1207" s="25" t="s">
        <v>2517</v>
      </c>
      <c r="V1207" s="25" t="s">
        <v>7792</v>
      </c>
      <c r="W1207" s="25" t="s">
        <v>7793</v>
      </c>
      <c r="X1207" s="59">
        <v>45931.711111111108</v>
      </c>
      <c r="Y1207" s="25" t="s">
        <v>7794</v>
      </c>
      <c r="Z1207" s="25">
        <v>0.4</v>
      </c>
      <c r="AA1207" s="25"/>
      <c r="AB1207" s="25" t="s">
        <v>2521</v>
      </c>
      <c r="AC1207" s="27" t="s">
        <v>7795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7796</v>
      </c>
      <c r="E1208" s="25" t="s">
        <v>2504</v>
      </c>
      <c r="F1208" s="25">
        <v>3890</v>
      </c>
      <c r="G1208" s="25" t="s">
        <v>2548</v>
      </c>
      <c r="H1208" s="25" t="s">
        <v>2507</v>
      </c>
      <c r="I1208" s="25" t="s">
        <v>7797</v>
      </c>
      <c r="J1208" s="25" t="s">
        <v>2536</v>
      </c>
      <c r="K1208" s="25" t="s">
        <v>2510</v>
      </c>
      <c r="L1208" s="25" t="s">
        <v>2611</v>
      </c>
      <c r="M1208" s="26" t="s">
        <v>2612</v>
      </c>
      <c r="N1208" s="25" t="s">
        <v>3526</v>
      </c>
      <c r="O1208" s="26" t="s">
        <v>3152</v>
      </c>
      <c r="P1208" s="27" t="s">
        <v>7798</v>
      </c>
      <c r="Q1208" s="25" t="s">
        <v>2552</v>
      </c>
      <c r="R1208" s="25" t="s">
        <v>2516</v>
      </c>
      <c r="S1208" s="25" t="s">
        <v>25</v>
      </c>
      <c r="T1208" s="25">
        <v>1</v>
      </c>
      <c r="U1208" s="25" t="s">
        <v>2517</v>
      </c>
      <c r="V1208" s="25" t="s">
        <v>7799</v>
      </c>
      <c r="W1208" s="25" t="s">
        <v>7800</v>
      </c>
      <c r="X1208" s="59">
        <v>45932.479166666657</v>
      </c>
      <c r="Y1208" s="25" t="s">
        <v>7801</v>
      </c>
      <c r="Z1208" s="25">
        <v>0.5</v>
      </c>
      <c r="AA1208" s="25"/>
      <c r="AB1208" s="25" t="s">
        <v>2521</v>
      </c>
      <c r="AC1208" s="27" t="s">
        <v>7802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7803</v>
      </c>
      <c r="E1209" s="25" t="s">
        <v>2504</v>
      </c>
      <c r="F1209" s="25" t="s">
        <v>2747</v>
      </c>
      <c r="G1209" s="25" t="s">
        <v>2748</v>
      </c>
      <c r="H1209" s="25" t="s">
        <v>2507</v>
      </c>
      <c r="I1209" s="25" t="s">
        <v>7804</v>
      </c>
      <c r="J1209" s="25" t="s">
        <v>2835</v>
      </c>
      <c r="K1209" s="25" t="s">
        <v>2568</v>
      </c>
      <c r="L1209" s="25" t="s">
        <v>2511</v>
      </c>
      <c r="M1209" s="26" t="s">
        <v>2512</v>
      </c>
      <c r="N1209" s="25">
        <v>2306</v>
      </c>
      <c r="O1209" s="26" t="s">
        <v>2893</v>
      </c>
      <c r="P1209" s="27" t="s">
        <v>7805</v>
      </c>
      <c r="Q1209" s="25" t="s">
        <v>2749</v>
      </c>
      <c r="R1209" s="25" t="s">
        <v>2516</v>
      </c>
      <c r="S1209" s="25" t="s">
        <v>25</v>
      </c>
      <c r="T1209" s="25">
        <v>1</v>
      </c>
      <c r="U1209" s="25" t="s">
        <v>2517</v>
      </c>
      <c r="V1209" s="25" t="s">
        <v>7806</v>
      </c>
      <c r="W1209" s="25" t="s">
        <v>7807</v>
      </c>
      <c r="X1209" s="59">
        <v>45932.518055555563</v>
      </c>
      <c r="Y1209" s="25" t="s">
        <v>7808</v>
      </c>
      <c r="Z1209" s="25">
        <v>0.5</v>
      </c>
      <c r="AA1209" s="25"/>
      <c r="AB1209" s="25" t="s">
        <v>2521</v>
      </c>
      <c r="AC1209" s="27" t="s">
        <v>7809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2548</v>
      </c>
      <c r="H1210" s="25" t="s">
        <v>2507</v>
      </c>
      <c r="I1210" s="25"/>
      <c r="J1210" s="25"/>
      <c r="K1210" s="25"/>
      <c r="L1210" s="25"/>
      <c r="M1210" s="26"/>
      <c r="N1210" s="25"/>
      <c r="O1210" s="26"/>
      <c r="P1210" s="27"/>
      <c r="Q1210" s="25" t="s">
        <v>2552</v>
      </c>
      <c r="R1210" s="25" t="s">
        <v>2516</v>
      </c>
      <c r="S1210" s="25" t="s">
        <v>25</v>
      </c>
      <c r="T1210" s="25">
        <v>1</v>
      </c>
      <c r="U1210" s="25" t="s">
        <v>2517</v>
      </c>
      <c r="V1210" s="25" t="s">
        <v>7810</v>
      </c>
      <c r="W1210" s="25" t="s">
        <v>7811</v>
      </c>
      <c r="X1210" s="59">
        <v>45932.4375</v>
      </c>
      <c r="Y1210" s="25"/>
      <c r="Z1210" s="25">
        <v>0.5</v>
      </c>
      <c r="AA1210" s="25"/>
      <c r="AB1210" s="25" t="s">
        <v>2521</v>
      </c>
      <c r="AC1210" s="27" t="s">
        <v>7788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2747</v>
      </c>
      <c r="G1211" s="25" t="s">
        <v>2748</v>
      </c>
      <c r="H1211" s="25" t="s">
        <v>2507</v>
      </c>
      <c r="I1211" s="25"/>
      <c r="J1211" s="25"/>
      <c r="K1211" s="25"/>
      <c r="L1211" s="25"/>
      <c r="M1211" s="26"/>
      <c r="N1211" s="25"/>
      <c r="O1211" s="26"/>
      <c r="P1211" s="27"/>
      <c r="Q1211" s="25" t="s">
        <v>2749</v>
      </c>
      <c r="R1211" s="25" t="s">
        <v>2516</v>
      </c>
      <c r="S1211" s="25" t="s">
        <v>25</v>
      </c>
      <c r="T1211" s="25">
        <v>1</v>
      </c>
      <c r="U1211" s="25" t="s">
        <v>2517</v>
      </c>
      <c r="V1211" s="25" t="s">
        <v>7812</v>
      </c>
      <c r="W1211" s="25" t="s">
        <v>7813</v>
      </c>
      <c r="X1211" s="59">
        <v>45932.519444444442</v>
      </c>
      <c r="Y1211" s="25"/>
      <c r="Z1211" s="25">
        <v>0.5</v>
      </c>
      <c r="AA1211" s="25"/>
      <c r="AB1211" s="25" t="s">
        <v>2521</v>
      </c>
      <c r="AC1211" s="27" t="s">
        <v>7788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2774</v>
      </c>
      <c r="H1212" s="25" t="s">
        <v>2507</v>
      </c>
      <c r="I1212" s="25"/>
      <c r="J1212" s="25"/>
      <c r="K1212" s="25"/>
      <c r="L1212" s="25"/>
      <c r="M1212" s="26"/>
      <c r="N1212" s="25"/>
      <c r="O1212" s="26"/>
      <c r="P1212" s="27"/>
      <c r="Q1212" s="25" t="s">
        <v>2775</v>
      </c>
      <c r="R1212" s="25" t="s">
        <v>2516</v>
      </c>
      <c r="S1212" s="25" t="s">
        <v>25</v>
      </c>
      <c r="T1212" s="25">
        <v>1</v>
      </c>
      <c r="U1212" s="25" t="s">
        <v>2517</v>
      </c>
      <c r="V1212" s="25" t="s">
        <v>7814</v>
      </c>
      <c r="W1212" s="25" t="s">
        <v>7815</v>
      </c>
      <c r="X1212" s="59">
        <v>45932.625</v>
      </c>
      <c r="Y1212" s="25"/>
      <c r="Z1212" s="25">
        <v>0.3</v>
      </c>
      <c r="AA1212" s="25"/>
      <c r="AB1212" s="25" t="s">
        <v>2521</v>
      </c>
      <c r="AC1212" s="27" t="s">
        <v>7788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2778</v>
      </c>
      <c r="G1213" s="25" t="s">
        <v>2779</v>
      </c>
      <c r="H1213" s="25" t="s">
        <v>2507</v>
      </c>
      <c r="I1213" s="25"/>
      <c r="J1213" s="25"/>
      <c r="K1213" s="25"/>
      <c r="L1213" s="25"/>
      <c r="M1213" s="26"/>
      <c r="N1213" s="25"/>
      <c r="O1213" s="26"/>
      <c r="P1213" s="27"/>
      <c r="Q1213" s="25" t="s">
        <v>2780</v>
      </c>
      <c r="R1213" s="25" t="s">
        <v>2516</v>
      </c>
      <c r="S1213" s="25" t="s">
        <v>25</v>
      </c>
      <c r="T1213" s="25">
        <v>1</v>
      </c>
      <c r="U1213" s="25" t="s">
        <v>2517</v>
      </c>
      <c r="V1213" s="25" t="s">
        <v>7816</v>
      </c>
      <c r="W1213" s="25" t="s">
        <v>7817</v>
      </c>
      <c r="X1213" s="59">
        <v>45932.645138888889</v>
      </c>
      <c r="Y1213" s="25"/>
      <c r="Z1213" s="25">
        <v>0.3</v>
      </c>
      <c r="AA1213" s="25"/>
      <c r="AB1213" s="25" t="s">
        <v>2521</v>
      </c>
      <c r="AC1213" s="27" t="s">
        <v>7788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5305</v>
      </c>
      <c r="H1214" s="25" t="s">
        <v>2507</v>
      </c>
      <c r="I1214" s="25"/>
      <c r="J1214" s="25"/>
      <c r="K1214" s="25"/>
      <c r="L1214" s="25"/>
      <c r="M1214" s="26"/>
      <c r="N1214" s="25"/>
      <c r="O1214" s="26"/>
      <c r="P1214" s="27"/>
      <c r="Q1214" s="25" t="s">
        <v>2788</v>
      </c>
      <c r="R1214" s="25" t="s">
        <v>2516</v>
      </c>
      <c r="S1214" s="25" t="s">
        <v>25</v>
      </c>
      <c r="T1214" s="25">
        <v>1</v>
      </c>
      <c r="U1214" s="25" t="s">
        <v>2517</v>
      </c>
      <c r="V1214" s="25" t="s">
        <v>7818</v>
      </c>
      <c r="W1214" s="25" t="s">
        <v>7819</v>
      </c>
      <c r="X1214" s="59">
        <v>45932.666666666657</v>
      </c>
      <c r="Y1214" s="25"/>
      <c r="Z1214" s="25">
        <v>0.4</v>
      </c>
      <c r="AA1214" s="25"/>
      <c r="AB1214" s="25" t="s">
        <v>2521</v>
      </c>
      <c r="AC1214" s="27" t="s">
        <v>7788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2783</v>
      </c>
      <c r="H1215" s="25" t="s">
        <v>2507</v>
      </c>
      <c r="I1215" s="25"/>
      <c r="J1215" s="25"/>
      <c r="K1215" s="25"/>
      <c r="L1215" s="25"/>
      <c r="M1215" s="26"/>
      <c r="N1215" s="25"/>
      <c r="O1215" s="26"/>
      <c r="P1215" s="27"/>
      <c r="Q1215" s="25" t="s">
        <v>2784</v>
      </c>
      <c r="R1215" s="25" t="s">
        <v>2516</v>
      </c>
      <c r="S1215" s="25" t="s">
        <v>25</v>
      </c>
      <c r="T1215" s="25">
        <v>1</v>
      </c>
      <c r="U1215" s="25" t="s">
        <v>2517</v>
      </c>
      <c r="V1215" s="25" t="s">
        <v>7820</v>
      </c>
      <c r="W1215" s="25" t="s">
        <v>7821</v>
      </c>
      <c r="X1215" s="59">
        <v>45932.6875</v>
      </c>
      <c r="Y1215" s="25"/>
      <c r="Z1215" s="25">
        <v>0.3</v>
      </c>
      <c r="AA1215" s="25"/>
      <c r="AB1215" s="25" t="s">
        <v>2521</v>
      </c>
      <c r="AC1215" s="27" t="s">
        <v>7788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3033</v>
      </c>
      <c r="H1216" s="25" t="s">
        <v>2507</v>
      </c>
      <c r="I1216" s="25"/>
      <c r="J1216" s="25"/>
      <c r="K1216" s="25"/>
      <c r="L1216" s="25"/>
      <c r="M1216" s="26"/>
      <c r="N1216" s="25"/>
      <c r="O1216" s="26"/>
      <c r="P1216" s="27"/>
      <c r="Q1216" s="25" t="s">
        <v>3037</v>
      </c>
      <c r="R1216" s="25" t="s">
        <v>2516</v>
      </c>
      <c r="S1216" s="25" t="s">
        <v>25</v>
      </c>
      <c r="T1216" s="25">
        <v>1</v>
      </c>
      <c r="U1216" s="25" t="s">
        <v>2517</v>
      </c>
      <c r="V1216" s="25" t="s">
        <v>7822</v>
      </c>
      <c r="W1216" s="25" t="s">
        <v>7823</v>
      </c>
      <c r="X1216" s="59">
        <v>45933.576388888891</v>
      </c>
      <c r="Y1216" s="25"/>
      <c r="Z1216" s="25">
        <v>0.3</v>
      </c>
      <c r="AA1216" s="25"/>
      <c r="AB1216" s="25" t="s">
        <v>2521</v>
      </c>
      <c r="AC1216" s="27" t="s">
        <v>7788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3647</v>
      </c>
      <c r="H1217" s="25" t="s">
        <v>2507</v>
      </c>
      <c r="I1217" s="25"/>
      <c r="J1217" s="25"/>
      <c r="K1217" s="25"/>
      <c r="L1217" s="25"/>
      <c r="M1217" s="26"/>
      <c r="N1217" s="25"/>
      <c r="O1217" s="26"/>
      <c r="P1217" s="27"/>
      <c r="Q1217" s="25" t="s">
        <v>3650</v>
      </c>
      <c r="R1217" s="25" t="s">
        <v>2516</v>
      </c>
      <c r="S1217" s="25" t="s">
        <v>25</v>
      </c>
      <c r="T1217" s="25">
        <v>1</v>
      </c>
      <c r="U1217" s="25" t="s">
        <v>2517</v>
      </c>
      <c r="V1217" s="25" t="s">
        <v>7824</v>
      </c>
      <c r="W1217" s="25" t="s">
        <v>7825</v>
      </c>
      <c r="X1217" s="59">
        <v>45933.604166666657</v>
      </c>
      <c r="Y1217" s="25"/>
      <c r="Z1217" s="25">
        <v>0.3</v>
      </c>
      <c r="AA1217" s="25"/>
      <c r="AB1217" s="25" t="s">
        <v>2521</v>
      </c>
      <c r="AC1217" s="27" t="s">
        <v>7788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3851</v>
      </c>
      <c r="H1218" s="25" t="s">
        <v>2507</v>
      </c>
      <c r="I1218" s="25"/>
      <c r="J1218" s="25"/>
      <c r="K1218" s="25"/>
      <c r="L1218" s="25"/>
      <c r="M1218" s="26"/>
      <c r="N1218" s="25"/>
      <c r="O1218" s="26"/>
      <c r="P1218" s="27"/>
      <c r="Q1218" s="25" t="s">
        <v>3852</v>
      </c>
      <c r="R1218" s="25" t="s">
        <v>2516</v>
      </c>
      <c r="S1218" s="25" t="s">
        <v>25</v>
      </c>
      <c r="T1218" s="25">
        <v>1</v>
      </c>
      <c r="U1218" s="25" t="s">
        <v>2517</v>
      </c>
      <c r="V1218" s="25" t="s">
        <v>7826</v>
      </c>
      <c r="W1218" s="25" t="s">
        <v>7827</v>
      </c>
      <c r="X1218" s="59">
        <v>45933.648611111108</v>
      </c>
      <c r="Y1218" s="25"/>
      <c r="Z1218" s="25">
        <v>0.4</v>
      </c>
      <c r="AA1218" s="25"/>
      <c r="AB1218" s="25" t="s">
        <v>2521</v>
      </c>
      <c r="AC1218" s="27" t="s">
        <v>7788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2943</v>
      </c>
      <c r="H1219" s="25" t="s">
        <v>2507</v>
      </c>
      <c r="I1219" s="25"/>
      <c r="J1219" s="25"/>
      <c r="K1219" s="25"/>
      <c r="L1219" s="25"/>
      <c r="M1219" s="26"/>
      <c r="N1219" s="25"/>
      <c r="O1219" s="26"/>
      <c r="P1219" s="27"/>
      <c r="Q1219" s="25" t="s">
        <v>2950</v>
      </c>
      <c r="R1219" s="25" t="s">
        <v>2516</v>
      </c>
      <c r="S1219" s="25" t="s">
        <v>25</v>
      </c>
      <c r="T1219" s="25">
        <v>1</v>
      </c>
      <c r="U1219" s="25" t="s">
        <v>2517</v>
      </c>
      <c r="V1219" s="25" t="s">
        <v>7828</v>
      </c>
      <c r="W1219" s="25" t="s">
        <v>7829</v>
      </c>
      <c r="X1219" s="59">
        <v>45933.675000000003</v>
      </c>
      <c r="Y1219" s="25"/>
      <c r="Z1219" s="25">
        <v>0.4</v>
      </c>
      <c r="AA1219" s="25"/>
      <c r="AB1219" s="25" t="s">
        <v>2521</v>
      </c>
      <c r="AC1219" s="27" t="s">
        <v>7788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2905</v>
      </c>
      <c r="H1220" s="25" t="s">
        <v>2507</v>
      </c>
      <c r="I1220" s="25"/>
      <c r="J1220" s="25"/>
      <c r="K1220" s="25"/>
      <c r="L1220" s="25"/>
      <c r="M1220" s="26"/>
      <c r="N1220" s="25"/>
      <c r="O1220" s="26"/>
      <c r="P1220" s="27"/>
      <c r="Q1220" s="25" t="s">
        <v>2906</v>
      </c>
      <c r="R1220" s="25" t="s">
        <v>2516</v>
      </c>
      <c r="S1220" s="25" t="s">
        <v>25</v>
      </c>
      <c r="T1220" s="25">
        <v>1</v>
      </c>
      <c r="U1220" s="25" t="s">
        <v>2517</v>
      </c>
      <c r="V1220" s="25" t="s">
        <v>7830</v>
      </c>
      <c r="W1220" s="25" t="s">
        <v>7831</v>
      </c>
      <c r="X1220" s="59">
        <v>45933.693749999999</v>
      </c>
      <c r="Y1220" s="25"/>
      <c r="Z1220" s="25">
        <v>0.3</v>
      </c>
      <c r="AA1220" s="25"/>
      <c r="AB1220" s="25" t="s">
        <v>2521</v>
      </c>
      <c r="AC1220" s="27" t="s">
        <v>7788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7832</v>
      </c>
      <c r="E1221" s="25" t="s">
        <v>2504</v>
      </c>
      <c r="F1221" s="25">
        <v>4679</v>
      </c>
      <c r="G1221" s="25" t="s">
        <v>4375</v>
      </c>
      <c r="H1221" s="25" t="s">
        <v>2659</v>
      </c>
      <c r="I1221" s="25" t="s">
        <v>7833</v>
      </c>
      <c r="J1221" s="25" t="s">
        <v>2930</v>
      </c>
      <c r="K1221" s="25" t="s">
        <v>2568</v>
      </c>
      <c r="L1221" s="25" t="s">
        <v>2611</v>
      </c>
      <c r="M1221" s="26" t="s">
        <v>2612</v>
      </c>
      <c r="N1221" s="25" t="s">
        <v>2613</v>
      </c>
      <c r="O1221" s="26" t="s">
        <v>2614</v>
      </c>
      <c r="P1221" s="27" t="s">
        <v>7834</v>
      </c>
      <c r="Q1221" s="25" t="s">
        <v>4376</v>
      </c>
      <c r="R1221" s="25" t="s">
        <v>2516</v>
      </c>
      <c r="S1221" s="25" t="s">
        <v>185</v>
      </c>
      <c r="T1221" s="25">
        <v>1</v>
      </c>
      <c r="U1221" s="25" t="s">
        <v>2517</v>
      </c>
      <c r="V1221" s="25" t="s">
        <v>7835</v>
      </c>
      <c r="W1221" s="25" t="s">
        <v>7836</v>
      </c>
      <c r="X1221" s="59">
        <v>45937.5</v>
      </c>
      <c r="Y1221" s="25" t="s">
        <v>7837</v>
      </c>
      <c r="Z1221" s="25">
        <v>0.5</v>
      </c>
      <c r="AA1221" s="25"/>
      <c r="AB1221" s="25" t="s">
        <v>2521</v>
      </c>
      <c r="AC1221" s="27" t="s">
        <v>7838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2565</v>
      </c>
      <c r="H1222" s="25" t="s">
        <v>2507</v>
      </c>
      <c r="I1222" s="25"/>
      <c r="J1222" s="25"/>
      <c r="K1222" s="25"/>
      <c r="L1222" s="25"/>
      <c r="M1222" s="26"/>
      <c r="N1222" s="25"/>
      <c r="O1222" s="26"/>
      <c r="P1222" s="27"/>
      <c r="Q1222" s="25" t="s">
        <v>2573</v>
      </c>
      <c r="R1222" s="25" t="s">
        <v>2516</v>
      </c>
      <c r="S1222" s="25" t="s">
        <v>25</v>
      </c>
      <c r="T1222" s="25">
        <v>1</v>
      </c>
      <c r="U1222" s="25" t="s">
        <v>2517</v>
      </c>
      <c r="V1222" s="25" t="s">
        <v>7839</v>
      </c>
      <c r="W1222" s="25" t="s">
        <v>7840</v>
      </c>
      <c r="X1222" s="59">
        <v>45937.416666666657</v>
      </c>
      <c r="Y1222" s="25"/>
      <c r="Z1222" s="25">
        <v>0.5</v>
      </c>
      <c r="AA1222" s="25"/>
      <c r="AB1222" s="25" t="s">
        <v>2521</v>
      </c>
      <c r="AC1222" s="27" t="s">
        <v>7788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3096</v>
      </c>
      <c r="H1223" s="25" t="s">
        <v>2507</v>
      </c>
      <c r="I1223" s="25"/>
      <c r="J1223" s="25"/>
      <c r="K1223" s="25"/>
      <c r="L1223" s="25"/>
      <c r="M1223" s="26"/>
      <c r="N1223" s="25"/>
      <c r="O1223" s="26"/>
      <c r="P1223" s="27"/>
      <c r="Q1223" s="25" t="s">
        <v>3097</v>
      </c>
      <c r="R1223" s="25" t="s">
        <v>2516</v>
      </c>
      <c r="S1223" s="25" t="s">
        <v>25</v>
      </c>
      <c r="T1223" s="25">
        <v>1</v>
      </c>
      <c r="U1223" s="25" t="s">
        <v>2517</v>
      </c>
      <c r="V1223" s="25" t="s">
        <v>7841</v>
      </c>
      <c r="W1223" s="25" t="s">
        <v>7842</v>
      </c>
      <c r="X1223" s="59">
        <v>45937.4375</v>
      </c>
      <c r="Y1223" s="25"/>
      <c r="Z1223" s="25">
        <v>0.3</v>
      </c>
      <c r="AA1223" s="25"/>
      <c r="AB1223" s="25" t="s">
        <v>2521</v>
      </c>
      <c r="AC1223" s="27" t="s">
        <v>7788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2631</v>
      </c>
      <c r="H1224" s="25" t="s">
        <v>2507</v>
      </c>
      <c r="I1224" s="25"/>
      <c r="J1224" s="25"/>
      <c r="K1224" s="25"/>
      <c r="L1224" s="25"/>
      <c r="M1224" s="26"/>
      <c r="N1224" s="25"/>
      <c r="O1224" s="26"/>
      <c r="P1224" s="27"/>
      <c r="Q1224" s="25" t="s">
        <v>2632</v>
      </c>
      <c r="R1224" s="25" t="s">
        <v>2516</v>
      </c>
      <c r="S1224" s="25" t="s">
        <v>25</v>
      </c>
      <c r="T1224" s="25">
        <v>1</v>
      </c>
      <c r="U1224" s="25" t="s">
        <v>2517</v>
      </c>
      <c r="V1224" s="25" t="s">
        <v>7843</v>
      </c>
      <c r="W1224" s="25" t="s">
        <v>7844</v>
      </c>
      <c r="X1224" s="59">
        <v>45937.458333333343</v>
      </c>
      <c r="Y1224" s="25"/>
      <c r="Z1224" s="25">
        <v>0.3</v>
      </c>
      <c r="AA1224" s="25"/>
      <c r="AB1224" s="25" t="s">
        <v>2521</v>
      </c>
      <c r="AC1224" s="27" t="s">
        <v>7788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7845</v>
      </c>
      <c r="E1225" s="25" t="s">
        <v>2504</v>
      </c>
      <c r="F1225" s="25">
        <v>3362</v>
      </c>
      <c r="G1225" s="25" t="s">
        <v>7846</v>
      </c>
      <c r="H1225" s="25" t="s">
        <v>2507</v>
      </c>
      <c r="I1225" s="25" t="s">
        <v>7847</v>
      </c>
      <c r="J1225" s="25" t="s">
        <v>2509</v>
      </c>
      <c r="K1225" s="25" t="s">
        <v>2510</v>
      </c>
      <c r="L1225" s="25" t="s">
        <v>2611</v>
      </c>
      <c r="M1225" s="26" t="s">
        <v>2612</v>
      </c>
      <c r="N1225" s="25" t="s">
        <v>2892</v>
      </c>
      <c r="O1225" s="26" t="s">
        <v>2893</v>
      </c>
      <c r="P1225" s="27" t="s">
        <v>7848</v>
      </c>
      <c r="Q1225" s="25" t="s">
        <v>2542</v>
      </c>
      <c r="R1225" s="25" t="s">
        <v>2516</v>
      </c>
      <c r="S1225" s="25" t="s">
        <v>25</v>
      </c>
      <c r="T1225" s="25">
        <v>1</v>
      </c>
      <c r="U1225" s="25" t="s">
        <v>2517</v>
      </c>
      <c r="V1225" s="25" t="s">
        <v>7849</v>
      </c>
      <c r="W1225" s="25" t="s">
        <v>7850</v>
      </c>
      <c r="X1225" s="59">
        <v>45937.583333333343</v>
      </c>
      <c r="Y1225" s="25" t="s">
        <v>7851</v>
      </c>
      <c r="Z1225" s="25">
        <v>0.3</v>
      </c>
      <c r="AA1225" s="25"/>
      <c r="AB1225" s="25" t="s">
        <v>2521</v>
      </c>
      <c r="AC1225" s="27" t="s">
        <v>7852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4375</v>
      </c>
      <c r="H1226" s="25" t="s">
        <v>2659</v>
      </c>
      <c r="I1226" s="25"/>
      <c r="J1226" s="25"/>
      <c r="K1226" s="25"/>
      <c r="L1226" s="25"/>
      <c r="M1226" s="26"/>
      <c r="N1226" s="25"/>
      <c r="O1226" s="26"/>
      <c r="P1226" s="27"/>
      <c r="Q1226" s="25" t="s">
        <v>4376</v>
      </c>
      <c r="R1226" s="25" t="s">
        <v>2516</v>
      </c>
      <c r="S1226" s="25" t="s">
        <v>185</v>
      </c>
      <c r="T1226" s="25">
        <v>1</v>
      </c>
      <c r="U1226" s="25" t="s">
        <v>2517</v>
      </c>
      <c r="V1226" s="25" t="s">
        <v>7853</v>
      </c>
      <c r="W1226" s="25" t="s">
        <v>7854</v>
      </c>
      <c r="X1226" s="59">
        <v>45937.479166666657</v>
      </c>
      <c r="Y1226" s="25"/>
      <c r="Z1226" s="25">
        <v>0.5</v>
      </c>
      <c r="AA1226" s="25"/>
      <c r="AB1226" s="25" t="s">
        <v>2521</v>
      </c>
      <c r="AC1226" s="27" t="s">
        <v>6091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6874</v>
      </c>
      <c r="H1227" s="25" t="s">
        <v>2507</v>
      </c>
      <c r="I1227" s="25"/>
      <c r="J1227" s="25"/>
      <c r="K1227" s="25"/>
      <c r="L1227" s="25"/>
      <c r="M1227" s="26"/>
      <c r="N1227" s="25"/>
      <c r="O1227" s="26"/>
      <c r="P1227" s="27"/>
      <c r="Q1227" s="25" t="s">
        <v>2636</v>
      </c>
      <c r="R1227" s="25" t="s">
        <v>2516</v>
      </c>
      <c r="S1227" s="25" t="s">
        <v>25</v>
      </c>
      <c r="T1227" s="25">
        <v>1</v>
      </c>
      <c r="U1227" s="25" t="s">
        <v>2517</v>
      </c>
      <c r="V1227" s="25" t="s">
        <v>7855</v>
      </c>
      <c r="W1227" s="25" t="s">
        <v>7856</v>
      </c>
      <c r="X1227" s="59">
        <v>45937.5</v>
      </c>
      <c r="Y1227" s="25"/>
      <c r="Z1227" s="25">
        <v>0.7</v>
      </c>
      <c r="AA1227" s="25"/>
      <c r="AB1227" s="25" t="s">
        <v>2521</v>
      </c>
      <c r="AC1227" s="27" t="s">
        <v>7788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4375</v>
      </c>
      <c r="H1228" s="25" t="s">
        <v>2659</v>
      </c>
      <c r="I1228" s="25"/>
      <c r="J1228" s="25"/>
      <c r="K1228" s="25"/>
      <c r="L1228" s="25"/>
      <c r="M1228" s="26"/>
      <c r="N1228" s="25"/>
      <c r="O1228" s="26"/>
      <c r="P1228" s="27"/>
      <c r="Q1228" s="25" t="s">
        <v>4376</v>
      </c>
      <c r="R1228" s="25" t="s">
        <v>2516</v>
      </c>
      <c r="S1228" s="25" t="s">
        <v>185</v>
      </c>
      <c r="T1228" s="25">
        <v>1</v>
      </c>
      <c r="U1228" s="25" t="s">
        <v>2517</v>
      </c>
      <c r="V1228" s="25" t="s">
        <v>7857</v>
      </c>
      <c r="W1228" s="25" t="s">
        <v>7854</v>
      </c>
      <c r="X1228" s="59">
        <v>45937.479166666657</v>
      </c>
      <c r="Y1228" s="25"/>
      <c r="Z1228" s="25">
        <v>0.5</v>
      </c>
      <c r="AA1228" s="25"/>
      <c r="AB1228" s="25" t="s">
        <v>2521</v>
      </c>
      <c r="AC1228" s="27" t="s">
        <v>7788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7846</v>
      </c>
      <c r="H1229" s="25" t="s">
        <v>2507</v>
      </c>
      <c r="I1229" s="25"/>
      <c r="J1229" s="25"/>
      <c r="K1229" s="25"/>
      <c r="L1229" s="25"/>
      <c r="M1229" s="26"/>
      <c r="N1229" s="25"/>
      <c r="O1229" s="26"/>
      <c r="P1229" s="27"/>
      <c r="Q1229" s="25" t="s">
        <v>2542</v>
      </c>
      <c r="R1229" s="25" t="s">
        <v>2516</v>
      </c>
      <c r="S1229" s="25" t="s">
        <v>25</v>
      </c>
      <c r="T1229" s="25">
        <v>1</v>
      </c>
      <c r="U1229" s="25" t="s">
        <v>2517</v>
      </c>
      <c r="V1229" s="25" t="s">
        <v>7858</v>
      </c>
      <c r="W1229" s="25" t="s">
        <v>7859</v>
      </c>
      <c r="X1229" s="59">
        <v>45937.619444444441</v>
      </c>
      <c r="Y1229" s="25"/>
      <c r="Z1229" s="25">
        <v>0.7</v>
      </c>
      <c r="AA1229" s="25"/>
      <c r="AB1229" s="25" t="s">
        <v>2521</v>
      </c>
      <c r="AC1229" s="27" t="s">
        <v>7788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3597</v>
      </c>
      <c r="H1230" s="25" t="s">
        <v>2507</v>
      </c>
      <c r="I1230" s="25"/>
      <c r="J1230" s="25"/>
      <c r="K1230" s="25"/>
      <c r="L1230" s="25"/>
      <c r="M1230" s="26"/>
      <c r="N1230" s="25"/>
      <c r="O1230" s="26"/>
      <c r="P1230" s="27"/>
      <c r="Q1230" s="25" t="s">
        <v>3598</v>
      </c>
      <c r="R1230" s="25" t="s">
        <v>2516</v>
      </c>
      <c r="S1230" s="25" t="s">
        <v>25</v>
      </c>
      <c r="T1230" s="25">
        <v>1</v>
      </c>
      <c r="U1230" s="25" t="s">
        <v>2517</v>
      </c>
      <c r="V1230" s="25" t="s">
        <v>7860</v>
      </c>
      <c r="W1230" s="25" t="s">
        <v>7861</v>
      </c>
      <c r="X1230" s="59">
        <v>45937.635416666657</v>
      </c>
      <c r="Y1230" s="25"/>
      <c r="Z1230" s="25">
        <v>0.3</v>
      </c>
      <c r="AA1230" s="25"/>
      <c r="AB1230" s="25" t="s">
        <v>2521</v>
      </c>
      <c r="AC1230" s="27" t="s">
        <v>7788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3693</v>
      </c>
      <c r="H1231" s="25" t="s">
        <v>2507</v>
      </c>
      <c r="I1231" s="25"/>
      <c r="J1231" s="25"/>
      <c r="K1231" s="25"/>
      <c r="L1231" s="25"/>
      <c r="M1231" s="26"/>
      <c r="N1231" s="25"/>
      <c r="O1231" s="26"/>
      <c r="P1231" s="27"/>
      <c r="Q1231" s="25" t="s">
        <v>3694</v>
      </c>
      <c r="R1231" s="25" t="s">
        <v>2516</v>
      </c>
      <c r="S1231" s="25" t="s">
        <v>185</v>
      </c>
      <c r="T1231" s="25">
        <v>1</v>
      </c>
      <c r="U1231" s="25" t="s">
        <v>2517</v>
      </c>
      <c r="V1231" s="25" t="s">
        <v>7862</v>
      </c>
      <c r="W1231" s="25" t="s">
        <v>7863</v>
      </c>
      <c r="X1231" s="59">
        <v>45937.645833333343</v>
      </c>
      <c r="Y1231" s="25"/>
      <c r="Z1231" s="25">
        <v>0.5</v>
      </c>
      <c r="AA1231" s="25"/>
      <c r="AB1231" s="25" t="s">
        <v>2521</v>
      </c>
      <c r="AC1231" s="27" t="s">
        <v>7864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6223</v>
      </c>
      <c r="H1232" s="25" t="s">
        <v>2507</v>
      </c>
      <c r="I1232" s="25"/>
      <c r="J1232" s="25"/>
      <c r="K1232" s="25"/>
      <c r="L1232" s="25"/>
      <c r="M1232" s="26"/>
      <c r="N1232" s="25"/>
      <c r="O1232" s="26"/>
      <c r="P1232" s="27"/>
      <c r="Q1232" s="25" t="s">
        <v>2759</v>
      </c>
      <c r="R1232" s="25" t="s">
        <v>2516</v>
      </c>
      <c r="S1232" s="25" t="s">
        <v>25</v>
      </c>
      <c r="T1232" s="25">
        <v>1</v>
      </c>
      <c r="U1232" s="25" t="s">
        <v>2517</v>
      </c>
      <c r="V1232" s="25" t="s">
        <v>7865</v>
      </c>
      <c r="W1232" s="25" t="s">
        <v>7866</v>
      </c>
      <c r="X1232" s="59">
        <v>45937.652777777781</v>
      </c>
      <c r="Y1232" s="25"/>
      <c r="Z1232" s="25">
        <v>0.3</v>
      </c>
      <c r="AA1232" s="25"/>
      <c r="AB1232" s="25" t="s">
        <v>2521</v>
      </c>
      <c r="AC1232" s="27" t="s">
        <v>7788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2865</v>
      </c>
      <c r="G1233" s="25" t="s">
        <v>2866</v>
      </c>
      <c r="H1233" s="25" t="s">
        <v>2507</v>
      </c>
      <c r="I1233" s="25"/>
      <c r="J1233" s="25"/>
      <c r="K1233" s="25"/>
      <c r="L1233" s="25"/>
      <c r="M1233" s="26"/>
      <c r="N1233" s="25"/>
      <c r="O1233" s="26"/>
      <c r="P1233" s="27"/>
      <c r="Q1233" s="25" t="s">
        <v>2867</v>
      </c>
      <c r="R1233" s="25" t="s">
        <v>2516</v>
      </c>
      <c r="S1233" s="25" t="s">
        <v>25</v>
      </c>
      <c r="T1233" s="25">
        <v>1</v>
      </c>
      <c r="U1233" s="25" t="s">
        <v>2517</v>
      </c>
      <c r="V1233" s="25" t="s">
        <v>7867</v>
      </c>
      <c r="W1233" s="25" t="s">
        <v>7868</v>
      </c>
      <c r="X1233" s="59">
        <v>45937.680555555547</v>
      </c>
      <c r="Y1233" s="25"/>
      <c r="Z1233" s="25">
        <v>0.3</v>
      </c>
      <c r="AA1233" s="25"/>
      <c r="AB1233" s="25" t="s">
        <v>2521</v>
      </c>
      <c r="AC1233" s="27" t="s">
        <v>7788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2870</v>
      </c>
      <c r="H1234" s="25" t="s">
        <v>2507</v>
      </c>
      <c r="I1234" s="25"/>
      <c r="J1234" s="25"/>
      <c r="K1234" s="25"/>
      <c r="L1234" s="25"/>
      <c r="M1234" s="26"/>
      <c r="N1234" s="25"/>
      <c r="O1234" s="26"/>
      <c r="P1234" s="27"/>
      <c r="Q1234" s="25" t="s">
        <v>2871</v>
      </c>
      <c r="R1234" s="25" t="s">
        <v>2516</v>
      </c>
      <c r="S1234" s="25" t="s">
        <v>25</v>
      </c>
      <c r="T1234" s="25">
        <v>1</v>
      </c>
      <c r="U1234" s="25" t="s">
        <v>2517</v>
      </c>
      <c r="V1234" s="25" t="s">
        <v>7869</v>
      </c>
      <c r="W1234" s="25" t="s">
        <v>7870</v>
      </c>
      <c r="X1234" s="59">
        <v>45937.701388888891</v>
      </c>
      <c r="Y1234" s="25"/>
      <c r="Z1234" s="25">
        <v>0.4</v>
      </c>
      <c r="AA1234" s="25"/>
      <c r="AB1234" s="25" t="s">
        <v>2521</v>
      </c>
      <c r="AC1234" s="27" t="s">
        <v>7788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7871</v>
      </c>
      <c r="E1235" s="25" t="s">
        <v>2843</v>
      </c>
      <c r="F1235" s="25">
        <v>4680</v>
      </c>
      <c r="G1235" s="25" t="s">
        <v>2608</v>
      </c>
      <c r="H1235" s="25" t="s">
        <v>2609</v>
      </c>
      <c r="I1235" s="25" t="s">
        <v>7872</v>
      </c>
      <c r="J1235" s="25" t="s">
        <v>2536</v>
      </c>
      <c r="K1235" s="25" t="s">
        <v>2568</v>
      </c>
      <c r="L1235" s="25" t="s">
        <v>4472</v>
      </c>
      <c r="M1235" s="26" t="s">
        <v>4473</v>
      </c>
      <c r="N1235" s="25" t="s">
        <v>7873</v>
      </c>
      <c r="O1235" s="26" t="s">
        <v>2893</v>
      </c>
      <c r="P1235" s="27" t="s">
        <v>7874</v>
      </c>
      <c r="Q1235" s="25" t="s">
        <v>2616</v>
      </c>
      <c r="R1235" s="25" t="s">
        <v>2516</v>
      </c>
      <c r="S1235" s="25" t="s">
        <v>173</v>
      </c>
      <c r="T1235" s="25">
        <v>1</v>
      </c>
      <c r="U1235" s="25" t="s">
        <v>2517</v>
      </c>
      <c r="V1235" s="25" t="s">
        <v>7875</v>
      </c>
      <c r="W1235" s="25" t="s">
        <v>7876</v>
      </c>
      <c r="X1235" s="59">
        <v>45938.505555555559</v>
      </c>
      <c r="Y1235" s="25" t="s">
        <v>7877</v>
      </c>
      <c r="Z1235" s="25">
        <v>0.3</v>
      </c>
      <c r="AA1235" s="25"/>
      <c r="AB1235" s="25" t="s">
        <v>2521</v>
      </c>
      <c r="AC1235" s="27" t="s">
        <v>7878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2737</v>
      </c>
      <c r="H1236" s="25" t="s">
        <v>2507</v>
      </c>
      <c r="I1236" s="25"/>
      <c r="J1236" s="25"/>
      <c r="K1236" s="25"/>
      <c r="L1236" s="25"/>
      <c r="M1236" s="26"/>
      <c r="N1236" s="25"/>
      <c r="O1236" s="26"/>
      <c r="P1236" s="27"/>
      <c r="Q1236" s="25" t="s">
        <v>2738</v>
      </c>
      <c r="R1236" s="25" t="s">
        <v>2516</v>
      </c>
      <c r="S1236" s="25" t="s">
        <v>25</v>
      </c>
      <c r="T1236" s="25">
        <v>1</v>
      </c>
      <c r="U1236" s="25" t="s">
        <v>2517</v>
      </c>
      <c r="V1236" s="25" t="s">
        <v>7879</v>
      </c>
      <c r="W1236" s="25" t="s">
        <v>7880</v>
      </c>
      <c r="X1236" s="59">
        <v>45938.423611111109</v>
      </c>
      <c r="Y1236" s="25"/>
      <c r="Z1236" s="25">
        <v>0.5</v>
      </c>
      <c r="AA1236" s="25"/>
      <c r="AB1236" s="25" t="s">
        <v>2521</v>
      </c>
      <c r="AC1236" s="27" t="s">
        <v>7788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2754</v>
      </c>
      <c r="H1237" s="25" t="s">
        <v>2507</v>
      </c>
      <c r="I1237" s="25"/>
      <c r="J1237" s="25"/>
      <c r="K1237" s="25"/>
      <c r="L1237" s="25"/>
      <c r="M1237" s="26"/>
      <c r="N1237" s="25"/>
      <c r="O1237" s="26"/>
      <c r="P1237" s="27"/>
      <c r="Q1237" s="25" t="s">
        <v>2755</v>
      </c>
      <c r="R1237" s="25" t="s">
        <v>2516</v>
      </c>
      <c r="S1237" s="25" t="s">
        <v>25</v>
      </c>
      <c r="T1237" s="25">
        <v>1</v>
      </c>
      <c r="U1237" s="25" t="s">
        <v>2517</v>
      </c>
      <c r="V1237" s="25" t="s">
        <v>7881</v>
      </c>
      <c r="W1237" s="25" t="s">
        <v>7882</v>
      </c>
      <c r="X1237" s="59">
        <v>45938.451388888891</v>
      </c>
      <c r="Y1237" s="25"/>
      <c r="Z1237" s="25">
        <v>0.3</v>
      </c>
      <c r="AA1237" s="25"/>
      <c r="AB1237" s="25" t="s">
        <v>2521</v>
      </c>
      <c r="AC1237" s="27" t="s">
        <v>7788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6508</v>
      </c>
      <c r="H1238" s="25" t="s">
        <v>2507</v>
      </c>
      <c r="I1238" s="25"/>
      <c r="J1238" s="25"/>
      <c r="K1238" s="25"/>
      <c r="L1238" s="25"/>
      <c r="M1238" s="26"/>
      <c r="N1238" s="25"/>
      <c r="O1238" s="26"/>
      <c r="P1238" s="27"/>
      <c r="Q1238" s="25" t="s">
        <v>3089</v>
      </c>
      <c r="R1238" s="25" t="s">
        <v>2516</v>
      </c>
      <c r="S1238" s="25" t="s">
        <v>25</v>
      </c>
      <c r="T1238" s="25">
        <v>1</v>
      </c>
      <c r="U1238" s="25" t="s">
        <v>2517</v>
      </c>
      <c r="V1238" s="25" t="s">
        <v>7883</v>
      </c>
      <c r="W1238" s="25" t="s">
        <v>7884</v>
      </c>
      <c r="X1238" s="59">
        <v>45938.472222222219</v>
      </c>
      <c r="Y1238" s="25"/>
      <c r="Z1238" s="25">
        <v>0.3</v>
      </c>
      <c r="AA1238" s="25"/>
      <c r="AB1238" s="25" t="s">
        <v>2521</v>
      </c>
      <c r="AC1238" s="27" t="s">
        <v>7788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3601</v>
      </c>
      <c r="H1239" s="25" t="s">
        <v>2507</v>
      </c>
      <c r="I1239" s="25"/>
      <c r="J1239" s="25"/>
      <c r="K1239" s="25"/>
      <c r="L1239" s="25"/>
      <c r="M1239" s="26"/>
      <c r="N1239" s="25"/>
      <c r="O1239" s="26"/>
      <c r="P1239" s="27"/>
      <c r="Q1239" s="25" t="s">
        <v>3602</v>
      </c>
      <c r="R1239" s="25" t="s">
        <v>2516</v>
      </c>
      <c r="S1239" s="25" t="s">
        <v>25</v>
      </c>
      <c r="T1239" s="25">
        <v>1</v>
      </c>
      <c r="U1239" s="25" t="s">
        <v>2517</v>
      </c>
      <c r="V1239" s="25" t="s">
        <v>7885</v>
      </c>
      <c r="W1239" s="25" t="s">
        <v>7886</v>
      </c>
      <c r="X1239" s="59">
        <v>45938.493750000001</v>
      </c>
      <c r="Y1239" s="25"/>
      <c r="Z1239" s="25">
        <v>0.4</v>
      </c>
      <c r="AA1239" s="25"/>
      <c r="AB1239" s="25" t="s">
        <v>2521</v>
      </c>
      <c r="AC1239" s="27" t="s">
        <v>7788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2608</v>
      </c>
      <c r="H1240" s="25" t="s">
        <v>2609</v>
      </c>
      <c r="I1240" s="25"/>
      <c r="J1240" s="25"/>
      <c r="K1240" s="25"/>
      <c r="L1240" s="25"/>
      <c r="M1240" s="26"/>
      <c r="N1240" s="25"/>
      <c r="O1240" s="26"/>
      <c r="P1240" s="27"/>
      <c r="Q1240" s="25" t="s">
        <v>2616</v>
      </c>
      <c r="R1240" s="25" t="s">
        <v>2516</v>
      </c>
      <c r="S1240" s="25" t="s">
        <v>173</v>
      </c>
      <c r="T1240" s="25">
        <v>1</v>
      </c>
      <c r="U1240" s="25" t="s">
        <v>2517</v>
      </c>
      <c r="V1240" s="25" t="s">
        <v>7887</v>
      </c>
      <c r="W1240" s="25" t="s">
        <v>7888</v>
      </c>
      <c r="X1240" s="59">
        <v>45938.510416666657</v>
      </c>
      <c r="Y1240" s="25"/>
      <c r="Z1240" s="25">
        <v>0.6</v>
      </c>
      <c r="AA1240" s="25"/>
      <c r="AB1240" s="25" t="s">
        <v>2521</v>
      </c>
      <c r="AC1240" s="27" t="s">
        <v>7788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3822</v>
      </c>
      <c r="G1241" s="25" t="s">
        <v>3823</v>
      </c>
      <c r="H1241" s="25" t="s">
        <v>2507</v>
      </c>
      <c r="I1241" s="25"/>
      <c r="J1241" s="25"/>
      <c r="K1241" s="25"/>
      <c r="L1241" s="25"/>
      <c r="M1241" s="26"/>
      <c r="N1241" s="25"/>
      <c r="O1241" s="26"/>
      <c r="P1241" s="27"/>
      <c r="Q1241" s="25" t="s">
        <v>3824</v>
      </c>
      <c r="R1241" s="25" t="s">
        <v>2516</v>
      </c>
      <c r="S1241" s="25" t="s">
        <v>25</v>
      </c>
      <c r="T1241" s="25">
        <v>1</v>
      </c>
      <c r="U1241" s="25" t="s">
        <v>2517</v>
      </c>
      <c r="V1241" s="25" t="s">
        <v>7889</v>
      </c>
      <c r="W1241" s="25" t="s">
        <v>7890</v>
      </c>
      <c r="X1241" s="59">
        <v>45938.625</v>
      </c>
      <c r="Y1241" s="25"/>
      <c r="Z1241" s="25">
        <v>0.5</v>
      </c>
      <c r="AA1241" s="25"/>
      <c r="AB1241" s="25" t="s">
        <v>2521</v>
      </c>
      <c r="AC1241" s="27" t="s">
        <v>7891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7892</v>
      </c>
      <c r="E1242" s="25" t="s">
        <v>2504</v>
      </c>
      <c r="F1242" s="25" t="s">
        <v>6537</v>
      </c>
      <c r="G1242" s="25" t="s">
        <v>6538</v>
      </c>
      <c r="H1242" s="25" t="s">
        <v>2996</v>
      </c>
      <c r="I1242" s="25" t="s">
        <v>7893</v>
      </c>
      <c r="J1242" s="25" t="s">
        <v>2835</v>
      </c>
      <c r="K1242" s="25" t="s">
        <v>2568</v>
      </c>
      <c r="L1242" s="25" t="s">
        <v>2662</v>
      </c>
      <c r="M1242" s="26" t="s">
        <v>2663</v>
      </c>
      <c r="N1242" s="25">
        <v>2702</v>
      </c>
      <c r="O1242" s="26" t="s">
        <v>3065</v>
      </c>
      <c r="P1242" s="27" t="s">
        <v>7894</v>
      </c>
      <c r="Q1242" s="25" t="s">
        <v>6541</v>
      </c>
      <c r="R1242" s="25" t="s">
        <v>2516</v>
      </c>
      <c r="S1242" s="25" t="s">
        <v>185</v>
      </c>
      <c r="T1242" s="25">
        <v>1</v>
      </c>
      <c r="U1242" s="25" t="s">
        <v>7895</v>
      </c>
      <c r="V1242" s="25" t="s">
        <v>7896</v>
      </c>
      <c r="W1242" s="25" t="s">
        <v>7897</v>
      </c>
      <c r="X1242" s="59">
        <v>45943.451388888891</v>
      </c>
      <c r="Y1242" s="25" t="s">
        <v>7898</v>
      </c>
      <c r="Z1242" s="25">
        <v>0.1</v>
      </c>
      <c r="AA1242" s="25"/>
      <c r="AB1242" s="25" t="s">
        <v>2521</v>
      </c>
      <c r="AC1242" s="27" t="s">
        <v>7899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7900</v>
      </c>
      <c r="E1243" s="25" t="s">
        <v>2504</v>
      </c>
      <c r="F1243" s="25">
        <v>3770</v>
      </c>
      <c r="G1243" s="25" t="s">
        <v>3014</v>
      </c>
      <c r="H1243" s="25" t="s">
        <v>2996</v>
      </c>
      <c r="I1243" s="25" t="s">
        <v>7901</v>
      </c>
      <c r="J1243" s="25" t="s">
        <v>2835</v>
      </c>
      <c r="K1243" s="25" t="s">
        <v>2568</v>
      </c>
      <c r="L1243" s="25" t="s">
        <v>2511</v>
      </c>
      <c r="M1243" s="26" t="s">
        <v>2512</v>
      </c>
      <c r="N1243" s="25">
        <v>2307</v>
      </c>
      <c r="O1243" s="26" t="s">
        <v>2678</v>
      </c>
      <c r="P1243" s="27" t="s">
        <v>7902</v>
      </c>
      <c r="Q1243" s="25" t="s">
        <v>3015</v>
      </c>
      <c r="R1243" s="25" t="s">
        <v>2516</v>
      </c>
      <c r="S1243" s="25" t="s">
        <v>185</v>
      </c>
      <c r="T1243" s="25">
        <v>1</v>
      </c>
      <c r="U1243" s="25" t="s">
        <v>2517</v>
      </c>
      <c r="V1243" s="25" t="s">
        <v>7903</v>
      </c>
      <c r="W1243" s="25" t="s">
        <v>7904</v>
      </c>
      <c r="X1243" s="59">
        <v>45943.4375</v>
      </c>
      <c r="Y1243" s="25" t="s">
        <v>7905</v>
      </c>
      <c r="Z1243" s="25">
        <v>0.5</v>
      </c>
      <c r="AA1243" s="25"/>
      <c r="AB1243" s="25" t="s">
        <v>2521</v>
      </c>
      <c r="AC1243" s="27" t="s">
        <v>7906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7907</v>
      </c>
      <c r="E1244" s="25" t="s">
        <v>2504</v>
      </c>
      <c r="F1244" s="25">
        <v>3983</v>
      </c>
      <c r="G1244" s="25" t="s">
        <v>2808</v>
      </c>
      <c r="H1244" s="25" t="s">
        <v>2507</v>
      </c>
      <c r="I1244" s="25" t="s">
        <v>7908</v>
      </c>
      <c r="J1244" s="25" t="s">
        <v>2567</v>
      </c>
      <c r="K1244" s="25" t="s">
        <v>2568</v>
      </c>
      <c r="L1244" s="25" t="s">
        <v>3150</v>
      </c>
      <c r="M1244" s="26" t="s">
        <v>3151</v>
      </c>
      <c r="N1244" s="25">
        <v>5903</v>
      </c>
      <c r="O1244" s="26" t="s">
        <v>3152</v>
      </c>
      <c r="P1244" s="27" t="s">
        <v>7909</v>
      </c>
      <c r="Q1244" s="25" t="s">
        <v>2809</v>
      </c>
      <c r="R1244" s="25" t="s">
        <v>2516</v>
      </c>
      <c r="S1244" s="25" t="s">
        <v>25</v>
      </c>
      <c r="T1244" s="25">
        <v>1</v>
      </c>
      <c r="U1244" s="25" t="s">
        <v>2517</v>
      </c>
      <c r="V1244" s="25" t="s">
        <v>7910</v>
      </c>
      <c r="W1244" s="25" t="s">
        <v>7911</v>
      </c>
      <c r="X1244" s="59">
        <v>45943.572916666657</v>
      </c>
      <c r="Y1244" s="25" t="s">
        <v>7912</v>
      </c>
      <c r="Z1244" s="25">
        <v>0.8</v>
      </c>
      <c r="AA1244" s="25"/>
      <c r="AB1244" s="25" t="s">
        <v>2521</v>
      </c>
      <c r="AC1244" s="27" t="s">
        <v>7913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7914</v>
      </c>
      <c r="E1245" s="25" t="s">
        <v>2504</v>
      </c>
      <c r="F1245" s="25">
        <v>3811</v>
      </c>
      <c r="G1245" s="25" t="s">
        <v>3780</v>
      </c>
      <c r="H1245" s="25" t="s">
        <v>2507</v>
      </c>
      <c r="I1245" s="25" t="s">
        <v>7915</v>
      </c>
      <c r="J1245" s="25" t="s">
        <v>2930</v>
      </c>
      <c r="K1245" s="25" t="s">
        <v>2510</v>
      </c>
      <c r="L1245" s="25" t="s">
        <v>3483</v>
      </c>
      <c r="M1245" s="26" t="s">
        <v>3484</v>
      </c>
      <c r="N1245" s="25">
        <v>6004</v>
      </c>
      <c r="O1245" s="26" t="s">
        <v>2893</v>
      </c>
      <c r="P1245" s="27" t="s">
        <v>7916</v>
      </c>
      <c r="Q1245" s="25" t="s">
        <v>3784</v>
      </c>
      <c r="R1245" s="25" t="s">
        <v>2516</v>
      </c>
      <c r="S1245" s="25" t="s">
        <v>25</v>
      </c>
      <c r="T1245" s="25">
        <v>1</v>
      </c>
      <c r="U1245" s="25" t="s">
        <v>2517</v>
      </c>
      <c r="V1245" s="25" t="s">
        <v>7917</v>
      </c>
      <c r="W1245" s="25" t="s">
        <v>7918</v>
      </c>
      <c r="X1245" s="59">
        <v>45943.506249999999</v>
      </c>
      <c r="Y1245" s="25" t="s">
        <v>7912</v>
      </c>
      <c r="Z1245" s="25">
        <v>0.5</v>
      </c>
      <c r="AA1245" s="25"/>
      <c r="AB1245" s="25" t="s">
        <v>2915</v>
      </c>
      <c r="AC1245" s="27" t="s">
        <v>2684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7919</v>
      </c>
      <c r="E1246" s="25" t="s">
        <v>2504</v>
      </c>
      <c r="F1246" s="25">
        <v>3785</v>
      </c>
      <c r="G1246" s="25" t="s">
        <v>3413</v>
      </c>
      <c r="H1246" s="25" t="s">
        <v>2659</v>
      </c>
      <c r="I1246" s="25" t="s">
        <v>7920</v>
      </c>
      <c r="J1246" s="25" t="s">
        <v>2643</v>
      </c>
      <c r="K1246" s="25" t="s">
        <v>2510</v>
      </c>
      <c r="L1246" s="25" t="s">
        <v>2611</v>
      </c>
      <c r="M1246" s="26" t="s">
        <v>2612</v>
      </c>
      <c r="N1246" s="25" t="s">
        <v>2613</v>
      </c>
      <c r="O1246" s="26" t="s">
        <v>2614</v>
      </c>
      <c r="P1246" s="27" t="s">
        <v>7921</v>
      </c>
      <c r="Q1246" s="25" t="s">
        <v>3414</v>
      </c>
      <c r="R1246" s="25" t="s">
        <v>2516</v>
      </c>
      <c r="S1246" s="25" t="s">
        <v>185</v>
      </c>
      <c r="T1246" s="25">
        <v>1</v>
      </c>
      <c r="U1246" s="25" t="s">
        <v>2517</v>
      </c>
      <c r="V1246" s="25" t="s">
        <v>7922</v>
      </c>
      <c r="W1246" s="25" t="s">
        <v>7923</v>
      </c>
      <c r="X1246" s="59">
        <v>45943.583333333343</v>
      </c>
      <c r="Y1246" s="25" t="s">
        <v>7912</v>
      </c>
      <c r="Z1246" s="25">
        <v>0.5</v>
      </c>
      <c r="AA1246" s="25"/>
      <c r="AB1246" s="25" t="s">
        <v>2521</v>
      </c>
      <c r="AC1246" s="27" t="s">
        <v>7924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7925</v>
      </c>
      <c r="E1247" s="25" t="s">
        <v>2504</v>
      </c>
      <c r="F1247" s="25">
        <v>3785</v>
      </c>
      <c r="G1247" s="25" t="s">
        <v>3413</v>
      </c>
      <c r="H1247" s="25" t="s">
        <v>2659</v>
      </c>
      <c r="I1247" s="25" t="s">
        <v>7926</v>
      </c>
      <c r="J1247" s="25" t="s">
        <v>2643</v>
      </c>
      <c r="K1247" s="25" t="s">
        <v>2510</v>
      </c>
      <c r="L1247" s="25" t="s">
        <v>2611</v>
      </c>
      <c r="M1247" s="26" t="s">
        <v>2612</v>
      </c>
      <c r="N1247" s="25" t="s">
        <v>3526</v>
      </c>
      <c r="O1247" s="26" t="s">
        <v>3152</v>
      </c>
      <c r="P1247" s="27" t="s">
        <v>7927</v>
      </c>
      <c r="Q1247" s="25" t="s">
        <v>3414</v>
      </c>
      <c r="R1247" s="25" t="s">
        <v>2516</v>
      </c>
      <c r="S1247" s="25" t="s">
        <v>185</v>
      </c>
      <c r="T1247" s="25">
        <v>1</v>
      </c>
      <c r="U1247" s="25" t="s">
        <v>2517</v>
      </c>
      <c r="V1247" s="25" t="s">
        <v>7928</v>
      </c>
      <c r="W1247" s="25" t="s">
        <v>7911</v>
      </c>
      <c r="X1247" s="59">
        <v>45943.5625</v>
      </c>
      <c r="Y1247" s="25" t="s">
        <v>7912</v>
      </c>
      <c r="Z1247" s="25">
        <v>0.5</v>
      </c>
      <c r="AA1247" s="25"/>
      <c r="AB1247" s="25" t="s">
        <v>2521</v>
      </c>
      <c r="AC1247" s="27" t="s">
        <v>4029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7929</v>
      </c>
      <c r="E1248" s="25" t="s">
        <v>2504</v>
      </c>
      <c r="F1248" s="25" t="s">
        <v>3404</v>
      </c>
      <c r="G1248" s="25" t="s">
        <v>3405</v>
      </c>
      <c r="H1248" s="25" t="s">
        <v>2507</v>
      </c>
      <c r="I1248" s="25" t="s">
        <v>7930</v>
      </c>
      <c r="J1248" s="25" t="s">
        <v>2661</v>
      </c>
      <c r="K1248" s="25" t="s">
        <v>2568</v>
      </c>
      <c r="L1248" s="25" t="s">
        <v>2511</v>
      </c>
      <c r="M1248" s="26" t="s">
        <v>2512</v>
      </c>
      <c r="N1248" s="25">
        <v>2307</v>
      </c>
      <c r="O1248" s="26" t="s">
        <v>2678</v>
      </c>
      <c r="P1248" s="27" t="s">
        <v>7931</v>
      </c>
      <c r="Q1248" s="25" t="s">
        <v>3406</v>
      </c>
      <c r="R1248" s="25" t="s">
        <v>2516</v>
      </c>
      <c r="S1248" s="25" t="s">
        <v>25</v>
      </c>
      <c r="T1248" s="25">
        <v>1</v>
      </c>
      <c r="U1248" s="25" t="s">
        <v>2517</v>
      </c>
      <c r="V1248" s="25" t="s">
        <v>7932</v>
      </c>
      <c r="W1248" s="25" t="s">
        <v>7933</v>
      </c>
      <c r="X1248" s="59">
        <v>45943.454861111109</v>
      </c>
      <c r="Y1248" s="25" t="s">
        <v>7934</v>
      </c>
      <c r="Z1248" s="25">
        <v>1.4</v>
      </c>
      <c r="AA1248" s="25"/>
      <c r="AB1248" s="25" t="s">
        <v>2521</v>
      </c>
      <c r="AC1248" s="27" t="s">
        <v>7935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3018</v>
      </c>
      <c r="H1249" s="25" t="s">
        <v>2996</v>
      </c>
      <c r="I1249" s="25"/>
      <c r="J1249" s="25"/>
      <c r="K1249" s="25"/>
      <c r="L1249" s="25"/>
      <c r="M1249" s="26"/>
      <c r="N1249" s="25"/>
      <c r="O1249" s="26"/>
      <c r="P1249" s="27"/>
      <c r="Q1249" s="25" t="s">
        <v>3019</v>
      </c>
      <c r="R1249" s="25" t="s">
        <v>2516</v>
      </c>
      <c r="S1249" s="25" t="s">
        <v>185</v>
      </c>
      <c r="T1249" s="25">
        <v>1</v>
      </c>
      <c r="U1249" s="25" t="s">
        <v>2517</v>
      </c>
      <c r="V1249" s="25" t="s">
        <v>7936</v>
      </c>
      <c r="W1249" s="25" t="s">
        <v>7933</v>
      </c>
      <c r="X1249" s="59">
        <v>45943.416666666657</v>
      </c>
      <c r="Y1249" s="25"/>
      <c r="Z1249" s="25">
        <v>0.5</v>
      </c>
      <c r="AA1249" s="25"/>
      <c r="AB1249" s="25" t="s">
        <v>2521</v>
      </c>
      <c r="AC1249" s="27" t="s">
        <v>7788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3014</v>
      </c>
      <c r="H1250" s="25" t="s">
        <v>2996</v>
      </c>
      <c r="I1250" s="25"/>
      <c r="J1250" s="25"/>
      <c r="K1250" s="25"/>
      <c r="L1250" s="25"/>
      <c r="M1250" s="26"/>
      <c r="N1250" s="25"/>
      <c r="O1250" s="26"/>
      <c r="P1250" s="27"/>
      <c r="Q1250" s="25" t="s">
        <v>3015</v>
      </c>
      <c r="R1250" s="25" t="s">
        <v>2516</v>
      </c>
      <c r="S1250" s="25" t="s">
        <v>185</v>
      </c>
      <c r="T1250" s="25">
        <v>1</v>
      </c>
      <c r="U1250" s="25" t="s">
        <v>2517</v>
      </c>
      <c r="V1250" s="25" t="s">
        <v>7937</v>
      </c>
      <c r="W1250" s="25" t="s">
        <v>7938</v>
      </c>
      <c r="X1250" s="59">
        <v>45943.447916666657</v>
      </c>
      <c r="Y1250" s="25"/>
      <c r="Z1250" s="25">
        <v>0.3</v>
      </c>
      <c r="AA1250" s="25"/>
      <c r="AB1250" s="25" t="s">
        <v>2521</v>
      </c>
      <c r="AC1250" s="27" t="s">
        <v>7788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3008</v>
      </c>
      <c r="H1251" s="25" t="s">
        <v>2996</v>
      </c>
      <c r="I1251" s="25"/>
      <c r="J1251" s="25"/>
      <c r="K1251" s="25"/>
      <c r="L1251" s="25"/>
      <c r="M1251" s="26"/>
      <c r="N1251" s="25"/>
      <c r="O1251" s="26"/>
      <c r="P1251" s="27"/>
      <c r="Q1251" s="25" t="s">
        <v>3009</v>
      </c>
      <c r="R1251" s="25" t="s">
        <v>2516</v>
      </c>
      <c r="S1251" s="25" t="s">
        <v>185</v>
      </c>
      <c r="T1251" s="25">
        <v>1</v>
      </c>
      <c r="U1251" s="25" t="s">
        <v>2517</v>
      </c>
      <c r="V1251" s="25" t="s">
        <v>7939</v>
      </c>
      <c r="W1251" s="25" t="s">
        <v>7897</v>
      </c>
      <c r="X1251" s="59">
        <v>45943.458333333343</v>
      </c>
      <c r="Y1251" s="25"/>
      <c r="Z1251" s="25">
        <v>0.3</v>
      </c>
      <c r="AA1251" s="25"/>
      <c r="AB1251" s="25" t="s">
        <v>2521</v>
      </c>
      <c r="AC1251" s="27" t="s">
        <v>7788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3004</v>
      </c>
      <c r="H1252" s="25" t="s">
        <v>2996</v>
      </c>
      <c r="I1252" s="25"/>
      <c r="J1252" s="25"/>
      <c r="K1252" s="25"/>
      <c r="L1252" s="25"/>
      <c r="M1252" s="26"/>
      <c r="N1252" s="25"/>
      <c r="O1252" s="26"/>
      <c r="P1252" s="27"/>
      <c r="Q1252" s="25" t="s">
        <v>3005</v>
      </c>
      <c r="R1252" s="25" t="s">
        <v>2516</v>
      </c>
      <c r="S1252" s="25" t="s">
        <v>185</v>
      </c>
      <c r="T1252" s="25">
        <v>1</v>
      </c>
      <c r="U1252" s="25" t="s">
        <v>2517</v>
      </c>
      <c r="V1252" s="25" t="s">
        <v>7940</v>
      </c>
      <c r="W1252" s="25" t="s">
        <v>7941</v>
      </c>
      <c r="X1252" s="59">
        <v>45943.46875</v>
      </c>
      <c r="Y1252" s="25"/>
      <c r="Z1252" s="25">
        <v>0.3</v>
      </c>
      <c r="AA1252" s="25"/>
      <c r="AB1252" s="25" t="s">
        <v>2521</v>
      </c>
      <c r="AC1252" s="27" t="s">
        <v>7788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3404</v>
      </c>
      <c r="G1253" s="25" t="s">
        <v>3405</v>
      </c>
      <c r="H1253" s="25" t="s">
        <v>2507</v>
      </c>
      <c r="I1253" s="25"/>
      <c r="J1253" s="25"/>
      <c r="K1253" s="25"/>
      <c r="L1253" s="25"/>
      <c r="M1253" s="26"/>
      <c r="N1253" s="25"/>
      <c r="O1253" s="26"/>
      <c r="P1253" s="27"/>
      <c r="Q1253" s="25" t="s">
        <v>3406</v>
      </c>
      <c r="R1253" s="25" t="s">
        <v>2516</v>
      </c>
      <c r="S1253" s="25" t="s">
        <v>25</v>
      </c>
      <c r="T1253" s="25">
        <v>1</v>
      </c>
      <c r="U1253" s="25" t="s">
        <v>2517</v>
      </c>
      <c r="V1253" s="25" t="s">
        <v>7942</v>
      </c>
      <c r="W1253" s="25" t="s">
        <v>7941</v>
      </c>
      <c r="X1253" s="59">
        <v>45943.472222222219</v>
      </c>
      <c r="Y1253" s="25"/>
      <c r="Z1253" s="25">
        <v>0.3</v>
      </c>
      <c r="AA1253" s="25"/>
      <c r="AB1253" s="25" t="s">
        <v>2521</v>
      </c>
      <c r="AC1253" s="27" t="s">
        <v>7788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3413</v>
      </c>
      <c r="H1254" s="25" t="s">
        <v>2659</v>
      </c>
      <c r="I1254" s="25"/>
      <c r="J1254" s="25"/>
      <c r="K1254" s="25"/>
      <c r="L1254" s="25"/>
      <c r="M1254" s="26"/>
      <c r="N1254" s="25"/>
      <c r="O1254" s="26"/>
      <c r="P1254" s="27"/>
      <c r="Q1254" s="25" t="s">
        <v>3414</v>
      </c>
      <c r="R1254" s="25" t="s">
        <v>2516</v>
      </c>
      <c r="S1254" s="25" t="s">
        <v>185</v>
      </c>
      <c r="T1254" s="25">
        <v>1</v>
      </c>
      <c r="U1254" s="25" t="s">
        <v>2517</v>
      </c>
      <c r="V1254" s="25" t="s">
        <v>7943</v>
      </c>
      <c r="W1254" s="25" t="s">
        <v>7944</v>
      </c>
      <c r="X1254" s="59">
        <v>45943.59375</v>
      </c>
      <c r="Y1254" s="25"/>
      <c r="Z1254" s="25">
        <v>0.3</v>
      </c>
      <c r="AA1254" s="25"/>
      <c r="AB1254" s="25" t="s">
        <v>2521</v>
      </c>
      <c r="AC1254" s="27" t="s">
        <v>7788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2808</v>
      </c>
      <c r="H1255" s="25" t="s">
        <v>2507</v>
      </c>
      <c r="I1255" s="25"/>
      <c r="J1255" s="25"/>
      <c r="K1255" s="25"/>
      <c r="L1255" s="25"/>
      <c r="M1255" s="26"/>
      <c r="N1255" s="25"/>
      <c r="O1255" s="26"/>
      <c r="P1255" s="27"/>
      <c r="Q1255" s="25" t="s">
        <v>2809</v>
      </c>
      <c r="R1255" s="25" t="s">
        <v>2516</v>
      </c>
      <c r="S1255" s="25" t="s">
        <v>25</v>
      </c>
      <c r="T1255" s="25">
        <v>1</v>
      </c>
      <c r="U1255" s="25" t="s">
        <v>2517</v>
      </c>
      <c r="V1255" s="25" t="s">
        <v>7945</v>
      </c>
      <c r="W1255" s="25" t="s">
        <v>7946</v>
      </c>
      <c r="X1255" s="59">
        <v>45943.59652777778</v>
      </c>
      <c r="Y1255" s="25"/>
      <c r="Z1255" s="25">
        <v>0.5</v>
      </c>
      <c r="AA1255" s="25"/>
      <c r="AB1255" s="25" t="s">
        <v>2521</v>
      </c>
      <c r="AC1255" s="27" t="s">
        <v>7788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3516</v>
      </c>
      <c r="H1256" s="25" t="s">
        <v>2507</v>
      </c>
      <c r="I1256" s="25"/>
      <c r="J1256" s="25"/>
      <c r="K1256" s="25"/>
      <c r="L1256" s="25"/>
      <c r="M1256" s="26"/>
      <c r="N1256" s="25"/>
      <c r="O1256" s="26"/>
      <c r="P1256" s="27"/>
      <c r="Q1256" s="25" t="s">
        <v>3519</v>
      </c>
      <c r="R1256" s="25" t="s">
        <v>2516</v>
      </c>
      <c r="S1256" s="25" t="s">
        <v>25</v>
      </c>
      <c r="T1256" s="25">
        <v>1</v>
      </c>
      <c r="U1256" s="25" t="s">
        <v>2517</v>
      </c>
      <c r="V1256" s="25" t="s">
        <v>7947</v>
      </c>
      <c r="W1256" s="25" t="s">
        <v>7948</v>
      </c>
      <c r="X1256" s="59">
        <v>45944.416666666657</v>
      </c>
      <c r="Y1256" s="25"/>
      <c r="Z1256" s="25">
        <v>0.5</v>
      </c>
      <c r="AA1256" s="25"/>
      <c r="AB1256" s="25" t="s">
        <v>2521</v>
      </c>
      <c r="AC1256" s="27" t="s">
        <v>7788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7949</v>
      </c>
      <c r="H1257" s="25" t="s">
        <v>2507</v>
      </c>
      <c r="I1257" s="25"/>
      <c r="J1257" s="25"/>
      <c r="K1257" s="25"/>
      <c r="L1257" s="25"/>
      <c r="M1257" s="26"/>
      <c r="N1257" s="25"/>
      <c r="O1257" s="26"/>
      <c r="P1257" s="27"/>
      <c r="Q1257" s="25" t="s">
        <v>3909</v>
      </c>
      <c r="R1257" s="25" t="s">
        <v>2516</v>
      </c>
      <c r="S1257" s="25" t="s">
        <v>25</v>
      </c>
      <c r="T1257" s="25">
        <v>1</v>
      </c>
      <c r="U1257" s="25" t="s">
        <v>2517</v>
      </c>
      <c r="V1257" s="25" t="s">
        <v>7950</v>
      </c>
      <c r="W1257" s="25" t="s">
        <v>7951</v>
      </c>
      <c r="X1257" s="59">
        <v>45944.4375</v>
      </c>
      <c r="Y1257" s="25"/>
      <c r="Z1257" s="25">
        <v>0.3</v>
      </c>
      <c r="AA1257" s="25"/>
      <c r="AB1257" s="25" t="s">
        <v>2521</v>
      </c>
      <c r="AC1257" s="27" t="s">
        <v>7788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2795</v>
      </c>
      <c r="H1258" s="25" t="s">
        <v>2507</v>
      </c>
      <c r="I1258" s="25"/>
      <c r="J1258" s="25"/>
      <c r="K1258" s="25"/>
      <c r="L1258" s="25"/>
      <c r="M1258" s="26"/>
      <c r="N1258" s="25"/>
      <c r="O1258" s="26"/>
      <c r="P1258" s="27"/>
      <c r="Q1258" s="25" t="s">
        <v>2796</v>
      </c>
      <c r="R1258" s="25" t="s">
        <v>2516</v>
      </c>
      <c r="S1258" s="25" t="s">
        <v>25</v>
      </c>
      <c r="T1258" s="25">
        <v>1</v>
      </c>
      <c r="U1258" s="25" t="s">
        <v>2517</v>
      </c>
      <c r="V1258" s="25" t="s">
        <v>7952</v>
      </c>
      <c r="W1258" s="25" t="s">
        <v>7953</v>
      </c>
      <c r="X1258" s="59">
        <v>45944.479166666657</v>
      </c>
      <c r="Y1258" s="25"/>
      <c r="Z1258" s="25">
        <v>0.5</v>
      </c>
      <c r="AA1258" s="25"/>
      <c r="AB1258" s="25" t="s">
        <v>2521</v>
      </c>
      <c r="AC1258" s="27" t="s">
        <v>7788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7954</v>
      </c>
      <c r="H1259" s="25" t="s">
        <v>2507</v>
      </c>
      <c r="I1259" s="25"/>
      <c r="J1259" s="25"/>
      <c r="K1259" s="25"/>
      <c r="L1259" s="25"/>
      <c r="M1259" s="26"/>
      <c r="N1259" s="25"/>
      <c r="O1259" s="26"/>
      <c r="P1259" s="27"/>
      <c r="Q1259" s="25" t="s">
        <v>2792</v>
      </c>
      <c r="R1259" s="25" t="s">
        <v>2516</v>
      </c>
      <c r="S1259" s="25" t="s">
        <v>25</v>
      </c>
      <c r="T1259" s="25">
        <v>1</v>
      </c>
      <c r="U1259" s="25" t="s">
        <v>2517</v>
      </c>
      <c r="V1259" s="25" t="s">
        <v>7955</v>
      </c>
      <c r="W1259" s="25" t="s">
        <v>7956</v>
      </c>
      <c r="X1259" s="59">
        <v>45944.511111111111</v>
      </c>
      <c r="Y1259" s="25"/>
      <c r="Z1259" s="25">
        <v>0.4</v>
      </c>
      <c r="AA1259" s="25"/>
      <c r="AB1259" s="25" t="s">
        <v>2521</v>
      </c>
      <c r="AC1259" s="27" t="s">
        <v>7788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2593</v>
      </c>
      <c r="H1260" s="25" t="s">
        <v>2507</v>
      </c>
      <c r="I1260" s="25"/>
      <c r="J1260" s="25"/>
      <c r="K1260" s="25"/>
      <c r="L1260" s="25"/>
      <c r="M1260" s="26"/>
      <c r="N1260" s="25"/>
      <c r="O1260" s="26"/>
      <c r="P1260" s="27"/>
      <c r="Q1260" s="25" t="s">
        <v>2600</v>
      </c>
      <c r="R1260" s="25" t="s">
        <v>2516</v>
      </c>
      <c r="S1260" s="25" t="s">
        <v>25</v>
      </c>
      <c r="T1260" s="25">
        <v>1</v>
      </c>
      <c r="U1260" s="25" t="s">
        <v>2517</v>
      </c>
      <c r="V1260" s="25" t="s">
        <v>7957</v>
      </c>
      <c r="W1260" s="25" t="s">
        <v>7958</v>
      </c>
      <c r="X1260" s="59">
        <v>45944.625</v>
      </c>
      <c r="Y1260" s="25"/>
      <c r="Z1260" s="25">
        <v>0.4</v>
      </c>
      <c r="AA1260" s="25"/>
      <c r="AB1260" s="25" t="s">
        <v>2521</v>
      </c>
      <c r="AC1260" s="27" t="s">
        <v>7788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3689</v>
      </c>
      <c r="H1261" s="25" t="s">
        <v>2507</v>
      </c>
      <c r="I1261" s="25"/>
      <c r="J1261" s="25"/>
      <c r="K1261" s="25"/>
      <c r="L1261" s="25"/>
      <c r="M1261" s="26"/>
      <c r="N1261" s="25"/>
      <c r="O1261" s="26"/>
      <c r="P1261" s="27"/>
      <c r="Q1261" s="25" t="s">
        <v>3690</v>
      </c>
      <c r="R1261" s="25" t="s">
        <v>2516</v>
      </c>
      <c r="S1261" s="25" t="s">
        <v>25</v>
      </c>
      <c r="T1261" s="25">
        <v>1</v>
      </c>
      <c r="U1261" s="25" t="s">
        <v>2517</v>
      </c>
      <c r="V1261" s="25" t="s">
        <v>7959</v>
      </c>
      <c r="W1261" s="25" t="s">
        <v>7960</v>
      </c>
      <c r="X1261" s="59">
        <v>45944.660416666673</v>
      </c>
      <c r="Y1261" s="25"/>
      <c r="Z1261" s="25">
        <v>0.4</v>
      </c>
      <c r="AA1261" s="25"/>
      <c r="AB1261" s="25" t="s">
        <v>2521</v>
      </c>
      <c r="AC1261" s="27" t="s">
        <v>7788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3697</v>
      </c>
      <c r="G1262" s="25" t="s">
        <v>3698</v>
      </c>
      <c r="H1262" s="25" t="s">
        <v>2507</v>
      </c>
      <c r="I1262" s="25"/>
      <c r="J1262" s="25"/>
      <c r="K1262" s="25"/>
      <c r="L1262" s="25"/>
      <c r="M1262" s="26"/>
      <c r="N1262" s="25"/>
      <c r="O1262" s="26"/>
      <c r="P1262" s="27"/>
      <c r="Q1262" s="25" t="s">
        <v>3699</v>
      </c>
      <c r="R1262" s="25" t="s">
        <v>2516</v>
      </c>
      <c r="S1262" s="25" t="s">
        <v>25</v>
      </c>
      <c r="T1262" s="25">
        <v>1</v>
      </c>
      <c r="U1262" s="25" t="s">
        <v>2517</v>
      </c>
      <c r="V1262" s="25" t="s">
        <v>7961</v>
      </c>
      <c r="W1262" s="25" t="s">
        <v>7962</v>
      </c>
      <c r="X1262" s="59">
        <v>45944.681250000001</v>
      </c>
      <c r="Y1262" s="25"/>
      <c r="Z1262" s="25">
        <v>0.4</v>
      </c>
      <c r="AA1262" s="25"/>
      <c r="AB1262" s="25" t="s">
        <v>2521</v>
      </c>
      <c r="AC1262" s="27" t="s">
        <v>7788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7963</v>
      </c>
      <c r="E1263" s="25" t="s">
        <v>2504</v>
      </c>
      <c r="F1263" s="25">
        <v>2535</v>
      </c>
      <c r="G1263" s="25" t="s">
        <v>4483</v>
      </c>
      <c r="H1263" s="25" t="s">
        <v>2996</v>
      </c>
      <c r="I1263" s="25" t="s">
        <v>7964</v>
      </c>
      <c r="J1263" s="25" t="s">
        <v>2509</v>
      </c>
      <c r="K1263" s="25" t="s">
        <v>2568</v>
      </c>
      <c r="L1263" s="25" t="s">
        <v>4472</v>
      </c>
      <c r="M1263" s="26" t="s">
        <v>4473</v>
      </c>
      <c r="N1263" s="25" t="s">
        <v>4474</v>
      </c>
      <c r="O1263" s="26" t="s">
        <v>4475</v>
      </c>
      <c r="P1263" s="27" t="s">
        <v>7965</v>
      </c>
      <c r="Q1263" s="25" t="s">
        <v>4484</v>
      </c>
      <c r="R1263" s="25" t="s">
        <v>2516</v>
      </c>
      <c r="S1263" s="25" t="s">
        <v>185</v>
      </c>
      <c r="T1263" s="25">
        <v>1</v>
      </c>
      <c r="U1263" s="25" t="s">
        <v>2517</v>
      </c>
      <c r="V1263" s="25" t="s">
        <v>7966</v>
      </c>
      <c r="W1263" s="25" t="s">
        <v>7967</v>
      </c>
      <c r="X1263" s="59">
        <v>45945.472222222219</v>
      </c>
      <c r="Y1263" s="25" t="s">
        <v>7968</v>
      </c>
      <c r="Z1263" s="25">
        <v>1.8</v>
      </c>
      <c r="AA1263" s="25"/>
      <c r="AB1263" s="25" t="s">
        <v>2521</v>
      </c>
      <c r="AC1263" s="27" t="s">
        <v>7969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7970</v>
      </c>
      <c r="E1264" s="25" t="s">
        <v>2504</v>
      </c>
      <c r="F1264" s="25">
        <v>4802</v>
      </c>
      <c r="G1264" s="25" t="s">
        <v>4178</v>
      </c>
      <c r="H1264" s="25" t="s">
        <v>1604</v>
      </c>
      <c r="I1264" s="25" t="s">
        <v>7971</v>
      </c>
      <c r="J1264" s="25" t="s">
        <v>2509</v>
      </c>
      <c r="K1264" s="25" t="s">
        <v>2510</v>
      </c>
      <c r="L1264" s="25" t="s">
        <v>7972</v>
      </c>
      <c r="M1264" s="26" t="s">
        <v>7973</v>
      </c>
      <c r="N1264" s="25" t="s">
        <v>7974</v>
      </c>
      <c r="O1264" s="26" t="s">
        <v>2893</v>
      </c>
      <c r="P1264" s="27" t="s">
        <v>7975</v>
      </c>
      <c r="Q1264" s="25" t="s">
        <v>4179</v>
      </c>
      <c r="R1264" s="25" t="s">
        <v>2516</v>
      </c>
      <c r="S1264" s="25" t="s">
        <v>25</v>
      </c>
      <c r="T1264" s="25">
        <v>1</v>
      </c>
      <c r="U1264" s="25" t="s">
        <v>2517</v>
      </c>
      <c r="V1264" s="25" t="s">
        <v>7976</v>
      </c>
      <c r="W1264" s="25" t="s">
        <v>7977</v>
      </c>
      <c r="X1264" s="59">
        <v>45945.604166666657</v>
      </c>
      <c r="Y1264" s="25" t="s">
        <v>7978</v>
      </c>
      <c r="Z1264" s="25">
        <v>1.7</v>
      </c>
      <c r="AA1264" s="25"/>
      <c r="AB1264" s="25" t="s">
        <v>2521</v>
      </c>
      <c r="AC1264" s="27" t="s">
        <v>7979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7980</v>
      </c>
      <c r="E1265" s="25" t="s">
        <v>2504</v>
      </c>
      <c r="F1265" s="25">
        <v>5057</v>
      </c>
      <c r="G1265" s="25" t="s">
        <v>4190</v>
      </c>
      <c r="H1265" s="25" t="s">
        <v>2659</v>
      </c>
      <c r="I1265" s="25" t="s">
        <v>7981</v>
      </c>
      <c r="J1265" s="25" t="s">
        <v>2536</v>
      </c>
      <c r="K1265" s="25" t="s">
        <v>2510</v>
      </c>
      <c r="L1265" s="25" t="s">
        <v>2945</v>
      </c>
      <c r="M1265" s="26" t="s">
        <v>2946</v>
      </c>
      <c r="N1265" s="25" t="s">
        <v>3782</v>
      </c>
      <c r="O1265" s="26" t="s">
        <v>2582</v>
      </c>
      <c r="P1265" s="27" t="s">
        <v>7982</v>
      </c>
      <c r="Q1265" s="25" t="s">
        <v>4191</v>
      </c>
      <c r="R1265" s="25" t="s">
        <v>2516</v>
      </c>
      <c r="S1265" s="25" t="s">
        <v>185</v>
      </c>
      <c r="T1265" s="25">
        <v>1</v>
      </c>
      <c r="U1265" s="25" t="s">
        <v>2517</v>
      </c>
      <c r="V1265" s="25" t="s">
        <v>7983</v>
      </c>
      <c r="W1265" s="25" t="s">
        <v>7984</v>
      </c>
      <c r="X1265" s="59">
        <v>45945.638888888891</v>
      </c>
      <c r="Y1265" s="25" t="s">
        <v>7985</v>
      </c>
      <c r="Z1265" s="25">
        <v>0.3</v>
      </c>
      <c r="AA1265" s="25"/>
      <c r="AB1265" s="25" t="s">
        <v>2521</v>
      </c>
      <c r="AC1265" s="27" t="s">
        <v>7986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4178</v>
      </c>
      <c r="H1266" s="25" t="s">
        <v>1604</v>
      </c>
      <c r="I1266" s="25"/>
      <c r="J1266" s="25"/>
      <c r="K1266" s="25"/>
      <c r="L1266" s="25"/>
      <c r="M1266" s="26"/>
      <c r="N1266" s="25"/>
      <c r="O1266" s="26"/>
      <c r="P1266" s="27"/>
      <c r="Q1266" s="25" t="s">
        <v>4179</v>
      </c>
      <c r="R1266" s="25" t="s">
        <v>2516</v>
      </c>
      <c r="S1266" s="25" t="s">
        <v>25</v>
      </c>
      <c r="T1266" s="25">
        <v>1</v>
      </c>
      <c r="U1266" s="25" t="s">
        <v>2517</v>
      </c>
      <c r="V1266" s="25" t="s">
        <v>7987</v>
      </c>
      <c r="W1266" s="25" t="s">
        <v>7988</v>
      </c>
      <c r="X1266" s="59">
        <v>45945.618055555547</v>
      </c>
      <c r="Y1266" s="25"/>
      <c r="Z1266" s="25">
        <v>0.3</v>
      </c>
      <c r="AA1266" s="25"/>
      <c r="AB1266" s="25" t="s">
        <v>2521</v>
      </c>
      <c r="AC1266" s="27" t="s">
        <v>7788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4190</v>
      </c>
      <c r="H1267" s="25" t="s">
        <v>2659</v>
      </c>
      <c r="I1267" s="25"/>
      <c r="J1267" s="25"/>
      <c r="K1267" s="25"/>
      <c r="L1267" s="25"/>
      <c r="M1267" s="26"/>
      <c r="N1267" s="25"/>
      <c r="O1267" s="26"/>
      <c r="P1267" s="27"/>
      <c r="Q1267" s="25" t="s">
        <v>4191</v>
      </c>
      <c r="R1267" s="25" t="s">
        <v>2516</v>
      </c>
      <c r="S1267" s="25" t="s">
        <v>185</v>
      </c>
      <c r="T1267" s="25">
        <v>1</v>
      </c>
      <c r="U1267" s="25" t="s">
        <v>2517</v>
      </c>
      <c r="V1267" s="25" t="s">
        <v>7989</v>
      </c>
      <c r="W1267" s="25" t="s">
        <v>7990</v>
      </c>
      <c r="X1267" s="59">
        <v>45945.649305555547</v>
      </c>
      <c r="Y1267" s="25"/>
      <c r="Z1267" s="25">
        <v>0.3</v>
      </c>
      <c r="AA1267" s="25"/>
      <c r="AB1267" s="25" t="s">
        <v>2521</v>
      </c>
      <c r="AC1267" s="27" t="s">
        <v>7788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7991</v>
      </c>
      <c r="E1268" s="25" t="s">
        <v>2843</v>
      </c>
      <c r="F1268" s="25">
        <v>4153</v>
      </c>
      <c r="G1268" s="25" t="s">
        <v>4147</v>
      </c>
      <c r="H1268" s="25" t="s">
        <v>1604</v>
      </c>
      <c r="I1268" s="25" t="s">
        <v>7992</v>
      </c>
      <c r="J1268" s="25" t="s">
        <v>2835</v>
      </c>
      <c r="K1268" s="25" t="s">
        <v>2568</v>
      </c>
      <c r="L1268" s="25" t="s">
        <v>2846</v>
      </c>
      <c r="M1268" s="26" t="s">
        <v>2847</v>
      </c>
      <c r="N1268" s="25">
        <v>2401</v>
      </c>
      <c r="O1268" s="26" t="s">
        <v>2848</v>
      </c>
      <c r="P1268" s="27" t="s">
        <v>7993</v>
      </c>
      <c r="Q1268" s="25" t="s">
        <v>4148</v>
      </c>
      <c r="R1268" s="25" t="s">
        <v>2516</v>
      </c>
      <c r="S1268" s="25" t="s">
        <v>185</v>
      </c>
      <c r="T1268" s="25">
        <v>1</v>
      </c>
      <c r="U1268" s="25" t="s">
        <v>2517</v>
      </c>
      <c r="V1268" s="25" t="s">
        <v>7994</v>
      </c>
      <c r="W1268" s="25" t="s">
        <v>7995</v>
      </c>
      <c r="X1268" s="59">
        <v>45946.604166666657</v>
      </c>
      <c r="Y1268" s="25" t="s">
        <v>7996</v>
      </c>
      <c r="Z1268" s="25">
        <v>3.5</v>
      </c>
      <c r="AA1268" s="25"/>
      <c r="AB1268" s="25" t="s">
        <v>2521</v>
      </c>
      <c r="AC1268" s="27" t="s">
        <v>7997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7998</v>
      </c>
      <c r="E1269" s="25" t="s">
        <v>2843</v>
      </c>
      <c r="F1269" s="25">
        <v>4046</v>
      </c>
      <c r="G1269" s="25" t="s">
        <v>4256</v>
      </c>
      <c r="H1269" s="25" t="s">
        <v>2609</v>
      </c>
      <c r="I1269" s="25" t="s">
        <v>7999</v>
      </c>
      <c r="J1269" s="25" t="s">
        <v>2835</v>
      </c>
      <c r="K1269" s="25" t="s">
        <v>2568</v>
      </c>
      <c r="L1269" s="25" t="s">
        <v>2846</v>
      </c>
      <c r="M1269" s="26" t="s">
        <v>2847</v>
      </c>
      <c r="N1269" s="25">
        <v>2405</v>
      </c>
      <c r="O1269" s="26" t="s">
        <v>2963</v>
      </c>
      <c r="P1269" s="27" t="s">
        <v>8000</v>
      </c>
      <c r="Q1269" s="25" t="s">
        <v>4259</v>
      </c>
      <c r="R1269" s="25" t="s">
        <v>2516</v>
      </c>
      <c r="S1269" s="25" t="s">
        <v>173</v>
      </c>
      <c r="T1269" s="25">
        <v>1</v>
      </c>
      <c r="U1269" s="25" t="s">
        <v>2517</v>
      </c>
      <c r="V1269" s="25" t="s">
        <v>8001</v>
      </c>
      <c r="W1269" s="25" t="s">
        <v>8002</v>
      </c>
      <c r="X1269" s="59">
        <v>45946.555555555547</v>
      </c>
      <c r="Y1269" s="25" t="s">
        <v>8003</v>
      </c>
      <c r="Z1269" s="25">
        <v>1.8</v>
      </c>
      <c r="AA1269" s="25"/>
      <c r="AB1269" s="25" t="s">
        <v>2521</v>
      </c>
      <c r="AC1269" s="27" t="s">
        <v>8004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4256</v>
      </c>
      <c r="H1270" s="25" t="s">
        <v>2609</v>
      </c>
      <c r="I1270" s="25"/>
      <c r="J1270" s="25"/>
      <c r="K1270" s="25"/>
      <c r="L1270" s="25"/>
      <c r="M1270" s="26"/>
      <c r="N1270" s="25"/>
      <c r="O1270" s="26"/>
      <c r="P1270" s="27"/>
      <c r="Q1270" s="25" t="s">
        <v>4259</v>
      </c>
      <c r="R1270" s="25" t="s">
        <v>2516</v>
      </c>
      <c r="S1270" s="25" t="s">
        <v>173</v>
      </c>
      <c r="T1270" s="25">
        <v>1</v>
      </c>
      <c r="U1270" s="25" t="s">
        <v>2517</v>
      </c>
      <c r="V1270" s="25" t="s">
        <v>8005</v>
      </c>
      <c r="W1270" s="25" t="s">
        <v>8002</v>
      </c>
      <c r="X1270" s="59">
        <v>45946.555555555547</v>
      </c>
      <c r="Y1270" s="25"/>
      <c r="Z1270" s="25">
        <v>1.8</v>
      </c>
      <c r="AA1270" s="25"/>
      <c r="AB1270" s="25" t="s">
        <v>2521</v>
      </c>
      <c r="AC1270" s="27" t="s">
        <v>6091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8006</v>
      </c>
      <c r="H1271" s="25" t="s">
        <v>2507</v>
      </c>
      <c r="I1271" s="25"/>
      <c r="J1271" s="25"/>
      <c r="K1271" s="25"/>
      <c r="L1271" s="25"/>
      <c r="M1271" s="26"/>
      <c r="N1271" s="25"/>
      <c r="O1271" s="26"/>
      <c r="P1271" s="27"/>
      <c r="Q1271" s="25" t="s">
        <v>8007</v>
      </c>
      <c r="R1271" s="25" t="s">
        <v>2516</v>
      </c>
      <c r="S1271" s="25" t="s">
        <v>25</v>
      </c>
      <c r="T1271" s="25">
        <v>1</v>
      </c>
      <c r="U1271" s="25" t="s">
        <v>2517</v>
      </c>
      <c r="V1271" s="25" t="s">
        <v>8008</v>
      </c>
      <c r="W1271" s="25" t="s">
        <v>7995</v>
      </c>
      <c r="X1271" s="59">
        <v>45946.714583333327</v>
      </c>
      <c r="Y1271" s="25"/>
      <c r="Z1271" s="25">
        <v>6.2</v>
      </c>
      <c r="AA1271" s="25"/>
      <c r="AB1271" s="25" t="s">
        <v>2521</v>
      </c>
      <c r="AC1271" s="27" t="s">
        <v>8009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8010</v>
      </c>
      <c r="E1272" s="25" t="s">
        <v>2504</v>
      </c>
      <c r="F1272" s="25">
        <v>3770</v>
      </c>
      <c r="G1272" s="25" t="s">
        <v>3014</v>
      </c>
      <c r="H1272" s="25" t="s">
        <v>2996</v>
      </c>
      <c r="I1272" s="25" t="s">
        <v>8011</v>
      </c>
      <c r="J1272" s="25" t="s">
        <v>2567</v>
      </c>
      <c r="K1272" s="25" t="s">
        <v>2510</v>
      </c>
      <c r="L1272" s="25" t="s">
        <v>2511</v>
      </c>
      <c r="M1272" s="26" t="s">
        <v>2512</v>
      </c>
      <c r="N1272" s="25">
        <v>2307</v>
      </c>
      <c r="O1272" s="26" t="s">
        <v>2678</v>
      </c>
      <c r="P1272" s="27" t="s">
        <v>8012</v>
      </c>
      <c r="Q1272" s="25" t="s">
        <v>3015</v>
      </c>
      <c r="R1272" s="25" t="s">
        <v>2516</v>
      </c>
      <c r="S1272" s="25" t="s">
        <v>185</v>
      </c>
      <c r="T1272" s="25">
        <v>1</v>
      </c>
      <c r="U1272" s="25" t="s">
        <v>2517</v>
      </c>
      <c r="V1272" s="25" t="s">
        <v>8013</v>
      </c>
      <c r="W1272" s="25" t="s">
        <v>8014</v>
      </c>
      <c r="X1272" s="59">
        <v>45947.6875</v>
      </c>
      <c r="Y1272" s="25" t="s">
        <v>8015</v>
      </c>
      <c r="Z1272" s="25">
        <v>1</v>
      </c>
      <c r="AA1272" s="25"/>
      <c r="AB1272" s="25" t="s">
        <v>2521</v>
      </c>
      <c r="AC1272" s="27" t="s">
        <v>8016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4256</v>
      </c>
      <c r="H1273" s="25" t="s">
        <v>2609</v>
      </c>
      <c r="I1273" s="25"/>
      <c r="J1273" s="25"/>
      <c r="K1273" s="25"/>
      <c r="L1273" s="25"/>
      <c r="M1273" s="26"/>
      <c r="N1273" s="25"/>
      <c r="O1273" s="26"/>
      <c r="P1273" s="27"/>
      <c r="Q1273" s="25" t="s">
        <v>4259</v>
      </c>
      <c r="R1273" s="25" t="s">
        <v>2516</v>
      </c>
      <c r="S1273" s="25" t="s">
        <v>173</v>
      </c>
      <c r="T1273" s="25">
        <v>1</v>
      </c>
      <c r="U1273" s="25" t="s">
        <v>2517</v>
      </c>
      <c r="V1273" s="25" t="s">
        <v>8017</v>
      </c>
      <c r="W1273" s="25" t="s">
        <v>8018</v>
      </c>
      <c r="X1273" s="59">
        <v>45947.739583333343</v>
      </c>
      <c r="Y1273" s="25"/>
      <c r="Z1273" s="25">
        <v>0.2</v>
      </c>
      <c r="AA1273" s="25"/>
      <c r="AB1273" s="25" t="s">
        <v>2521</v>
      </c>
      <c r="AC1273" s="27" t="s">
        <v>7788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8019</v>
      </c>
      <c r="E1274" s="25" t="s">
        <v>2504</v>
      </c>
      <c r="F1274" s="25">
        <v>3772</v>
      </c>
      <c r="G1274" s="25" t="s">
        <v>3831</v>
      </c>
      <c r="H1274" s="25" t="s">
        <v>2507</v>
      </c>
      <c r="I1274" s="25" t="s">
        <v>8020</v>
      </c>
      <c r="J1274" s="25" t="s">
        <v>2930</v>
      </c>
      <c r="K1274" s="25" t="s">
        <v>2510</v>
      </c>
      <c r="L1274" s="25" t="s">
        <v>2611</v>
      </c>
      <c r="M1274" s="26" t="s">
        <v>2612</v>
      </c>
      <c r="N1274" s="25" t="s">
        <v>2892</v>
      </c>
      <c r="O1274" s="26" t="s">
        <v>2893</v>
      </c>
      <c r="P1274" s="27" t="s">
        <v>8021</v>
      </c>
      <c r="Q1274" s="25" t="s">
        <v>3075</v>
      </c>
      <c r="R1274" s="25" t="s">
        <v>2516</v>
      </c>
      <c r="S1274" s="25" t="s">
        <v>25</v>
      </c>
      <c r="T1274" s="25">
        <v>1</v>
      </c>
      <c r="U1274" s="25" t="s">
        <v>2517</v>
      </c>
      <c r="V1274" s="25" t="s">
        <v>8022</v>
      </c>
      <c r="W1274" s="25" t="s">
        <v>8023</v>
      </c>
      <c r="X1274" s="59">
        <v>45950.457638888889</v>
      </c>
      <c r="Y1274" s="25" t="s">
        <v>8024</v>
      </c>
      <c r="Z1274" s="25">
        <v>0.5</v>
      </c>
      <c r="AA1274" s="25"/>
      <c r="AB1274" s="25" t="s">
        <v>2915</v>
      </c>
      <c r="AC1274" s="27" t="s">
        <v>2915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8025</v>
      </c>
      <c r="E1275" s="25" t="s">
        <v>2504</v>
      </c>
      <c r="F1275" s="25">
        <v>3890</v>
      </c>
      <c r="G1275" s="25" t="s">
        <v>2548</v>
      </c>
      <c r="H1275" s="25" t="s">
        <v>2507</v>
      </c>
      <c r="I1275" s="25" t="s">
        <v>8026</v>
      </c>
      <c r="J1275" s="25" t="s">
        <v>2643</v>
      </c>
      <c r="K1275" s="25" t="s">
        <v>2568</v>
      </c>
      <c r="L1275" s="25" t="s">
        <v>2611</v>
      </c>
      <c r="M1275" s="26" t="s">
        <v>2612</v>
      </c>
      <c r="N1275" s="25" t="s">
        <v>2892</v>
      </c>
      <c r="O1275" s="26" t="s">
        <v>2893</v>
      </c>
      <c r="P1275" s="27" t="s">
        <v>8027</v>
      </c>
      <c r="Q1275" s="25" t="s">
        <v>2552</v>
      </c>
      <c r="R1275" s="25" t="s">
        <v>2516</v>
      </c>
      <c r="S1275" s="25" t="s">
        <v>25</v>
      </c>
      <c r="T1275" s="25">
        <v>1</v>
      </c>
      <c r="U1275" s="25" t="s">
        <v>2517</v>
      </c>
      <c r="V1275" s="25" t="s">
        <v>8028</v>
      </c>
      <c r="W1275" s="25" t="s">
        <v>8029</v>
      </c>
      <c r="X1275" s="59">
        <v>45949.522916666669</v>
      </c>
      <c r="Y1275" s="25" t="s">
        <v>8024</v>
      </c>
      <c r="Z1275" s="25">
        <v>0.5</v>
      </c>
      <c r="AA1275" s="25"/>
      <c r="AB1275" s="25" t="s">
        <v>2521</v>
      </c>
      <c r="AC1275" s="27" t="s">
        <v>7802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8030</v>
      </c>
      <c r="E1276" s="25" t="s">
        <v>2843</v>
      </c>
      <c r="F1276" s="25">
        <v>3890</v>
      </c>
      <c r="G1276" s="25" t="s">
        <v>2548</v>
      </c>
      <c r="H1276" s="25" t="s">
        <v>2507</v>
      </c>
      <c r="I1276" s="25" t="s">
        <v>8031</v>
      </c>
      <c r="J1276" s="25" t="s">
        <v>2643</v>
      </c>
      <c r="K1276" s="25" t="s">
        <v>2568</v>
      </c>
      <c r="L1276" s="25" t="s">
        <v>2611</v>
      </c>
      <c r="M1276" s="26" t="s">
        <v>2612</v>
      </c>
      <c r="N1276" s="25" t="s">
        <v>3526</v>
      </c>
      <c r="O1276" s="26" t="s">
        <v>3152</v>
      </c>
      <c r="P1276" s="27" t="s">
        <v>8032</v>
      </c>
      <c r="Q1276" s="25" t="s">
        <v>2552</v>
      </c>
      <c r="R1276" s="25" t="s">
        <v>2516</v>
      </c>
      <c r="S1276" s="25" t="s">
        <v>25</v>
      </c>
      <c r="T1276" s="25">
        <v>1</v>
      </c>
      <c r="U1276" s="25" t="s">
        <v>2517</v>
      </c>
      <c r="V1276" s="25" t="s">
        <v>8033</v>
      </c>
      <c r="W1276" s="25" t="s">
        <v>8034</v>
      </c>
      <c r="X1276" s="59">
        <v>45949.522222222222</v>
      </c>
      <c r="Y1276" s="25" t="s">
        <v>8035</v>
      </c>
      <c r="Z1276" s="25">
        <v>0.5</v>
      </c>
      <c r="AA1276" s="25"/>
      <c r="AB1276" s="25" t="s">
        <v>2521</v>
      </c>
      <c r="AC1276" s="27" t="s">
        <v>7802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8036</v>
      </c>
      <c r="E1277" s="25" t="s">
        <v>2504</v>
      </c>
      <c r="F1277" s="25">
        <v>3840</v>
      </c>
      <c r="G1277" s="25" t="s">
        <v>3851</v>
      </c>
      <c r="H1277" s="25" t="s">
        <v>2507</v>
      </c>
      <c r="I1277" s="25" t="s">
        <v>8037</v>
      </c>
      <c r="J1277" s="25" t="s">
        <v>2661</v>
      </c>
      <c r="K1277" s="25" t="s">
        <v>2568</v>
      </c>
      <c r="L1277" s="25" t="s">
        <v>2511</v>
      </c>
      <c r="M1277" s="26" t="s">
        <v>2512</v>
      </c>
      <c r="N1277" s="25">
        <v>2304</v>
      </c>
      <c r="O1277" s="26" t="s">
        <v>2513</v>
      </c>
      <c r="P1277" s="27" t="s">
        <v>8038</v>
      </c>
      <c r="Q1277" s="25" t="s">
        <v>3852</v>
      </c>
      <c r="R1277" s="25" t="s">
        <v>2516</v>
      </c>
      <c r="S1277" s="25" t="s">
        <v>25</v>
      </c>
      <c r="T1277" s="25">
        <v>1</v>
      </c>
      <c r="U1277" s="25" t="s">
        <v>2517</v>
      </c>
      <c r="V1277" s="25" t="s">
        <v>8039</v>
      </c>
      <c r="W1277" s="25" t="s">
        <v>8040</v>
      </c>
      <c r="X1277" s="59">
        <v>45950.638194444437</v>
      </c>
      <c r="Y1277" s="25" t="s">
        <v>8041</v>
      </c>
      <c r="Z1277" s="25">
        <v>0.5</v>
      </c>
      <c r="AA1277" s="25"/>
      <c r="AB1277" s="25" t="s">
        <v>2521</v>
      </c>
      <c r="AC1277" s="27" t="s">
        <v>8042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3247</v>
      </c>
      <c r="H1278" s="25" t="s">
        <v>3248</v>
      </c>
      <c r="I1278" s="25"/>
      <c r="J1278" s="25"/>
      <c r="K1278" s="25"/>
      <c r="L1278" s="25"/>
      <c r="M1278" s="26"/>
      <c r="N1278" s="25"/>
      <c r="O1278" s="26"/>
      <c r="P1278" s="27"/>
      <c r="Q1278" s="25" t="s">
        <v>3251</v>
      </c>
      <c r="R1278" s="25" t="s">
        <v>2516</v>
      </c>
      <c r="S1278" s="25" t="s">
        <v>25</v>
      </c>
      <c r="T1278" s="25">
        <v>1</v>
      </c>
      <c r="U1278" s="25" t="s">
        <v>2517</v>
      </c>
      <c r="V1278" s="25" t="s">
        <v>8043</v>
      </c>
      <c r="W1278" s="25" t="s">
        <v>8044</v>
      </c>
      <c r="X1278" s="59">
        <v>45951.590277777781</v>
      </c>
      <c r="Y1278" s="25"/>
      <c r="Z1278" s="25">
        <v>0.3</v>
      </c>
      <c r="AA1278" s="25"/>
      <c r="AB1278" s="25" t="s">
        <v>2521</v>
      </c>
      <c r="AC1278" s="27" t="s">
        <v>8045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3247</v>
      </c>
      <c r="H1279" s="25" t="s">
        <v>3248</v>
      </c>
      <c r="I1279" s="25"/>
      <c r="J1279" s="25"/>
      <c r="K1279" s="25"/>
      <c r="L1279" s="25"/>
      <c r="M1279" s="26"/>
      <c r="N1279" s="25"/>
      <c r="O1279" s="26"/>
      <c r="P1279" s="27"/>
      <c r="Q1279" s="25" t="s">
        <v>3251</v>
      </c>
      <c r="R1279" s="25" t="s">
        <v>2516</v>
      </c>
      <c r="S1279" s="25" t="s">
        <v>25</v>
      </c>
      <c r="T1279" s="25">
        <v>1</v>
      </c>
      <c r="U1279" s="25" t="s">
        <v>2517</v>
      </c>
      <c r="V1279" s="25" t="s">
        <v>8046</v>
      </c>
      <c r="W1279" s="25" t="s">
        <v>8047</v>
      </c>
      <c r="X1279" s="59">
        <v>45951.604166666657</v>
      </c>
      <c r="Y1279" s="25"/>
      <c r="Z1279" s="25">
        <v>12.3</v>
      </c>
      <c r="AA1279" s="25"/>
      <c r="AB1279" s="25" t="s">
        <v>2521</v>
      </c>
      <c r="AC1279" s="27" t="s">
        <v>7788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8048</v>
      </c>
      <c r="E1280" s="25" t="s">
        <v>2504</v>
      </c>
      <c r="F1280" s="25">
        <v>5377</v>
      </c>
      <c r="G1280" s="25" t="s">
        <v>8006</v>
      </c>
      <c r="H1280" s="25" t="s">
        <v>2507</v>
      </c>
      <c r="I1280" s="25" t="s">
        <v>8049</v>
      </c>
      <c r="J1280" s="25" t="s">
        <v>2509</v>
      </c>
      <c r="K1280" s="25" t="s">
        <v>2568</v>
      </c>
      <c r="L1280" s="25" t="s">
        <v>3483</v>
      </c>
      <c r="M1280" s="26" t="s">
        <v>3484</v>
      </c>
      <c r="N1280" s="25">
        <v>6003</v>
      </c>
      <c r="O1280" s="26" t="s">
        <v>3152</v>
      </c>
      <c r="P1280" s="27" t="s">
        <v>8050</v>
      </c>
      <c r="Q1280" s="25" t="s">
        <v>8007</v>
      </c>
      <c r="R1280" s="25" t="s">
        <v>2516</v>
      </c>
      <c r="S1280" s="25" t="s">
        <v>25</v>
      </c>
      <c r="T1280" s="25">
        <v>1</v>
      </c>
      <c r="U1280" s="25" t="s">
        <v>2517</v>
      </c>
      <c r="V1280" s="25" t="s">
        <v>8051</v>
      </c>
      <c r="W1280" s="25" t="s">
        <v>8052</v>
      </c>
      <c r="X1280" s="59">
        <v>45952.447916666657</v>
      </c>
      <c r="Y1280" s="25" t="s">
        <v>8053</v>
      </c>
      <c r="Z1280" s="25">
        <v>0.3</v>
      </c>
      <c r="AA1280" s="25"/>
      <c r="AB1280" s="25" t="s">
        <v>2521</v>
      </c>
      <c r="AC1280" s="27" t="s">
        <v>8054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8055</v>
      </c>
      <c r="E1281" s="25" t="s">
        <v>2504</v>
      </c>
      <c r="F1281" s="25">
        <v>4856</v>
      </c>
      <c r="G1281" s="25" t="s">
        <v>2763</v>
      </c>
      <c r="H1281" s="25" t="s">
        <v>2659</v>
      </c>
      <c r="I1281" s="25" t="s">
        <v>8056</v>
      </c>
      <c r="J1281" s="25" t="s">
        <v>2509</v>
      </c>
      <c r="K1281" s="25" t="s">
        <v>2510</v>
      </c>
      <c r="L1281" s="25" t="s">
        <v>2525</v>
      </c>
      <c r="M1281" s="26" t="s">
        <v>2526</v>
      </c>
      <c r="N1281" s="25">
        <v>5804</v>
      </c>
      <c r="O1281" s="26" t="s">
        <v>2582</v>
      </c>
      <c r="P1281" s="27" t="s">
        <v>3540</v>
      </c>
      <c r="Q1281" s="25" t="s">
        <v>2767</v>
      </c>
      <c r="R1281" s="25" t="s">
        <v>2516</v>
      </c>
      <c r="S1281" s="25" t="s">
        <v>185</v>
      </c>
      <c r="T1281" s="25">
        <v>1</v>
      </c>
      <c r="U1281" s="25" t="s">
        <v>2517</v>
      </c>
      <c r="V1281" s="25" t="s">
        <v>8057</v>
      </c>
      <c r="W1281" s="25" t="s">
        <v>8058</v>
      </c>
      <c r="X1281" s="59">
        <v>45952.5</v>
      </c>
      <c r="Y1281" s="25" t="s">
        <v>8059</v>
      </c>
      <c r="Z1281" s="25">
        <v>1</v>
      </c>
      <c r="AA1281" s="25"/>
      <c r="AB1281" s="25" t="s">
        <v>2521</v>
      </c>
      <c r="AC1281" s="30" t="s">
        <v>8060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2763</v>
      </c>
      <c r="H1282" s="25" t="s">
        <v>2659</v>
      </c>
      <c r="I1282" s="25"/>
      <c r="J1282" s="25"/>
      <c r="K1282" s="25"/>
      <c r="L1282" s="25"/>
      <c r="M1282" s="26"/>
      <c r="N1282" s="25"/>
      <c r="O1282" s="26"/>
      <c r="P1282" s="27"/>
      <c r="Q1282" s="25" t="s">
        <v>2767</v>
      </c>
      <c r="R1282" s="25" t="s">
        <v>2516</v>
      </c>
      <c r="S1282" s="25" t="s">
        <v>185</v>
      </c>
      <c r="T1282" s="25">
        <v>1</v>
      </c>
      <c r="U1282" s="25" t="s">
        <v>2517</v>
      </c>
      <c r="V1282" s="25" t="s">
        <v>8061</v>
      </c>
      <c r="W1282" s="25" t="s">
        <v>8062</v>
      </c>
      <c r="X1282" s="59">
        <v>45952.520833333343</v>
      </c>
      <c r="Y1282" s="25"/>
      <c r="Z1282" s="25">
        <v>0.5</v>
      </c>
      <c r="AA1282" s="25"/>
      <c r="AB1282" s="25" t="s">
        <v>2521</v>
      </c>
      <c r="AC1282" s="27" t="s">
        <v>7788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8063</v>
      </c>
      <c r="E1283" s="25" t="s">
        <v>2504</v>
      </c>
      <c r="F1283" s="25">
        <v>2237</v>
      </c>
      <c r="G1283" s="25" t="s">
        <v>7280</v>
      </c>
      <c r="H1283" s="25" t="s">
        <v>3248</v>
      </c>
      <c r="I1283" s="25" t="s">
        <v>8064</v>
      </c>
      <c r="J1283" s="25" t="s">
        <v>2536</v>
      </c>
      <c r="K1283" s="25" t="s">
        <v>2568</v>
      </c>
      <c r="L1283" s="25" t="s">
        <v>2945</v>
      </c>
      <c r="M1283" s="26" t="s">
        <v>2946</v>
      </c>
      <c r="N1283" s="25" t="s">
        <v>2947</v>
      </c>
      <c r="O1283" s="26" t="s">
        <v>2948</v>
      </c>
      <c r="P1283" s="27" t="s">
        <v>8065</v>
      </c>
      <c r="Q1283" s="25" t="s">
        <v>3331</v>
      </c>
      <c r="R1283" s="25" t="s">
        <v>2516</v>
      </c>
      <c r="S1283" s="25" t="s">
        <v>25</v>
      </c>
      <c r="T1283" s="25">
        <v>1</v>
      </c>
      <c r="U1283" s="25" t="s">
        <v>2517</v>
      </c>
      <c r="V1283" s="25" t="s">
        <v>8066</v>
      </c>
      <c r="W1283" s="25" t="s">
        <v>8067</v>
      </c>
      <c r="X1283" s="59">
        <v>45953.505555555559</v>
      </c>
      <c r="Y1283" s="25" t="s">
        <v>8068</v>
      </c>
      <c r="Z1283" s="25">
        <v>0.5</v>
      </c>
      <c r="AA1283" s="25"/>
      <c r="AB1283" s="25" t="s">
        <v>2521</v>
      </c>
      <c r="AC1283" s="27" t="s">
        <v>8069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8070</v>
      </c>
      <c r="E1284" s="25" t="s">
        <v>2504</v>
      </c>
      <c r="F1284" s="25">
        <v>2390</v>
      </c>
      <c r="G1284" s="25" t="s">
        <v>3000</v>
      </c>
      <c r="H1284" s="25" t="s">
        <v>2996</v>
      </c>
      <c r="I1284" s="25" t="s">
        <v>8071</v>
      </c>
      <c r="J1284" s="25" t="s">
        <v>2835</v>
      </c>
      <c r="K1284" s="25" t="s">
        <v>2568</v>
      </c>
      <c r="L1284" s="25" t="s">
        <v>2525</v>
      </c>
      <c r="M1284" s="26" t="s">
        <v>2526</v>
      </c>
      <c r="N1284" s="25">
        <v>5804</v>
      </c>
      <c r="O1284" s="26" t="s">
        <v>2582</v>
      </c>
      <c r="P1284" s="27" t="s">
        <v>8072</v>
      </c>
      <c r="Q1284" s="25" t="s">
        <v>3001</v>
      </c>
      <c r="R1284" s="25" t="s">
        <v>2516</v>
      </c>
      <c r="S1284" s="25" t="s">
        <v>185</v>
      </c>
      <c r="T1284" s="25">
        <v>1</v>
      </c>
      <c r="U1284" s="25" t="s">
        <v>2517</v>
      </c>
      <c r="V1284" s="25" t="s">
        <v>8073</v>
      </c>
      <c r="W1284" s="25" t="s">
        <v>8074</v>
      </c>
      <c r="X1284" s="59">
        <v>45953.493055555547</v>
      </c>
      <c r="Y1284" s="25" t="s">
        <v>8075</v>
      </c>
      <c r="Z1284" s="25">
        <v>0.8</v>
      </c>
      <c r="AA1284" s="25"/>
      <c r="AB1284" s="25" t="s">
        <v>2521</v>
      </c>
      <c r="AC1284" s="27" t="s">
        <v>8076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8077</v>
      </c>
      <c r="E1285" s="25" t="s">
        <v>2504</v>
      </c>
      <c r="F1285" s="25">
        <v>4155</v>
      </c>
      <c r="G1285" s="25" t="s">
        <v>2737</v>
      </c>
      <c r="H1285" s="25" t="s">
        <v>2507</v>
      </c>
      <c r="I1285" s="25" t="s">
        <v>8078</v>
      </c>
      <c r="J1285" s="25" t="s">
        <v>2835</v>
      </c>
      <c r="K1285" s="25" t="s">
        <v>2568</v>
      </c>
      <c r="L1285" s="25" t="s">
        <v>3483</v>
      </c>
      <c r="M1285" s="26" t="s">
        <v>3484</v>
      </c>
      <c r="N1285" s="25">
        <v>6004</v>
      </c>
      <c r="O1285" s="26" t="s">
        <v>2893</v>
      </c>
      <c r="P1285" s="27" t="s">
        <v>8079</v>
      </c>
      <c r="Q1285" s="25" t="s">
        <v>2738</v>
      </c>
      <c r="R1285" s="25" t="s">
        <v>2516</v>
      </c>
      <c r="S1285" s="25" t="s">
        <v>25</v>
      </c>
      <c r="T1285" s="25">
        <v>1</v>
      </c>
      <c r="U1285" s="25" t="s">
        <v>2517</v>
      </c>
      <c r="V1285" s="25" t="s">
        <v>8080</v>
      </c>
      <c r="W1285" s="25" t="s">
        <v>8081</v>
      </c>
      <c r="X1285" s="59">
        <v>45953.656944444447</v>
      </c>
      <c r="Y1285" s="25" t="s">
        <v>8082</v>
      </c>
      <c r="Z1285" s="25">
        <v>0.5</v>
      </c>
      <c r="AA1285" s="25"/>
      <c r="AB1285" s="25" t="s">
        <v>2521</v>
      </c>
      <c r="AC1285" s="27" t="s">
        <v>8083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3000</v>
      </c>
      <c r="H1286" s="25" t="s">
        <v>2996</v>
      </c>
      <c r="I1286" s="25"/>
      <c r="J1286" s="25"/>
      <c r="K1286" s="25"/>
      <c r="L1286" s="25"/>
      <c r="M1286" s="26"/>
      <c r="N1286" s="25"/>
      <c r="O1286" s="26"/>
      <c r="P1286" s="27"/>
      <c r="Q1286" s="25" t="s">
        <v>3001</v>
      </c>
      <c r="R1286" s="25" t="s">
        <v>2516</v>
      </c>
      <c r="S1286" s="25" t="s">
        <v>185</v>
      </c>
      <c r="T1286" s="25">
        <v>1</v>
      </c>
      <c r="U1286" s="25" t="s">
        <v>2517</v>
      </c>
      <c r="V1286" s="25" t="s">
        <v>8084</v>
      </c>
      <c r="W1286" s="25" t="s">
        <v>8085</v>
      </c>
      <c r="X1286" s="59">
        <v>45953.5</v>
      </c>
      <c r="Y1286" s="25"/>
      <c r="Z1286" s="25">
        <v>0.2</v>
      </c>
      <c r="AA1286" s="25"/>
      <c r="AB1286" s="25" t="s">
        <v>2521</v>
      </c>
      <c r="AC1286" s="27" t="s">
        <v>7788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7280</v>
      </c>
      <c r="H1287" s="25" t="s">
        <v>3248</v>
      </c>
      <c r="I1287" s="25"/>
      <c r="J1287" s="25"/>
      <c r="K1287" s="25"/>
      <c r="L1287" s="25"/>
      <c r="M1287" s="26"/>
      <c r="N1287" s="25"/>
      <c r="O1287" s="26"/>
      <c r="P1287" s="27"/>
      <c r="Q1287" s="25" t="s">
        <v>3331</v>
      </c>
      <c r="R1287" s="25" t="s">
        <v>2516</v>
      </c>
      <c r="S1287" s="25" t="s">
        <v>25</v>
      </c>
      <c r="T1287" s="25">
        <v>1</v>
      </c>
      <c r="U1287" s="25" t="s">
        <v>2517</v>
      </c>
      <c r="V1287" s="25" t="s">
        <v>8086</v>
      </c>
      <c r="W1287" s="25" t="s">
        <v>8074</v>
      </c>
      <c r="X1287" s="59">
        <v>45953.479166666657</v>
      </c>
      <c r="Y1287" s="25"/>
      <c r="Z1287" s="25">
        <v>0.5</v>
      </c>
      <c r="AA1287" s="25"/>
      <c r="AB1287" s="25" t="s">
        <v>2521</v>
      </c>
      <c r="AC1287" s="27" t="s">
        <v>7788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8087</v>
      </c>
      <c r="E1288" s="25" t="s">
        <v>2504</v>
      </c>
      <c r="F1288" s="25">
        <v>4680</v>
      </c>
      <c r="G1288" s="25" t="s">
        <v>2608</v>
      </c>
      <c r="H1288" s="25" t="s">
        <v>2609</v>
      </c>
      <c r="I1288" s="25" t="s">
        <v>8088</v>
      </c>
      <c r="J1288" s="25" t="s">
        <v>2835</v>
      </c>
      <c r="K1288" s="25" t="s">
        <v>2717</v>
      </c>
      <c r="L1288" s="25" t="s">
        <v>2595</v>
      </c>
      <c r="M1288" s="26" t="s">
        <v>2596</v>
      </c>
      <c r="N1288" s="25" t="s">
        <v>2597</v>
      </c>
      <c r="O1288" s="26" t="s">
        <v>2598</v>
      </c>
      <c r="P1288" s="27" t="s">
        <v>8089</v>
      </c>
      <c r="Q1288" s="25" t="s">
        <v>2616</v>
      </c>
      <c r="R1288" s="25" t="s">
        <v>2516</v>
      </c>
      <c r="S1288" s="25" t="s">
        <v>173</v>
      </c>
      <c r="T1288" s="25">
        <v>1</v>
      </c>
      <c r="U1288" s="25" t="s">
        <v>2517</v>
      </c>
      <c r="V1288" s="25" t="s">
        <v>8090</v>
      </c>
      <c r="W1288" s="25" t="s">
        <v>8091</v>
      </c>
      <c r="X1288" s="59">
        <v>45957.728472222218</v>
      </c>
      <c r="Y1288" s="25" t="s">
        <v>8092</v>
      </c>
      <c r="Z1288" s="25">
        <v>0.6</v>
      </c>
      <c r="AA1288" s="25"/>
      <c r="AB1288" s="25" t="s">
        <v>2521</v>
      </c>
      <c r="AC1288" s="27" t="s">
        <v>8093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8094</v>
      </c>
      <c r="E1289" s="25" t="s">
        <v>2504</v>
      </c>
      <c r="F1289" s="25">
        <v>4552</v>
      </c>
      <c r="G1289" s="25" t="s">
        <v>3549</v>
      </c>
      <c r="H1289" s="25" t="s">
        <v>2659</v>
      </c>
      <c r="I1289" s="25" t="s">
        <v>8095</v>
      </c>
      <c r="J1289" s="25" t="s">
        <v>2930</v>
      </c>
      <c r="K1289" s="25" t="s">
        <v>2568</v>
      </c>
      <c r="L1289" s="25" t="s">
        <v>2569</v>
      </c>
      <c r="M1289" s="26" t="s">
        <v>2570</v>
      </c>
      <c r="N1289" s="25">
        <v>2501</v>
      </c>
      <c r="O1289" s="26" t="s">
        <v>2571</v>
      </c>
      <c r="P1289" s="27" t="s">
        <v>8096</v>
      </c>
      <c r="Q1289" s="25" t="s">
        <v>3552</v>
      </c>
      <c r="R1289" s="25" t="s">
        <v>2516</v>
      </c>
      <c r="S1289" s="25" t="s">
        <v>185</v>
      </c>
      <c r="T1289" s="25">
        <v>1</v>
      </c>
      <c r="U1289" s="25" t="s">
        <v>2517</v>
      </c>
      <c r="V1289" s="25" t="s">
        <v>8097</v>
      </c>
      <c r="W1289" s="25" t="s">
        <v>8098</v>
      </c>
      <c r="X1289" s="59">
        <v>45957.645833333343</v>
      </c>
      <c r="Y1289" s="25" t="s">
        <v>8099</v>
      </c>
      <c r="Z1289" s="25">
        <v>0.5</v>
      </c>
      <c r="AA1289" s="25"/>
      <c r="AB1289" s="25" t="s">
        <v>2521</v>
      </c>
      <c r="AC1289" s="27" t="s">
        <v>8100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8101</v>
      </c>
      <c r="E1290" s="25" t="s">
        <v>2504</v>
      </c>
      <c r="F1290" s="25">
        <v>3957</v>
      </c>
      <c r="G1290" s="25" t="s">
        <v>3900</v>
      </c>
      <c r="H1290" s="25" t="s">
        <v>2507</v>
      </c>
      <c r="I1290" s="25" t="s">
        <v>8102</v>
      </c>
      <c r="J1290" s="25" t="s">
        <v>2930</v>
      </c>
      <c r="K1290" s="25" t="s">
        <v>2510</v>
      </c>
      <c r="L1290" s="25" t="s">
        <v>2511</v>
      </c>
      <c r="M1290" s="26" t="s">
        <v>2512</v>
      </c>
      <c r="N1290" s="25">
        <v>2305</v>
      </c>
      <c r="O1290" s="26" t="s">
        <v>3035</v>
      </c>
      <c r="P1290" s="27" t="s">
        <v>8103</v>
      </c>
      <c r="Q1290" s="25" t="s">
        <v>3901</v>
      </c>
      <c r="R1290" s="25" t="s">
        <v>2516</v>
      </c>
      <c r="S1290" s="25" t="s">
        <v>25</v>
      </c>
      <c r="T1290" s="25">
        <v>1</v>
      </c>
      <c r="U1290" s="25" t="s">
        <v>2517</v>
      </c>
      <c r="V1290" s="25" t="s">
        <v>8104</v>
      </c>
      <c r="W1290" s="25" t="s">
        <v>8105</v>
      </c>
      <c r="X1290" s="59">
        <v>45957.443055555559</v>
      </c>
      <c r="Y1290" s="25" t="s">
        <v>8099</v>
      </c>
      <c r="Z1290" s="25">
        <v>0.5</v>
      </c>
      <c r="AA1290" s="25"/>
      <c r="AB1290" s="25" t="s">
        <v>2915</v>
      </c>
      <c r="AC1290" s="27" t="s">
        <v>2915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8106</v>
      </c>
      <c r="E1291" s="25" t="s">
        <v>2504</v>
      </c>
      <c r="F1291" s="25">
        <v>4406</v>
      </c>
      <c r="G1291" s="25" t="s">
        <v>3214</v>
      </c>
      <c r="H1291" s="25" t="s">
        <v>2609</v>
      </c>
      <c r="I1291" s="25" t="s">
        <v>8107</v>
      </c>
      <c r="J1291" s="25" t="s">
        <v>2930</v>
      </c>
      <c r="K1291" s="25" t="s">
        <v>2510</v>
      </c>
      <c r="L1291" s="25" t="s">
        <v>2511</v>
      </c>
      <c r="M1291" s="26" t="s">
        <v>2512</v>
      </c>
      <c r="N1291" s="25">
        <v>2306</v>
      </c>
      <c r="O1291" s="26" t="s">
        <v>2893</v>
      </c>
      <c r="P1291" s="27" t="s">
        <v>8108</v>
      </c>
      <c r="Q1291" s="25" t="s">
        <v>3217</v>
      </c>
      <c r="R1291" s="25" t="s">
        <v>2516</v>
      </c>
      <c r="S1291" s="25" t="s">
        <v>173</v>
      </c>
      <c r="T1291" s="25">
        <v>1</v>
      </c>
      <c r="U1291" s="25" t="s">
        <v>2517</v>
      </c>
      <c r="V1291" s="25" t="s">
        <v>8109</v>
      </c>
      <c r="W1291" s="25" t="s">
        <v>8110</v>
      </c>
      <c r="X1291" s="59">
        <v>45957.730555555558</v>
      </c>
      <c r="Y1291" s="25" t="s">
        <v>8099</v>
      </c>
      <c r="Z1291" s="25">
        <v>0.5</v>
      </c>
      <c r="AA1291" s="25"/>
      <c r="AB1291" s="25" t="s">
        <v>2521</v>
      </c>
      <c r="AC1291" s="27" t="s">
        <v>2684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8111</v>
      </c>
      <c r="E1292" s="25" t="s">
        <v>2504</v>
      </c>
      <c r="F1292" s="25">
        <v>4144</v>
      </c>
      <c r="G1292" s="25" t="s">
        <v>3281</v>
      </c>
      <c r="H1292" s="25" t="s">
        <v>2659</v>
      </c>
      <c r="I1292" s="25" t="s">
        <v>8112</v>
      </c>
      <c r="J1292" s="25" t="s">
        <v>2661</v>
      </c>
      <c r="K1292" s="25" t="s">
        <v>2568</v>
      </c>
      <c r="L1292" s="25" t="s">
        <v>2846</v>
      </c>
      <c r="M1292" s="26" t="s">
        <v>2847</v>
      </c>
      <c r="N1292" s="25">
        <v>2403</v>
      </c>
      <c r="O1292" s="26" t="s">
        <v>4550</v>
      </c>
      <c r="P1292" s="27" t="s">
        <v>8113</v>
      </c>
      <c r="Q1292" s="25" t="s">
        <v>3284</v>
      </c>
      <c r="R1292" s="25" t="s">
        <v>2516</v>
      </c>
      <c r="S1292" s="25" t="s">
        <v>185</v>
      </c>
      <c r="T1292" s="25">
        <v>1</v>
      </c>
      <c r="U1292" s="25" t="s">
        <v>2517</v>
      </c>
      <c r="V1292" s="25" t="s">
        <v>8114</v>
      </c>
      <c r="W1292" s="25" t="s">
        <v>8115</v>
      </c>
      <c r="X1292" s="59">
        <v>45957.673611111109</v>
      </c>
      <c r="Y1292" s="25" t="s">
        <v>8116</v>
      </c>
      <c r="Z1292" s="25">
        <v>0.3</v>
      </c>
      <c r="AA1292" s="25"/>
      <c r="AB1292" s="25" t="s">
        <v>2521</v>
      </c>
      <c r="AC1292" s="27" t="s">
        <v>4555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8117</v>
      </c>
      <c r="E1293" s="25" t="s">
        <v>2504</v>
      </c>
      <c r="F1293" s="25">
        <v>3840</v>
      </c>
      <c r="G1293" s="25" t="s">
        <v>3851</v>
      </c>
      <c r="H1293" s="25" t="s">
        <v>2507</v>
      </c>
      <c r="I1293" s="25" t="s">
        <v>8118</v>
      </c>
      <c r="J1293" s="25" t="s">
        <v>2661</v>
      </c>
      <c r="K1293" s="25" t="s">
        <v>2568</v>
      </c>
      <c r="L1293" s="25" t="s">
        <v>2525</v>
      </c>
      <c r="M1293" s="26" t="s">
        <v>2526</v>
      </c>
      <c r="N1293" s="25">
        <v>5803</v>
      </c>
      <c r="O1293" s="26" t="s">
        <v>2963</v>
      </c>
      <c r="P1293" s="27" t="s">
        <v>8119</v>
      </c>
      <c r="Q1293" s="25" t="s">
        <v>3852</v>
      </c>
      <c r="R1293" s="25" t="s">
        <v>2516</v>
      </c>
      <c r="S1293" s="25" t="s">
        <v>25</v>
      </c>
      <c r="T1293" s="25">
        <v>1</v>
      </c>
      <c r="U1293" s="25" t="s">
        <v>2517</v>
      </c>
      <c r="V1293" s="25" t="s">
        <v>8120</v>
      </c>
      <c r="W1293" s="25" t="s">
        <v>8121</v>
      </c>
      <c r="X1293" s="59">
        <v>45957.651388888888</v>
      </c>
      <c r="Y1293" s="25" t="s">
        <v>8122</v>
      </c>
      <c r="Z1293" s="25">
        <v>0.5</v>
      </c>
      <c r="AA1293" s="25"/>
      <c r="AB1293" s="25" t="s">
        <v>2521</v>
      </c>
      <c r="AC1293" s="27" t="s">
        <v>8123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3549</v>
      </c>
      <c r="H1294" s="25" t="s">
        <v>2659</v>
      </c>
      <c r="I1294" s="25"/>
      <c r="J1294" s="25"/>
      <c r="K1294" s="25"/>
      <c r="L1294" s="25"/>
      <c r="M1294" s="26"/>
      <c r="N1294" s="25"/>
      <c r="O1294" s="26"/>
      <c r="P1294" s="27"/>
      <c r="Q1294" s="25" t="s">
        <v>3552</v>
      </c>
      <c r="R1294" s="25" t="s">
        <v>2516</v>
      </c>
      <c r="S1294" s="25" t="s">
        <v>185</v>
      </c>
      <c r="T1294" s="25">
        <v>1</v>
      </c>
      <c r="U1294" s="25" t="s">
        <v>2517</v>
      </c>
      <c r="V1294" s="25" t="s">
        <v>8124</v>
      </c>
      <c r="W1294" s="25" t="s">
        <v>8125</v>
      </c>
      <c r="X1294" s="59">
        <v>45957.659722222219</v>
      </c>
      <c r="Y1294" s="25"/>
      <c r="Z1294" s="25">
        <v>0.3</v>
      </c>
      <c r="AA1294" s="25"/>
      <c r="AB1294" s="25" t="s">
        <v>2521</v>
      </c>
      <c r="AC1294" s="27" t="s">
        <v>7788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3281</v>
      </c>
      <c r="H1295" s="25" t="s">
        <v>2659</v>
      </c>
      <c r="I1295" s="25"/>
      <c r="J1295" s="25"/>
      <c r="K1295" s="25"/>
      <c r="L1295" s="25"/>
      <c r="M1295" s="26"/>
      <c r="N1295" s="25"/>
      <c r="O1295" s="26"/>
      <c r="P1295" s="27"/>
      <c r="Q1295" s="25" t="s">
        <v>3284</v>
      </c>
      <c r="R1295" s="25" t="s">
        <v>2516</v>
      </c>
      <c r="S1295" s="25" t="s">
        <v>185</v>
      </c>
      <c r="T1295" s="25">
        <v>1</v>
      </c>
      <c r="U1295" s="25" t="s">
        <v>2517</v>
      </c>
      <c r="V1295" s="25" t="s">
        <v>8126</v>
      </c>
      <c r="W1295" s="25" t="s">
        <v>8127</v>
      </c>
      <c r="X1295" s="59">
        <v>45957.6875</v>
      </c>
      <c r="Y1295" s="25"/>
      <c r="Z1295" s="25">
        <v>0.3</v>
      </c>
      <c r="AA1295" s="25"/>
      <c r="AB1295" s="25" t="s">
        <v>2521</v>
      </c>
      <c r="AC1295" s="27" t="s">
        <v>7788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2817</v>
      </c>
      <c r="G1296" s="25" t="s">
        <v>6396</v>
      </c>
      <c r="H1296" s="25" t="s">
        <v>2507</v>
      </c>
      <c r="I1296" s="25"/>
      <c r="J1296" s="25"/>
      <c r="K1296" s="25"/>
      <c r="L1296" s="25"/>
      <c r="M1296" s="26"/>
      <c r="N1296" s="25"/>
      <c r="O1296" s="26"/>
      <c r="P1296" s="27"/>
      <c r="Q1296" s="25" t="s">
        <v>2819</v>
      </c>
      <c r="R1296" s="25" t="s">
        <v>2516</v>
      </c>
      <c r="S1296" s="25" t="s">
        <v>25</v>
      </c>
      <c r="T1296" s="25">
        <v>1</v>
      </c>
      <c r="U1296" s="25" t="s">
        <v>2517</v>
      </c>
      <c r="V1296" s="25" t="s">
        <v>8128</v>
      </c>
      <c r="W1296" s="25" t="s">
        <v>8129</v>
      </c>
      <c r="X1296" s="59">
        <v>45958.451388888891</v>
      </c>
      <c r="Y1296" s="25"/>
      <c r="Z1296" s="25">
        <v>0.3</v>
      </c>
      <c r="AA1296" s="25"/>
      <c r="AB1296" s="25" t="s">
        <v>2521</v>
      </c>
      <c r="AC1296" s="27" t="s">
        <v>8130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3142</v>
      </c>
      <c r="H1297" s="25" t="s">
        <v>3138</v>
      </c>
      <c r="I1297" s="25"/>
      <c r="J1297" s="25"/>
      <c r="K1297" s="25"/>
      <c r="L1297" s="25"/>
      <c r="M1297" s="26"/>
      <c r="N1297" s="25"/>
      <c r="O1297" s="26"/>
      <c r="P1297" s="27"/>
      <c r="Q1297" s="25" t="s">
        <v>3143</v>
      </c>
      <c r="R1297" s="25" t="s">
        <v>2516</v>
      </c>
      <c r="S1297" s="25" t="s">
        <v>185</v>
      </c>
      <c r="T1297" s="25">
        <v>1</v>
      </c>
      <c r="U1297" s="25" t="s">
        <v>2517</v>
      </c>
      <c r="V1297" s="25" t="s">
        <v>8131</v>
      </c>
      <c r="W1297" s="25" t="s">
        <v>8129</v>
      </c>
      <c r="X1297" s="59">
        <v>45958.458333333343</v>
      </c>
      <c r="Y1297" s="25"/>
      <c r="Z1297" s="25">
        <v>0.5</v>
      </c>
      <c r="AA1297" s="25"/>
      <c r="AB1297" s="25" t="s">
        <v>2521</v>
      </c>
      <c r="AC1297" s="27" t="s">
        <v>7788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3137</v>
      </c>
      <c r="H1298" s="25" t="s">
        <v>3138</v>
      </c>
      <c r="I1298" s="25"/>
      <c r="J1298" s="25"/>
      <c r="K1298" s="25"/>
      <c r="L1298" s="25"/>
      <c r="M1298" s="26"/>
      <c r="N1298" s="25"/>
      <c r="O1298" s="26"/>
      <c r="P1298" s="27"/>
      <c r="Q1298" s="25" t="s">
        <v>3139</v>
      </c>
      <c r="R1298" s="25" t="s">
        <v>2516</v>
      </c>
      <c r="S1298" s="25" t="s">
        <v>185</v>
      </c>
      <c r="T1298" s="25">
        <v>1</v>
      </c>
      <c r="U1298" s="25" t="s">
        <v>2517</v>
      </c>
      <c r="V1298" s="25" t="s">
        <v>8132</v>
      </c>
      <c r="W1298" s="25" t="s">
        <v>8133</v>
      </c>
      <c r="X1298" s="59">
        <v>45958.479166666657</v>
      </c>
      <c r="Y1298" s="25"/>
      <c r="Z1298" s="25">
        <v>0.5</v>
      </c>
      <c r="AA1298" s="25"/>
      <c r="AB1298" s="25" t="s">
        <v>2521</v>
      </c>
      <c r="AC1298" s="27" t="s">
        <v>8130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8006</v>
      </c>
      <c r="H1299" s="25" t="s">
        <v>2507</v>
      </c>
      <c r="I1299" s="25"/>
      <c r="J1299" s="25"/>
      <c r="K1299" s="25"/>
      <c r="L1299" s="25"/>
      <c r="M1299" s="26"/>
      <c r="N1299" s="25"/>
      <c r="O1299" s="26"/>
      <c r="P1299" s="27"/>
      <c r="Q1299" s="25" t="s">
        <v>8007</v>
      </c>
      <c r="R1299" s="25" t="s">
        <v>2516</v>
      </c>
      <c r="S1299" s="25" t="s">
        <v>25</v>
      </c>
      <c r="T1299" s="25">
        <v>1</v>
      </c>
      <c r="U1299" s="25" t="s">
        <v>2517</v>
      </c>
      <c r="V1299" s="25" t="s">
        <v>8134</v>
      </c>
      <c r="W1299" s="25" t="s">
        <v>8135</v>
      </c>
      <c r="X1299" s="59">
        <v>45958.472222222219</v>
      </c>
      <c r="Y1299" s="25"/>
      <c r="Z1299" s="25">
        <v>0.3</v>
      </c>
      <c r="AA1299" s="25"/>
      <c r="AB1299" s="25" t="s">
        <v>2521</v>
      </c>
      <c r="AC1299" s="32" t="s">
        <v>8136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3563</v>
      </c>
      <c r="G1300" s="25" t="s">
        <v>3564</v>
      </c>
      <c r="H1300" s="25" t="s">
        <v>2507</v>
      </c>
      <c r="I1300" s="25"/>
      <c r="J1300" s="25"/>
      <c r="K1300" s="25"/>
      <c r="L1300" s="25"/>
      <c r="M1300" s="26"/>
      <c r="N1300" s="25"/>
      <c r="O1300" s="26"/>
      <c r="P1300" s="27"/>
      <c r="Q1300" s="25" t="s">
        <v>3565</v>
      </c>
      <c r="R1300" s="25" t="s">
        <v>2516</v>
      </c>
      <c r="S1300" s="25" t="s">
        <v>25</v>
      </c>
      <c r="T1300" s="25">
        <v>1</v>
      </c>
      <c r="U1300" s="25" t="s">
        <v>2517</v>
      </c>
      <c r="V1300" s="25" t="s">
        <v>8137</v>
      </c>
      <c r="W1300" s="25" t="s">
        <v>8138</v>
      </c>
      <c r="X1300" s="59">
        <v>45958.513888888891</v>
      </c>
      <c r="Y1300" s="25"/>
      <c r="Z1300" s="25">
        <v>0.3</v>
      </c>
      <c r="AA1300" s="25"/>
      <c r="AB1300" s="25" t="s">
        <v>2521</v>
      </c>
      <c r="AC1300" s="27" t="s">
        <v>8130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8139</v>
      </c>
      <c r="E1301" s="25" t="s">
        <v>2504</v>
      </c>
      <c r="F1301" s="25" t="s">
        <v>4409</v>
      </c>
      <c r="G1301" s="25" t="s">
        <v>4410</v>
      </c>
      <c r="H1301" s="25" t="s">
        <v>2609</v>
      </c>
      <c r="I1301" s="25" t="s">
        <v>8140</v>
      </c>
      <c r="J1301" s="25" t="s">
        <v>2661</v>
      </c>
      <c r="K1301" s="25" t="s">
        <v>2717</v>
      </c>
      <c r="L1301" s="25" t="s">
        <v>2511</v>
      </c>
      <c r="M1301" s="26" t="s">
        <v>2512</v>
      </c>
      <c r="N1301" s="25">
        <v>2302</v>
      </c>
      <c r="O1301" s="26" t="s">
        <v>2550</v>
      </c>
      <c r="P1301" s="27" t="s">
        <v>8141</v>
      </c>
      <c r="Q1301" s="25" t="s">
        <v>4411</v>
      </c>
      <c r="R1301" s="25" t="s">
        <v>2516</v>
      </c>
      <c r="S1301" s="25" t="s">
        <v>173</v>
      </c>
      <c r="T1301" s="25">
        <v>1</v>
      </c>
      <c r="U1301" s="25" t="s">
        <v>2517</v>
      </c>
      <c r="V1301" s="25" t="s">
        <v>8142</v>
      </c>
      <c r="W1301" s="25" t="s">
        <v>8143</v>
      </c>
      <c r="X1301" s="59">
        <v>45958.65625</v>
      </c>
      <c r="Y1301" s="25" t="s">
        <v>8144</v>
      </c>
      <c r="Z1301" s="25">
        <v>0.8</v>
      </c>
      <c r="AA1301" s="25"/>
      <c r="AB1301" s="25" t="s">
        <v>2521</v>
      </c>
      <c r="AC1301" s="27" t="s">
        <v>8145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3593</v>
      </c>
      <c r="H1302" s="25" t="s">
        <v>2507</v>
      </c>
      <c r="I1302" s="25"/>
      <c r="J1302" s="25"/>
      <c r="K1302" s="25"/>
      <c r="L1302" s="25"/>
      <c r="M1302" s="26"/>
      <c r="N1302" s="25"/>
      <c r="O1302" s="26"/>
      <c r="P1302" s="27"/>
      <c r="Q1302" s="25" t="s">
        <v>3594</v>
      </c>
      <c r="R1302" s="25" t="s">
        <v>2516</v>
      </c>
      <c r="S1302" s="25" t="s">
        <v>25</v>
      </c>
      <c r="T1302" s="25">
        <v>1</v>
      </c>
      <c r="U1302" s="25" t="s">
        <v>2517</v>
      </c>
      <c r="V1302" s="25" t="s">
        <v>8146</v>
      </c>
      <c r="W1302" s="25" t="s">
        <v>8147</v>
      </c>
      <c r="X1302" s="59">
        <v>45958.551388888889</v>
      </c>
      <c r="Y1302" s="25"/>
      <c r="Z1302" s="25">
        <v>0.4</v>
      </c>
      <c r="AA1302" s="25"/>
      <c r="AB1302" s="25" t="s">
        <v>2521</v>
      </c>
      <c r="AC1302" s="27" t="s">
        <v>8130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3532</v>
      </c>
      <c r="H1303" s="25" t="s">
        <v>2507</v>
      </c>
      <c r="I1303" s="25"/>
      <c r="J1303" s="25"/>
      <c r="K1303" s="25"/>
      <c r="L1303" s="25"/>
      <c r="M1303" s="26"/>
      <c r="N1303" s="25"/>
      <c r="O1303" s="26"/>
      <c r="P1303" s="27"/>
      <c r="Q1303" s="25" t="s">
        <v>3533</v>
      </c>
      <c r="R1303" s="25" t="s">
        <v>2516</v>
      </c>
      <c r="S1303" s="25" t="s">
        <v>25</v>
      </c>
      <c r="T1303" s="25">
        <v>1</v>
      </c>
      <c r="U1303" s="25" t="s">
        <v>2517</v>
      </c>
      <c r="V1303" s="25" t="s">
        <v>8148</v>
      </c>
      <c r="W1303" s="25" t="s">
        <v>8149</v>
      </c>
      <c r="X1303" s="59">
        <v>45958.602777777778</v>
      </c>
      <c r="Y1303" s="25"/>
      <c r="Z1303" s="25">
        <v>0.5</v>
      </c>
      <c r="AA1303" s="25"/>
      <c r="AB1303" s="25" t="s">
        <v>2521</v>
      </c>
      <c r="AC1303" s="27" t="s">
        <v>8130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3621</v>
      </c>
      <c r="H1304" s="25" t="s">
        <v>3148</v>
      </c>
      <c r="I1304" s="25"/>
      <c r="J1304" s="25"/>
      <c r="K1304" s="25"/>
      <c r="L1304" s="25"/>
      <c r="M1304" s="26"/>
      <c r="N1304" s="25"/>
      <c r="O1304" s="26"/>
      <c r="P1304" s="27"/>
      <c r="Q1304" s="25" t="s">
        <v>3622</v>
      </c>
      <c r="R1304" s="25" t="s">
        <v>2516</v>
      </c>
      <c r="S1304" s="25" t="s">
        <v>185</v>
      </c>
      <c r="T1304" s="25">
        <v>1</v>
      </c>
      <c r="U1304" s="25" t="s">
        <v>2517</v>
      </c>
      <c r="V1304" s="25" t="s">
        <v>8150</v>
      </c>
      <c r="W1304" s="25" t="s">
        <v>8151</v>
      </c>
      <c r="X1304" s="59">
        <v>45958.625</v>
      </c>
      <c r="Y1304" s="25"/>
      <c r="Z1304" s="25">
        <v>0.5</v>
      </c>
      <c r="AA1304" s="25"/>
      <c r="AB1304" s="25" t="s">
        <v>2521</v>
      </c>
      <c r="AC1304" s="27" t="s">
        <v>8130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3544</v>
      </c>
      <c r="H1305" s="25" t="s">
        <v>2507</v>
      </c>
      <c r="I1305" s="25"/>
      <c r="J1305" s="25"/>
      <c r="K1305" s="25"/>
      <c r="L1305" s="25"/>
      <c r="M1305" s="26"/>
      <c r="N1305" s="25"/>
      <c r="O1305" s="26"/>
      <c r="P1305" s="27"/>
      <c r="Q1305" s="25" t="s">
        <v>3545</v>
      </c>
      <c r="R1305" s="25" t="s">
        <v>2516</v>
      </c>
      <c r="S1305" s="25" t="s">
        <v>25</v>
      </c>
      <c r="T1305" s="25">
        <v>1</v>
      </c>
      <c r="U1305" s="25" t="s">
        <v>2517</v>
      </c>
      <c r="V1305" s="25" t="s">
        <v>8152</v>
      </c>
      <c r="W1305" s="25" t="s">
        <v>8143</v>
      </c>
      <c r="X1305" s="59">
        <v>45958.636805555558</v>
      </c>
      <c r="Y1305" s="25"/>
      <c r="Z1305" s="25">
        <v>0.3</v>
      </c>
      <c r="AA1305" s="25"/>
      <c r="AB1305" s="25" t="s">
        <v>2521</v>
      </c>
      <c r="AC1305" s="27" t="s">
        <v>8130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8153</v>
      </c>
      <c r="E1306" s="25" t="s">
        <v>2504</v>
      </c>
      <c r="F1306" s="25">
        <v>4154</v>
      </c>
      <c r="G1306" s="25" t="s">
        <v>4067</v>
      </c>
      <c r="H1306" s="25" t="s">
        <v>3148</v>
      </c>
      <c r="I1306" s="25" t="s">
        <v>8154</v>
      </c>
      <c r="J1306" s="25" t="s">
        <v>2509</v>
      </c>
      <c r="K1306" s="25" t="s">
        <v>2510</v>
      </c>
      <c r="L1306" s="25" t="s">
        <v>2525</v>
      </c>
      <c r="M1306" s="26" t="s">
        <v>2526</v>
      </c>
      <c r="N1306" s="25">
        <v>5803</v>
      </c>
      <c r="O1306" s="26" t="s">
        <v>2963</v>
      </c>
      <c r="P1306" s="27" t="s">
        <v>8155</v>
      </c>
      <c r="Q1306" s="25" t="s">
        <v>4068</v>
      </c>
      <c r="R1306" s="25" t="s">
        <v>2516</v>
      </c>
      <c r="S1306" s="25" t="s">
        <v>185</v>
      </c>
      <c r="T1306" s="25">
        <v>1</v>
      </c>
      <c r="U1306" s="25" t="s">
        <v>2517</v>
      </c>
      <c r="V1306" s="25" t="s">
        <v>8156</v>
      </c>
      <c r="W1306" s="25" t="s">
        <v>8157</v>
      </c>
      <c r="X1306" s="59">
        <v>45958.6875</v>
      </c>
      <c r="Y1306" s="25" t="s">
        <v>8158</v>
      </c>
      <c r="Z1306" s="25">
        <v>1</v>
      </c>
      <c r="AA1306" s="25"/>
      <c r="AB1306" s="25" t="s">
        <v>2521</v>
      </c>
      <c r="AC1306" s="27" t="s">
        <v>8159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8160</v>
      </c>
      <c r="E1307" s="25" t="s">
        <v>2504</v>
      </c>
      <c r="F1307" s="25">
        <v>5364</v>
      </c>
      <c r="G1307" s="25" t="s">
        <v>5700</v>
      </c>
      <c r="H1307" s="25" t="s">
        <v>3148</v>
      </c>
      <c r="I1307" s="25" t="s">
        <v>8161</v>
      </c>
      <c r="J1307" s="25" t="s">
        <v>2509</v>
      </c>
      <c r="K1307" s="25" t="s">
        <v>2510</v>
      </c>
      <c r="L1307" s="25" t="s">
        <v>2511</v>
      </c>
      <c r="M1307" s="26" t="s">
        <v>2512</v>
      </c>
      <c r="N1307" s="25">
        <v>2306</v>
      </c>
      <c r="O1307" s="26" t="s">
        <v>2893</v>
      </c>
      <c r="P1307" s="27" t="s">
        <v>8162</v>
      </c>
      <c r="Q1307" s="25" t="s">
        <v>5701</v>
      </c>
      <c r="R1307" s="25" t="s">
        <v>2516</v>
      </c>
      <c r="S1307" s="25" t="s">
        <v>185</v>
      </c>
      <c r="T1307" s="25">
        <v>1</v>
      </c>
      <c r="U1307" s="25" t="s">
        <v>2517</v>
      </c>
      <c r="V1307" s="25" t="s">
        <v>8163</v>
      </c>
      <c r="W1307" s="25" t="s">
        <v>8164</v>
      </c>
      <c r="X1307" s="59">
        <v>45958.777777777781</v>
      </c>
      <c r="Y1307" s="25" t="s">
        <v>8165</v>
      </c>
      <c r="Z1307" s="25">
        <v>1.7</v>
      </c>
      <c r="AA1307" s="25"/>
      <c r="AB1307" s="25" t="s">
        <v>2521</v>
      </c>
      <c r="AC1307" s="27" t="s">
        <v>8166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4409</v>
      </c>
      <c r="G1308" s="25" t="s">
        <v>4410</v>
      </c>
      <c r="H1308" s="25" t="s">
        <v>2609</v>
      </c>
      <c r="I1308" s="25"/>
      <c r="J1308" s="25"/>
      <c r="K1308" s="25"/>
      <c r="L1308" s="25"/>
      <c r="M1308" s="26"/>
      <c r="N1308" s="25"/>
      <c r="O1308" s="26"/>
      <c r="P1308" s="27"/>
      <c r="Q1308" s="25" t="s">
        <v>4411</v>
      </c>
      <c r="R1308" s="25" t="s">
        <v>2516</v>
      </c>
      <c r="S1308" s="25" t="s">
        <v>173</v>
      </c>
      <c r="T1308" s="25">
        <v>1</v>
      </c>
      <c r="U1308" s="25" t="s">
        <v>2517</v>
      </c>
      <c r="V1308" s="25" t="s">
        <v>8167</v>
      </c>
      <c r="W1308" s="25" t="s">
        <v>8143</v>
      </c>
      <c r="X1308" s="59">
        <v>45958.656944444447</v>
      </c>
      <c r="Y1308" s="25"/>
      <c r="Z1308" s="25">
        <v>0.8</v>
      </c>
      <c r="AA1308" s="25"/>
      <c r="AB1308" s="25" t="s">
        <v>2521</v>
      </c>
      <c r="AC1308" s="27" t="s">
        <v>7788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3880</v>
      </c>
      <c r="H1309" s="25" t="s">
        <v>2507</v>
      </c>
      <c r="I1309" s="25"/>
      <c r="J1309" s="25"/>
      <c r="K1309" s="25"/>
      <c r="L1309" s="25"/>
      <c r="M1309" s="26"/>
      <c r="N1309" s="25"/>
      <c r="O1309" s="26"/>
      <c r="P1309" s="27"/>
      <c r="Q1309" s="25" t="s">
        <v>3881</v>
      </c>
      <c r="R1309" s="25" t="s">
        <v>2516</v>
      </c>
      <c r="S1309" s="25" t="s">
        <v>25</v>
      </c>
      <c r="T1309" s="25">
        <v>1</v>
      </c>
      <c r="U1309" s="25" t="s">
        <v>2517</v>
      </c>
      <c r="V1309" s="25" t="s">
        <v>8168</v>
      </c>
      <c r="W1309" s="25" t="s">
        <v>8149</v>
      </c>
      <c r="X1309" s="59">
        <v>45958.597222222219</v>
      </c>
      <c r="Y1309" s="25"/>
      <c r="Z1309" s="25">
        <v>0.3</v>
      </c>
      <c r="AA1309" s="25"/>
      <c r="AB1309" s="25" t="s">
        <v>2521</v>
      </c>
      <c r="AC1309" s="27" t="s">
        <v>8130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3532</v>
      </c>
      <c r="H1310" s="25" t="s">
        <v>2507</v>
      </c>
      <c r="I1310" s="25"/>
      <c r="J1310" s="25"/>
      <c r="K1310" s="25"/>
      <c r="L1310" s="25"/>
      <c r="M1310" s="26"/>
      <c r="N1310" s="25"/>
      <c r="O1310" s="26"/>
      <c r="P1310" s="27"/>
      <c r="Q1310" s="25" t="s">
        <v>3533</v>
      </c>
      <c r="R1310" s="25" t="s">
        <v>2516</v>
      </c>
      <c r="S1310" s="25" t="s">
        <v>25</v>
      </c>
      <c r="T1310" s="25">
        <v>1</v>
      </c>
      <c r="U1310" s="25" t="s">
        <v>2517</v>
      </c>
      <c r="V1310" s="25" t="s">
        <v>8169</v>
      </c>
      <c r="W1310" s="25" t="s">
        <v>8157</v>
      </c>
      <c r="X1310" s="59">
        <v>45958.659722222219</v>
      </c>
      <c r="Y1310" s="25"/>
      <c r="Z1310" s="25">
        <v>0.3</v>
      </c>
      <c r="AA1310" s="25"/>
      <c r="AB1310" s="25" t="s">
        <v>2521</v>
      </c>
      <c r="AC1310" s="27" t="s">
        <v>8130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4067</v>
      </c>
      <c r="H1311" s="25" t="s">
        <v>3148</v>
      </c>
      <c r="I1311" s="25"/>
      <c r="J1311" s="25"/>
      <c r="K1311" s="25"/>
      <c r="L1311" s="25"/>
      <c r="M1311" s="26"/>
      <c r="N1311" s="25"/>
      <c r="O1311" s="26"/>
      <c r="P1311" s="27"/>
      <c r="Q1311" s="25" t="s">
        <v>4068</v>
      </c>
      <c r="R1311" s="25" t="s">
        <v>2516</v>
      </c>
      <c r="S1311" s="25" t="s">
        <v>185</v>
      </c>
      <c r="T1311" s="25">
        <v>1</v>
      </c>
      <c r="U1311" s="25" t="s">
        <v>2517</v>
      </c>
      <c r="V1311" s="25" t="s">
        <v>8170</v>
      </c>
      <c r="W1311" s="25" t="s">
        <v>8143</v>
      </c>
      <c r="X1311" s="59">
        <v>45958.645833333343</v>
      </c>
      <c r="Y1311" s="25"/>
      <c r="Z1311" s="25">
        <v>0.5</v>
      </c>
      <c r="AA1311" s="25"/>
      <c r="AB1311" s="25" t="s">
        <v>2521</v>
      </c>
      <c r="AC1311" s="27" t="s">
        <v>8130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4409</v>
      </c>
      <c r="G1312" s="25" t="s">
        <v>4410</v>
      </c>
      <c r="H1312" s="25" t="s">
        <v>2609</v>
      </c>
      <c r="I1312" s="25"/>
      <c r="J1312" s="25"/>
      <c r="K1312" s="25"/>
      <c r="L1312" s="25"/>
      <c r="M1312" s="26"/>
      <c r="N1312" s="25"/>
      <c r="O1312" s="26"/>
      <c r="P1312" s="27"/>
      <c r="Q1312" s="25" t="s">
        <v>4411</v>
      </c>
      <c r="R1312" s="25" t="s">
        <v>2516</v>
      </c>
      <c r="S1312" s="25" t="s">
        <v>173</v>
      </c>
      <c r="T1312" s="25">
        <v>1</v>
      </c>
      <c r="U1312" s="25" t="s">
        <v>2517</v>
      </c>
      <c r="V1312" s="25" t="s">
        <v>8171</v>
      </c>
      <c r="W1312" s="25" t="s">
        <v>8143</v>
      </c>
      <c r="X1312" s="59">
        <v>45958.65625</v>
      </c>
      <c r="Y1312" s="25"/>
      <c r="Z1312" s="25">
        <v>0.8</v>
      </c>
      <c r="AA1312" s="25"/>
      <c r="AB1312" s="25" t="s">
        <v>2521</v>
      </c>
      <c r="AC1312" s="29" t="s">
        <v>8130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8172</v>
      </c>
      <c r="E1313" s="25" t="s">
        <v>2504</v>
      </c>
      <c r="F1313" s="25">
        <v>3380</v>
      </c>
      <c r="G1313" s="25" t="s">
        <v>2710</v>
      </c>
      <c r="H1313" s="25" t="s">
        <v>2659</v>
      </c>
      <c r="I1313" s="25" t="s">
        <v>8173</v>
      </c>
      <c r="J1313" s="25" t="s">
        <v>2509</v>
      </c>
      <c r="K1313" s="25" t="s">
        <v>2510</v>
      </c>
      <c r="L1313" s="25" t="s">
        <v>2511</v>
      </c>
      <c r="M1313" s="26" t="s">
        <v>2512</v>
      </c>
      <c r="N1313" s="25">
        <v>2307</v>
      </c>
      <c r="O1313" s="26" t="s">
        <v>2678</v>
      </c>
      <c r="P1313" s="27" t="s">
        <v>8174</v>
      </c>
      <c r="Q1313" s="25" t="s">
        <v>2711</v>
      </c>
      <c r="R1313" s="25" t="s">
        <v>2516</v>
      </c>
      <c r="S1313" s="25" t="s">
        <v>185</v>
      </c>
      <c r="T1313" s="25">
        <v>1</v>
      </c>
      <c r="U1313" s="25" t="s">
        <v>2517</v>
      </c>
      <c r="V1313" s="25" t="s">
        <v>8175</v>
      </c>
      <c r="W1313" s="25" t="s">
        <v>8176</v>
      </c>
      <c r="X1313" s="59">
        <v>45959.458333333343</v>
      </c>
      <c r="Y1313" s="25" t="s">
        <v>8177</v>
      </c>
      <c r="Z1313" s="25">
        <v>1</v>
      </c>
      <c r="AA1313" s="25"/>
      <c r="AB1313" s="25" t="s">
        <v>2521</v>
      </c>
      <c r="AC1313" s="29" t="s">
        <v>8178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8179</v>
      </c>
      <c r="E1314" s="25" t="s">
        <v>2504</v>
      </c>
      <c r="F1314" s="25">
        <v>3601</v>
      </c>
      <c r="G1314" s="25" t="s">
        <v>8180</v>
      </c>
      <c r="H1314" s="25" t="s">
        <v>2507</v>
      </c>
      <c r="I1314" s="25" t="s">
        <v>8181</v>
      </c>
      <c r="J1314" s="25" t="s">
        <v>2509</v>
      </c>
      <c r="K1314" s="25" t="s">
        <v>2510</v>
      </c>
      <c r="L1314" s="25" t="s">
        <v>2569</v>
      </c>
      <c r="M1314" s="26" t="s">
        <v>2570</v>
      </c>
      <c r="N1314" s="25">
        <v>2501</v>
      </c>
      <c r="O1314" s="26" t="s">
        <v>2571</v>
      </c>
      <c r="P1314" s="27" t="s">
        <v>8182</v>
      </c>
      <c r="Q1314" s="25" t="s">
        <v>3845</v>
      </c>
      <c r="R1314" s="25" t="s">
        <v>2516</v>
      </c>
      <c r="S1314" s="25" t="s">
        <v>185</v>
      </c>
      <c r="T1314" s="25">
        <v>1</v>
      </c>
      <c r="U1314" s="25" t="s">
        <v>2517</v>
      </c>
      <c r="V1314" s="25" t="s">
        <v>8183</v>
      </c>
      <c r="W1314" s="25" t="s">
        <v>8184</v>
      </c>
      <c r="X1314" s="59">
        <v>45959.541666666657</v>
      </c>
      <c r="Y1314" s="25" t="s">
        <v>8185</v>
      </c>
      <c r="Z1314" s="25">
        <v>0.5</v>
      </c>
      <c r="AA1314" s="25"/>
      <c r="AB1314" s="25" t="s">
        <v>2521</v>
      </c>
      <c r="AC1314" s="29" t="s">
        <v>8186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5700</v>
      </c>
      <c r="H1315" s="25" t="s">
        <v>3148</v>
      </c>
      <c r="I1315" s="25"/>
      <c r="J1315" s="25"/>
      <c r="K1315" s="25"/>
      <c r="L1315" s="25"/>
      <c r="M1315" s="26"/>
      <c r="N1315" s="25"/>
      <c r="O1315" s="26"/>
      <c r="P1315" s="27"/>
      <c r="Q1315" s="25" t="s">
        <v>5701</v>
      </c>
      <c r="R1315" s="25" t="s">
        <v>2516</v>
      </c>
      <c r="S1315" s="25" t="s">
        <v>185</v>
      </c>
      <c r="T1315" s="25">
        <v>1</v>
      </c>
      <c r="U1315" s="25" t="s">
        <v>2517</v>
      </c>
      <c r="V1315" s="25" t="s">
        <v>8187</v>
      </c>
      <c r="W1315" s="25" t="s">
        <v>8188</v>
      </c>
      <c r="X1315" s="59">
        <v>45958.78125</v>
      </c>
      <c r="Y1315" s="25"/>
      <c r="Z1315" s="25">
        <v>0.3</v>
      </c>
      <c r="AA1315" s="25"/>
      <c r="AB1315" s="25" t="s">
        <v>2521</v>
      </c>
      <c r="AC1315" s="29" t="s">
        <v>8130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4409</v>
      </c>
      <c r="G1316" s="25" t="s">
        <v>4410</v>
      </c>
      <c r="H1316" s="25" t="s">
        <v>2609</v>
      </c>
      <c r="I1316" s="25"/>
      <c r="J1316" s="25"/>
      <c r="K1316" s="25"/>
      <c r="L1316" s="25"/>
      <c r="M1316" s="26"/>
      <c r="N1316" s="25"/>
      <c r="O1316" s="26"/>
      <c r="P1316" s="27"/>
      <c r="Q1316" s="25" t="s">
        <v>4411</v>
      </c>
      <c r="R1316" s="25" t="s">
        <v>2516</v>
      </c>
      <c r="S1316" s="25" t="s">
        <v>173</v>
      </c>
      <c r="T1316" s="25">
        <v>1</v>
      </c>
      <c r="U1316" s="25" t="s">
        <v>2517</v>
      </c>
      <c r="V1316" s="25" t="s">
        <v>8189</v>
      </c>
      <c r="W1316" s="25" t="s">
        <v>8143</v>
      </c>
      <c r="X1316" s="59">
        <v>45958.65625</v>
      </c>
      <c r="Y1316" s="25"/>
      <c r="Z1316" s="25">
        <v>0.8</v>
      </c>
      <c r="AA1316" s="25"/>
      <c r="AB1316" s="25" t="s">
        <v>2521</v>
      </c>
      <c r="AC1316" s="29" t="s">
        <v>8130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2710</v>
      </c>
      <c r="H1317" s="25" t="s">
        <v>2659</v>
      </c>
      <c r="I1317" s="25"/>
      <c r="J1317" s="25"/>
      <c r="K1317" s="25"/>
      <c r="L1317" s="25"/>
      <c r="M1317" s="26"/>
      <c r="N1317" s="25"/>
      <c r="O1317" s="26"/>
      <c r="P1317" s="27"/>
      <c r="Q1317" s="25" t="s">
        <v>2711</v>
      </c>
      <c r="R1317" s="25" t="s">
        <v>2516</v>
      </c>
      <c r="S1317" s="25" t="s">
        <v>185</v>
      </c>
      <c r="T1317" s="25">
        <v>1</v>
      </c>
      <c r="U1317" s="25" t="s">
        <v>2517</v>
      </c>
      <c r="V1317" s="25" t="s">
        <v>8190</v>
      </c>
      <c r="W1317" s="25" t="s">
        <v>8191</v>
      </c>
      <c r="X1317" s="59">
        <v>45959.416666666657</v>
      </c>
      <c r="Y1317" s="25"/>
      <c r="Z1317" s="25">
        <v>0.5</v>
      </c>
      <c r="AA1317" s="25"/>
      <c r="AB1317" s="25" t="s">
        <v>2521</v>
      </c>
      <c r="AC1317" s="29" t="s">
        <v>8130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2890</v>
      </c>
      <c r="H1318" s="25" t="s">
        <v>2609</v>
      </c>
      <c r="I1318" s="25"/>
      <c r="J1318" s="25"/>
      <c r="K1318" s="25"/>
      <c r="L1318" s="25"/>
      <c r="M1318" s="26"/>
      <c r="N1318" s="25"/>
      <c r="O1318" s="26"/>
      <c r="P1318" s="27"/>
      <c r="Q1318" s="25" t="s">
        <v>2895</v>
      </c>
      <c r="R1318" s="25" t="s">
        <v>2516</v>
      </c>
      <c r="S1318" s="25" t="s">
        <v>185</v>
      </c>
      <c r="T1318" s="25">
        <v>1</v>
      </c>
      <c r="U1318" s="25" t="s">
        <v>2517</v>
      </c>
      <c r="V1318" s="25" t="s">
        <v>8192</v>
      </c>
      <c r="W1318" s="25" t="s">
        <v>8193</v>
      </c>
      <c r="X1318" s="59">
        <v>45960.458333333343</v>
      </c>
      <c r="Y1318" s="25"/>
      <c r="Z1318" s="25">
        <v>0.5</v>
      </c>
      <c r="AA1318" s="25"/>
      <c r="AB1318" s="25" t="s">
        <v>2521</v>
      </c>
      <c r="AC1318" s="29" t="s">
        <v>7123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8194</v>
      </c>
      <c r="H1319" s="25" t="s">
        <v>2507</v>
      </c>
      <c r="I1319" s="25"/>
      <c r="J1319" s="25"/>
      <c r="K1319" s="25"/>
      <c r="L1319" s="25"/>
      <c r="M1319" s="26"/>
      <c r="N1319" s="25"/>
      <c r="O1319" s="26"/>
      <c r="P1319" s="27"/>
      <c r="Q1319" s="25" t="s">
        <v>8195</v>
      </c>
      <c r="R1319" s="25" t="s">
        <v>2516</v>
      </c>
      <c r="S1319" s="25" t="s">
        <v>185</v>
      </c>
      <c r="T1319" s="25">
        <v>1</v>
      </c>
      <c r="U1319" s="25" t="s">
        <v>2517</v>
      </c>
      <c r="V1319" s="25" t="s">
        <v>8196</v>
      </c>
      <c r="W1319" s="25" t="s">
        <v>8197</v>
      </c>
      <c r="X1319" s="59">
        <v>45960.625</v>
      </c>
      <c r="Y1319" s="25"/>
      <c r="Z1319" s="25">
        <v>3</v>
      </c>
      <c r="AA1319" s="25"/>
      <c r="AB1319" s="25" t="s">
        <v>2521</v>
      </c>
      <c r="AC1319" s="29" t="s">
        <v>3948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3374</v>
      </c>
      <c r="H1320" s="25" t="s">
        <v>2507</v>
      </c>
      <c r="I1320" s="25"/>
      <c r="J1320" s="25"/>
      <c r="K1320" s="25"/>
      <c r="L1320" s="25"/>
      <c r="M1320" s="26"/>
      <c r="N1320" s="25"/>
      <c r="O1320" s="26"/>
      <c r="P1320" s="27"/>
      <c r="Q1320" s="25" t="s">
        <v>3375</v>
      </c>
      <c r="R1320" s="25" t="s">
        <v>2516</v>
      </c>
      <c r="S1320" s="25" t="s">
        <v>185</v>
      </c>
      <c r="T1320" s="25">
        <v>1</v>
      </c>
      <c r="U1320" s="25" t="s">
        <v>2517</v>
      </c>
      <c r="V1320" s="25" t="s">
        <v>8198</v>
      </c>
      <c r="W1320" s="25" t="s">
        <v>8199</v>
      </c>
      <c r="X1320" s="59">
        <v>45960.666666666657</v>
      </c>
      <c r="Y1320" s="25"/>
      <c r="Z1320" s="25">
        <v>0.5</v>
      </c>
      <c r="AA1320" s="25"/>
      <c r="AB1320" s="25" t="s">
        <v>2521</v>
      </c>
      <c r="AC1320" s="29" t="s">
        <v>7123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8200</v>
      </c>
      <c r="E1321" s="25" t="s">
        <v>2504</v>
      </c>
      <c r="F1321" s="25">
        <v>4144</v>
      </c>
      <c r="G1321" s="25" t="s">
        <v>3281</v>
      </c>
      <c r="H1321" s="25" t="s">
        <v>2659</v>
      </c>
      <c r="I1321" s="25" t="s">
        <v>8201</v>
      </c>
      <c r="J1321" s="25" t="s">
        <v>2835</v>
      </c>
      <c r="K1321" s="25" t="s">
        <v>2568</v>
      </c>
      <c r="L1321" s="25" t="s">
        <v>3483</v>
      </c>
      <c r="M1321" s="26" t="s">
        <v>3484</v>
      </c>
      <c r="N1321" s="25">
        <v>6003</v>
      </c>
      <c r="O1321" s="26" t="s">
        <v>3152</v>
      </c>
      <c r="P1321" s="27" t="s">
        <v>8202</v>
      </c>
      <c r="Q1321" s="25" t="s">
        <v>3284</v>
      </c>
      <c r="R1321" s="25" t="s">
        <v>2516</v>
      </c>
      <c r="S1321" s="25" t="s">
        <v>185</v>
      </c>
      <c r="T1321" s="25">
        <v>1</v>
      </c>
      <c r="U1321" s="25" t="s">
        <v>2517</v>
      </c>
      <c r="V1321" s="25" t="s">
        <v>8203</v>
      </c>
      <c r="W1321" s="25" t="s">
        <v>8204</v>
      </c>
      <c r="X1321" s="59">
        <v>45961.479166666657</v>
      </c>
      <c r="Y1321" s="25" t="s">
        <v>8205</v>
      </c>
      <c r="Z1321" s="25">
        <v>0.5</v>
      </c>
      <c r="AA1321" s="25"/>
      <c r="AB1321" s="25" t="s">
        <v>2521</v>
      </c>
      <c r="AC1321" s="29" t="s">
        <v>8206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8207</v>
      </c>
      <c r="E1322" s="25" t="s">
        <v>2504</v>
      </c>
      <c r="F1322" s="25">
        <v>4282</v>
      </c>
      <c r="G1322" s="25" t="s">
        <v>3625</v>
      </c>
      <c r="H1322" s="25" t="s">
        <v>3148</v>
      </c>
      <c r="I1322" s="25" t="s">
        <v>8208</v>
      </c>
      <c r="J1322" s="25" t="s">
        <v>2835</v>
      </c>
      <c r="K1322" s="25" t="s">
        <v>2510</v>
      </c>
      <c r="L1322" s="25" t="s">
        <v>3150</v>
      </c>
      <c r="M1322" s="26" t="s">
        <v>3151</v>
      </c>
      <c r="N1322" s="25">
        <v>5903</v>
      </c>
      <c r="O1322" s="26" t="s">
        <v>3152</v>
      </c>
      <c r="P1322" s="27" t="s">
        <v>8209</v>
      </c>
      <c r="Q1322" s="25" t="s">
        <v>3626</v>
      </c>
      <c r="R1322" s="25" t="s">
        <v>2516</v>
      </c>
      <c r="S1322" s="25" t="s">
        <v>185</v>
      </c>
      <c r="T1322" s="25">
        <v>1</v>
      </c>
      <c r="U1322" s="25" t="s">
        <v>2517</v>
      </c>
      <c r="V1322" s="25" t="s">
        <v>8210</v>
      </c>
      <c r="W1322" s="25" t="s">
        <v>8211</v>
      </c>
      <c r="X1322" s="59">
        <v>45961.416666666657</v>
      </c>
      <c r="Y1322" s="25" t="s">
        <v>8212</v>
      </c>
      <c r="Z1322" s="25">
        <v>0.5</v>
      </c>
      <c r="AA1322" s="25"/>
      <c r="AB1322" s="25" t="s">
        <v>2915</v>
      </c>
      <c r="AC1322" s="29" t="s">
        <v>8213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8214</v>
      </c>
      <c r="E1323" s="25" t="s">
        <v>2504</v>
      </c>
      <c r="F1323" s="25">
        <v>3380</v>
      </c>
      <c r="G1323" s="25" t="s">
        <v>2710</v>
      </c>
      <c r="H1323" s="25" t="s">
        <v>2659</v>
      </c>
      <c r="I1323" s="25" t="s">
        <v>8215</v>
      </c>
      <c r="J1323" s="25" t="s">
        <v>2567</v>
      </c>
      <c r="K1323" s="25" t="s">
        <v>2765</v>
      </c>
      <c r="L1323" s="25" t="s">
        <v>2511</v>
      </c>
      <c r="M1323" s="26" t="s">
        <v>2512</v>
      </c>
      <c r="N1323" s="25">
        <v>2301</v>
      </c>
      <c r="O1323" s="26" t="s">
        <v>3953</v>
      </c>
      <c r="P1323" s="27" t="s">
        <v>8216</v>
      </c>
      <c r="Q1323" s="25" t="s">
        <v>2711</v>
      </c>
      <c r="R1323" s="25" t="s">
        <v>2516</v>
      </c>
      <c r="S1323" s="25" t="s">
        <v>185</v>
      </c>
      <c r="T1323" s="25">
        <v>1</v>
      </c>
      <c r="U1323" s="25" t="s">
        <v>2517</v>
      </c>
      <c r="V1323" s="25" t="s">
        <v>8217</v>
      </c>
      <c r="W1323" s="25" t="s">
        <v>8218</v>
      </c>
      <c r="X1323" s="59">
        <v>45961.458333333343</v>
      </c>
      <c r="Y1323" s="25" t="s">
        <v>8219</v>
      </c>
      <c r="Z1323" s="25">
        <v>0.5</v>
      </c>
      <c r="AA1323" s="25"/>
      <c r="AB1323" s="25" t="s">
        <v>2521</v>
      </c>
      <c r="AC1323" s="29" t="s">
        <v>8220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3625</v>
      </c>
      <c r="H1324" s="25" t="s">
        <v>3148</v>
      </c>
      <c r="I1324" s="25"/>
      <c r="J1324" s="25"/>
      <c r="K1324" s="25"/>
      <c r="L1324" s="25"/>
      <c r="M1324" s="26"/>
      <c r="N1324" s="25"/>
      <c r="O1324" s="26"/>
      <c r="P1324" s="27"/>
      <c r="Q1324" s="25" t="s">
        <v>3626</v>
      </c>
      <c r="R1324" s="25" t="s">
        <v>2516</v>
      </c>
      <c r="S1324" s="25" t="s">
        <v>185</v>
      </c>
      <c r="T1324" s="25">
        <v>1</v>
      </c>
      <c r="U1324" s="25" t="s">
        <v>2517</v>
      </c>
      <c r="V1324" s="25" t="s">
        <v>8221</v>
      </c>
      <c r="W1324" s="25" t="s">
        <v>8222</v>
      </c>
      <c r="X1324" s="59">
        <v>45961.395833333343</v>
      </c>
      <c r="Y1324" s="25"/>
      <c r="Z1324" s="25">
        <v>0.5</v>
      </c>
      <c r="AA1324" s="25"/>
      <c r="AB1324" s="25" t="s">
        <v>2521</v>
      </c>
      <c r="AC1324" s="29" t="s">
        <v>8130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4371</v>
      </c>
      <c r="H1325" s="25" t="s">
        <v>2659</v>
      </c>
      <c r="I1325" s="25"/>
      <c r="J1325" s="25"/>
      <c r="K1325" s="25"/>
      <c r="L1325" s="25"/>
      <c r="M1325" s="26"/>
      <c r="N1325" s="25"/>
      <c r="O1325" s="26"/>
      <c r="P1325" s="27"/>
      <c r="Q1325" s="25" t="s">
        <v>4372</v>
      </c>
      <c r="R1325" s="25" t="s">
        <v>2516</v>
      </c>
      <c r="S1325" s="25" t="s">
        <v>185</v>
      </c>
      <c r="T1325" s="25">
        <v>1</v>
      </c>
      <c r="U1325" s="25" t="s">
        <v>2517</v>
      </c>
      <c r="V1325" s="25" t="s">
        <v>8223</v>
      </c>
      <c r="W1325" s="25" t="s">
        <v>8224</v>
      </c>
      <c r="X1325" s="59">
        <v>45961.555555555547</v>
      </c>
      <c r="Y1325" s="25"/>
      <c r="Z1325" s="25">
        <v>0.3</v>
      </c>
      <c r="AA1325" s="25"/>
      <c r="AB1325" s="25" t="s">
        <v>2521</v>
      </c>
      <c r="AC1325" s="29" t="s">
        <v>8130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8194</v>
      </c>
      <c r="H1326" s="25" t="s">
        <v>2507</v>
      </c>
      <c r="I1326" s="25"/>
      <c r="J1326" s="25"/>
      <c r="K1326" s="25"/>
      <c r="L1326" s="25"/>
      <c r="M1326" s="26"/>
      <c r="N1326" s="25"/>
      <c r="O1326" s="26"/>
      <c r="P1326" s="27"/>
      <c r="Q1326" s="25" t="s">
        <v>8195</v>
      </c>
      <c r="R1326" s="25" t="s">
        <v>2516</v>
      </c>
      <c r="S1326" s="25" t="s">
        <v>185</v>
      </c>
      <c r="T1326" s="25">
        <v>1</v>
      </c>
      <c r="U1326" s="25" t="s">
        <v>2517</v>
      </c>
      <c r="V1326" s="25" t="s">
        <v>8225</v>
      </c>
      <c r="W1326" s="25" t="s">
        <v>8226</v>
      </c>
      <c r="X1326" s="59">
        <v>45961.604166666657</v>
      </c>
      <c r="Y1326" s="25"/>
      <c r="Z1326" s="25">
        <v>0.5</v>
      </c>
      <c r="AA1326" s="25"/>
      <c r="AB1326" s="25" t="s">
        <v>2521</v>
      </c>
      <c r="AC1326" s="29" t="s">
        <v>7037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8227</v>
      </c>
      <c r="E1327" s="37" t="s">
        <v>2504</v>
      </c>
      <c r="F1327" s="37">
        <v>3606</v>
      </c>
      <c r="G1327" s="37" t="s">
        <v>3142</v>
      </c>
      <c r="H1327" s="37" t="s">
        <v>3138</v>
      </c>
      <c r="I1327" s="37" t="s">
        <v>8228</v>
      </c>
      <c r="J1327" s="37" t="s">
        <v>2567</v>
      </c>
      <c r="K1327" s="37" t="s">
        <v>2568</v>
      </c>
      <c r="L1327" s="37" t="s">
        <v>2537</v>
      </c>
      <c r="M1327" s="38" t="s">
        <v>2538</v>
      </c>
      <c r="N1327" s="37" t="s">
        <v>2539</v>
      </c>
      <c r="O1327" s="38" t="s">
        <v>2540</v>
      </c>
      <c r="P1327" s="39" t="s">
        <v>8229</v>
      </c>
      <c r="Q1327" s="37" t="s">
        <v>3143</v>
      </c>
      <c r="R1327" s="37" t="s">
        <v>2516</v>
      </c>
      <c r="S1327" s="37" t="s">
        <v>185</v>
      </c>
      <c r="T1327" s="37">
        <v>1</v>
      </c>
      <c r="U1327" s="37" t="s">
        <v>2517</v>
      </c>
      <c r="V1327" s="37" t="s">
        <v>8230</v>
      </c>
      <c r="W1327" s="37" t="s">
        <v>8231</v>
      </c>
      <c r="X1327" s="60">
        <v>45964.375</v>
      </c>
      <c r="Y1327" s="37" t="s">
        <v>8232</v>
      </c>
      <c r="Z1327" s="37">
        <v>0.5</v>
      </c>
      <c r="AA1327" s="37"/>
      <c r="AB1327" s="37" t="s">
        <v>2521</v>
      </c>
      <c r="AC1327" s="40" t="s">
        <v>8233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8234</v>
      </c>
      <c r="E1328" s="37" t="s">
        <v>2504</v>
      </c>
      <c r="F1328" s="37">
        <v>3606</v>
      </c>
      <c r="G1328" s="37" t="s">
        <v>3142</v>
      </c>
      <c r="H1328" s="37" t="s">
        <v>3138</v>
      </c>
      <c r="I1328" s="37" t="s">
        <v>8235</v>
      </c>
      <c r="J1328" s="37" t="s">
        <v>2567</v>
      </c>
      <c r="K1328" s="37" t="s">
        <v>2568</v>
      </c>
      <c r="L1328" s="37" t="s">
        <v>2537</v>
      </c>
      <c r="M1328" s="38" t="s">
        <v>2538</v>
      </c>
      <c r="N1328" s="37" t="s">
        <v>2539</v>
      </c>
      <c r="O1328" s="38" t="s">
        <v>2540</v>
      </c>
      <c r="P1328" s="39" t="s">
        <v>8236</v>
      </c>
      <c r="Q1328" s="37" t="s">
        <v>3143</v>
      </c>
      <c r="R1328" s="37" t="s">
        <v>2516</v>
      </c>
      <c r="S1328" s="37" t="s">
        <v>185</v>
      </c>
      <c r="T1328" s="37">
        <v>1</v>
      </c>
      <c r="U1328" s="37" t="s">
        <v>2517</v>
      </c>
      <c r="V1328" s="37" t="s">
        <v>8237</v>
      </c>
      <c r="W1328" s="37" t="s">
        <v>8238</v>
      </c>
      <c r="X1328" s="60">
        <v>45964.395833333343</v>
      </c>
      <c r="Y1328" s="37" t="s">
        <v>8239</v>
      </c>
      <c r="Z1328" s="37">
        <v>0.5</v>
      </c>
      <c r="AA1328" s="37"/>
      <c r="AB1328" s="37" t="s">
        <v>2521</v>
      </c>
      <c r="AC1328" s="40" t="s">
        <v>8240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8241</v>
      </c>
      <c r="E1329" s="37" t="s">
        <v>2504</v>
      </c>
      <c r="F1329" s="37">
        <v>4282</v>
      </c>
      <c r="G1329" s="37" t="s">
        <v>3625</v>
      </c>
      <c r="H1329" s="37" t="s">
        <v>3148</v>
      </c>
      <c r="I1329" s="37" t="s">
        <v>8242</v>
      </c>
      <c r="J1329" s="37" t="s">
        <v>2567</v>
      </c>
      <c r="K1329" s="37" t="s">
        <v>2568</v>
      </c>
      <c r="L1329" s="37" t="s">
        <v>3483</v>
      </c>
      <c r="M1329" s="38" t="s">
        <v>3484</v>
      </c>
      <c r="N1329" s="37">
        <v>6003</v>
      </c>
      <c r="O1329" s="38" t="s">
        <v>3152</v>
      </c>
      <c r="P1329" s="39" t="s">
        <v>8243</v>
      </c>
      <c r="Q1329" s="37" t="s">
        <v>3626</v>
      </c>
      <c r="R1329" s="37" t="s">
        <v>2516</v>
      </c>
      <c r="S1329" s="37" t="s">
        <v>185</v>
      </c>
      <c r="T1329" s="37">
        <v>1</v>
      </c>
      <c r="U1329" s="37" t="s">
        <v>2517</v>
      </c>
      <c r="V1329" s="37" t="s">
        <v>8244</v>
      </c>
      <c r="W1329" s="37" t="s">
        <v>8245</v>
      </c>
      <c r="X1329" s="60">
        <v>45964.416666666657</v>
      </c>
      <c r="Y1329" s="37" t="s">
        <v>8246</v>
      </c>
      <c r="Z1329" s="37">
        <v>0.5</v>
      </c>
      <c r="AA1329" s="37"/>
      <c r="AB1329" s="37" t="s">
        <v>2521</v>
      </c>
      <c r="AC1329" s="40" t="s">
        <v>8247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8248</v>
      </c>
      <c r="E1330" s="37" t="s">
        <v>2504</v>
      </c>
      <c r="F1330" s="37">
        <v>2325</v>
      </c>
      <c r="G1330" s="37" t="s">
        <v>3018</v>
      </c>
      <c r="H1330" s="37" t="s">
        <v>2996</v>
      </c>
      <c r="I1330" s="37" t="s">
        <v>8249</v>
      </c>
      <c r="J1330" s="37" t="s">
        <v>2567</v>
      </c>
      <c r="K1330" s="37" t="s">
        <v>2510</v>
      </c>
      <c r="L1330" s="37" t="s">
        <v>2537</v>
      </c>
      <c r="M1330" s="38" t="s">
        <v>2538</v>
      </c>
      <c r="N1330" s="37" t="s">
        <v>2539</v>
      </c>
      <c r="O1330" s="38" t="s">
        <v>2540</v>
      </c>
      <c r="P1330" s="39" t="s">
        <v>8250</v>
      </c>
      <c r="Q1330" s="37" t="s">
        <v>3019</v>
      </c>
      <c r="R1330" s="37" t="s">
        <v>2516</v>
      </c>
      <c r="S1330" s="37" t="s">
        <v>185</v>
      </c>
      <c r="T1330" s="37">
        <v>1</v>
      </c>
      <c r="U1330" s="37" t="s">
        <v>2517</v>
      </c>
      <c r="V1330" s="37" t="s">
        <v>8251</v>
      </c>
      <c r="W1330" s="37" t="s">
        <v>8252</v>
      </c>
      <c r="X1330" s="60">
        <v>45964.479166666657</v>
      </c>
      <c r="Y1330" s="37" t="s">
        <v>8253</v>
      </c>
      <c r="Z1330" s="37">
        <v>0.5</v>
      </c>
      <c r="AA1330" s="37"/>
      <c r="AB1330" s="37" t="s">
        <v>2521</v>
      </c>
      <c r="AC1330" s="40" t="s">
        <v>8254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8255</v>
      </c>
      <c r="E1331" s="37" t="s">
        <v>2504</v>
      </c>
      <c r="F1331" s="37">
        <v>4541</v>
      </c>
      <c r="G1331" s="37" t="s">
        <v>3191</v>
      </c>
      <c r="H1331" s="37" t="s">
        <v>1604</v>
      </c>
      <c r="I1331" s="37" t="s">
        <v>8256</v>
      </c>
      <c r="J1331" s="37" t="s">
        <v>2661</v>
      </c>
      <c r="K1331" s="37" t="s">
        <v>2568</v>
      </c>
      <c r="L1331" s="37" t="s">
        <v>2945</v>
      </c>
      <c r="M1331" s="38" t="s">
        <v>2946</v>
      </c>
      <c r="N1331" s="37" t="s">
        <v>3782</v>
      </c>
      <c r="O1331" s="38" t="s">
        <v>2582</v>
      </c>
      <c r="P1331" s="39" t="s">
        <v>8257</v>
      </c>
      <c r="Q1331" s="37" t="s">
        <v>3194</v>
      </c>
      <c r="R1331" s="37" t="s">
        <v>2516</v>
      </c>
      <c r="S1331" s="37" t="s">
        <v>25</v>
      </c>
      <c r="T1331" s="37">
        <v>1</v>
      </c>
      <c r="U1331" s="37" t="s">
        <v>2517</v>
      </c>
      <c r="V1331" s="37" t="s">
        <v>8258</v>
      </c>
      <c r="W1331" s="37" t="s">
        <v>8259</v>
      </c>
      <c r="X1331" s="60">
        <v>45964.708333333343</v>
      </c>
      <c r="Y1331" s="37" t="s">
        <v>8260</v>
      </c>
      <c r="Z1331" s="37">
        <v>0.3</v>
      </c>
      <c r="AA1331" s="37"/>
      <c r="AB1331" s="37" t="s">
        <v>2521</v>
      </c>
      <c r="AC1331" s="40" t="s">
        <v>8261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3822</v>
      </c>
      <c r="G1332" s="37" t="s">
        <v>3823</v>
      </c>
      <c r="H1332" s="37" t="s">
        <v>2507</v>
      </c>
      <c r="I1332" s="37"/>
      <c r="J1332" s="37"/>
      <c r="K1332" s="37"/>
      <c r="L1332" s="37"/>
      <c r="M1332" s="38"/>
      <c r="N1332" s="37"/>
      <c r="O1332" s="38"/>
      <c r="P1332" s="39"/>
      <c r="Q1332" s="37" t="s">
        <v>3824</v>
      </c>
      <c r="R1332" s="37" t="s">
        <v>2516</v>
      </c>
      <c r="S1332" s="37" t="s">
        <v>25</v>
      </c>
      <c r="T1332" s="37">
        <v>1</v>
      </c>
      <c r="U1332" s="37" t="s">
        <v>2517</v>
      </c>
      <c r="V1332" s="37" t="s">
        <v>8262</v>
      </c>
      <c r="W1332" s="37" t="s">
        <v>8252</v>
      </c>
      <c r="X1332" s="60">
        <v>45964.541666666657</v>
      </c>
      <c r="Y1332" s="37"/>
      <c r="Z1332" s="37">
        <v>2</v>
      </c>
      <c r="AA1332" s="37"/>
      <c r="AB1332" s="37" t="s">
        <v>2521</v>
      </c>
      <c r="AC1332" s="40" t="s">
        <v>7610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3822</v>
      </c>
      <c r="G1333" s="37" t="s">
        <v>3823</v>
      </c>
      <c r="H1333" s="37" t="s">
        <v>2507</v>
      </c>
      <c r="I1333" s="37"/>
      <c r="J1333" s="37"/>
      <c r="K1333" s="37"/>
      <c r="L1333" s="37"/>
      <c r="M1333" s="38"/>
      <c r="N1333" s="37"/>
      <c r="O1333" s="38"/>
      <c r="P1333" s="39"/>
      <c r="Q1333" s="37" t="s">
        <v>3824</v>
      </c>
      <c r="R1333" s="37" t="s">
        <v>2516</v>
      </c>
      <c r="S1333" s="37" t="s">
        <v>25</v>
      </c>
      <c r="T1333" s="37">
        <v>1</v>
      </c>
      <c r="U1333" s="37" t="s">
        <v>2517</v>
      </c>
      <c r="V1333" s="37" t="s">
        <v>8263</v>
      </c>
      <c r="W1333" s="37" t="s">
        <v>8264</v>
      </c>
      <c r="X1333" s="60">
        <v>45964.555555555547</v>
      </c>
      <c r="Y1333" s="37"/>
      <c r="Z1333" s="37">
        <v>0.3</v>
      </c>
      <c r="AA1333" s="37"/>
      <c r="AB1333" s="37" t="s">
        <v>2521</v>
      </c>
      <c r="AC1333" s="40" t="s">
        <v>8130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3334</v>
      </c>
      <c r="H1334" s="37" t="s">
        <v>2996</v>
      </c>
      <c r="I1334" s="37"/>
      <c r="J1334" s="37"/>
      <c r="K1334" s="37"/>
      <c r="L1334" s="37"/>
      <c r="M1334" s="38"/>
      <c r="N1334" s="37"/>
      <c r="O1334" s="38"/>
      <c r="P1334" s="39"/>
      <c r="Q1334" s="37" t="s">
        <v>3335</v>
      </c>
      <c r="R1334" s="37" t="s">
        <v>2516</v>
      </c>
      <c r="S1334" s="37" t="s">
        <v>185</v>
      </c>
      <c r="T1334" s="37">
        <v>1</v>
      </c>
      <c r="U1334" s="37" t="s">
        <v>2517</v>
      </c>
      <c r="V1334" s="37" t="s">
        <v>8265</v>
      </c>
      <c r="W1334" s="37" t="s">
        <v>8264</v>
      </c>
      <c r="X1334" s="60">
        <v>45964.5625</v>
      </c>
      <c r="Y1334" s="37"/>
      <c r="Z1334" s="37">
        <v>0.5</v>
      </c>
      <c r="AA1334" s="37"/>
      <c r="AB1334" s="37" t="s">
        <v>2521</v>
      </c>
      <c r="AC1334" s="40" t="s">
        <v>8130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3338</v>
      </c>
      <c r="H1335" s="37" t="s">
        <v>2996</v>
      </c>
      <c r="I1335" s="37"/>
      <c r="J1335" s="37"/>
      <c r="K1335" s="37"/>
      <c r="L1335" s="37"/>
      <c r="M1335" s="38"/>
      <c r="N1335" s="37"/>
      <c r="O1335" s="38"/>
      <c r="P1335" s="39"/>
      <c r="Q1335" s="37" t="s">
        <v>3339</v>
      </c>
      <c r="R1335" s="37" t="s">
        <v>2516</v>
      </c>
      <c r="S1335" s="37" t="s">
        <v>185</v>
      </c>
      <c r="T1335" s="37">
        <v>1</v>
      </c>
      <c r="U1335" s="37" t="s">
        <v>2517</v>
      </c>
      <c r="V1335" s="37" t="s">
        <v>8266</v>
      </c>
      <c r="W1335" s="37" t="s">
        <v>8267</v>
      </c>
      <c r="X1335" s="60">
        <v>45964.576388888891</v>
      </c>
      <c r="Y1335" s="37"/>
      <c r="Z1335" s="37">
        <v>0.3</v>
      </c>
      <c r="AA1335" s="37"/>
      <c r="AB1335" s="37" t="s">
        <v>2521</v>
      </c>
      <c r="AC1335" s="40" t="s">
        <v>8130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3191</v>
      </c>
      <c r="H1336" s="37" t="s">
        <v>1604</v>
      </c>
      <c r="I1336" s="37"/>
      <c r="J1336" s="37"/>
      <c r="K1336" s="37"/>
      <c r="L1336" s="37"/>
      <c r="M1336" s="38"/>
      <c r="N1336" s="37"/>
      <c r="O1336" s="38"/>
      <c r="P1336" s="39"/>
      <c r="Q1336" s="37" t="s">
        <v>3194</v>
      </c>
      <c r="R1336" s="37" t="s">
        <v>2516</v>
      </c>
      <c r="S1336" s="37" t="s">
        <v>25</v>
      </c>
      <c r="T1336" s="37">
        <v>1</v>
      </c>
      <c r="U1336" s="37" t="s">
        <v>2517</v>
      </c>
      <c r="V1336" s="37" t="s">
        <v>8268</v>
      </c>
      <c r="W1336" s="37" t="s">
        <v>8269</v>
      </c>
      <c r="X1336" s="60">
        <v>45964.71875</v>
      </c>
      <c r="Y1336" s="37"/>
      <c r="Z1336" s="37">
        <v>0.3</v>
      </c>
      <c r="AA1336" s="37"/>
      <c r="AB1336" s="37" t="s">
        <v>2521</v>
      </c>
      <c r="AC1336" s="40" t="s">
        <v>8130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3046</v>
      </c>
      <c r="H1337" s="37" t="s">
        <v>2987</v>
      </c>
      <c r="I1337" s="37"/>
      <c r="J1337" s="37"/>
      <c r="K1337" s="37"/>
      <c r="L1337" s="37"/>
      <c r="M1337" s="38"/>
      <c r="N1337" s="37"/>
      <c r="O1337" s="38"/>
      <c r="P1337" s="39"/>
      <c r="Q1337" s="37" t="s">
        <v>3047</v>
      </c>
      <c r="R1337" s="37" t="s">
        <v>2516</v>
      </c>
      <c r="S1337" s="37" t="s">
        <v>25</v>
      </c>
      <c r="T1337" s="37">
        <v>1</v>
      </c>
      <c r="U1337" s="37" t="s">
        <v>2517</v>
      </c>
      <c r="V1337" s="37" t="s">
        <v>8270</v>
      </c>
      <c r="W1337" s="37" t="s">
        <v>8271</v>
      </c>
      <c r="X1337" s="60">
        <v>45965.451388888891</v>
      </c>
      <c r="Y1337" s="37"/>
      <c r="Z1337" s="37">
        <v>0.3</v>
      </c>
      <c r="AA1337" s="37"/>
      <c r="AB1337" s="37" t="s">
        <v>2521</v>
      </c>
      <c r="AC1337" s="40" t="s">
        <v>8130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3059</v>
      </c>
      <c r="H1338" s="37" t="s">
        <v>2987</v>
      </c>
      <c r="I1338" s="37"/>
      <c r="J1338" s="37"/>
      <c r="K1338" s="37"/>
      <c r="L1338" s="37"/>
      <c r="M1338" s="38"/>
      <c r="N1338" s="37"/>
      <c r="O1338" s="38"/>
      <c r="P1338" s="39"/>
      <c r="Q1338" s="37" t="s">
        <v>3060</v>
      </c>
      <c r="R1338" s="37" t="s">
        <v>2516</v>
      </c>
      <c r="S1338" s="37" t="s">
        <v>25</v>
      </c>
      <c r="T1338" s="37">
        <v>1</v>
      </c>
      <c r="U1338" s="37" t="s">
        <v>2517</v>
      </c>
      <c r="V1338" s="37" t="s">
        <v>8272</v>
      </c>
      <c r="W1338" s="37" t="s">
        <v>8273</v>
      </c>
      <c r="X1338" s="60">
        <v>45965.522916666669</v>
      </c>
      <c r="Y1338" s="37"/>
      <c r="Z1338" s="37">
        <v>0.4</v>
      </c>
      <c r="AA1338" s="37"/>
      <c r="AB1338" s="37" t="s">
        <v>2521</v>
      </c>
      <c r="AC1338" s="40" t="s">
        <v>8130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3051</v>
      </c>
      <c r="H1339" s="37" t="s">
        <v>2987</v>
      </c>
      <c r="I1339" s="37"/>
      <c r="J1339" s="37"/>
      <c r="K1339" s="37"/>
      <c r="L1339" s="37"/>
      <c r="M1339" s="38"/>
      <c r="N1339" s="37"/>
      <c r="O1339" s="38"/>
      <c r="P1339" s="39"/>
      <c r="Q1339" s="37" t="s">
        <v>3052</v>
      </c>
      <c r="R1339" s="37" t="s">
        <v>2516</v>
      </c>
      <c r="S1339" s="37" t="s">
        <v>25</v>
      </c>
      <c r="T1339" s="37">
        <v>1</v>
      </c>
      <c r="U1339" s="37" t="s">
        <v>2517</v>
      </c>
      <c r="V1339" s="37" t="s">
        <v>8274</v>
      </c>
      <c r="W1339" s="37" t="s">
        <v>8275</v>
      </c>
      <c r="X1339" s="60">
        <v>45965.538888888892</v>
      </c>
      <c r="Y1339" s="37"/>
      <c r="Z1339" s="37">
        <v>0.4</v>
      </c>
      <c r="AA1339" s="37"/>
      <c r="AB1339" s="37" t="s">
        <v>2521</v>
      </c>
      <c r="AC1339" s="40" t="s">
        <v>8130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3055</v>
      </c>
      <c r="H1340" s="37" t="s">
        <v>2987</v>
      </c>
      <c r="I1340" s="37"/>
      <c r="J1340" s="37"/>
      <c r="K1340" s="37"/>
      <c r="L1340" s="37"/>
      <c r="M1340" s="38"/>
      <c r="N1340" s="37"/>
      <c r="O1340" s="38"/>
      <c r="P1340" s="39"/>
      <c r="Q1340" s="37" t="s">
        <v>3056</v>
      </c>
      <c r="R1340" s="37" t="s">
        <v>2516</v>
      </c>
      <c r="S1340" s="37" t="s">
        <v>25</v>
      </c>
      <c r="T1340" s="37">
        <v>1</v>
      </c>
      <c r="U1340" s="37" t="s">
        <v>2517</v>
      </c>
      <c r="V1340" s="37" t="s">
        <v>8276</v>
      </c>
      <c r="W1340" s="37" t="s">
        <v>8277</v>
      </c>
      <c r="X1340" s="60">
        <v>45965.583333333343</v>
      </c>
      <c r="Y1340" s="37"/>
      <c r="Z1340" s="37">
        <v>0.3</v>
      </c>
      <c r="AA1340" s="37"/>
      <c r="AB1340" s="37" t="s">
        <v>2521</v>
      </c>
      <c r="AC1340" s="40" t="s">
        <v>8130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3042</v>
      </c>
      <c r="H1341" s="37" t="s">
        <v>2987</v>
      </c>
      <c r="I1341" s="37"/>
      <c r="J1341" s="37"/>
      <c r="K1341" s="37"/>
      <c r="L1341" s="37"/>
      <c r="M1341" s="38"/>
      <c r="N1341" s="37"/>
      <c r="O1341" s="38"/>
      <c r="P1341" s="39"/>
      <c r="Q1341" s="37" t="s">
        <v>3043</v>
      </c>
      <c r="R1341" s="37" t="s">
        <v>2516</v>
      </c>
      <c r="S1341" s="37" t="s">
        <v>25</v>
      </c>
      <c r="T1341" s="37">
        <v>1</v>
      </c>
      <c r="U1341" s="37" t="s">
        <v>2517</v>
      </c>
      <c r="V1341" s="37" t="s">
        <v>8278</v>
      </c>
      <c r="W1341" s="37" t="s">
        <v>8279</v>
      </c>
      <c r="X1341" s="60">
        <v>45965.604166666657</v>
      </c>
      <c r="Y1341" s="37"/>
      <c r="Z1341" s="37">
        <v>0.3</v>
      </c>
      <c r="AA1341" s="37"/>
      <c r="AB1341" s="37" t="s">
        <v>2521</v>
      </c>
      <c r="AC1341" s="40" t="s">
        <v>8130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2986</v>
      </c>
      <c r="H1342" s="37" t="s">
        <v>2987</v>
      </c>
      <c r="I1342" s="37"/>
      <c r="J1342" s="37"/>
      <c r="K1342" s="37"/>
      <c r="L1342" s="37"/>
      <c r="M1342" s="38"/>
      <c r="N1342" s="37"/>
      <c r="O1342" s="38"/>
      <c r="P1342" s="39"/>
      <c r="Q1342" s="37" t="s">
        <v>2990</v>
      </c>
      <c r="R1342" s="37" t="s">
        <v>2516</v>
      </c>
      <c r="S1342" s="37" t="s">
        <v>25</v>
      </c>
      <c r="T1342" s="37">
        <v>1</v>
      </c>
      <c r="U1342" s="37" t="s">
        <v>2517</v>
      </c>
      <c r="V1342" s="37" t="s">
        <v>8280</v>
      </c>
      <c r="W1342" s="37" t="s">
        <v>8281</v>
      </c>
      <c r="X1342" s="60">
        <v>45965.638888888891</v>
      </c>
      <c r="Y1342" s="37"/>
      <c r="Z1342" s="37">
        <v>0.3</v>
      </c>
      <c r="AA1342" s="37"/>
      <c r="AB1342" s="37" t="s">
        <v>2521</v>
      </c>
      <c r="AC1342" s="40" t="s">
        <v>8130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3472</v>
      </c>
      <c r="H1343" s="37" t="s">
        <v>2987</v>
      </c>
      <c r="I1343" s="37"/>
      <c r="J1343" s="37"/>
      <c r="K1343" s="37"/>
      <c r="L1343" s="37"/>
      <c r="M1343" s="38"/>
      <c r="N1343" s="37"/>
      <c r="O1343" s="38"/>
      <c r="P1343" s="39"/>
      <c r="Q1343" s="37" t="s">
        <v>3473</v>
      </c>
      <c r="R1343" s="37" t="s">
        <v>2516</v>
      </c>
      <c r="S1343" s="37" t="s">
        <v>25</v>
      </c>
      <c r="T1343" s="37">
        <v>1</v>
      </c>
      <c r="U1343" s="37" t="s">
        <v>2517</v>
      </c>
      <c r="V1343" s="37" t="s">
        <v>8282</v>
      </c>
      <c r="W1343" s="37" t="s">
        <v>8283</v>
      </c>
      <c r="X1343" s="60">
        <v>45965.666666666657</v>
      </c>
      <c r="Y1343" s="37"/>
      <c r="Z1343" s="37">
        <v>0.3</v>
      </c>
      <c r="AA1343" s="37"/>
      <c r="AB1343" s="37" t="s">
        <v>2521</v>
      </c>
      <c r="AC1343" s="40" t="s">
        <v>8130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3476</v>
      </c>
      <c r="H1344" s="37" t="s">
        <v>2987</v>
      </c>
      <c r="I1344" s="37"/>
      <c r="J1344" s="37"/>
      <c r="K1344" s="37"/>
      <c r="L1344" s="37"/>
      <c r="M1344" s="38"/>
      <c r="N1344" s="37"/>
      <c r="O1344" s="38"/>
      <c r="P1344" s="39"/>
      <c r="Q1344" s="37" t="s">
        <v>3477</v>
      </c>
      <c r="R1344" s="37" t="s">
        <v>2516</v>
      </c>
      <c r="S1344" s="37" t="s">
        <v>25</v>
      </c>
      <c r="T1344" s="37">
        <v>1</v>
      </c>
      <c r="U1344" s="37" t="s">
        <v>2517</v>
      </c>
      <c r="V1344" s="37" t="s">
        <v>8284</v>
      </c>
      <c r="W1344" s="37" t="s">
        <v>8285</v>
      </c>
      <c r="X1344" s="60">
        <v>45965.694444444453</v>
      </c>
      <c r="Y1344" s="37"/>
      <c r="Z1344" s="37">
        <v>0.3</v>
      </c>
      <c r="AA1344" s="37"/>
      <c r="AB1344" s="37" t="s">
        <v>2521</v>
      </c>
      <c r="AC1344" s="40" t="s">
        <v>8130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3294</v>
      </c>
      <c r="H1345" s="37" t="s">
        <v>2507</v>
      </c>
      <c r="I1345" s="37"/>
      <c r="J1345" s="37"/>
      <c r="K1345" s="37"/>
      <c r="L1345" s="37"/>
      <c r="M1345" s="38"/>
      <c r="N1345" s="37"/>
      <c r="O1345" s="38"/>
      <c r="P1345" s="39"/>
      <c r="Q1345" s="37" t="s">
        <v>3295</v>
      </c>
      <c r="R1345" s="37" t="s">
        <v>2516</v>
      </c>
      <c r="S1345" s="37" t="s">
        <v>25</v>
      </c>
      <c r="T1345" s="37">
        <v>1</v>
      </c>
      <c r="U1345" s="37" t="s">
        <v>2517</v>
      </c>
      <c r="V1345" s="37" t="s">
        <v>8286</v>
      </c>
      <c r="W1345" s="37" t="s">
        <v>8287</v>
      </c>
      <c r="X1345" s="60">
        <v>45966.409722222219</v>
      </c>
      <c r="Y1345" s="37"/>
      <c r="Z1345" s="37">
        <v>0.3</v>
      </c>
      <c r="AA1345" s="37"/>
      <c r="AB1345" s="37" t="s">
        <v>2521</v>
      </c>
      <c r="AC1345" s="40" t="s">
        <v>7788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3353</v>
      </c>
      <c r="G1346" s="37" t="s">
        <v>3354</v>
      </c>
      <c r="H1346" s="37" t="s">
        <v>2507</v>
      </c>
      <c r="I1346" s="37"/>
      <c r="J1346" s="37"/>
      <c r="K1346" s="37"/>
      <c r="L1346" s="37"/>
      <c r="M1346" s="38"/>
      <c r="N1346" s="37"/>
      <c r="O1346" s="38"/>
      <c r="P1346" s="39"/>
      <c r="Q1346" s="37" t="s">
        <v>3357</v>
      </c>
      <c r="R1346" s="37" t="s">
        <v>2516</v>
      </c>
      <c r="S1346" s="37" t="s">
        <v>25</v>
      </c>
      <c r="T1346" s="37">
        <v>1</v>
      </c>
      <c r="U1346" s="37" t="s">
        <v>2517</v>
      </c>
      <c r="V1346" s="37" t="s">
        <v>8288</v>
      </c>
      <c r="W1346" s="37" t="s">
        <v>8289</v>
      </c>
      <c r="X1346" s="60">
        <v>45966.444444444453</v>
      </c>
      <c r="Y1346" s="37"/>
      <c r="Z1346" s="37">
        <v>0.3</v>
      </c>
      <c r="AA1346" s="37"/>
      <c r="AB1346" s="37" t="s">
        <v>2521</v>
      </c>
      <c r="AC1346" s="40" t="s">
        <v>8130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3303</v>
      </c>
      <c r="H1347" s="37" t="s">
        <v>2507</v>
      </c>
      <c r="I1347" s="37"/>
      <c r="J1347" s="37"/>
      <c r="K1347" s="37"/>
      <c r="L1347" s="37"/>
      <c r="M1347" s="38"/>
      <c r="N1347" s="37"/>
      <c r="O1347" s="38"/>
      <c r="P1347" s="39"/>
      <c r="Q1347" s="37" t="s">
        <v>3304</v>
      </c>
      <c r="R1347" s="37" t="s">
        <v>2516</v>
      </c>
      <c r="S1347" s="37" t="s">
        <v>25</v>
      </c>
      <c r="T1347" s="37">
        <v>1</v>
      </c>
      <c r="U1347" s="37" t="s">
        <v>2517</v>
      </c>
      <c r="V1347" s="37" t="s">
        <v>8290</v>
      </c>
      <c r="W1347" s="37" t="s">
        <v>8291</v>
      </c>
      <c r="X1347" s="60">
        <v>45966.465277777781</v>
      </c>
      <c r="Y1347" s="37"/>
      <c r="Z1347" s="37">
        <v>0.3</v>
      </c>
      <c r="AA1347" s="37"/>
      <c r="AB1347" s="37" t="s">
        <v>2521</v>
      </c>
      <c r="AC1347" s="40" t="s">
        <v>8130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4356</v>
      </c>
      <c r="H1348" s="37" t="s">
        <v>2507</v>
      </c>
      <c r="I1348" s="37"/>
      <c r="J1348" s="37"/>
      <c r="K1348" s="37"/>
      <c r="L1348" s="37"/>
      <c r="M1348" s="38"/>
      <c r="N1348" s="37"/>
      <c r="O1348" s="38"/>
      <c r="P1348" s="39"/>
      <c r="Q1348" s="37" t="s">
        <v>4357</v>
      </c>
      <c r="R1348" s="37" t="s">
        <v>2516</v>
      </c>
      <c r="S1348" s="37" t="s">
        <v>25</v>
      </c>
      <c r="T1348" s="37">
        <v>1</v>
      </c>
      <c r="U1348" s="37" t="s">
        <v>2517</v>
      </c>
      <c r="V1348" s="37" t="s">
        <v>8292</v>
      </c>
      <c r="W1348" s="37" t="s">
        <v>8293</v>
      </c>
      <c r="X1348" s="60">
        <v>45966.680555555547</v>
      </c>
      <c r="Y1348" s="37"/>
      <c r="Z1348" s="37">
        <v>0.3</v>
      </c>
      <c r="AA1348" s="37"/>
      <c r="AB1348" s="37" t="s">
        <v>2521</v>
      </c>
      <c r="AC1348" s="40" t="s">
        <v>8130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3863</v>
      </c>
      <c r="G1349" s="37" t="s">
        <v>7612</v>
      </c>
      <c r="H1349" s="37" t="s">
        <v>2507</v>
      </c>
      <c r="I1349" s="37"/>
      <c r="J1349" s="37"/>
      <c r="K1349" s="37"/>
      <c r="L1349" s="37"/>
      <c r="M1349" s="38"/>
      <c r="N1349" s="37"/>
      <c r="O1349" s="38"/>
      <c r="P1349" s="39"/>
      <c r="Q1349" s="37" t="s">
        <v>3865</v>
      </c>
      <c r="R1349" s="37" t="s">
        <v>2516</v>
      </c>
      <c r="S1349" s="37" t="s">
        <v>25</v>
      </c>
      <c r="T1349" s="37">
        <v>1</v>
      </c>
      <c r="U1349" s="37" t="s">
        <v>2517</v>
      </c>
      <c r="V1349" s="37" t="s">
        <v>8294</v>
      </c>
      <c r="W1349" s="37" t="s">
        <v>8295</v>
      </c>
      <c r="X1349" s="60">
        <v>45966.707638888889</v>
      </c>
      <c r="Y1349" s="37"/>
      <c r="Z1349" s="37">
        <v>0.4</v>
      </c>
      <c r="AA1349" s="37"/>
      <c r="AB1349" s="37" t="s">
        <v>2521</v>
      </c>
      <c r="AC1349" s="40" t="s">
        <v>8130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8296</v>
      </c>
      <c r="E1350" s="37" t="s">
        <v>2504</v>
      </c>
      <c r="F1350" s="37">
        <v>3929</v>
      </c>
      <c r="G1350" s="37" t="s">
        <v>3160</v>
      </c>
      <c r="H1350" s="37" t="s">
        <v>2641</v>
      </c>
      <c r="I1350" s="37" t="s">
        <v>8297</v>
      </c>
      <c r="J1350" s="37" t="s">
        <v>2835</v>
      </c>
      <c r="K1350" s="37" t="s">
        <v>2568</v>
      </c>
      <c r="L1350" s="37" t="s">
        <v>3497</v>
      </c>
      <c r="M1350" s="38" t="s">
        <v>3498</v>
      </c>
      <c r="N1350" s="37">
        <v>3404</v>
      </c>
      <c r="O1350" s="38" t="s">
        <v>3499</v>
      </c>
      <c r="P1350" s="39" t="s">
        <v>8298</v>
      </c>
      <c r="Q1350" s="37" t="s">
        <v>3163</v>
      </c>
      <c r="R1350" s="37" t="s">
        <v>2516</v>
      </c>
      <c r="S1350" s="37" t="s">
        <v>25</v>
      </c>
      <c r="T1350" s="37">
        <v>1</v>
      </c>
      <c r="U1350" s="37" t="s">
        <v>2517</v>
      </c>
      <c r="V1350" s="37" t="s">
        <v>8299</v>
      </c>
      <c r="W1350" s="37" t="s">
        <v>8300</v>
      </c>
      <c r="X1350" s="60">
        <v>45967.430555555547</v>
      </c>
      <c r="Y1350" s="37" t="s">
        <v>8301</v>
      </c>
      <c r="Z1350" s="37">
        <v>0.2</v>
      </c>
      <c r="AA1350" s="37"/>
      <c r="AB1350" s="37" t="s">
        <v>2521</v>
      </c>
      <c r="AC1350" s="40" t="s">
        <v>8302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3160</v>
      </c>
      <c r="H1351" s="37" t="s">
        <v>2641</v>
      </c>
      <c r="I1351" s="37"/>
      <c r="J1351" s="37"/>
      <c r="K1351" s="37"/>
      <c r="L1351" s="37"/>
      <c r="M1351" s="38"/>
      <c r="N1351" s="37"/>
      <c r="O1351" s="38"/>
      <c r="P1351" s="39"/>
      <c r="Q1351" s="37" t="s">
        <v>3163</v>
      </c>
      <c r="R1351" s="37" t="s">
        <v>2516</v>
      </c>
      <c r="S1351" s="37" t="s">
        <v>25</v>
      </c>
      <c r="T1351" s="37">
        <v>1</v>
      </c>
      <c r="U1351" s="37" t="s">
        <v>2517</v>
      </c>
      <c r="V1351" s="37" t="s">
        <v>8303</v>
      </c>
      <c r="W1351" s="37" t="s">
        <v>8304</v>
      </c>
      <c r="X1351" s="60">
        <v>45967.409722222219</v>
      </c>
      <c r="Y1351" s="37"/>
      <c r="Z1351" s="37">
        <v>0.3</v>
      </c>
      <c r="AA1351" s="37"/>
      <c r="AB1351" s="37" t="s">
        <v>2521</v>
      </c>
      <c r="AC1351" s="40" t="s">
        <v>8130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7014</v>
      </c>
      <c r="H1352" s="37" t="s">
        <v>2641</v>
      </c>
      <c r="I1352" s="37"/>
      <c r="J1352" s="37"/>
      <c r="K1352" s="37"/>
      <c r="L1352" s="37"/>
      <c r="M1352" s="38"/>
      <c r="N1352" s="37"/>
      <c r="O1352" s="38"/>
      <c r="P1352" s="39"/>
      <c r="Q1352" s="37" t="s">
        <v>3905</v>
      </c>
      <c r="R1352" s="37" t="s">
        <v>2516</v>
      </c>
      <c r="S1352" s="37" t="s">
        <v>25</v>
      </c>
      <c r="T1352" s="37">
        <v>1</v>
      </c>
      <c r="U1352" s="37" t="s">
        <v>2517</v>
      </c>
      <c r="V1352" s="37" t="s">
        <v>8305</v>
      </c>
      <c r="W1352" s="37" t="s">
        <v>8306</v>
      </c>
      <c r="X1352" s="60">
        <v>45967.458333333343</v>
      </c>
      <c r="Y1352" s="37"/>
      <c r="Z1352" s="37">
        <v>0.3</v>
      </c>
      <c r="AA1352" s="37"/>
      <c r="AB1352" s="37" t="s">
        <v>2521</v>
      </c>
      <c r="AC1352" s="40" t="s">
        <v>8130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4772</v>
      </c>
      <c r="H1353" s="37" t="s">
        <v>2641</v>
      </c>
      <c r="I1353" s="37"/>
      <c r="J1353" s="37"/>
      <c r="K1353" s="37"/>
      <c r="L1353" s="37"/>
      <c r="M1353" s="38"/>
      <c r="N1353" s="37"/>
      <c r="O1353" s="38"/>
      <c r="P1353" s="39"/>
      <c r="Q1353" s="37" t="s">
        <v>4773</v>
      </c>
      <c r="R1353" s="37" t="s">
        <v>2516</v>
      </c>
      <c r="S1353" s="37" t="s">
        <v>25</v>
      </c>
      <c r="T1353" s="37">
        <v>1</v>
      </c>
      <c r="U1353" s="37" t="s">
        <v>2517</v>
      </c>
      <c r="V1353" s="37" t="s">
        <v>8307</v>
      </c>
      <c r="W1353" s="37" t="s">
        <v>8308</v>
      </c>
      <c r="X1353" s="60">
        <v>45967.479166666657</v>
      </c>
      <c r="Y1353" s="37"/>
      <c r="Z1353" s="37">
        <v>0.3</v>
      </c>
      <c r="AA1353" s="37"/>
      <c r="AB1353" s="37" t="s">
        <v>2521</v>
      </c>
      <c r="AC1353" s="40" t="s">
        <v>8130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3200</v>
      </c>
      <c r="H1354" s="37" t="s">
        <v>2641</v>
      </c>
      <c r="I1354" s="37"/>
      <c r="J1354" s="37"/>
      <c r="K1354" s="37"/>
      <c r="L1354" s="37"/>
      <c r="M1354" s="38"/>
      <c r="N1354" s="37"/>
      <c r="O1354" s="38"/>
      <c r="P1354" s="39"/>
      <c r="Q1354" s="37" t="s">
        <v>3203</v>
      </c>
      <c r="R1354" s="37" t="s">
        <v>2516</v>
      </c>
      <c r="S1354" s="37" t="s">
        <v>25</v>
      </c>
      <c r="T1354" s="37">
        <v>1</v>
      </c>
      <c r="U1354" s="37" t="s">
        <v>2517</v>
      </c>
      <c r="V1354" s="37" t="s">
        <v>8309</v>
      </c>
      <c r="W1354" s="37" t="s">
        <v>8310</v>
      </c>
      <c r="X1354" s="60">
        <v>45967.506944444453</v>
      </c>
      <c r="Y1354" s="37"/>
      <c r="Z1354" s="37">
        <v>0.3</v>
      </c>
      <c r="AA1354" s="37"/>
      <c r="AB1354" s="37" t="s">
        <v>2521</v>
      </c>
      <c r="AC1354" s="40" t="s">
        <v>8130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3728</v>
      </c>
      <c r="H1355" s="37" t="s">
        <v>2641</v>
      </c>
      <c r="I1355" s="37"/>
      <c r="J1355" s="37"/>
      <c r="K1355" s="37"/>
      <c r="L1355" s="37"/>
      <c r="M1355" s="38"/>
      <c r="N1355" s="37"/>
      <c r="O1355" s="38"/>
      <c r="P1355" s="39"/>
      <c r="Q1355" s="37" t="s">
        <v>3729</v>
      </c>
      <c r="R1355" s="37" t="s">
        <v>2516</v>
      </c>
      <c r="S1355" s="37" t="s">
        <v>25</v>
      </c>
      <c r="T1355" s="37">
        <v>1</v>
      </c>
      <c r="U1355" s="37" t="s">
        <v>2517</v>
      </c>
      <c r="V1355" s="37" t="s">
        <v>8311</v>
      </c>
      <c r="W1355" s="37" t="s">
        <v>8312</v>
      </c>
      <c r="X1355" s="60">
        <v>45967.548611111109</v>
      </c>
      <c r="Y1355" s="37"/>
      <c r="Z1355" s="37">
        <v>0.3</v>
      </c>
      <c r="AA1355" s="37"/>
      <c r="AB1355" s="37" t="s">
        <v>2521</v>
      </c>
      <c r="AC1355" s="40" t="s">
        <v>8130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3724</v>
      </c>
      <c r="H1356" s="37" t="s">
        <v>2641</v>
      </c>
      <c r="I1356" s="37"/>
      <c r="J1356" s="37"/>
      <c r="K1356" s="37"/>
      <c r="L1356" s="37"/>
      <c r="M1356" s="38"/>
      <c r="N1356" s="37"/>
      <c r="O1356" s="38"/>
      <c r="P1356" s="39"/>
      <c r="Q1356" s="37" t="s">
        <v>3725</v>
      </c>
      <c r="R1356" s="37" t="s">
        <v>2516</v>
      </c>
      <c r="S1356" s="37" t="s">
        <v>25</v>
      </c>
      <c r="T1356" s="37">
        <v>1</v>
      </c>
      <c r="U1356" s="37" t="s">
        <v>2517</v>
      </c>
      <c r="V1356" s="37" t="s">
        <v>8313</v>
      </c>
      <c r="W1356" s="37" t="s">
        <v>8314</v>
      </c>
      <c r="X1356" s="60">
        <v>45967.569444444453</v>
      </c>
      <c r="Y1356" s="37"/>
      <c r="Z1356" s="37">
        <v>0.3</v>
      </c>
      <c r="AA1356" s="37"/>
      <c r="AB1356" s="37" t="s">
        <v>2521</v>
      </c>
      <c r="AC1356" s="40" t="s">
        <v>8130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3713</v>
      </c>
      <c r="H1357" s="37" t="s">
        <v>2641</v>
      </c>
      <c r="I1357" s="37"/>
      <c r="J1357" s="37"/>
      <c r="K1357" s="37"/>
      <c r="L1357" s="37"/>
      <c r="M1357" s="38"/>
      <c r="N1357" s="37"/>
      <c r="O1357" s="38"/>
      <c r="P1357" s="39"/>
      <c r="Q1357" s="37" t="s">
        <v>3714</v>
      </c>
      <c r="R1357" s="37" t="s">
        <v>2516</v>
      </c>
      <c r="S1357" s="37" t="s">
        <v>25</v>
      </c>
      <c r="T1357" s="37">
        <v>1</v>
      </c>
      <c r="U1357" s="37" t="s">
        <v>2517</v>
      </c>
      <c r="V1357" s="37" t="s">
        <v>8315</v>
      </c>
      <c r="W1357" s="37" t="s">
        <v>8316</v>
      </c>
      <c r="X1357" s="60">
        <v>45967.590277777781</v>
      </c>
      <c r="Y1357" s="37"/>
      <c r="Z1357" s="37">
        <v>0.3</v>
      </c>
      <c r="AA1357" s="37"/>
      <c r="AB1357" s="37" t="s">
        <v>2521</v>
      </c>
      <c r="AC1357" s="40" t="s">
        <v>8130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3092</v>
      </c>
      <c r="H1358" s="37" t="s">
        <v>2641</v>
      </c>
      <c r="I1358" s="37"/>
      <c r="J1358" s="37"/>
      <c r="K1358" s="37"/>
      <c r="L1358" s="37"/>
      <c r="M1358" s="38"/>
      <c r="N1358" s="37"/>
      <c r="O1358" s="38"/>
      <c r="P1358" s="39"/>
      <c r="Q1358" s="37" t="s">
        <v>3093</v>
      </c>
      <c r="R1358" s="37" t="s">
        <v>2516</v>
      </c>
      <c r="S1358" s="37" t="s">
        <v>25</v>
      </c>
      <c r="T1358" s="37">
        <v>1</v>
      </c>
      <c r="U1358" s="37" t="s">
        <v>2517</v>
      </c>
      <c r="V1358" s="37" t="s">
        <v>8317</v>
      </c>
      <c r="W1358" s="37" t="s">
        <v>8318</v>
      </c>
      <c r="X1358" s="60">
        <v>45967.679166666669</v>
      </c>
      <c r="Y1358" s="37"/>
      <c r="Z1358" s="37">
        <v>0.4</v>
      </c>
      <c r="AA1358" s="37"/>
      <c r="AB1358" s="37" t="s">
        <v>2521</v>
      </c>
      <c r="AC1358" s="40" t="s">
        <v>8130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8319</v>
      </c>
      <c r="E1359" s="37" t="s">
        <v>2504</v>
      </c>
      <c r="F1359" s="37">
        <v>3741</v>
      </c>
      <c r="G1359" s="37" t="s">
        <v>3516</v>
      </c>
      <c r="H1359" s="37" t="s">
        <v>2507</v>
      </c>
      <c r="I1359" s="37" t="s">
        <v>8320</v>
      </c>
      <c r="J1359" s="37" t="s">
        <v>2567</v>
      </c>
      <c r="K1359" s="37" t="s">
        <v>2568</v>
      </c>
      <c r="L1359" s="37" t="s">
        <v>2611</v>
      </c>
      <c r="M1359" s="38" t="s">
        <v>2612</v>
      </c>
      <c r="N1359" s="37" t="s">
        <v>3110</v>
      </c>
      <c r="O1359" s="38" t="s">
        <v>6688</v>
      </c>
      <c r="P1359" s="39" t="s">
        <v>8321</v>
      </c>
      <c r="Q1359" s="37" t="s">
        <v>3519</v>
      </c>
      <c r="R1359" s="37" t="s">
        <v>2516</v>
      </c>
      <c r="S1359" s="37" t="s">
        <v>25</v>
      </c>
      <c r="T1359" s="37">
        <v>1</v>
      </c>
      <c r="U1359" s="37" t="s">
        <v>2517</v>
      </c>
      <c r="V1359" s="37" t="s">
        <v>8322</v>
      </c>
      <c r="W1359" s="37" t="s">
        <v>8323</v>
      </c>
      <c r="X1359" s="60">
        <v>45968.465277777781</v>
      </c>
      <c r="Y1359" s="37" t="s">
        <v>8324</v>
      </c>
      <c r="Z1359" s="37">
        <v>0.5</v>
      </c>
      <c r="AA1359" s="37"/>
      <c r="AB1359" s="37" t="s">
        <v>2915</v>
      </c>
      <c r="AC1359" s="40" t="s">
        <v>2684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8325</v>
      </c>
      <c r="E1360" s="37" t="s">
        <v>2504</v>
      </c>
      <c r="F1360" s="37" t="s">
        <v>2812</v>
      </c>
      <c r="G1360" s="37" t="s">
        <v>2813</v>
      </c>
      <c r="H1360" s="37" t="s">
        <v>2659</v>
      </c>
      <c r="I1360" s="37" t="s">
        <v>8326</v>
      </c>
      <c r="J1360" s="37" t="s">
        <v>2567</v>
      </c>
      <c r="K1360" s="37" t="s">
        <v>2568</v>
      </c>
      <c r="L1360" s="37" t="s">
        <v>2537</v>
      </c>
      <c r="M1360" s="38" t="s">
        <v>2538</v>
      </c>
      <c r="N1360" s="37" t="s">
        <v>2539</v>
      </c>
      <c r="O1360" s="38" t="s">
        <v>2540</v>
      </c>
      <c r="P1360" s="39" t="s">
        <v>8327</v>
      </c>
      <c r="Q1360" s="37" t="s">
        <v>2814</v>
      </c>
      <c r="R1360" s="37" t="s">
        <v>2516</v>
      </c>
      <c r="S1360" s="37" t="s">
        <v>185</v>
      </c>
      <c r="T1360" s="37">
        <v>1</v>
      </c>
      <c r="U1360" s="37" t="s">
        <v>2517</v>
      </c>
      <c r="V1360" s="37" t="s">
        <v>8328</v>
      </c>
      <c r="W1360" s="37" t="s">
        <v>8329</v>
      </c>
      <c r="X1360" s="60">
        <v>45968.6875</v>
      </c>
      <c r="Y1360" s="37" t="s">
        <v>8330</v>
      </c>
      <c r="Z1360" s="37">
        <v>0.5</v>
      </c>
      <c r="AA1360" s="37"/>
      <c r="AB1360" s="37" t="s">
        <v>2521</v>
      </c>
      <c r="AC1360" s="40" t="s">
        <v>8331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8332</v>
      </c>
      <c r="E1361" s="37" t="s">
        <v>2504</v>
      </c>
      <c r="F1361" s="37" t="s">
        <v>2812</v>
      </c>
      <c r="G1361" s="37" t="s">
        <v>2813</v>
      </c>
      <c r="H1361" s="37" t="s">
        <v>2659</v>
      </c>
      <c r="I1361" s="37" t="s">
        <v>8333</v>
      </c>
      <c r="J1361" s="37" t="s">
        <v>2567</v>
      </c>
      <c r="K1361" s="37" t="s">
        <v>2568</v>
      </c>
      <c r="L1361" s="37" t="s">
        <v>2537</v>
      </c>
      <c r="M1361" s="38" t="s">
        <v>2538</v>
      </c>
      <c r="N1361" s="37" t="s">
        <v>2539</v>
      </c>
      <c r="O1361" s="38" t="s">
        <v>2540</v>
      </c>
      <c r="P1361" s="39" t="s">
        <v>8334</v>
      </c>
      <c r="Q1361" s="37" t="s">
        <v>2814</v>
      </c>
      <c r="R1361" s="37" t="s">
        <v>2516</v>
      </c>
      <c r="S1361" s="37" t="s">
        <v>185</v>
      </c>
      <c r="T1361" s="37">
        <v>1</v>
      </c>
      <c r="U1361" s="37" t="s">
        <v>2517</v>
      </c>
      <c r="V1361" s="37" t="s">
        <v>8335</v>
      </c>
      <c r="W1361" s="37" t="s">
        <v>8336</v>
      </c>
      <c r="X1361" s="60">
        <v>45968.708333333343</v>
      </c>
      <c r="Y1361" s="37" t="s">
        <v>8337</v>
      </c>
      <c r="Z1361" s="37">
        <v>0.5</v>
      </c>
      <c r="AA1361" s="37"/>
      <c r="AB1361" s="37" t="s">
        <v>2521</v>
      </c>
      <c r="AC1361" s="40" t="s">
        <v>8338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2715</v>
      </c>
      <c r="H1362" s="37" t="s">
        <v>2507</v>
      </c>
      <c r="I1362" s="37"/>
      <c r="J1362" s="37"/>
      <c r="K1362" s="37"/>
      <c r="L1362" s="37"/>
      <c r="M1362" s="38"/>
      <c r="N1362" s="37"/>
      <c r="O1362" s="38"/>
      <c r="P1362" s="39"/>
      <c r="Q1362" s="37" t="s">
        <v>2719</v>
      </c>
      <c r="R1362" s="37" t="s">
        <v>2516</v>
      </c>
      <c r="S1362" s="37" t="s">
        <v>25</v>
      </c>
      <c r="T1362" s="37">
        <v>1</v>
      </c>
      <c r="U1362" s="37" t="s">
        <v>2517</v>
      </c>
      <c r="V1362" s="37" t="s">
        <v>8339</v>
      </c>
      <c r="W1362" s="37" t="s">
        <v>8323</v>
      </c>
      <c r="X1362" s="60">
        <v>45968.458333333343</v>
      </c>
      <c r="Y1362" s="37"/>
      <c r="Z1362" s="37">
        <v>0.3</v>
      </c>
      <c r="AA1362" s="37"/>
      <c r="AB1362" s="37" t="s">
        <v>2521</v>
      </c>
      <c r="AC1362" s="40" t="s">
        <v>8130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8340</v>
      </c>
      <c r="E1363" s="37" t="s">
        <v>2504</v>
      </c>
      <c r="F1363" s="37">
        <v>3380</v>
      </c>
      <c r="G1363" s="37" t="s">
        <v>2710</v>
      </c>
      <c r="H1363" s="37" t="s">
        <v>2659</v>
      </c>
      <c r="I1363" s="37" t="s">
        <v>8341</v>
      </c>
      <c r="J1363" s="37" t="s">
        <v>2567</v>
      </c>
      <c r="K1363" s="37" t="s">
        <v>2568</v>
      </c>
      <c r="L1363" s="37" t="s">
        <v>2537</v>
      </c>
      <c r="M1363" s="38" t="s">
        <v>2538</v>
      </c>
      <c r="N1363" s="37" t="s">
        <v>2539</v>
      </c>
      <c r="O1363" s="38" t="s">
        <v>2540</v>
      </c>
      <c r="P1363" s="39" t="s">
        <v>8342</v>
      </c>
      <c r="Q1363" s="37" t="s">
        <v>2711</v>
      </c>
      <c r="R1363" s="37" t="s">
        <v>2516</v>
      </c>
      <c r="S1363" s="37" t="s">
        <v>185</v>
      </c>
      <c r="T1363" s="37">
        <v>1</v>
      </c>
      <c r="U1363" s="37" t="s">
        <v>2517</v>
      </c>
      <c r="V1363" s="37" t="s">
        <v>8343</v>
      </c>
      <c r="W1363" s="37" t="s">
        <v>8344</v>
      </c>
      <c r="X1363" s="60">
        <v>45971.5625</v>
      </c>
      <c r="Y1363" s="37" t="s">
        <v>8345</v>
      </c>
      <c r="Z1363" s="37">
        <v>0.5</v>
      </c>
      <c r="AA1363" s="37"/>
      <c r="AB1363" s="37" t="s">
        <v>2521</v>
      </c>
      <c r="AC1363" s="40" t="s">
        <v>8346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8347</v>
      </c>
      <c r="E1364" s="37" t="s">
        <v>2504</v>
      </c>
      <c r="F1364" s="37">
        <v>3380</v>
      </c>
      <c r="G1364" s="37" t="s">
        <v>2710</v>
      </c>
      <c r="H1364" s="37" t="s">
        <v>2659</v>
      </c>
      <c r="I1364" s="37" t="s">
        <v>8348</v>
      </c>
      <c r="J1364" s="37" t="s">
        <v>2567</v>
      </c>
      <c r="K1364" s="37" t="s">
        <v>2568</v>
      </c>
      <c r="L1364" s="37" t="s">
        <v>2537</v>
      </c>
      <c r="M1364" s="38" t="s">
        <v>2538</v>
      </c>
      <c r="N1364" s="37" t="s">
        <v>2539</v>
      </c>
      <c r="O1364" s="38" t="s">
        <v>2540</v>
      </c>
      <c r="P1364" s="39" t="s">
        <v>8349</v>
      </c>
      <c r="Q1364" s="37" t="s">
        <v>2711</v>
      </c>
      <c r="R1364" s="37" t="s">
        <v>2516</v>
      </c>
      <c r="S1364" s="37" t="s">
        <v>185</v>
      </c>
      <c r="T1364" s="37">
        <v>1</v>
      </c>
      <c r="U1364" s="37" t="s">
        <v>2517</v>
      </c>
      <c r="V1364" s="37" t="s">
        <v>8350</v>
      </c>
      <c r="W1364" s="37" t="s">
        <v>8351</v>
      </c>
      <c r="X1364" s="60">
        <v>45971.583333333343</v>
      </c>
      <c r="Y1364" s="37" t="s">
        <v>8352</v>
      </c>
      <c r="Z1364" s="37">
        <v>0.5</v>
      </c>
      <c r="AA1364" s="37"/>
      <c r="AB1364" s="37" t="s">
        <v>2521</v>
      </c>
      <c r="AC1364" s="40" t="s">
        <v>8353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2822</v>
      </c>
      <c r="H1365" s="37" t="s">
        <v>2507</v>
      </c>
      <c r="I1365" s="37"/>
      <c r="J1365" s="37"/>
      <c r="K1365" s="37"/>
      <c r="L1365" s="37"/>
      <c r="M1365" s="38"/>
      <c r="N1365" s="37"/>
      <c r="O1365" s="38"/>
      <c r="P1365" s="39"/>
      <c r="Q1365" s="37" t="s">
        <v>2823</v>
      </c>
      <c r="R1365" s="37" t="s">
        <v>2516</v>
      </c>
      <c r="S1365" s="37" t="s">
        <v>25</v>
      </c>
      <c r="T1365" s="37">
        <v>1</v>
      </c>
      <c r="U1365" s="37" t="s">
        <v>2517</v>
      </c>
      <c r="V1365" s="37" t="s">
        <v>8354</v>
      </c>
      <c r="W1365" s="37" t="s">
        <v>8355</v>
      </c>
      <c r="X1365" s="60">
        <v>45968.576388888891</v>
      </c>
      <c r="Y1365" s="37"/>
      <c r="Z1365" s="37">
        <v>0.3</v>
      </c>
      <c r="AA1365" s="37"/>
      <c r="AB1365" s="37" t="s">
        <v>2521</v>
      </c>
      <c r="AC1365" s="40" t="s">
        <v>8130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2859</v>
      </c>
      <c r="H1366" s="37" t="s">
        <v>2507</v>
      </c>
      <c r="I1366" s="37"/>
      <c r="J1366" s="37"/>
      <c r="K1366" s="37"/>
      <c r="L1366" s="37"/>
      <c r="M1366" s="38"/>
      <c r="N1366" s="37"/>
      <c r="O1366" s="38"/>
      <c r="P1366" s="39"/>
      <c r="Q1366" s="37" t="s">
        <v>2860</v>
      </c>
      <c r="R1366" s="37" t="s">
        <v>2516</v>
      </c>
      <c r="S1366" s="37" t="s">
        <v>25</v>
      </c>
      <c r="T1366" s="37">
        <v>1</v>
      </c>
      <c r="U1366" s="37" t="s">
        <v>2517</v>
      </c>
      <c r="V1366" s="37" t="s">
        <v>8356</v>
      </c>
      <c r="W1366" s="37" t="s">
        <v>8357</v>
      </c>
      <c r="X1366" s="60">
        <v>45968.604166666657</v>
      </c>
      <c r="Y1366" s="37"/>
      <c r="Z1366" s="37">
        <v>0.3</v>
      </c>
      <c r="AA1366" s="37"/>
      <c r="AB1366" s="37" t="s">
        <v>2521</v>
      </c>
      <c r="AC1366" s="40" t="s">
        <v>8130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8358</v>
      </c>
      <c r="E1367" s="37" t="s">
        <v>2504</v>
      </c>
      <c r="F1367" s="37">
        <v>2259</v>
      </c>
      <c r="G1367" s="37" t="s">
        <v>2631</v>
      </c>
      <c r="H1367" s="37" t="s">
        <v>2507</v>
      </c>
      <c r="I1367" s="37" t="s">
        <v>8359</v>
      </c>
      <c r="J1367" s="37" t="s">
        <v>2567</v>
      </c>
      <c r="K1367" s="37" t="s">
        <v>2510</v>
      </c>
      <c r="L1367" s="37" t="s">
        <v>3497</v>
      </c>
      <c r="M1367" s="38" t="s">
        <v>3498</v>
      </c>
      <c r="N1367" s="37">
        <v>3404</v>
      </c>
      <c r="O1367" s="38" t="s">
        <v>3499</v>
      </c>
      <c r="P1367" s="39" t="s">
        <v>8360</v>
      </c>
      <c r="Q1367" s="37" t="s">
        <v>2632</v>
      </c>
      <c r="R1367" s="37" t="s">
        <v>2516</v>
      </c>
      <c r="S1367" s="37" t="s">
        <v>25</v>
      </c>
      <c r="T1367" s="37">
        <v>1</v>
      </c>
      <c r="U1367" s="37" t="s">
        <v>2517</v>
      </c>
      <c r="V1367" s="37" t="s">
        <v>8361</v>
      </c>
      <c r="W1367" s="37" t="s">
        <v>8362</v>
      </c>
      <c r="X1367" s="60">
        <v>45968.669444444437</v>
      </c>
      <c r="Y1367" s="37" t="s">
        <v>8363</v>
      </c>
      <c r="Z1367" s="37">
        <v>0.5</v>
      </c>
      <c r="AA1367" s="37"/>
      <c r="AB1367" s="37" t="s">
        <v>2521</v>
      </c>
      <c r="AC1367" s="40" t="s">
        <v>8364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2631</v>
      </c>
      <c r="H1368" s="37" t="s">
        <v>2507</v>
      </c>
      <c r="I1368" s="37"/>
      <c r="J1368" s="37"/>
      <c r="K1368" s="37"/>
      <c r="L1368" s="37"/>
      <c r="M1368" s="38"/>
      <c r="N1368" s="37"/>
      <c r="O1368" s="38"/>
      <c r="P1368" s="39"/>
      <c r="Q1368" s="37" t="s">
        <v>2632</v>
      </c>
      <c r="R1368" s="37" t="s">
        <v>2516</v>
      </c>
      <c r="S1368" s="37" t="s">
        <v>25</v>
      </c>
      <c r="T1368" s="37">
        <v>1</v>
      </c>
      <c r="U1368" s="37" t="s">
        <v>2517</v>
      </c>
      <c r="V1368" s="37" t="s">
        <v>8365</v>
      </c>
      <c r="W1368" s="37" t="s">
        <v>8366</v>
      </c>
      <c r="X1368" s="60">
        <v>45968.65625</v>
      </c>
      <c r="Y1368" s="37"/>
      <c r="Z1368" s="37">
        <v>0.3</v>
      </c>
      <c r="AA1368" s="37"/>
      <c r="AB1368" s="37" t="s">
        <v>2521</v>
      </c>
      <c r="AC1368" s="40" t="s">
        <v>8136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2828</v>
      </c>
      <c r="H1369" s="37" t="s">
        <v>2507</v>
      </c>
      <c r="I1369" s="37"/>
      <c r="J1369" s="37"/>
      <c r="K1369" s="37"/>
      <c r="L1369" s="37"/>
      <c r="M1369" s="38"/>
      <c r="N1369" s="37"/>
      <c r="O1369" s="38"/>
      <c r="P1369" s="39"/>
      <c r="Q1369" s="37" t="s">
        <v>2829</v>
      </c>
      <c r="R1369" s="37" t="s">
        <v>2516</v>
      </c>
      <c r="S1369" s="37" t="s">
        <v>25</v>
      </c>
      <c r="T1369" s="37">
        <v>1</v>
      </c>
      <c r="U1369" s="37" t="s">
        <v>2517</v>
      </c>
      <c r="V1369" s="37" t="s">
        <v>8367</v>
      </c>
      <c r="W1369" s="37" t="s">
        <v>8368</v>
      </c>
      <c r="X1369" s="60">
        <v>45968.479166666657</v>
      </c>
      <c r="Y1369" s="37"/>
      <c r="Z1369" s="37">
        <v>0.3</v>
      </c>
      <c r="AA1369" s="37"/>
      <c r="AB1369" s="37" t="s">
        <v>2521</v>
      </c>
      <c r="AC1369" s="40" t="s">
        <v>8130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3417</v>
      </c>
      <c r="H1370" s="37" t="s">
        <v>2507</v>
      </c>
      <c r="I1370" s="37"/>
      <c r="J1370" s="37"/>
      <c r="K1370" s="37"/>
      <c r="L1370" s="37"/>
      <c r="M1370" s="38"/>
      <c r="N1370" s="37"/>
      <c r="O1370" s="38"/>
      <c r="P1370" s="39"/>
      <c r="Q1370" s="37" t="s">
        <v>3418</v>
      </c>
      <c r="R1370" s="37" t="s">
        <v>2516</v>
      </c>
      <c r="S1370" s="37" t="s">
        <v>25</v>
      </c>
      <c r="T1370" s="37">
        <v>1</v>
      </c>
      <c r="U1370" s="37" t="s">
        <v>2517</v>
      </c>
      <c r="V1370" s="37" t="s">
        <v>8369</v>
      </c>
      <c r="W1370" s="37" t="s">
        <v>8370</v>
      </c>
      <c r="X1370" s="60">
        <v>45968.694444444453</v>
      </c>
      <c r="Y1370" s="37"/>
      <c r="Z1370" s="37">
        <v>0.3</v>
      </c>
      <c r="AA1370" s="37"/>
      <c r="AB1370" s="37" t="s">
        <v>2521</v>
      </c>
      <c r="AC1370" s="40" t="s">
        <v>8130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8180</v>
      </c>
      <c r="H1371" s="37" t="s">
        <v>2507</v>
      </c>
      <c r="I1371" s="37"/>
      <c r="J1371" s="37"/>
      <c r="K1371" s="37"/>
      <c r="L1371" s="37"/>
      <c r="M1371" s="38"/>
      <c r="N1371" s="37"/>
      <c r="O1371" s="38"/>
      <c r="P1371" s="39"/>
      <c r="Q1371" s="37" t="s">
        <v>3845</v>
      </c>
      <c r="R1371" s="37" t="s">
        <v>2516</v>
      </c>
      <c r="S1371" s="37" t="s">
        <v>25</v>
      </c>
      <c r="T1371" s="37">
        <v>1</v>
      </c>
      <c r="U1371" s="37" t="s">
        <v>2517</v>
      </c>
      <c r="V1371" s="37" t="s">
        <v>8371</v>
      </c>
      <c r="W1371" s="37" t="s">
        <v>8372</v>
      </c>
      <c r="X1371" s="60">
        <v>45968.711805555547</v>
      </c>
      <c r="Y1371" s="37"/>
      <c r="Z1371" s="37">
        <v>0.3</v>
      </c>
      <c r="AA1371" s="37"/>
      <c r="AB1371" s="37" t="s">
        <v>2521</v>
      </c>
      <c r="AC1371" s="40" t="s">
        <v>8130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2812</v>
      </c>
      <c r="G1372" s="37" t="s">
        <v>2813</v>
      </c>
      <c r="H1372" s="37" t="s">
        <v>2659</v>
      </c>
      <c r="I1372" s="37"/>
      <c r="J1372" s="37"/>
      <c r="K1372" s="37"/>
      <c r="L1372" s="37"/>
      <c r="M1372" s="38"/>
      <c r="N1372" s="37"/>
      <c r="O1372" s="38"/>
      <c r="P1372" s="39"/>
      <c r="Q1372" s="37" t="s">
        <v>2814</v>
      </c>
      <c r="R1372" s="37" t="s">
        <v>2516</v>
      </c>
      <c r="S1372" s="37" t="s">
        <v>185</v>
      </c>
      <c r="T1372" s="37">
        <v>1</v>
      </c>
      <c r="U1372" s="37" t="s">
        <v>2517</v>
      </c>
      <c r="V1372" s="37" t="s">
        <v>8373</v>
      </c>
      <c r="W1372" s="37" t="s">
        <v>8374</v>
      </c>
      <c r="X1372" s="60">
        <v>45968.71875</v>
      </c>
      <c r="Y1372" s="37"/>
      <c r="Z1372" s="37">
        <v>0.3</v>
      </c>
      <c r="AA1372" s="37"/>
      <c r="AB1372" s="37" t="s">
        <v>2521</v>
      </c>
      <c r="AC1372" s="40" t="s">
        <v>8130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8375</v>
      </c>
      <c r="E1373" s="37" t="s">
        <v>2504</v>
      </c>
      <c r="F1373" s="37">
        <v>2399</v>
      </c>
      <c r="G1373" s="37" t="s">
        <v>3096</v>
      </c>
      <c r="H1373" s="37" t="s">
        <v>2507</v>
      </c>
      <c r="I1373" s="37" t="s">
        <v>8376</v>
      </c>
      <c r="J1373" s="37" t="s">
        <v>2930</v>
      </c>
      <c r="K1373" s="37" t="s">
        <v>2510</v>
      </c>
      <c r="L1373" s="37" t="s">
        <v>2537</v>
      </c>
      <c r="M1373" s="38" t="s">
        <v>2538</v>
      </c>
      <c r="N1373" s="37" t="s">
        <v>2539</v>
      </c>
      <c r="O1373" s="38" t="s">
        <v>2540</v>
      </c>
      <c r="P1373" s="39" t="s">
        <v>8377</v>
      </c>
      <c r="Q1373" s="37" t="s">
        <v>3097</v>
      </c>
      <c r="R1373" s="37" t="s">
        <v>2516</v>
      </c>
      <c r="S1373" s="37" t="s">
        <v>25</v>
      </c>
      <c r="T1373" s="37">
        <v>1</v>
      </c>
      <c r="U1373" s="37" t="s">
        <v>2517</v>
      </c>
      <c r="V1373" s="37" t="s">
        <v>8378</v>
      </c>
      <c r="W1373" s="37" t="s">
        <v>8379</v>
      </c>
      <c r="X1373" s="60">
        <v>45971.652777777781</v>
      </c>
      <c r="Y1373" s="37" t="s">
        <v>8380</v>
      </c>
      <c r="Z1373" s="37">
        <v>0.3</v>
      </c>
      <c r="AA1373" s="37"/>
      <c r="AB1373" s="37" t="s">
        <v>2521</v>
      </c>
      <c r="AC1373" s="40" t="s">
        <v>8381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8382</v>
      </c>
      <c r="E1374" s="37" t="s">
        <v>2504</v>
      </c>
      <c r="F1374" s="37">
        <v>2399</v>
      </c>
      <c r="G1374" s="37" t="s">
        <v>3096</v>
      </c>
      <c r="H1374" s="37" t="s">
        <v>2507</v>
      </c>
      <c r="I1374" s="37" t="s">
        <v>8383</v>
      </c>
      <c r="J1374" s="37" t="s">
        <v>2930</v>
      </c>
      <c r="K1374" s="37" t="s">
        <v>2510</v>
      </c>
      <c r="L1374" s="37" t="s">
        <v>2537</v>
      </c>
      <c r="M1374" s="38" t="s">
        <v>2538</v>
      </c>
      <c r="N1374" s="37" t="s">
        <v>2539</v>
      </c>
      <c r="O1374" s="38" t="s">
        <v>2540</v>
      </c>
      <c r="P1374" s="39" t="s">
        <v>8384</v>
      </c>
      <c r="Q1374" s="37" t="s">
        <v>3097</v>
      </c>
      <c r="R1374" s="37" t="s">
        <v>2516</v>
      </c>
      <c r="S1374" s="37" t="s">
        <v>25</v>
      </c>
      <c r="T1374" s="37">
        <v>1</v>
      </c>
      <c r="U1374" s="37" t="s">
        <v>2517</v>
      </c>
      <c r="V1374" s="37" t="s">
        <v>8385</v>
      </c>
      <c r="W1374" s="37" t="s">
        <v>8386</v>
      </c>
      <c r="X1374" s="60">
        <v>45971.638888888891</v>
      </c>
      <c r="Y1374" s="37" t="s">
        <v>8380</v>
      </c>
      <c r="Z1374" s="37">
        <v>0.3</v>
      </c>
      <c r="AA1374" s="37"/>
      <c r="AB1374" s="37" t="s">
        <v>2521</v>
      </c>
      <c r="AC1374" s="40" t="s">
        <v>8387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3693</v>
      </c>
      <c r="H1375" s="37" t="s">
        <v>2507</v>
      </c>
      <c r="I1375" s="37"/>
      <c r="J1375" s="37"/>
      <c r="K1375" s="37"/>
      <c r="L1375" s="37"/>
      <c r="M1375" s="38"/>
      <c r="N1375" s="37"/>
      <c r="O1375" s="38"/>
      <c r="P1375" s="39"/>
      <c r="Q1375" s="37" t="s">
        <v>3694</v>
      </c>
      <c r="R1375" s="37" t="s">
        <v>2516</v>
      </c>
      <c r="S1375" s="37" t="s">
        <v>25</v>
      </c>
      <c r="T1375" s="37">
        <v>1</v>
      </c>
      <c r="U1375" s="37" t="s">
        <v>2517</v>
      </c>
      <c r="V1375" s="37" t="s">
        <v>8388</v>
      </c>
      <c r="W1375" s="37" t="s">
        <v>8389</v>
      </c>
      <c r="X1375" s="60">
        <v>45971.541666666657</v>
      </c>
      <c r="Y1375" s="37"/>
      <c r="Z1375" s="37">
        <v>2.5</v>
      </c>
      <c r="AA1375" s="37"/>
      <c r="AB1375" s="37" t="s">
        <v>2521</v>
      </c>
      <c r="AC1375" s="40" t="s">
        <v>7610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3693</v>
      </c>
      <c r="H1376" s="37" t="s">
        <v>2507</v>
      </c>
      <c r="I1376" s="37"/>
      <c r="J1376" s="37"/>
      <c r="K1376" s="37"/>
      <c r="L1376" s="37"/>
      <c r="M1376" s="38"/>
      <c r="N1376" s="37"/>
      <c r="O1376" s="38"/>
      <c r="P1376" s="39"/>
      <c r="Q1376" s="37" t="s">
        <v>3694</v>
      </c>
      <c r="R1376" s="37" t="s">
        <v>2516</v>
      </c>
      <c r="S1376" s="37" t="s">
        <v>25</v>
      </c>
      <c r="T1376" s="37">
        <v>1</v>
      </c>
      <c r="U1376" s="37" t="s">
        <v>2517</v>
      </c>
      <c r="V1376" s="37" t="s">
        <v>8390</v>
      </c>
      <c r="W1376" s="37" t="s">
        <v>8344</v>
      </c>
      <c r="X1376" s="60">
        <v>45971.5625</v>
      </c>
      <c r="Y1376" s="37"/>
      <c r="Z1376" s="37">
        <v>0.5</v>
      </c>
      <c r="AA1376" s="37"/>
      <c r="AB1376" s="37" t="s">
        <v>2521</v>
      </c>
      <c r="AC1376" s="40" t="s">
        <v>8130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8391</v>
      </c>
      <c r="H1377" s="37" t="s">
        <v>2609</v>
      </c>
      <c r="I1377" s="37"/>
      <c r="J1377" s="37"/>
      <c r="K1377" s="37"/>
      <c r="L1377" s="37"/>
      <c r="M1377" s="38"/>
      <c r="N1377" s="37"/>
      <c r="O1377" s="38"/>
      <c r="P1377" s="39"/>
      <c r="Q1377" s="37" t="s">
        <v>8392</v>
      </c>
      <c r="R1377" s="37" t="s">
        <v>2516</v>
      </c>
      <c r="S1377" s="37" t="s">
        <v>173</v>
      </c>
      <c r="T1377" s="37">
        <v>1</v>
      </c>
      <c r="U1377" s="37" t="s">
        <v>2517</v>
      </c>
      <c r="V1377" s="37" t="s">
        <v>8393</v>
      </c>
      <c r="W1377" s="37" t="s">
        <v>8394</v>
      </c>
      <c r="X1377" s="60">
        <v>45971.607638888891</v>
      </c>
      <c r="Y1377" s="37"/>
      <c r="Z1377" s="37">
        <v>2.1</v>
      </c>
      <c r="AA1377" s="37"/>
      <c r="AB1377" s="37" t="s">
        <v>2521</v>
      </c>
      <c r="AC1377" s="40" t="s">
        <v>8395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3096</v>
      </c>
      <c r="H1378" s="37" t="s">
        <v>2507</v>
      </c>
      <c r="I1378" s="37"/>
      <c r="J1378" s="37"/>
      <c r="K1378" s="37"/>
      <c r="L1378" s="37"/>
      <c r="M1378" s="38"/>
      <c r="N1378" s="37"/>
      <c r="O1378" s="38"/>
      <c r="P1378" s="39"/>
      <c r="Q1378" s="37" t="s">
        <v>3097</v>
      </c>
      <c r="R1378" s="37" t="s">
        <v>2516</v>
      </c>
      <c r="S1378" s="37" t="s">
        <v>25</v>
      </c>
      <c r="T1378" s="37">
        <v>1</v>
      </c>
      <c r="U1378" s="37" t="s">
        <v>2517</v>
      </c>
      <c r="V1378" s="37" t="s">
        <v>8396</v>
      </c>
      <c r="W1378" s="37" t="s">
        <v>8397</v>
      </c>
      <c r="X1378" s="60">
        <v>45971.659722222219</v>
      </c>
      <c r="Y1378" s="37"/>
      <c r="Z1378" s="37">
        <v>0.2</v>
      </c>
      <c r="AA1378" s="37"/>
      <c r="AB1378" s="37" t="s">
        <v>2521</v>
      </c>
      <c r="AC1378" s="40" t="s">
        <v>8136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8398</v>
      </c>
      <c r="E1379" s="37" t="s">
        <v>2504</v>
      </c>
      <c r="F1379" s="37">
        <v>5074</v>
      </c>
      <c r="G1379" s="37" t="s">
        <v>3051</v>
      </c>
      <c r="H1379" s="37" t="s">
        <v>2987</v>
      </c>
      <c r="I1379" s="37" t="s">
        <v>8399</v>
      </c>
      <c r="J1379" s="37" t="s">
        <v>2509</v>
      </c>
      <c r="K1379" s="37" t="s">
        <v>2568</v>
      </c>
      <c r="L1379" s="37" t="s">
        <v>2537</v>
      </c>
      <c r="M1379" s="38" t="s">
        <v>2538</v>
      </c>
      <c r="N1379" s="37" t="s">
        <v>2539</v>
      </c>
      <c r="O1379" s="38" t="s">
        <v>2540</v>
      </c>
      <c r="P1379" s="39" t="s">
        <v>8400</v>
      </c>
      <c r="Q1379" s="37" t="s">
        <v>3052</v>
      </c>
      <c r="R1379" s="37" t="s">
        <v>2516</v>
      </c>
      <c r="S1379" s="37" t="s">
        <v>25</v>
      </c>
      <c r="T1379" s="37">
        <v>1</v>
      </c>
      <c r="U1379" s="37" t="s">
        <v>2517</v>
      </c>
      <c r="V1379" s="37" t="s">
        <v>8401</v>
      </c>
      <c r="W1379" s="37" t="s">
        <v>8402</v>
      </c>
      <c r="X1379" s="60">
        <v>45972.46875</v>
      </c>
      <c r="Y1379" s="37" t="s">
        <v>8403</v>
      </c>
      <c r="Z1379" s="37">
        <v>0.5</v>
      </c>
      <c r="AA1379" s="37"/>
      <c r="AB1379" s="37" t="s">
        <v>2521</v>
      </c>
      <c r="AC1379" s="40" t="s">
        <v>8404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8405</v>
      </c>
      <c r="E1380" s="37" t="s">
        <v>2504</v>
      </c>
      <c r="F1380" s="37">
        <v>4144</v>
      </c>
      <c r="G1380" s="37" t="s">
        <v>3281</v>
      </c>
      <c r="H1380" s="37" t="s">
        <v>2659</v>
      </c>
      <c r="I1380" s="37" t="s">
        <v>8406</v>
      </c>
      <c r="J1380" s="37" t="s">
        <v>2509</v>
      </c>
      <c r="K1380" s="37" t="s">
        <v>2568</v>
      </c>
      <c r="L1380" s="37" t="s">
        <v>2511</v>
      </c>
      <c r="M1380" s="38" t="s">
        <v>2512</v>
      </c>
      <c r="N1380" s="37">
        <v>2307</v>
      </c>
      <c r="O1380" s="38" t="s">
        <v>2678</v>
      </c>
      <c r="P1380" s="39" t="s">
        <v>8407</v>
      </c>
      <c r="Q1380" s="37" t="s">
        <v>3284</v>
      </c>
      <c r="R1380" s="37" t="s">
        <v>2516</v>
      </c>
      <c r="S1380" s="37" t="s">
        <v>185</v>
      </c>
      <c r="T1380" s="37">
        <v>1</v>
      </c>
      <c r="U1380" s="37" t="s">
        <v>2517</v>
      </c>
      <c r="V1380" s="37" t="s">
        <v>8408</v>
      </c>
      <c r="W1380" s="37" t="s">
        <v>8380</v>
      </c>
      <c r="X1380" s="60">
        <v>45972.5625</v>
      </c>
      <c r="Y1380" s="37" t="s">
        <v>8409</v>
      </c>
      <c r="Z1380" s="37">
        <v>0.5</v>
      </c>
      <c r="AA1380" s="37"/>
      <c r="AB1380" s="37" t="s">
        <v>2521</v>
      </c>
      <c r="AC1380" s="40" t="s">
        <v>8410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8411</v>
      </c>
      <c r="E1381" s="37" t="s">
        <v>2504</v>
      </c>
      <c r="F1381" s="37">
        <v>4856</v>
      </c>
      <c r="G1381" s="37" t="s">
        <v>2763</v>
      </c>
      <c r="H1381" s="37" t="s">
        <v>2659</v>
      </c>
      <c r="I1381" s="37" t="s">
        <v>8412</v>
      </c>
      <c r="J1381" s="37" t="s">
        <v>2509</v>
      </c>
      <c r="K1381" s="37" t="s">
        <v>2510</v>
      </c>
      <c r="L1381" s="37" t="s">
        <v>3497</v>
      </c>
      <c r="M1381" s="38" t="s">
        <v>3498</v>
      </c>
      <c r="N1381" s="37">
        <v>3404</v>
      </c>
      <c r="O1381" s="38" t="s">
        <v>3499</v>
      </c>
      <c r="P1381" s="39" t="s">
        <v>8413</v>
      </c>
      <c r="Q1381" s="37" t="s">
        <v>2767</v>
      </c>
      <c r="R1381" s="37" t="s">
        <v>2516</v>
      </c>
      <c r="S1381" s="37" t="s">
        <v>185</v>
      </c>
      <c r="T1381" s="37">
        <v>1</v>
      </c>
      <c r="U1381" s="37" t="s">
        <v>2517</v>
      </c>
      <c r="V1381" s="37" t="s">
        <v>8414</v>
      </c>
      <c r="W1381" s="37" t="s">
        <v>8415</v>
      </c>
      <c r="X1381" s="60">
        <v>45972.600694444453</v>
      </c>
      <c r="Y1381" s="37" t="s">
        <v>8416</v>
      </c>
      <c r="Z1381" s="37">
        <v>0.9</v>
      </c>
      <c r="AA1381" s="37"/>
      <c r="AB1381" s="37" t="s">
        <v>2521</v>
      </c>
      <c r="AC1381" s="40" t="s">
        <v>8417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6202</v>
      </c>
      <c r="H1382" s="37" t="s">
        <v>2659</v>
      </c>
      <c r="I1382" s="37"/>
      <c r="J1382" s="37"/>
      <c r="K1382" s="37"/>
      <c r="L1382" s="37"/>
      <c r="M1382" s="38"/>
      <c r="N1382" s="37"/>
      <c r="O1382" s="38"/>
      <c r="P1382" s="39"/>
      <c r="Q1382" s="37" t="s">
        <v>3395</v>
      </c>
      <c r="R1382" s="37" t="s">
        <v>2516</v>
      </c>
      <c r="S1382" s="37" t="s">
        <v>185</v>
      </c>
      <c r="T1382" s="37">
        <v>1</v>
      </c>
      <c r="U1382" s="37" t="s">
        <v>2517</v>
      </c>
      <c r="V1382" s="37" t="s">
        <v>8418</v>
      </c>
      <c r="W1382" s="37" t="s">
        <v>8419</v>
      </c>
      <c r="X1382" s="60">
        <v>45972.645833333343</v>
      </c>
      <c r="Y1382" s="37"/>
      <c r="Z1382" s="37">
        <v>0.5</v>
      </c>
      <c r="AA1382" s="37"/>
      <c r="AB1382" s="37" t="s">
        <v>2521</v>
      </c>
      <c r="AC1382" s="40" t="s">
        <v>8130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3389</v>
      </c>
      <c r="G1383" s="37" t="s">
        <v>3390</v>
      </c>
      <c r="H1383" s="37" t="s">
        <v>2659</v>
      </c>
      <c r="I1383" s="37"/>
      <c r="J1383" s="37"/>
      <c r="K1383" s="37"/>
      <c r="L1383" s="37"/>
      <c r="M1383" s="38"/>
      <c r="N1383" s="37"/>
      <c r="O1383" s="38"/>
      <c r="P1383" s="39"/>
      <c r="Q1383" s="37" t="s">
        <v>3391</v>
      </c>
      <c r="R1383" s="37" t="s">
        <v>2516</v>
      </c>
      <c r="S1383" s="37" t="s">
        <v>185</v>
      </c>
      <c r="T1383" s="37">
        <v>1</v>
      </c>
      <c r="U1383" s="37" t="s">
        <v>2517</v>
      </c>
      <c r="V1383" s="37" t="s">
        <v>8420</v>
      </c>
      <c r="W1383" s="37" t="s">
        <v>8421</v>
      </c>
      <c r="X1383" s="60">
        <v>45972.65625</v>
      </c>
      <c r="Y1383" s="37"/>
      <c r="Z1383" s="37">
        <v>0.3</v>
      </c>
      <c r="AA1383" s="37"/>
      <c r="AB1383" s="37" t="s">
        <v>2521</v>
      </c>
      <c r="AC1383" s="40" t="s">
        <v>7788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3298</v>
      </c>
      <c r="G1384" s="37" t="s">
        <v>3299</v>
      </c>
      <c r="H1384" s="37" t="s">
        <v>2507</v>
      </c>
      <c r="I1384" s="37"/>
      <c r="J1384" s="37"/>
      <c r="K1384" s="37"/>
      <c r="L1384" s="37"/>
      <c r="M1384" s="38"/>
      <c r="N1384" s="37"/>
      <c r="O1384" s="38"/>
      <c r="P1384" s="39"/>
      <c r="Q1384" s="37" t="s">
        <v>3300</v>
      </c>
      <c r="R1384" s="37" t="s">
        <v>2516</v>
      </c>
      <c r="S1384" s="37" t="s">
        <v>25</v>
      </c>
      <c r="T1384" s="37">
        <v>1</v>
      </c>
      <c r="U1384" s="37" t="s">
        <v>2517</v>
      </c>
      <c r="V1384" s="37" t="s">
        <v>8422</v>
      </c>
      <c r="W1384" s="37" t="s">
        <v>8421</v>
      </c>
      <c r="X1384" s="60">
        <v>45972.659722222219</v>
      </c>
      <c r="Y1384" s="37"/>
      <c r="Z1384" s="37">
        <v>0.3</v>
      </c>
      <c r="AA1384" s="37"/>
      <c r="AB1384" s="37" t="s">
        <v>2521</v>
      </c>
      <c r="AC1384" s="40" t="s">
        <v>8130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3404</v>
      </c>
      <c r="G1385" s="37" t="s">
        <v>3405</v>
      </c>
      <c r="H1385" s="37" t="s">
        <v>2507</v>
      </c>
      <c r="I1385" s="37"/>
      <c r="J1385" s="37"/>
      <c r="K1385" s="37"/>
      <c r="L1385" s="37"/>
      <c r="M1385" s="38"/>
      <c r="N1385" s="37"/>
      <c r="O1385" s="38"/>
      <c r="P1385" s="39"/>
      <c r="Q1385" s="37" t="s">
        <v>3406</v>
      </c>
      <c r="R1385" s="37" t="s">
        <v>2516</v>
      </c>
      <c r="S1385" s="37" t="s">
        <v>25</v>
      </c>
      <c r="T1385" s="37">
        <v>1</v>
      </c>
      <c r="U1385" s="37" t="s">
        <v>2517</v>
      </c>
      <c r="V1385" s="37" t="s">
        <v>8423</v>
      </c>
      <c r="W1385" s="37" t="s">
        <v>8424</v>
      </c>
      <c r="X1385" s="60">
        <v>45972.666666666657</v>
      </c>
      <c r="Y1385" s="37"/>
      <c r="Z1385" s="37">
        <v>0.3</v>
      </c>
      <c r="AA1385" s="37"/>
      <c r="AB1385" s="37" t="s">
        <v>2521</v>
      </c>
      <c r="AC1385" s="40" t="s">
        <v>8136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3936</v>
      </c>
      <c r="H1386" s="37" t="s">
        <v>2659</v>
      </c>
      <c r="I1386" s="37"/>
      <c r="J1386" s="37"/>
      <c r="K1386" s="37"/>
      <c r="L1386" s="37"/>
      <c r="M1386" s="38"/>
      <c r="N1386" s="37"/>
      <c r="O1386" s="38"/>
      <c r="P1386" s="39"/>
      <c r="Q1386" s="37" t="s">
        <v>3937</v>
      </c>
      <c r="R1386" s="37" t="s">
        <v>2516</v>
      </c>
      <c r="S1386" s="37" t="s">
        <v>185</v>
      </c>
      <c r="T1386" s="37">
        <v>1</v>
      </c>
      <c r="U1386" s="37" t="s">
        <v>2517</v>
      </c>
      <c r="V1386" s="37" t="s">
        <v>8425</v>
      </c>
      <c r="W1386" s="37" t="s">
        <v>8426</v>
      </c>
      <c r="X1386" s="60">
        <v>45972.6875</v>
      </c>
      <c r="Y1386" s="37"/>
      <c r="Z1386" s="37">
        <v>0.5</v>
      </c>
      <c r="AA1386" s="37"/>
      <c r="AB1386" s="37" t="s">
        <v>2521</v>
      </c>
      <c r="AC1386" s="40" t="s">
        <v>8130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8427</v>
      </c>
      <c r="E1387" s="37" t="s">
        <v>2843</v>
      </c>
      <c r="F1387" s="37">
        <v>3458</v>
      </c>
      <c r="G1387" s="37" t="s">
        <v>3476</v>
      </c>
      <c r="H1387" s="37" t="s">
        <v>2987</v>
      </c>
      <c r="I1387" s="37" t="s">
        <v>8428</v>
      </c>
      <c r="J1387" s="37" t="s">
        <v>2536</v>
      </c>
      <c r="K1387" s="37" t="s">
        <v>2568</v>
      </c>
      <c r="L1387" s="37" t="s">
        <v>2846</v>
      </c>
      <c r="M1387" s="38" t="s">
        <v>2847</v>
      </c>
      <c r="N1387" s="37">
        <v>2405</v>
      </c>
      <c r="O1387" s="38" t="s">
        <v>2963</v>
      </c>
      <c r="P1387" s="39" t="s">
        <v>8429</v>
      </c>
      <c r="Q1387" s="37" t="s">
        <v>3477</v>
      </c>
      <c r="R1387" s="37" t="s">
        <v>2516</v>
      </c>
      <c r="S1387" s="37" t="s">
        <v>25</v>
      </c>
      <c r="T1387" s="37">
        <v>1</v>
      </c>
      <c r="U1387" s="37" t="s">
        <v>2517</v>
      </c>
      <c r="V1387" s="37" t="s">
        <v>8430</v>
      </c>
      <c r="W1387" s="37" t="s">
        <v>8431</v>
      </c>
      <c r="X1387" s="60">
        <v>45973.496527777781</v>
      </c>
      <c r="Y1387" s="37" t="s">
        <v>8432</v>
      </c>
      <c r="Z1387" s="37">
        <v>2.2000000000000002</v>
      </c>
      <c r="AA1387" s="37"/>
      <c r="AB1387" s="37" t="s">
        <v>2521</v>
      </c>
      <c r="AC1387" s="40" t="s">
        <v>5437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3133</v>
      </c>
      <c r="H1388" s="37" t="s">
        <v>2659</v>
      </c>
      <c r="I1388" s="37"/>
      <c r="J1388" s="37"/>
      <c r="K1388" s="37"/>
      <c r="L1388" s="37"/>
      <c r="M1388" s="38"/>
      <c r="N1388" s="37"/>
      <c r="O1388" s="38"/>
      <c r="P1388" s="39"/>
      <c r="Q1388" s="37" t="s">
        <v>3134</v>
      </c>
      <c r="R1388" s="37" t="s">
        <v>2516</v>
      </c>
      <c r="S1388" s="37" t="s">
        <v>185</v>
      </c>
      <c r="T1388" s="37">
        <v>1</v>
      </c>
      <c r="U1388" s="37" t="s">
        <v>2517</v>
      </c>
      <c r="V1388" s="37" t="s">
        <v>8433</v>
      </c>
      <c r="W1388" s="37" t="s">
        <v>8434</v>
      </c>
      <c r="X1388" s="60">
        <v>45973.423611111109</v>
      </c>
      <c r="Y1388" s="37"/>
      <c r="Z1388" s="37">
        <v>0.3</v>
      </c>
      <c r="AA1388" s="37"/>
      <c r="AB1388" s="37" t="s">
        <v>2521</v>
      </c>
      <c r="AC1388" s="40" t="s">
        <v>8130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2657</v>
      </c>
      <c r="G1389" s="37" t="s">
        <v>2658</v>
      </c>
      <c r="H1389" s="37" t="s">
        <v>2659</v>
      </c>
      <c r="I1389" s="37"/>
      <c r="J1389" s="37"/>
      <c r="K1389" s="37"/>
      <c r="L1389" s="37"/>
      <c r="M1389" s="38"/>
      <c r="N1389" s="37"/>
      <c r="O1389" s="38"/>
      <c r="P1389" s="39"/>
      <c r="Q1389" s="37" t="s">
        <v>2666</v>
      </c>
      <c r="R1389" s="37" t="s">
        <v>2516</v>
      </c>
      <c r="S1389" s="37" t="s">
        <v>185</v>
      </c>
      <c r="T1389" s="37">
        <v>1</v>
      </c>
      <c r="U1389" s="37" t="s">
        <v>2517</v>
      </c>
      <c r="V1389" s="37" t="s">
        <v>8435</v>
      </c>
      <c r="W1389" s="37" t="s">
        <v>8436</v>
      </c>
      <c r="X1389" s="60">
        <v>45973.4375</v>
      </c>
      <c r="Y1389" s="37"/>
      <c r="Z1389" s="37">
        <v>0.3</v>
      </c>
      <c r="AA1389" s="37"/>
      <c r="AB1389" s="37" t="s">
        <v>2521</v>
      </c>
      <c r="AC1389" s="40" t="s">
        <v>8130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2803</v>
      </c>
      <c r="G1390" s="37" t="s">
        <v>2804</v>
      </c>
      <c r="H1390" s="37" t="s">
        <v>2659</v>
      </c>
      <c r="I1390" s="37"/>
      <c r="J1390" s="37"/>
      <c r="K1390" s="37"/>
      <c r="L1390" s="37"/>
      <c r="M1390" s="38"/>
      <c r="N1390" s="37"/>
      <c r="O1390" s="38"/>
      <c r="P1390" s="39"/>
      <c r="Q1390" s="37" t="s">
        <v>2805</v>
      </c>
      <c r="R1390" s="37" t="s">
        <v>2516</v>
      </c>
      <c r="S1390" s="37" t="s">
        <v>185</v>
      </c>
      <c r="T1390" s="37">
        <v>1</v>
      </c>
      <c r="U1390" s="37" t="s">
        <v>2517</v>
      </c>
      <c r="V1390" s="37" t="s">
        <v>8437</v>
      </c>
      <c r="W1390" s="37" t="s">
        <v>8438</v>
      </c>
      <c r="X1390" s="60">
        <v>45973.447916666657</v>
      </c>
      <c r="Y1390" s="37"/>
      <c r="Z1390" s="37">
        <v>0.3</v>
      </c>
      <c r="AA1390" s="37"/>
      <c r="AB1390" s="37" t="s">
        <v>2521</v>
      </c>
      <c r="AC1390" s="40" t="s">
        <v>7788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3400</v>
      </c>
      <c r="H1391" s="37" t="s">
        <v>2659</v>
      </c>
      <c r="I1391" s="37"/>
      <c r="J1391" s="37"/>
      <c r="K1391" s="37"/>
      <c r="L1391" s="37"/>
      <c r="M1391" s="38"/>
      <c r="N1391" s="37"/>
      <c r="O1391" s="38"/>
      <c r="P1391" s="39"/>
      <c r="Q1391" s="37" t="s">
        <v>3401</v>
      </c>
      <c r="R1391" s="37" t="s">
        <v>2516</v>
      </c>
      <c r="S1391" s="37" t="s">
        <v>185</v>
      </c>
      <c r="T1391" s="37">
        <v>1</v>
      </c>
      <c r="U1391" s="37" t="s">
        <v>2517</v>
      </c>
      <c r="V1391" s="37" t="s">
        <v>8439</v>
      </c>
      <c r="W1391" s="37" t="s">
        <v>8440</v>
      </c>
      <c r="X1391" s="60">
        <v>45973.465277777781</v>
      </c>
      <c r="Y1391" s="37"/>
      <c r="Z1391" s="37">
        <v>0.3</v>
      </c>
      <c r="AA1391" s="37"/>
      <c r="AB1391" s="37" t="s">
        <v>2521</v>
      </c>
      <c r="AC1391" s="40" t="s">
        <v>8130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3409</v>
      </c>
      <c r="H1392" s="37" t="s">
        <v>2659</v>
      </c>
      <c r="I1392" s="37"/>
      <c r="J1392" s="37"/>
      <c r="K1392" s="37"/>
      <c r="L1392" s="37"/>
      <c r="M1392" s="38"/>
      <c r="N1392" s="37"/>
      <c r="O1392" s="38"/>
      <c r="P1392" s="39"/>
      <c r="Q1392" s="37" t="s">
        <v>3410</v>
      </c>
      <c r="R1392" s="37" t="s">
        <v>2516</v>
      </c>
      <c r="S1392" s="37" t="s">
        <v>185</v>
      </c>
      <c r="T1392" s="37">
        <v>1</v>
      </c>
      <c r="U1392" s="37" t="s">
        <v>2517</v>
      </c>
      <c r="V1392" s="37" t="s">
        <v>8441</v>
      </c>
      <c r="W1392" s="37" t="s">
        <v>8442</v>
      </c>
      <c r="X1392" s="60">
        <v>45973.479166666657</v>
      </c>
      <c r="Y1392" s="37"/>
      <c r="Z1392" s="37">
        <v>0.3</v>
      </c>
      <c r="AA1392" s="37"/>
      <c r="AB1392" s="37" t="s">
        <v>2521</v>
      </c>
      <c r="AC1392" s="40" t="s">
        <v>8130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3656</v>
      </c>
      <c r="H1393" s="37" t="s">
        <v>2641</v>
      </c>
      <c r="I1393" s="37"/>
      <c r="J1393" s="37"/>
      <c r="K1393" s="37"/>
      <c r="L1393" s="37"/>
      <c r="M1393" s="38"/>
      <c r="N1393" s="37"/>
      <c r="O1393" s="38"/>
      <c r="P1393" s="39"/>
      <c r="Q1393" s="37" t="s">
        <v>3659</v>
      </c>
      <c r="R1393" s="37" t="s">
        <v>2516</v>
      </c>
      <c r="S1393" s="37" t="s">
        <v>25</v>
      </c>
      <c r="T1393" s="37">
        <v>1</v>
      </c>
      <c r="U1393" s="37" t="s">
        <v>2517</v>
      </c>
      <c r="V1393" s="37" t="s">
        <v>8443</v>
      </c>
      <c r="W1393" s="37" t="s">
        <v>8444</v>
      </c>
      <c r="X1393" s="60">
        <v>45973.534722222219</v>
      </c>
      <c r="Y1393" s="37"/>
      <c r="Z1393" s="37">
        <v>0.3</v>
      </c>
      <c r="AA1393" s="37"/>
      <c r="AB1393" s="37" t="s">
        <v>2521</v>
      </c>
      <c r="AC1393" s="40" t="s">
        <v>8130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2733</v>
      </c>
      <c r="H1394" s="37" t="s">
        <v>2641</v>
      </c>
      <c r="I1394" s="37"/>
      <c r="J1394" s="37"/>
      <c r="K1394" s="37"/>
      <c r="L1394" s="37"/>
      <c r="M1394" s="38"/>
      <c r="N1394" s="37"/>
      <c r="O1394" s="38"/>
      <c r="P1394" s="39"/>
      <c r="Q1394" s="37" t="s">
        <v>2734</v>
      </c>
      <c r="R1394" s="37" t="s">
        <v>2516</v>
      </c>
      <c r="S1394" s="37" t="s">
        <v>25</v>
      </c>
      <c r="T1394" s="37">
        <v>1</v>
      </c>
      <c r="U1394" s="37" t="s">
        <v>2517</v>
      </c>
      <c r="V1394" s="37" t="s">
        <v>8445</v>
      </c>
      <c r="W1394" s="37" t="s">
        <v>8446</v>
      </c>
      <c r="X1394" s="60">
        <v>45973.548611111109</v>
      </c>
      <c r="Y1394" s="37"/>
      <c r="Z1394" s="37">
        <v>0.3</v>
      </c>
      <c r="AA1394" s="37"/>
      <c r="AB1394" s="37" t="s">
        <v>2521</v>
      </c>
      <c r="AC1394" s="40" t="s">
        <v>8130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2640</v>
      </c>
      <c r="H1395" s="37" t="s">
        <v>2641</v>
      </c>
      <c r="I1395" s="37"/>
      <c r="J1395" s="37"/>
      <c r="K1395" s="37"/>
      <c r="L1395" s="37"/>
      <c r="M1395" s="38"/>
      <c r="N1395" s="37"/>
      <c r="O1395" s="38"/>
      <c r="P1395" s="39"/>
      <c r="Q1395" s="37" t="s">
        <v>2645</v>
      </c>
      <c r="R1395" s="37" t="s">
        <v>2516</v>
      </c>
      <c r="S1395" s="37" t="s">
        <v>25</v>
      </c>
      <c r="T1395" s="37">
        <v>1</v>
      </c>
      <c r="U1395" s="37" t="s">
        <v>2517</v>
      </c>
      <c r="V1395" s="37" t="s">
        <v>8447</v>
      </c>
      <c r="W1395" s="37" t="s">
        <v>8448</v>
      </c>
      <c r="X1395" s="60">
        <v>45973.600694444453</v>
      </c>
      <c r="Y1395" s="37"/>
      <c r="Z1395" s="37">
        <v>0.3</v>
      </c>
      <c r="AA1395" s="37"/>
      <c r="AB1395" s="37" t="s">
        <v>2521</v>
      </c>
      <c r="AC1395" s="40" t="s">
        <v>8130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3709</v>
      </c>
      <c r="H1396" s="37" t="s">
        <v>2641</v>
      </c>
      <c r="I1396" s="37"/>
      <c r="J1396" s="37"/>
      <c r="K1396" s="37"/>
      <c r="L1396" s="37"/>
      <c r="M1396" s="38"/>
      <c r="N1396" s="37"/>
      <c r="O1396" s="38"/>
      <c r="P1396" s="39"/>
      <c r="Q1396" s="37" t="s">
        <v>3710</v>
      </c>
      <c r="R1396" s="37" t="s">
        <v>2516</v>
      </c>
      <c r="S1396" s="37" t="s">
        <v>25</v>
      </c>
      <c r="T1396" s="37">
        <v>1</v>
      </c>
      <c r="U1396" s="37" t="s">
        <v>2517</v>
      </c>
      <c r="V1396" s="37" t="s">
        <v>8449</v>
      </c>
      <c r="W1396" s="37" t="s">
        <v>8450</v>
      </c>
      <c r="X1396" s="60">
        <v>45973.618055555547</v>
      </c>
      <c r="Y1396" s="37"/>
      <c r="Z1396" s="37">
        <v>0.3</v>
      </c>
      <c r="AA1396" s="37"/>
      <c r="AB1396" s="37" t="s">
        <v>2521</v>
      </c>
      <c r="AC1396" s="40" t="s">
        <v>8130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8451</v>
      </c>
      <c r="E1397" s="37" t="s">
        <v>2504</v>
      </c>
      <c r="F1397" s="37">
        <v>5291</v>
      </c>
      <c r="G1397" s="37" t="s">
        <v>3936</v>
      </c>
      <c r="H1397" s="37" t="s">
        <v>2659</v>
      </c>
      <c r="I1397" s="37" t="s">
        <v>8452</v>
      </c>
      <c r="J1397" s="37" t="s">
        <v>2536</v>
      </c>
      <c r="K1397" s="37" t="s">
        <v>2510</v>
      </c>
      <c r="L1397" s="37" t="s">
        <v>3497</v>
      </c>
      <c r="M1397" s="38" t="s">
        <v>3498</v>
      </c>
      <c r="N1397" s="37">
        <v>3404</v>
      </c>
      <c r="O1397" s="38" t="s">
        <v>3499</v>
      </c>
      <c r="P1397" s="39" t="s">
        <v>8453</v>
      </c>
      <c r="Q1397" s="37" t="s">
        <v>3937</v>
      </c>
      <c r="R1397" s="37" t="s">
        <v>2516</v>
      </c>
      <c r="S1397" s="37" t="s">
        <v>185</v>
      </c>
      <c r="T1397" s="37">
        <v>1</v>
      </c>
      <c r="U1397" s="37" t="s">
        <v>2517</v>
      </c>
      <c r="V1397" s="37" t="s">
        <v>8454</v>
      </c>
      <c r="W1397" s="37" t="s">
        <v>8455</v>
      </c>
      <c r="X1397" s="60">
        <v>45973.652777777781</v>
      </c>
      <c r="Y1397" s="37" t="s">
        <v>8456</v>
      </c>
      <c r="Z1397" s="37">
        <v>0.7</v>
      </c>
      <c r="AA1397" s="37"/>
      <c r="AB1397" s="37" t="s">
        <v>2521</v>
      </c>
      <c r="AC1397" s="40" t="s">
        <v>8457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5951</v>
      </c>
      <c r="H1398" s="37" t="s">
        <v>2641</v>
      </c>
      <c r="I1398" s="37"/>
      <c r="J1398" s="37"/>
      <c r="K1398" s="37"/>
      <c r="L1398" s="37"/>
      <c r="M1398" s="38"/>
      <c r="N1398" s="37"/>
      <c r="O1398" s="38"/>
      <c r="P1398" s="39"/>
      <c r="Q1398" s="37" t="s">
        <v>5952</v>
      </c>
      <c r="R1398" s="37" t="s">
        <v>2516</v>
      </c>
      <c r="S1398" s="37" t="s">
        <v>25</v>
      </c>
      <c r="T1398" s="37">
        <v>1</v>
      </c>
      <c r="U1398" s="37" t="s">
        <v>2517</v>
      </c>
      <c r="V1398" s="37" t="s">
        <v>8458</v>
      </c>
      <c r="W1398" s="37" t="s">
        <v>8459</v>
      </c>
      <c r="X1398" s="60">
        <v>45973.694444444453</v>
      </c>
      <c r="Y1398" s="37"/>
      <c r="Z1398" s="37">
        <v>0.3</v>
      </c>
      <c r="AA1398" s="37"/>
      <c r="AB1398" s="37" t="s">
        <v>2521</v>
      </c>
      <c r="AC1398" s="40" t="s">
        <v>8130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8460</v>
      </c>
      <c r="E1399" s="37" t="s">
        <v>2504</v>
      </c>
      <c r="F1399" s="37" t="s">
        <v>3822</v>
      </c>
      <c r="G1399" s="37" t="s">
        <v>3823</v>
      </c>
      <c r="H1399" s="37" t="s">
        <v>2507</v>
      </c>
      <c r="I1399" s="37" t="s">
        <v>8461</v>
      </c>
      <c r="J1399" s="37" t="s">
        <v>2509</v>
      </c>
      <c r="K1399" s="37" t="s">
        <v>2510</v>
      </c>
      <c r="L1399" s="37" t="s">
        <v>2846</v>
      </c>
      <c r="M1399" s="38" t="s">
        <v>2847</v>
      </c>
      <c r="N1399" s="37">
        <v>2402</v>
      </c>
      <c r="O1399" s="38" t="s">
        <v>3741</v>
      </c>
      <c r="P1399" s="39" t="s">
        <v>8462</v>
      </c>
      <c r="Q1399" s="37" t="s">
        <v>3824</v>
      </c>
      <c r="R1399" s="37" t="s">
        <v>2516</v>
      </c>
      <c r="S1399" s="37" t="s">
        <v>25</v>
      </c>
      <c r="T1399" s="37">
        <v>1</v>
      </c>
      <c r="U1399" s="37" t="s">
        <v>2517</v>
      </c>
      <c r="V1399" s="37" t="s">
        <v>8463</v>
      </c>
      <c r="W1399" s="37" t="s">
        <v>8464</v>
      </c>
      <c r="X1399" s="60">
        <v>45975.420138888891</v>
      </c>
      <c r="Y1399" s="37" t="s">
        <v>8465</v>
      </c>
      <c r="Z1399" s="37">
        <v>0.3</v>
      </c>
      <c r="AA1399" s="37"/>
      <c r="AB1399" s="37" t="s">
        <v>2521</v>
      </c>
      <c r="AC1399" s="40" t="s">
        <v>5430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5697</v>
      </c>
      <c r="H1400" s="37" t="s">
        <v>2507</v>
      </c>
      <c r="I1400" s="37"/>
      <c r="J1400" s="37"/>
      <c r="K1400" s="37"/>
      <c r="L1400" s="37"/>
      <c r="M1400" s="38"/>
      <c r="N1400" s="37"/>
      <c r="O1400" s="38"/>
      <c r="P1400" s="39"/>
      <c r="Q1400" s="37" t="s">
        <v>2856</v>
      </c>
      <c r="R1400" s="37" t="s">
        <v>2516</v>
      </c>
      <c r="S1400" s="37" t="s">
        <v>25</v>
      </c>
      <c r="T1400" s="37">
        <v>1</v>
      </c>
      <c r="U1400" s="37" t="s">
        <v>2517</v>
      </c>
      <c r="V1400" s="37" t="s">
        <v>8466</v>
      </c>
      <c r="W1400" s="37" t="s">
        <v>8467</v>
      </c>
      <c r="X1400" s="60">
        <v>45974.409722222219</v>
      </c>
      <c r="Y1400" s="37"/>
      <c r="Z1400" s="37">
        <v>0.3</v>
      </c>
      <c r="AA1400" s="37"/>
      <c r="AB1400" s="37" t="s">
        <v>2521</v>
      </c>
      <c r="AC1400" s="40" t="s">
        <v>8468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2917</v>
      </c>
      <c r="H1401" s="37" t="s">
        <v>2507</v>
      </c>
      <c r="I1401" s="37"/>
      <c r="J1401" s="37"/>
      <c r="K1401" s="37"/>
      <c r="L1401" s="37"/>
      <c r="M1401" s="38"/>
      <c r="N1401" s="37"/>
      <c r="O1401" s="38"/>
      <c r="P1401" s="39"/>
      <c r="Q1401" s="37" t="s">
        <v>2918</v>
      </c>
      <c r="R1401" s="37" t="s">
        <v>2516</v>
      </c>
      <c r="S1401" s="37" t="s">
        <v>25</v>
      </c>
      <c r="T1401" s="37">
        <v>1</v>
      </c>
      <c r="U1401" s="37" t="s">
        <v>2517</v>
      </c>
      <c r="V1401" s="37" t="s">
        <v>8469</v>
      </c>
      <c r="W1401" s="37" t="s">
        <v>8470</v>
      </c>
      <c r="X1401" s="60">
        <v>45974.444444444453</v>
      </c>
      <c r="Y1401" s="37"/>
      <c r="Z1401" s="37">
        <v>0.3</v>
      </c>
      <c r="AA1401" s="37"/>
      <c r="AB1401" s="37" t="s">
        <v>2521</v>
      </c>
      <c r="AC1401" s="40" t="s">
        <v>8130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4867</v>
      </c>
      <c r="H1402" s="37" t="s">
        <v>2507</v>
      </c>
      <c r="I1402" s="37"/>
      <c r="J1402" s="37"/>
      <c r="K1402" s="37"/>
      <c r="L1402" s="37"/>
      <c r="M1402" s="38"/>
      <c r="N1402" s="37"/>
      <c r="O1402" s="38"/>
      <c r="P1402" s="39"/>
      <c r="Q1402" s="37" t="s">
        <v>4868</v>
      </c>
      <c r="R1402" s="37" t="s">
        <v>2516</v>
      </c>
      <c r="S1402" s="37" t="s">
        <v>25</v>
      </c>
      <c r="T1402" s="37">
        <v>1</v>
      </c>
      <c r="U1402" s="37" t="s">
        <v>2517</v>
      </c>
      <c r="V1402" s="37" t="s">
        <v>8471</v>
      </c>
      <c r="W1402" s="37" t="s">
        <v>8472</v>
      </c>
      <c r="X1402" s="60">
        <v>45974.479166666657</v>
      </c>
      <c r="Y1402" s="37"/>
      <c r="Z1402" s="37">
        <v>0.3</v>
      </c>
      <c r="AA1402" s="37"/>
      <c r="AB1402" s="37" t="s">
        <v>2521</v>
      </c>
      <c r="AC1402" s="40" t="s">
        <v>8130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8473</v>
      </c>
      <c r="E1403" s="37" t="s">
        <v>2504</v>
      </c>
      <c r="F1403" s="37">
        <v>5364</v>
      </c>
      <c r="G1403" s="37" t="s">
        <v>5700</v>
      </c>
      <c r="H1403" s="37" t="s">
        <v>3148</v>
      </c>
      <c r="I1403" s="37" t="s">
        <v>8474</v>
      </c>
      <c r="J1403" s="37" t="s">
        <v>2835</v>
      </c>
      <c r="K1403" s="37" t="s">
        <v>2568</v>
      </c>
      <c r="L1403" s="37" t="s">
        <v>2511</v>
      </c>
      <c r="M1403" s="38" t="s">
        <v>2512</v>
      </c>
      <c r="N1403" s="37">
        <v>2306</v>
      </c>
      <c r="O1403" s="38" t="s">
        <v>2893</v>
      </c>
      <c r="P1403" s="39" t="s">
        <v>8475</v>
      </c>
      <c r="Q1403" s="37" t="s">
        <v>5701</v>
      </c>
      <c r="R1403" s="37" t="s">
        <v>2516</v>
      </c>
      <c r="S1403" s="37" t="s">
        <v>185</v>
      </c>
      <c r="T1403" s="37">
        <v>1</v>
      </c>
      <c r="U1403" s="37" t="s">
        <v>2517</v>
      </c>
      <c r="V1403" s="37" t="s">
        <v>8476</v>
      </c>
      <c r="W1403" s="37" t="s">
        <v>8477</v>
      </c>
      <c r="X1403" s="60">
        <v>45974.604166666657</v>
      </c>
      <c r="Y1403" s="37" t="s">
        <v>8478</v>
      </c>
      <c r="Z1403" s="37">
        <v>1.5</v>
      </c>
      <c r="AA1403" s="37"/>
      <c r="AB1403" s="37" t="s">
        <v>2521</v>
      </c>
      <c r="AC1403" s="40" t="s">
        <v>8479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4087</v>
      </c>
      <c r="H1404" s="37" t="s">
        <v>3148</v>
      </c>
      <c r="I1404" s="37"/>
      <c r="J1404" s="37"/>
      <c r="K1404" s="37"/>
      <c r="L1404" s="37"/>
      <c r="M1404" s="38"/>
      <c r="N1404" s="37"/>
      <c r="O1404" s="38"/>
      <c r="P1404" s="39"/>
      <c r="Q1404" s="37" t="s">
        <v>4088</v>
      </c>
      <c r="R1404" s="37" t="s">
        <v>2516</v>
      </c>
      <c r="S1404" s="37" t="s">
        <v>185</v>
      </c>
      <c r="T1404" s="37">
        <v>1</v>
      </c>
      <c r="U1404" s="37" t="s">
        <v>2517</v>
      </c>
      <c r="V1404" s="37" t="s">
        <v>8480</v>
      </c>
      <c r="W1404" s="37" t="s">
        <v>8481</v>
      </c>
      <c r="X1404" s="60">
        <v>45974.625</v>
      </c>
      <c r="Y1404" s="37"/>
      <c r="Z1404" s="37">
        <v>0.3</v>
      </c>
      <c r="AA1404" s="37"/>
      <c r="AB1404" s="37" t="s">
        <v>2521</v>
      </c>
      <c r="AC1404" s="40" t="s">
        <v>8130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3370</v>
      </c>
      <c r="H1405" s="37" t="s">
        <v>3148</v>
      </c>
      <c r="I1405" s="37"/>
      <c r="J1405" s="37"/>
      <c r="K1405" s="37"/>
      <c r="L1405" s="37"/>
      <c r="M1405" s="38"/>
      <c r="N1405" s="37"/>
      <c r="O1405" s="38"/>
      <c r="P1405" s="39"/>
      <c r="Q1405" s="37" t="s">
        <v>3371</v>
      </c>
      <c r="R1405" s="37" t="s">
        <v>2516</v>
      </c>
      <c r="S1405" s="37" t="s">
        <v>185</v>
      </c>
      <c r="T1405" s="37">
        <v>1</v>
      </c>
      <c r="U1405" s="37" t="s">
        <v>2517</v>
      </c>
      <c r="V1405" s="37" t="s">
        <v>8482</v>
      </c>
      <c r="W1405" s="37" t="s">
        <v>8483</v>
      </c>
      <c r="X1405" s="60">
        <v>45974.638888888891</v>
      </c>
      <c r="Y1405" s="37"/>
      <c r="Z1405" s="37">
        <v>0.3</v>
      </c>
      <c r="AA1405" s="37"/>
      <c r="AB1405" s="37" t="s">
        <v>2521</v>
      </c>
      <c r="AC1405" s="40" t="s">
        <v>8130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4054</v>
      </c>
      <c r="H1406" s="37" t="s">
        <v>1604</v>
      </c>
      <c r="I1406" s="37"/>
      <c r="J1406" s="37"/>
      <c r="K1406" s="37"/>
      <c r="L1406" s="37"/>
      <c r="M1406" s="38"/>
      <c r="N1406" s="37"/>
      <c r="O1406" s="38"/>
      <c r="P1406" s="39"/>
      <c r="Q1406" s="37" t="s">
        <v>4055</v>
      </c>
      <c r="R1406" s="37" t="s">
        <v>2516</v>
      </c>
      <c r="S1406" s="37" t="s">
        <v>25</v>
      </c>
      <c r="T1406" s="37">
        <v>1</v>
      </c>
      <c r="U1406" s="37" t="s">
        <v>2517</v>
      </c>
      <c r="V1406" s="37" t="s">
        <v>8484</v>
      </c>
      <c r="W1406" s="37" t="s">
        <v>8483</v>
      </c>
      <c r="X1406" s="60">
        <v>45974.666666666657</v>
      </c>
      <c r="Y1406" s="37"/>
      <c r="Z1406" s="37">
        <v>1</v>
      </c>
      <c r="AA1406" s="37"/>
      <c r="AB1406" s="37" t="s">
        <v>2521</v>
      </c>
      <c r="AC1406" s="40" t="s">
        <v>7891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4075</v>
      </c>
      <c r="H1407" s="37" t="s">
        <v>3148</v>
      </c>
      <c r="I1407" s="37"/>
      <c r="J1407" s="37"/>
      <c r="K1407" s="37"/>
      <c r="L1407" s="37"/>
      <c r="M1407" s="38"/>
      <c r="N1407" s="37"/>
      <c r="O1407" s="38"/>
      <c r="P1407" s="39"/>
      <c r="Q1407" s="37" t="s">
        <v>4076</v>
      </c>
      <c r="R1407" s="37" t="s">
        <v>2516</v>
      </c>
      <c r="S1407" s="37" t="s">
        <v>185</v>
      </c>
      <c r="T1407" s="37">
        <v>1</v>
      </c>
      <c r="U1407" s="37" t="s">
        <v>2517</v>
      </c>
      <c r="V1407" s="37" t="s">
        <v>8485</v>
      </c>
      <c r="W1407" s="37" t="s">
        <v>8486</v>
      </c>
      <c r="X1407" s="60">
        <v>45974.666666666657</v>
      </c>
      <c r="Y1407" s="37"/>
      <c r="Z1407" s="37">
        <v>0.5</v>
      </c>
      <c r="AA1407" s="37"/>
      <c r="AB1407" s="37" t="s">
        <v>2521</v>
      </c>
      <c r="AC1407" s="40" t="s">
        <v>8130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8487</v>
      </c>
      <c r="E1408" s="37" t="s">
        <v>2504</v>
      </c>
      <c r="F1408" s="37">
        <v>4483</v>
      </c>
      <c r="G1408" s="37" t="s">
        <v>4075</v>
      </c>
      <c r="H1408" s="37" t="s">
        <v>3148</v>
      </c>
      <c r="I1408" s="37" t="s">
        <v>8488</v>
      </c>
      <c r="J1408" s="37" t="s">
        <v>2835</v>
      </c>
      <c r="K1408" s="37" t="s">
        <v>2510</v>
      </c>
      <c r="L1408" s="37" t="s">
        <v>2611</v>
      </c>
      <c r="M1408" s="38" t="s">
        <v>2612</v>
      </c>
      <c r="N1408" s="37" t="s">
        <v>2613</v>
      </c>
      <c r="O1408" s="38" t="s">
        <v>2614</v>
      </c>
      <c r="P1408" s="39" t="s">
        <v>8489</v>
      </c>
      <c r="Q1408" s="37" t="s">
        <v>4076</v>
      </c>
      <c r="R1408" s="37" t="s">
        <v>2516</v>
      </c>
      <c r="S1408" s="37" t="s">
        <v>185</v>
      </c>
      <c r="T1408" s="37">
        <v>1</v>
      </c>
      <c r="U1408" s="37" t="s">
        <v>2517</v>
      </c>
      <c r="V1408" s="37" t="s">
        <v>8490</v>
      </c>
      <c r="W1408" s="37" t="s">
        <v>8491</v>
      </c>
      <c r="X1408" s="60">
        <v>45975.434027777781</v>
      </c>
      <c r="Y1408" s="37" t="s">
        <v>8492</v>
      </c>
      <c r="Z1408" s="37">
        <v>0.9</v>
      </c>
      <c r="AA1408" s="37"/>
      <c r="AB1408" s="37" t="s">
        <v>2521</v>
      </c>
      <c r="AC1408" s="40" t="s">
        <v>8493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8494</v>
      </c>
      <c r="E1409" s="37" t="s">
        <v>2504</v>
      </c>
      <c r="F1409" s="37">
        <v>3380</v>
      </c>
      <c r="G1409" s="37" t="s">
        <v>2710</v>
      </c>
      <c r="H1409" s="37" t="s">
        <v>2659</v>
      </c>
      <c r="I1409" s="37" t="s">
        <v>8495</v>
      </c>
      <c r="J1409" s="37" t="s">
        <v>2835</v>
      </c>
      <c r="K1409" s="37" t="s">
        <v>2717</v>
      </c>
      <c r="L1409" s="37" t="s">
        <v>2511</v>
      </c>
      <c r="M1409" s="38" t="s">
        <v>2512</v>
      </c>
      <c r="N1409" s="37">
        <v>2307</v>
      </c>
      <c r="O1409" s="38" t="s">
        <v>2678</v>
      </c>
      <c r="P1409" s="39" t="s">
        <v>8496</v>
      </c>
      <c r="Q1409" s="37" t="s">
        <v>2711</v>
      </c>
      <c r="R1409" s="37" t="s">
        <v>2516</v>
      </c>
      <c r="S1409" s="37" t="s">
        <v>185</v>
      </c>
      <c r="T1409" s="37">
        <v>1</v>
      </c>
      <c r="U1409" s="37" t="s">
        <v>2517</v>
      </c>
      <c r="V1409" s="37" t="s">
        <v>8497</v>
      </c>
      <c r="W1409" s="37" t="s">
        <v>8498</v>
      </c>
      <c r="X1409" s="60">
        <v>45975.576388888891</v>
      </c>
      <c r="Y1409" s="37" t="s">
        <v>8499</v>
      </c>
      <c r="Z1409" s="37">
        <v>1.3</v>
      </c>
      <c r="AA1409" s="37"/>
      <c r="AB1409" s="37" t="s">
        <v>2521</v>
      </c>
      <c r="AC1409" s="40" t="s">
        <v>8500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4091</v>
      </c>
      <c r="H1410" s="37" t="s">
        <v>3138</v>
      </c>
      <c r="I1410" s="37"/>
      <c r="J1410" s="37"/>
      <c r="K1410" s="37"/>
      <c r="L1410" s="37"/>
      <c r="M1410" s="38"/>
      <c r="N1410" s="37"/>
      <c r="O1410" s="38"/>
      <c r="P1410" s="39"/>
      <c r="Q1410" s="37" t="s">
        <v>4092</v>
      </c>
      <c r="R1410" s="37" t="s">
        <v>2516</v>
      </c>
      <c r="S1410" s="37" t="s">
        <v>185</v>
      </c>
      <c r="T1410" s="37">
        <v>1</v>
      </c>
      <c r="U1410" s="37" t="s">
        <v>2517</v>
      </c>
      <c r="V1410" s="37" t="s">
        <v>8501</v>
      </c>
      <c r="W1410" s="37" t="s">
        <v>8502</v>
      </c>
      <c r="X1410" s="60">
        <v>45975.451388888891</v>
      </c>
      <c r="Y1410" s="37"/>
      <c r="Z1410" s="37">
        <v>0.3</v>
      </c>
      <c r="AA1410" s="37"/>
      <c r="AB1410" s="37" t="s">
        <v>2521</v>
      </c>
      <c r="AC1410" s="40" t="s">
        <v>8130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2579</v>
      </c>
      <c r="G1411" s="37" t="s">
        <v>2580</v>
      </c>
      <c r="H1411" s="37" t="s">
        <v>1604</v>
      </c>
      <c r="I1411" s="37"/>
      <c r="J1411" s="37"/>
      <c r="K1411" s="37"/>
      <c r="L1411" s="37"/>
      <c r="M1411" s="38"/>
      <c r="N1411" s="37"/>
      <c r="O1411" s="38"/>
      <c r="P1411" s="39"/>
      <c r="Q1411" s="37" t="s">
        <v>2584</v>
      </c>
      <c r="R1411" s="37" t="s">
        <v>2516</v>
      </c>
      <c r="S1411" s="37" t="s">
        <v>25</v>
      </c>
      <c r="T1411" s="37">
        <v>1</v>
      </c>
      <c r="U1411" s="37" t="s">
        <v>2517</v>
      </c>
      <c r="V1411" s="37" t="s">
        <v>8503</v>
      </c>
      <c r="W1411" s="37" t="s">
        <v>8504</v>
      </c>
      <c r="X1411" s="60">
        <v>45975.503472222219</v>
      </c>
      <c r="Y1411" s="37"/>
      <c r="Z1411" s="37">
        <v>0.3</v>
      </c>
      <c r="AA1411" s="37"/>
      <c r="AB1411" s="37" t="s">
        <v>2521</v>
      </c>
      <c r="AC1411" s="40" t="s">
        <v>8130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3310</v>
      </c>
      <c r="H1412" s="37" t="s">
        <v>1604</v>
      </c>
      <c r="I1412" s="37"/>
      <c r="J1412" s="37"/>
      <c r="K1412" s="37"/>
      <c r="L1412" s="37"/>
      <c r="M1412" s="38"/>
      <c r="N1412" s="37"/>
      <c r="O1412" s="38"/>
      <c r="P1412" s="39"/>
      <c r="Q1412" s="37" t="s">
        <v>3311</v>
      </c>
      <c r="R1412" s="37" t="s">
        <v>2516</v>
      </c>
      <c r="S1412" s="37" t="s">
        <v>25</v>
      </c>
      <c r="T1412" s="37">
        <v>1</v>
      </c>
      <c r="U1412" s="37" t="s">
        <v>2517</v>
      </c>
      <c r="V1412" s="37" t="s">
        <v>8505</v>
      </c>
      <c r="W1412" s="37" t="s">
        <v>8506</v>
      </c>
      <c r="X1412" s="60">
        <v>45975.548611111109</v>
      </c>
      <c r="Y1412" s="37"/>
      <c r="Z1412" s="37">
        <v>0.3</v>
      </c>
      <c r="AA1412" s="37"/>
      <c r="AB1412" s="37" t="s">
        <v>2521</v>
      </c>
      <c r="AC1412" s="40" t="s">
        <v>8130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8507</v>
      </c>
      <c r="H1413" s="37" t="s">
        <v>2609</v>
      </c>
      <c r="I1413" s="37"/>
      <c r="J1413" s="37"/>
      <c r="K1413" s="37"/>
      <c r="L1413" s="37"/>
      <c r="M1413" s="38"/>
      <c r="N1413" s="37"/>
      <c r="O1413" s="38"/>
      <c r="P1413" s="39"/>
      <c r="Q1413" s="37" t="s">
        <v>8392</v>
      </c>
      <c r="R1413" s="37" t="s">
        <v>2516</v>
      </c>
      <c r="S1413" s="37" t="s">
        <v>173</v>
      </c>
      <c r="T1413" s="37">
        <v>1</v>
      </c>
      <c r="U1413" s="37" t="s">
        <v>2517</v>
      </c>
      <c r="V1413" s="37" t="s">
        <v>8508</v>
      </c>
      <c r="W1413" s="37" t="s">
        <v>8509</v>
      </c>
      <c r="X1413" s="60">
        <v>45975.5625</v>
      </c>
      <c r="Y1413" s="37"/>
      <c r="Z1413" s="37">
        <v>1.5</v>
      </c>
      <c r="AA1413" s="37"/>
      <c r="AB1413" s="37" t="s">
        <v>2521</v>
      </c>
      <c r="AC1413" s="40" t="s">
        <v>8510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3314</v>
      </c>
      <c r="H1414" s="37" t="s">
        <v>1604</v>
      </c>
      <c r="I1414" s="37"/>
      <c r="J1414" s="37"/>
      <c r="K1414" s="37"/>
      <c r="L1414" s="37"/>
      <c r="M1414" s="38"/>
      <c r="N1414" s="37"/>
      <c r="O1414" s="38"/>
      <c r="P1414" s="39"/>
      <c r="Q1414" s="37" t="s">
        <v>3315</v>
      </c>
      <c r="R1414" s="37" t="s">
        <v>2516</v>
      </c>
      <c r="S1414" s="37" t="s">
        <v>25</v>
      </c>
      <c r="T1414" s="37">
        <v>1</v>
      </c>
      <c r="U1414" s="37" t="s">
        <v>2517</v>
      </c>
      <c r="V1414" s="37" t="s">
        <v>8511</v>
      </c>
      <c r="W1414" s="37" t="s">
        <v>8512</v>
      </c>
      <c r="X1414" s="60">
        <v>45975.569444444453</v>
      </c>
      <c r="Y1414" s="37"/>
      <c r="Z1414" s="37">
        <v>0.3</v>
      </c>
      <c r="AA1414" s="37"/>
      <c r="AB1414" s="37" t="s">
        <v>2521</v>
      </c>
      <c r="AC1414" s="40" t="s">
        <v>8130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7280</v>
      </c>
      <c r="H1415" s="37" t="s">
        <v>3248</v>
      </c>
      <c r="I1415" s="37"/>
      <c r="J1415" s="37"/>
      <c r="K1415" s="37"/>
      <c r="L1415" s="37"/>
      <c r="M1415" s="38"/>
      <c r="N1415" s="37"/>
      <c r="O1415" s="38"/>
      <c r="P1415" s="39"/>
      <c r="Q1415" s="37" t="s">
        <v>3331</v>
      </c>
      <c r="R1415" s="37" t="s">
        <v>2516</v>
      </c>
      <c r="S1415" s="37" t="s">
        <v>25</v>
      </c>
      <c r="T1415" s="37">
        <v>1</v>
      </c>
      <c r="U1415" s="37" t="s">
        <v>2517</v>
      </c>
      <c r="V1415" s="37" t="s">
        <v>8513</v>
      </c>
      <c r="W1415" s="37" t="s">
        <v>8514</v>
      </c>
      <c r="X1415" s="60">
        <v>45975.618055555547</v>
      </c>
      <c r="Y1415" s="37"/>
      <c r="Z1415" s="37">
        <v>0.3</v>
      </c>
      <c r="AA1415" s="37"/>
      <c r="AB1415" s="37" t="s">
        <v>2521</v>
      </c>
      <c r="AC1415" s="40" t="s">
        <v>8136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3342</v>
      </c>
      <c r="H1416" s="37" t="s">
        <v>3248</v>
      </c>
      <c r="I1416" s="37"/>
      <c r="J1416" s="37"/>
      <c r="K1416" s="37"/>
      <c r="L1416" s="37"/>
      <c r="M1416" s="38"/>
      <c r="N1416" s="37"/>
      <c r="O1416" s="38"/>
      <c r="P1416" s="39"/>
      <c r="Q1416" s="37" t="s">
        <v>3343</v>
      </c>
      <c r="R1416" s="37" t="s">
        <v>2516</v>
      </c>
      <c r="S1416" s="37" t="s">
        <v>25</v>
      </c>
      <c r="T1416" s="37">
        <v>1</v>
      </c>
      <c r="U1416" s="37" t="s">
        <v>2517</v>
      </c>
      <c r="V1416" s="37" t="s">
        <v>8515</v>
      </c>
      <c r="W1416" s="37" t="s">
        <v>8516</v>
      </c>
      <c r="X1416" s="60">
        <v>45975.638888888891</v>
      </c>
      <c r="Y1416" s="37"/>
      <c r="Z1416" s="37">
        <v>0.3</v>
      </c>
      <c r="AA1416" s="37"/>
      <c r="AB1416" s="37" t="s">
        <v>2521</v>
      </c>
      <c r="AC1416" s="40" t="s">
        <v>8130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3247</v>
      </c>
      <c r="H1417" s="37" t="s">
        <v>3248</v>
      </c>
      <c r="I1417" s="37"/>
      <c r="J1417" s="37"/>
      <c r="K1417" s="37"/>
      <c r="L1417" s="37"/>
      <c r="M1417" s="38"/>
      <c r="N1417" s="37"/>
      <c r="O1417" s="38"/>
      <c r="P1417" s="39"/>
      <c r="Q1417" s="37" t="s">
        <v>3251</v>
      </c>
      <c r="R1417" s="37" t="s">
        <v>2516</v>
      </c>
      <c r="S1417" s="37" t="s">
        <v>25</v>
      </c>
      <c r="T1417" s="37">
        <v>1</v>
      </c>
      <c r="U1417" s="37" t="s">
        <v>2517</v>
      </c>
      <c r="V1417" s="37" t="s">
        <v>8517</v>
      </c>
      <c r="W1417" s="37" t="s">
        <v>8518</v>
      </c>
      <c r="X1417" s="60">
        <v>45975.675000000003</v>
      </c>
      <c r="Y1417" s="37"/>
      <c r="Z1417" s="37">
        <v>0.3</v>
      </c>
      <c r="AA1417" s="37"/>
      <c r="AB1417" s="37" t="s">
        <v>2521</v>
      </c>
      <c r="AC1417" s="40" t="s">
        <v>8136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4045</v>
      </c>
      <c r="H1418" s="37" t="s">
        <v>1604</v>
      </c>
      <c r="I1418" s="37"/>
      <c r="J1418" s="37"/>
      <c r="K1418" s="37"/>
      <c r="L1418" s="37"/>
      <c r="M1418" s="38"/>
      <c r="N1418" s="37"/>
      <c r="O1418" s="38"/>
      <c r="P1418" s="39"/>
      <c r="Q1418" s="37" t="s">
        <v>4048</v>
      </c>
      <c r="R1418" s="37" t="s">
        <v>2516</v>
      </c>
      <c r="S1418" s="37" t="s">
        <v>25</v>
      </c>
      <c r="T1418" s="37">
        <v>1</v>
      </c>
      <c r="U1418" s="37" t="s">
        <v>2517</v>
      </c>
      <c r="V1418" s="37" t="s">
        <v>8519</v>
      </c>
      <c r="W1418" s="37" t="s">
        <v>8520</v>
      </c>
      <c r="X1418" s="60">
        <v>45975.694444444453</v>
      </c>
      <c r="Y1418" s="37"/>
      <c r="Z1418" s="37">
        <v>0.3</v>
      </c>
      <c r="AA1418" s="37"/>
      <c r="AB1418" s="37" t="s">
        <v>2521</v>
      </c>
      <c r="AC1418" s="40" t="s">
        <v>8130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8521</v>
      </c>
      <c r="E1419" s="37" t="s">
        <v>2504</v>
      </c>
      <c r="F1419" s="37" t="s">
        <v>2505</v>
      </c>
      <c r="G1419" s="37" t="s">
        <v>2506</v>
      </c>
      <c r="H1419" s="37" t="s">
        <v>2507</v>
      </c>
      <c r="I1419" s="37" t="s">
        <v>8522</v>
      </c>
      <c r="J1419" s="37" t="s">
        <v>2930</v>
      </c>
      <c r="K1419" s="37" t="s">
        <v>2765</v>
      </c>
      <c r="L1419" s="37" t="s">
        <v>2525</v>
      </c>
      <c r="M1419" s="38" t="s">
        <v>2526</v>
      </c>
      <c r="N1419" s="37">
        <v>5805</v>
      </c>
      <c r="O1419" s="38" t="s">
        <v>8523</v>
      </c>
      <c r="P1419" s="39" t="s">
        <v>8524</v>
      </c>
      <c r="Q1419" s="37" t="s">
        <v>2515</v>
      </c>
      <c r="R1419" s="37" t="s">
        <v>2516</v>
      </c>
      <c r="S1419" s="37" t="s">
        <v>25</v>
      </c>
      <c r="T1419" s="37">
        <v>1</v>
      </c>
      <c r="U1419" s="37" t="s">
        <v>2517</v>
      </c>
      <c r="V1419" s="37" t="s">
        <v>8525</v>
      </c>
      <c r="W1419" s="37" t="s">
        <v>8526</v>
      </c>
      <c r="X1419" s="60">
        <v>45978.466666666667</v>
      </c>
      <c r="Y1419" s="37" t="s">
        <v>8527</v>
      </c>
      <c r="Z1419" s="37">
        <v>0.5</v>
      </c>
      <c r="AA1419" s="37"/>
      <c r="AB1419" s="37" t="s">
        <v>2521</v>
      </c>
      <c r="AC1419" s="40" t="s">
        <v>8528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8529</v>
      </c>
      <c r="E1420" s="37" t="s">
        <v>2504</v>
      </c>
      <c r="F1420" s="37" t="s">
        <v>3353</v>
      </c>
      <c r="G1420" s="37" t="s">
        <v>3354</v>
      </c>
      <c r="H1420" s="37" t="s">
        <v>2507</v>
      </c>
      <c r="I1420" s="37" t="s">
        <v>8530</v>
      </c>
      <c r="J1420" s="37" t="s">
        <v>2643</v>
      </c>
      <c r="K1420" s="37" t="s">
        <v>2765</v>
      </c>
      <c r="L1420" s="37" t="s">
        <v>2611</v>
      </c>
      <c r="M1420" s="38" t="s">
        <v>2612</v>
      </c>
      <c r="N1420" s="37" t="s">
        <v>3526</v>
      </c>
      <c r="O1420" s="38" t="s">
        <v>3152</v>
      </c>
      <c r="P1420" s="39" t="s">
        <v>8531</v>
      </c>
      <c r="Q1420" s="37" t="s">
        <v>3357</v>
      </c>
      <c r="R1420" s="37" t="s">
        <v>2516</v>
      </c>
      <c r="S1420" s="37" t="s">
        <v>25</v>
      </c>
      <c r="T1420" s="37">
        <v>1</v>
      </c>
      <c r="U1420" s="37" t="s">
        <v>2517</v>
      </c>
      <c r="V1420" s="37" t="s">
        <v>8532</v>
      </c>
      <c r="W1420" s="37" t="s">
        <v>8533</v>
      </c>
      <c r="X1420" s="60">
        <v>45978.429861111108</v>
      </c>
      <c r="Y1420" s="37" t="s">
        <v>8527</v>
      </c>
      <c r="Z1420" s="37">
        <v>0.5</v>
      </c>
      <c r="AA1420" s="37"/>
      <c r="AB1420" s="37" t="s">
        <v>2521</v>
      </c>
      <c r="AC1420" s="40" t="s">
        <v>8534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8535</v>
      </c>
      <c r="E1421" s="37" t="s">
        <v>2504</v>
      </c>
      <c r="F1421" s="37">
        <v>5197</v>
      </c>
      <c r="G1421" s="37" t="s">
        <v>3092</v>
      </c>
      <c r="H1421" s="37" t="s">
        <v>2641</v>
      </c>
      <c r="I1421" s="37" t="s">
        <v>8536</v>
      </c>
      <c r="J1421" s="37" t="s">
        <v>2643</v>
      </c>
      <c r="K1421" s="37" t="s">
        <v>2568</v>
      </c>
      <c r="L1421" s="37" t="s">
        <v>3483</v>
      </c>
      <c r="M1421" s="38" t="s">
        <v>3484</v>
      </c>
      <c r="N1421" s="37">
        <v>6003</v>
      </c>
      <c r="O1421" s="38" t="s">
        <v>3152</v>
      </c>
      <c r="P1421" s="39" t="s">
        <v>8537</v>
      </c>
      <c r="Q1421" s="37" t="s">
        <v>3093</v>
      </c>
      <c r="R1421" s="37" t="s">
        <v>2516</v>
      </c>
      <c r="S1421" s="37" t="s">
        <v>25</v>
      </c>
      <c r="T1421" s="37">
        <v>1</v>
      </c>
      <c r="U1421" s="37" t="s">
        <v>2517</v>
      </c>
      <c r="V1421" s="37" t="s">
        <v>8538</v>
      </c>
      <c r="W1421" s="37" t="s">
        <v>8539</v>
      </c>
      <c r="X1421" s="60">
        <v>45978.508333333331</v>
      </c>
      <c r="Y1421" s="37" t="s">
        <v>8527</v>
      </c>
      <c r="Z1421" s="37">
        <v>0.5</v>
      </c>
      <c r="AA1421" s="37"/>
      <c r="AB1421" s="37" t="s">
        <v>2521</v>
      </c>
      <c r="AC1421" s="40" t="s">
        <v>8540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8541</v>
      </c>
      <c r="E1422" s="37" t="s">
        <v>2504</v>
      </c>
      <c r="F1422" s="37">
        <v>2069</v>
      </c>
      <c r="G1422" s="37" t="s">
        <v>3806</v>
      </c>
      <c r="H1422" s="37" t="s">
        <v>2609</v>
      </c>
      <c r="I1422" s="37" t="s">
        <v>8542</v>
      </c>
      <c r="J1422" s="37" t="s">
        <v>2661</v>
      </c>
      <c r="K1422" s="37" t="s">
        <v>2765</v>
      </c>
      <c r="L1422" s="37" t="s">
        <v>2846</v>
      </c>
      <c r="M1422" s="38" t="s">
        <v>2847</v>
      </c>
      <c r="N1422" s="37">
        <v>2405</v>
      </c>
      <c r="O1422" s="38" t="s">
        <v>2963</v>
      </c>
      <c r="P1422" s="39" t="s">
        <v>8543</v>
      </c>
      <c r="Q1422" s="37" t="s">
        <v>3809</v>
      </c>
      <c r="R1422" s="37" t="s">
        <v>2516</v>
      </c>
      <c r="S1422" s="37" t="s">
        <v>173</v>
      </c>
      <c r="T1422" s="37">
        <v>1</v>
      </c>
      <c r="U1422" s="37" t="s">
        <v>2517</v>
      </c>
      <c r="V1422" s="37" t="s">
        <v>8544</v>
      </c>
      <c r="W1422" s="37" t="s">
        <v>8545</v>
      </c>
      <c r="X1422" s="60">
        <v>45978.593055555553</v>
      </c>
      <c r="Y1422" s="37" t="s">
        <v>8546</v>
      </c>
      <c r="Z1422" s="37">
        <v>0.5</v>
      </c>
      <c r="AA1422" s="37"/>
      <c r="AB1422" s="37" t="s">
        <v>2521</v>
      </c>
      <c r="AC1422" s="40" t="s">
        <v>7254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8547</v>
      </c>
      <c r="E1423" s="37" t="s">
        <v>2843</v>
      </c>
      <c r="F1423" s="37">
        <v>2069</v>
      </c>
      <c r="G1423" s="37" t="s">
        <v>3806</v>
      </c>
      <c r="H1423" s="37" t="s">
        <v>2609</v>
      </c>
      <c r="I1423" s="37" t="s">
        <v>8548</v>
      </c>
      <c r="J1423" s="37" t="s">
        <v>2661</v>
      </c>
      <c r="K1423" s="37" t="s">
        <v>2568</v>
      </c>
      <c r="L1423" s="37" t="s">
        <v>2846</v>
      </c>
      <c r="M1423" s="38" t="s">
        <v>2847</v>
      </c>
      <c r="N1423" s="37">
        <v>2405</v>
      </c>
      <c r="O1423" s="38" t="s">
        <v>2963</v>
      </c>
      <c r="P1423" s="39" t="s">
        <v>8549</v>
      </c>
      <c r="Q1423" s="37" t="s">
        <v>3809</v>
      </c>
      <c r="R1423" s="37" t="s">
        <v>2516</v>
      </c>
      <c r="S1423" s="37" t="s">
        <v>173</v>
      </c>
      <c r="T1423" s="37">
        <v>1</v>
      </c>
      <c r="U1423" s="37" t="s">
        <v>2517</v>
      </c>
      <c r="V1423" s="37" t="s">
        <v>8550</v>
      </c>
      <c r="W1423" s="37" t="s">
        <v>8551</v>
      </c>
      <c r="X1423" s="60">
        <v>45978.559027777781</v>
      </c>
      <c r="Y1423" s="37" t="s">
        <v>8552</v>
      </c>
      <c r="Z1423" s="37">
        <v>1.9</v>
      </c>
      <c r="AA1423" s="37"/>
      <c r="AB1423" s="37" t="s">
        <v>2521</v>
      </c>
      <c r="AC1423" s="40" t="s">
        <v>8553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4301</v>
      </c>
      <c r="H1424" s="37" t="s">
        <v>2659</v>
      </c>
      <c r="I1424" s="37"/>
      <c r="J1424" s="37"/>
      <c r="K1424" s="37"/>
      <c r="L1424" s="37"/>
      <c r="M1424" s="38"/>
      <c r="N1424" s="37"/>
      <c r="O1424" s="38"/>
      <c r="P1424" s="39"/>
      <c r="Q1424" s="37" t="s">
        <v>4302</v>
      </c>
      <c r="R1424" s="37" t="s">
        <v>2516</v>
      </c>
      <c r="S1424" s="37" t="s">
        <v>185</v>
      </c>
      <c r="T1424" s="37">
        <v>1</v>
      </c>
      <c r="U1424" s="37" t="s">
        <v>2517</v>
      </c>
      <c r="V1424" s="37" t="s">
        <v>8554</v>
      </c>
      <c r="W1424" s="37" t="s">
        <v>8555</v>
      </c>
      <c r="X1424" s="60">
        <v>45978.4375</v>
      </c>
      <c r="Y1424" s="37"/>
      <c r="Z1424" s="37">
        <v>0.5</v>
      </c>
      <c r="AA1424" s="37"/>
      <c r="AB1424" s="37" t="s">
        <v>2521</v>
      </c>
      <c r="AC1424" s="40" t="s">
        <v>8130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7630</v>
      </c>
      <c r="H1425" s="37" t="s">
        <v>2659</v>
      </c>
      <c r="I1425" s="37"/>
      <c r="J1425" s="37"/>
      <c r="K1425" s="37"/>
      <c r="L1425" s="37"/>
      <c r="M1425" s="38"/>
      <c r="N1425" s="37"/>
      <c r="O1425" s="38"/>
      <c r="P1425" s="39"/>
      <c r="Q1425" s="37" t="s">
        <v>4218</v>
      </c>
      <c r="R1425" s="37" t="s">
        <v>2516</v>
      </c>
      <c r="S1425" s="37" t="s">
        <v>185</v>
      </c>
      <c r="T1425" s="37">
        <v>1</v>
      </c>
      <c r="U1425" s="37" t="s">
        <v>2517</v>
      </c>
      <c r="V1425" s="37" t="s">
        <v>8556</v>
      </c>
      <c r="W1425" s="37" t="s">
        <v>8557</v>
      </c>
      <c r="X1425" s="60">
        <v>45978.451388888891</v>
      </c>
      <c r="Y1425" s="37"/>
      <c r="Z1425" s="37">
        <v>0.3</v>
      </c>
      <c r="AA1425" s="37"/>
      <c r="AB1425" s="37" t="s">
        <v>2521</v>
      </c>
      <c r="AC1425" s="40" t="s">
        <v>8130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8558</v>
      </c>
      <c r="E1426" s="37" t="s">
        <v>2504</v>
      </c>
      <c r="F1426" s="37" t="s">
        <v>3353</v>
      </c>
      <c r="G1426" s="37" t="s">
        <v>3354</v>
      </c>
      <c r="H1426" s="37" t="s">
        <v>2507</v>
      </c>
      <c r="I1426" s="37" t="s">
        <v>8559</v>
      </c>
      <c r="J1426" s="37" t="s">
        <v>2661</v>
      </c>
      <c r="K1426" s="37" t="s">
        <v>2568</v>
      </c>
      <c r="L1426" s="37" t="s">
        <v>2945</v>
      </c>
      <c r="M1426" s="38" t="s">
        <v>2946</v>
      </c>
      <c r="N1426" s="37" t="s">
        <v>3782</v>
      </c>
      <c r="O1426" s="38" t="s">
        <v>2582</v>
      </c>
      <c r="P1426" s="39" t="s">
        <v>8560</v>
      </c>
      <c r="Q1426" s="37" t="s">
        <v>3357</v>
      </c>
      <c r="R1426" s="37" t="s">
        <v>2516</v>
      </c>
      <c r="S1426" s="37" t="s">
        <v>25</v>
      </c>
      <c r="T1426" s="37">
        <v>1</v>
      </c>
      <c r="U1426" s="37" t="s">
        <v>2517</v>
      </c>
      <c r="V1426" s="37" t="s">
        <v>8561</v>
      </c>
      <c r="W1426" s="37" t="s">
        <v>8562</v>
      </c>
      <c r="X1426" s="60">
        <v>45979.413194444453</v>
      </c>
      <c r="Y1426" s="37" t="s">
        <v>8563</v>
      </c>
      <c r="Z1426" s="37">
        <v>0.4</v>
      </c>
      <c r="AA1426" s="37"/>
      <c r="AB1426" s="37" t="s">
        <v>2521</v>
      </c>
      <c r="AC1426" s="40" t="s">
        <v>8564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2505</v>
      </c>
      <c r="G1427" s="37" t="s">
        <v>2506</v>
      </c>
      <c r="H1427" s="37" t="s">
        <v>2507</v>
      </c>
      <c r="I1427" s="37"/>
      <c r="J1427" s="37"/>
      <c r="K1427" s="37"/>
      <c r="L1427" s="37"/>
      <c r="M1427" s="38"/>
      <c r="N1427" s="37"/>
      <c r="O1427" s="38"/>
      <c r="P1427" s="39"/>
      <c r="Q1427" s="37" t="s">
        <v>2515</v>
      </c>
      <c r="R1427" s="37" t="s">
        <v>2516</v>
      </c>
      <c r="S1427" s="37" t="s">
        <v>25</v>
      </c>
      <c r="T1427" s="37">
        <v>1</v>
      </c>
      <c r="U1427" s="37" t="s">
        <v>2517</v>
      </c>
      <c r="V1427" s="37" t="s">
        <v>8565</v>
      </c>
      <c r="W1427" s="37" t="s">
        <v>8566</v>
      </c>
      <c r="X1427" s="60">
        <v>45978.470138888893</v>
      </c>
      <c r="Y1427" s="37"/>
      <c r="Z1427" s="37">
        <v>0.3</v>
      </c>
      <c r="AA1427" s="37"/>
      <c r="AB1427" s="37" t="s">
        <v>2521</v>
      </c>
      <c r="AC1427" s="40" t="s">
        <v>8130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3806</v>
      </c>
      <c r="H1428" s="37" t="s">
        <v>2609</v>
      </c>
      <c r="I1428" s="37"/>
      <c r="J1428" s="37"/>
      <c r="K1428" s="37"/>
      <c r="L1428" s="37"/>
      <c r="M1428" s="38"/>
      <c r="N1428" s="37"/>
      <c r="O1428" s="38"/>
      <c r="P1428" s="39"/>
      <c r="Q1428" s="37" t="s">
        <v>3809</v>
      </c>
      <c r="R1428" s="37" t="s">
        <v>2516</v>
      </c>
      <c r="S1428" s="37" t="s">
        <v>173</v>
      </c>
      <c r="T1428" s="37">
        <v>1</v>
      </c>
      <c r="U1428" s="37" t="s">
        <v>2517</v>
      </c>
      <c r="V1428" s="37" t="s">
        <v>8567</v>
      </c>
      <c r="W1428" s="37" t="s">
        <v>8551</v>
      </c>
      <c r="X1428" s="60">
        <v>45978.555555555547</v>
      </c>
      <c r="Y1428" s="37"/>
      <c r="Z1428" s="37">
        <v>1.8</v>
      </c>
      <c r="AA1428" s="37"/>
      <c r="AB1428" s="37" t="s">
        <v>2521</v>
      </c>
      <c r="AC1428" s="40" t="s">
        <v>8130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3689</v>
      </c>
      <c r="H1429" s="37" t="s">
        <v>2507</v>
      </c>
      <c r="I1429" s="37"/>
      <c r="J1429" s="37"/>
      <c r="K1429" s="37"/>
      <c r="L1429" s="37"/>
      <c r="M1429" s="38"/>
      <c r="N1429" s="37"/>
      <c r="O1429" s="38"/>
      <c r="P1429" s="39"/>
      <c r="Q1429" s="37" t="s">
        <v>3690</v>
      </c>
      <c r="R1429" s="37" t="s">
        <v>2516</v>
      </c>
      <c r="S1429" s="37" t="s">
        <v>25</v>
      </c>
      <c r="T1429" s="37">
        <v>1</v>
      </c>
      <c r="U1429" s="37" t="s">
        <v>2517</v>
      </c>
      <c r="V1429" s="37" t="s">
        <v>8568</v>
      </c>
      <c r="W1429" s="37" t="s">
        <v>8569</v>
      </c>
      <c r="X1429" s="60">
        <v>45978.634722222218</v>
      </c>
      <c r="Y1429" s="37"/>
      <c r="Z1429" s="37">
        <v>0.3</v>
      </c>
      <c r="AA1429" s="37"/>
      <c r="AB1429" s="37" t="s">
        <v>2521</v>
      </c>
      <c r="AC1429" s="40" t="s">
        <v>7891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3689</v>
      </c>
      <c r="H1430" s="37" t="s">
        <v>2507</v>
      </c>
      <c r="I1430" s="37"/>
      <c r="J1430" s="37"/>
      <c r="K1430" s="37"/>
      <c r="L1430" s="37"/>
      <c r="M1430" s="38"/>
      <c r="N1430" s="37"/>
      <c r="O1430" s="38"/>
      <c r="P1430" s="39"/>
      <c r="Q1430" s="37" t="s">
        <v>3690</v>
      </c>
      <c r="R1430" s="37" t="s">
        <v>2516</v>
      </c>
      <c r="S1430" s="37" t="s">
        <v>185</v>
      </c>
      <c r="T1430" s="37">
        <v>1</v>
      </c>
      <c r="U1430" s="37" t="s">
        <v>2517</v>
      </c>
      <c r="V1430" s="37" t="s">
        <v>8570</v>
      </c>
      <c r="W1430" s="37" t="s">
        <v>8571</v>
      </c>
      <c r="X1430" s="60">
        <v>45978.645833333343</v>
      </c>
      <c r="Y1430" s="37"/>
      <c r="Z1430" s="37">
        <v>1</v>
      </c>
      <c r="AA1430" s="37"/>
      <c r="AB1430" s="37" t="s">
        <v>2521</v>
      </c>
      <c r="AC1430" s="40" t="s">
        <v>7123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8507</v>
      </c>
      <c r="H1431" s="37" t="s">
        <v>2609</v>
      </c>
      <c r="I1431" s="37"/>
      <c r="J1431" s="37"/>
      <c r="K1431" s="37"/>
      <c r="L1431" s="37"/>
      <c r="M1431" s="38"/>
      <c r="N1431" s="37"/>
      <c r="O1431" s="38"/>
      <c r="P1431" s="39"/>
      <c r="Q1431" s="37" t="s">
        <v>8392</v>
      </c>
      <c r="R1431" s="37" t="s">
        <v>2516</v>
      </c>
      <c r="S1431" s="37" t="s">
        <v>185</v>
      </c>
      <c r="T1431" s="37">
        <v>1</v>
      </c>
      <c r="U1431" s="37" t="s">
        <v>2517</v>
      </c>
      <c r="V1431" s="37" t="s">
        <v>8572</v>
      </c>
      <c r="W1431" s="37" t="s">
        <v>8573</v>
      </c>
      <c r="X1431" s="60">
        <v>45978.6875</v>
      </c>
      <c r="Y1431" s="37"/>
      <c r="Z1431" s="37">
        <v>1</v>
      </c>
      <c r="AA1431" s="37"/>
      <c r="AB1431" s="37" t="s">
        <v>2521</v>
      </c>
      <c r="AC1431" s="40" t="s">
        <v>8574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8575</v>
      </c>
      <c r="E1432" s="37" t="s">
        <v>2504</v>
      </c>
      <c r="F1432" s="37" t="s">
        <v>6537</v>
      </c>
      <c r="G1432" s="37" t="s">
        <v>6538</v>
      </c>
      <c r="H1432" s="37" t="s">
        <v>2996</v>
      </c>
      <c r="I1432" s="37" t="s">
        <v>8576</v>
      </c>
      <c r="J1432" s="37" t="s">
        <v>2661</v>
      </c>
      <c r="K1432" s="37" t="s">
        <v>2510</v>
      </c>
      <c r="L1432" s="37" t="s">
        <v>2662</v>
      </c>
      <c r="M1432" s="38" t="s">
        <v>2663</v>
      </c>
      <c r="N1432" s="37">
        <v>2702</v>
      </c>
      <c r="O1432" s="38" t="s">
        <v>3065</v>
      </c>
      <c r="P1432" s="39" t="s">
        <v>8577</v>
      </c>
      <c r="Q1432" s="37" t="s">
        <v>6541</v>
      </c>
      <c r="R1432" s="37" t="s">
        <v>2516</v>
      </c>
      <c r="S1432" s="37" t="s">
        <v>185</v>
      </c>
      <c r="T1432" s="37">
        <v>1</v>
      </c>
      <c r="U1432" s="37" t="s">
        <v>2517</v>
      </c>
      <c r="V1432" s="37" t="s">
        <v>8578</v>
      </c>
      <c r="W1432" s="37" t="s">
        <v>8527</v>
      </c>
      <c r="X1432" s="60">
        <v>45979.645833333343</v>
      </c>
      <c r="Y1432" s="37" t="s">
        <v>8579</v>
      </c>
      <c r="Z1432" s="37">
        <v>2.5</v>
      </c>
      <c r="AA1432" s="37"/>
      <c r="AB1432" s="37" t="s">
        <v>2521</v>
      </c>
      <c r="AC1432" s="40" t="s">
        <v>8580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8581</v>
      </c>
      <c r="E1433" s="37" t="s">
        <v>2504</v>
      </c>
      <c r="F1433" s="37" t="s">
        <v>2724</v>
      </c>
      <c r="G1433" s="37" t="s">
        <v>2725</v>
      </c>
      <c r="H1433" s="37" t="s">
        <v>2641</v>
      </c>
      <c r="I1433" s="37" t="s">
        <v>8582</v>
      </c>
      <c r="J1433" s="37" t="s">
        <v>2509</v>
      </c>
      <c r="K1433" s="37" t="s">
        <v>2510</v>
      </c>
      <c r="L1433" s="37" t="s">
        <v>3483</v>
      </c>
      <c r="M1433" s="38" t="s">
        <v>3484</v>
      </c>
      <c r="N1433" s="37">
        <v>6004</v>
      </c>
      <c r="O1433" s="38" t="s">
        <v>2893</v>
      </c>
      <c r="P1433" s="39" t="s">
        <v>8583</v>
      </c>
      <c r="Q1433" s="37" t="s">
        <v>2726</v>
      </c>
      <c r="R1433" s="37" t="s">
        <v>2516</v>
      </c>
      <c r="S1433" s="37" t="s">
        <v>25</v>
      </c>
      <c r="T1433" s="37">
        <v>1</v>
      </c>
      <c r="U1433" s="37" t="s">
        <v>2517</v>
      </c>
      <c r="V1433" s="37" t="s">
        <v>8584</v>
      </c>
      <c r="W1433" s="37" t="s">
        <v>8585</v>
      </c>
      <c r="X1433" s="60">
        <v>45979.732638888891</v>
      </c>
      <c r="Y1433" s="37" t="s">
        <v>8586</v>
      </c>
      <c r="Z1433" s="37">
        <v>0.5</v>
      </c>
      <c r="AA1433" s="37"/>
      <c r="AB1433" s="37" t="s">
        <v>2521</v>
      </c>
      <c r="AC1433" s="40" t="s">
        <v>8587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8588</v>
      </c>
      <c r="E1434" s="37" t="s">
        <v>2504</v>
      </c>
      <c r="F1434" s="37">
        <v>4917</v>
      </c>
      <c r="G1434" s="37" t="s">
        <v>4443</v>
      </c>
      <c r="H1434" s="37" t="s">
        <v>2609</v>
      </c>
      <c r="I1434" s="37" t="s">
        <v>8589</v>
      </c>
      <c r="J1434" s="37" t="s">
        <v>2536</v>
      </c>
      <c r="K1434" s="37" t="s">
        <v>2568</v>
      </c>
      <c r="L1434" s="37" t="s">
        <v>2595</v>
      </c>
      <c r="M1434" s="38" t="s">
        <v>2596</v>
      </c>
      <c r="N1434" s="37" t="s">
        <v>8590</v>
      </c>
      <c r="O1434" s="38" t="s">
        <v>3152</v>
      </c>
      <c r="P1434" s="39" t="s">
        <v>8591</v>
      </c>
      <c r="Q1434" s="37" t="s">
        <v>4444</v>
      </c>
      <c r="R1434" s="37" t="s">
        <v>2516</v>
      </c>
      <c r="S1434" s="37" t="s">
        <v>173</v>
      </c>
      <c r="T1434" s="37">
        <v>1</v>
      </c>
      <c r="U1434" s="37" t="s">
        <v>2517</v>
      </c>
      <c r="V1434" s="37" t="s">
        <v>8592</v>
      </c>
      <c r="W1434" s="37" t="s">
        <v>8593</v>
      </c>
      <c r="X1434" s="60">
        <v>45981.53125</v>
      </c>
      <c r="Y1434" s="37" t="s">
        <v>8594</v>
      </c>
      <c r="Z1434" s="37">
        <v>0.8</v>
      </c>
      <c r="AA1434" s="37"/>
      <c r="AB1434" s="37" t="s">
        <v>2521</v>
      </c>
      <c r="AC1434" s="40" t="s">
        <v>8595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8596</v>
      </c>
      <c r="H1435" s="37" t="s">
        <v>2507</v>
      </c>
      <c r="I1435" s="37"/>
      <c r="J1435" s="37"/>
      <c r="K1435" s="37"/>
      <c r="L1435" s="37"/>
      <c r="M1435" s="38"/>
      <c r="N1435" s="37"/>
      <c r="O1435" s="38"/>
      <c r="P1435" s="39"/>
      <c r="Q1435" s="37" t="s">
        <v>8597</v>
      </c>
      <c r="R1435" s="37" t="s">
        <v>2516</v>
      </c>
      <c r="S1435" s="37" t="s">
        <v>25</v>
      </c>
      <c r="T1435" s="37">
        <v>1</v>
      </c>
      <c r="U1435" s="37" t="s">
        <v>2517</v>
      </c>
      <c r="V1435" s="37" t="s">
        <v>8598</v>
      </c>
      <c r="W1435" s="37" t="s">
        <v>8599</v>
      </c>
      <c r="X1435" s="60">
        <v>45980.590277777781</v>
      </c>
      <c r="Y1435" s="37"/>
      <c r="Z1435" s="37">
        <v>3.2</v>
      </c>
      <c r="AA1435" s="37"/>
      <c r="AB1435" s="37" t="s">
        <v>2521</v>
      </c>
      <c r="AC1435" s="40" t="s">
        <v>8600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8601</v>
      </c>
      <c r="E1436" s="37" t="s">
        <v>2504</v>
      </c>
      <c r="F1436" s="37">
        <v>4098</v>
      </c>
      <c r="G1436" s="37" t="s">
        <v>3884</v>
      </c>
      <c r="H1436" s="37" t="s">
        <v>2507</v>
      </c>
      <c r="I1436" s="37" t="s">
        <v>8602</v>
      </c>
      <c r="J1436" s="37" t="s">
        <v>2536</v>
      </c>
      <c r="K1436" s="37" t="s">
        <v>2510</v>
      </c>
      <c r="L1436" s="37" t="s">
        <v>2846</v>
      </c>
      <c r="M1436" s="38" t="s">
        <v>2847</v>
      </c>
      <c r="N1436" s="37">
        <v>2405</v>
      </c>
      <c r="O1436" s="38" t="s">
        <v>2963</v>
      </c>
      <c r="P1436" s="39" t="s">
        <v>8603</v>
      </c>
      <c r="Q1436" s="37" t="s">
        <v>3885</v>
      </c>
      <c r="R1436" s="37" t="s">
        <v>2516</v>
      </c>
      <c r="S1436" s="37" t="s">
        <v>25</v>
      </c>
      <c r="T1436" s="37">
        <v>1</v>
      </c>
      <c r="U1436" s="37" t="s">
        <v>2517</v>
      </c>
      <c r="V1436" s="37" t="s">
        <v>8604</v>
      </c>
      <c r="W1436" s="37" t="s">
        <v>8605</v>
      </c>
      <c r="X1436" s="60">
        <v>45981.520833333343</v>
      </c>
      <c r="Y1436" s="37" t="s">
        <v>8606</v>
      </c>
      <c r="Z1436" s="37">
        <v>2</v>
      </c>
      <c r="AA1436" s="37"/>
      <c r="AB1436" s="37" t="s">
        <v>2521</v>
      </c>
      <c r="AC1436" s="40" t="s">
        <v>5437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3436</v>
      </c>
      <c r="H1437" s="37" t="s">
        <v>2609</v>
      </c>
      <c r="I1437" s="37"/>
      <c r="J1437" s="37"/>
      <c r="K1437" s="37"/>
      <c r="L1437" s="37"/>
      <c r="M1437" s="38"/>
      <c r="N1437" s="37"/>
      <c r="O1437" s="38"/>
      <c r="P1437" s="39"/>
      <c r="Q1437" s="37" t="s">
        <v>3439</v>
      </c>
      <c r="R1437" s="37" t="s">
        <v>2516</v>
      </c>
      <c r="S1437" s="37" t="s">
        <v>173</v>
      </c>
      <c r="T1437" s="37">
        <v>1</v>
      </c>
      <c r="U1437" s="37" t="s">
        <v>2517</v>
      </c>
      <c r="V1437" s="37" t="s">
        <v>8607</v>
      </c>
      <c r="W1437" s="37" t="s">
        <v>8608</v>
      </c>
      <c r="X1437" s="60">
        <v>45980.648611111108</v>
      </c>
      <c r="Y1437" s="37"/>
      <c r="Z1437" s="37">
        <v>0.3</v>
      </c>
      <c r="AA1437" s="37"/>
      <c r="AB1437" s="37" t="s">
        <v>2521</v>
      </c>
      <c r="AC1437" s="40" t="s">
        <v>8609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8610</v>
      </c>
      <c r="E1438" s="37" t="s">
        <v>2504</v>
      </c>
      <c r="F1438" s="37">
        <v>4388</v>
      </c>
      <c r="G1438" s="37" t="s">
        <v>3601</v>
      </c>
      <c r="H1438" s="37" t="s">
        <v>2507</v>
      </c>
      <c r="I1438" s="37" t="s">
        <v>8611</v>
      </c>
      <c r="J1438" s="37" t="s">
        <v>2536</v>
      </c>
      <c r="K1438" s="37" t="s">
        <v>2717</v>
      </c>
      <c r="L1438" s="37" t="s">
        <v>2537</v>
      </c>
      <c r="M1438" s="38" t="s">
        <v>2538</v>
      </c>
      <c r="N1438" s="37" t="s">
        <v>2539</v>
      </c>
      <c r="O1438" s="38" t="s">
        <v>2540</v>
      </c>
      <c r="P1438" s="39" t="s">
        <v>8612</v>
      </c>
      <c r="Q1438" s="37" t="s">
        <v>3602</v>
      </c>
      <c r="R1438" s="37" t="s">
        <v>2516</v>
      </c>
      <c r="S1438" s="37" t="s">
        <v>25</v>
      </c>
      <c r="T1438" s="37">
        <v>1</v>
      </c>
      <c r="U1438" s="37" t="s">
        <v>2517</v>
      </c>
      <c r="V1438" s="37" t="s">
        <v>8613</v>
      </c>
      <c r="W1438" s="37" t="s">
        <v>8614</v>
      </c>
      <c r="X1438" s="60">
        <v>45981.620138888888</v>
      </c>
      <c r="Y1438" s="37" t="s">
        <v>8615</v>
      </c>
      <c r="Z1438" s="37">
        <v>0.5</v>
      </c>
      <c r="AA1438" s="37"/>
      <c r="AB1438" s="37" t="s">
        <v>2521</v>
      </c>
      <c r="AC1438" s="40" t="s">
        <v>8616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4443</v>
      </c>
      <c r="H1439" s="37" t="s">
        <v>2609</v>
      </c>
      <c r="I1439" s="37"/>
      <c r="J1439" s="37"/>
      <c r="K1439" s="37"/>
      <c r="L1439" s="37"/>
      <c r="M1439" s="38"/>
      <c r="N1439" s="37"/>
      <c r="O1439" s="38"/>
      <c r="P1439" s="39"/>
      <c r="Q1439" s="37" t="s">
        <v>4444</v>
      </c>
      <c r="R1439" s="37" t="s">
        <v>2516</v>
      </c>
      <c r="S1439" s="37" t="s">
        <v>173</v>
      </c>
      <c r="T1439" s="37">
        <v>1</v>
      </c>
      <c r="U1439" s="37" t="s">
        <v>2517</v>
      </c>
      <c r="V1439" s="37" t="s">
        <v>8617</v>
      </c>
      <c r="W1439" s="37" t="s">
        <v>8593</v>
      </c>
      <c r="X1439" s="60">
        <v>45981.53125</v>
      </c>
      <c r="Y1439" s="37"/>
      <c r="Z1439" s="37">
        <v>0.8</v>
      </c>
      <c r="AA1439" s="37"/>
      <c r="AB1439" s="37" t="s">
        <v>2521</v>
      </c>
      <c r="AC1439" s="40" t="s">
        <v>8130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3884</v>
      </c>
      <c r="H1440" s="37" t="s">
        <v>2507</v>
      </c>
      <c r="I1440" s="37"/>
      <c r="J1440" s="37"/>
      <c r="K1440" s="37"/>
      <c r="L1440" s="37"/>
      <c r="M1440" s="38"/>
      <c r="N1440" s="37"/>
      <c r="O1440" s="38"/>
      <c r="P1440" s="39"/>
      <c r="Q1440" s="37" t="s">
        <v>3885</v>
      </c>
      <c r="R1440" s="37" t="s">
        <v>2516</v>
      </c>
      <c r="S1440" s="37" t="s">
        <v>25</v>
      </c>
      <c r="T1440" s="37">
        <v>1</v>
      </c>
      <c r="U1440" s="37" t="s">
        <v>2517</v>
      </c>
      <c r="V1440" s="37" t="s">
        <v>8618</v>
      </c>
      <c r="W1440" s="37" t="s">
        <v>8619</v>
      </c>
      <c r="X1440" s="60">
        <v>45981.548611111109</v>
      </c>
      <c r="Y1440" s="37"/>
      <c r="Z1440" s="37">
        <v>0.5</v>
      </c>
      <c r="AA1440" s="37"/>
      <c r="AB1440" s="37" t="s">
        <v>2521</v>
      </c>
      <c r="AC1440" s="40" t="s">
        <v>8130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3601</v>
      </c>
      <c r="H1441" s="37" t="s">
        <v>2507</v>
      </c>
      <c r="I1441" s="37"/>
      <c r="J1441" s="37"/>
      <c r="K1441" s="37"/>
      <c r="L1441" s="37"/>
      <c r="M1441" s="38"/>
      <c r="N1441" s="37"/>
      <c r="O1441" s="38"/>
      <c r="P1441" s="39"/>
      <c r="Q1441" s="37" t="s">
        <v>3602</v>
      </c>
      <c r="R1441" s="37" t="s">
        <v>2516</v>
      </c>
      <c r="S1441" s="37" t="s">
        <v>25</v>
      </c>
      <c r="T1441" s="37">
        <v>1</v>
      </c>
      <c r="U1441" s="37" t="s">
        <v>2517</v>
      </c>
      <c r="V1441" s="37" t="s">
        <v>8620</v>
      </c>
      <c r="W1441" s="37" t="s">
        <v>8621</v>
      </c>
      <c r="X1441" s="60">
        <v>45981.59375</v>
      </c>
      <c r="Y1441" s="37"/>
      <c r="Z1441" s="37">
        <v>0.2</v>
      </c>
      <c r="AA1441" s="37"/>
      <c r="AB1441" s="37" t="s">
        <v>2521</v>
      </c>
      <c r="AC1441" s="40" t="s">
        <v>8136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8622</v>
      </c>
      <c r="E1442" s="37" t="s">
        <v>2504</v>
      </c>
      <c r="F1442" s="37">
        <v>3227</v>
      </c>
      <c r="G1442" s="37" t="s">
        <v>3080</v>
      </c>
      <c r="H1442" s="37" t="s">
        <v>2996</v>
      </c>
      <c r="I1442" s="37" t="s">
        <v>8623</v>
      </c>
      <c r="J1442" s="37" t="s">
        <v>2567</v>
      </c>
      <c r="K1442" s="37" t="s">
        <v>2568</v>
      </c>
      <c r="L1442" s="37" t="s">
        <v>2569</v>
      </c>
      <c r="M1442" s="38" t="s">
        <v>2570</v>
      </c>
      <c r="N1442" s="37">
        <v>2501</v>
      </c>
      <c r="O1442" s="38" t="s">
        <v>2571</v>
      </c>
      <c r="P1442" s="39" t="s">
        <v>8624</v>
      </c>
      <c r="Q1442" s="37" t="s">
        <v>3081</v>
      </c>
      <c r="R1442" s="37" t="s">
        <v>2516</v>
      </c>
      <c r="S1442" s="37" t="s">
        <v>185</v>
      </c>
      <c r="T1442" s="37">
        <v>1</v>
      </c>
      <c r="U1442" s="37" t="s">
        <v>2517</v>
      </c>
      <c r="V1442" s="37" t="s">
        <v>8625</v>
      </c>
      <c r="W1442" s="37" t="s">
        <v>8626</v>
      </c>
      <c r="X1442" s="60">
        <v>45982.427083333343</v>
      </c>
      <c r="Y1442" s="37" t="s">
        <v>8627</v>
      </c>
      <c r="Z1442" s="37">
        <v>0.5</v>
      </c>
      <c r="AA1442" s="37"/>
      <c r="AB1442" s="37" t="s">
        <v>2915</v>
      </c>
      <c r="AC1442" s="40" t="s">
        <v>6693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8628</v>
      </c>
      <c r="E1443" s="37" t="s">
        <v>2843</v>
      </c>
      <c r="F1443" s="37">
        <v>4098</v>
      </c>
      <c r="G1443" s="37" t="s">
        <v>3884</v>
      </c>
      <c r="H1443" s="37" t="s">
        <v>2507</v>
      </c>
      <c r="I1443" s="37" t="s">
        <v>8629</v>
      </c>
      <c r="J1443" s="37" t="s">
        <v>2567</v>
      </c>
      <c r="K1443" s="37" t="s">
        <v>2568</v>
      </c>
      <c r="L1443" s="37" t="s">
        <v>2846</v>
      </c>
      <c r="M1443" s="38" t="s">
        <v>2847</v>
      </c>
      <c r="N1443" s="37">
        <v>2401</v>
      </c>
      <c r="O1443" s="38" t="s">
        <v>2848</v>
      </c>
      <c r="P1443" s="39" t="s">
        <v>8630</v>
      </c>
      <c r="Q1443" s="37" t="s">
        <v>3885</v>
      </c>
      <c r="R1443" s="37" t="s">
        <v>2516</v>
      </c>
      <c r="S1443" s="37" t="s">
        <v>185</v>
      </c>
      <c r="T1443" s="37">
        <v>1</v>
      </c>
      <c r="U1443" s="37" t="s">
        <v>2517</v>
      </c>
      <c r="V1443" s="37" t="s">
        <v>8631</v>
      </c>
      <c r="W1443" s="37" t="s">
        <v>8632</v>
      </c>
      <c r="X1443" s="60">
        <v>45982.618055555547</v>
      </c>
      <c r="Y1443" s="37" t="s">
        <v>8633</v>
      </c>
      <c r="Z1443" s="37">
        <v>2.2999999999999998</v>
      </c>
      <c r="AA1443" s="37"/>
      <c r="AB1443" s="37" t="s">
        <v>2521</v>
      </c>
      <c r="AC1443" s="40" t="s">
        <v>8634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8635</v>
      </c>
      <c r="E1444" s="37" t="s">
        <v>2504</v>
      </c>
      <c r="F1444" s="37">
        <v>4154</v>
      </c>
      <c r="G1444" s="37" t="s">
        <v>4067</v>
      </c>
      <c r="H1444" s="37" t="s">
        <v>3148</v>
      </c>
      <c r="I1444" s="37" t="s">
        <v>8636</v>
      </c>
      <c r="J1444" s="37" t="s">
        <v>2930</v>
      </c>
      <c r="K1444" s="37" t="s">
        <v>2568</v>
      </c>
      <c r="L1444" s="37" t="s">
        <v>2569</v>
      </c>
      <c r="M1444" s="38" t="s">
        <v>2570</v>
      </c>
      <c r="N1444" s="37">
        <v>2501</v>
      </c>
      <c r="O1444" s="38" t="s">
        <v>2571</v>
      </c>
      <c r="P1444" s="39" t="s">
        <v>8637</v>
      </c>
      <c r="Q1444" s="37" t="s">
        <v>4068</v>
      </c>
      <c r="R1444" s="37" t="s">
        <v>2516</v>
      </c>
      <c r="S1444" s="37" t="s">
        <v>185</v>
      </c>
      <c r="T1444" s="37">
        <v>1</v>
      </c>
      <c r="U1444" s="37" t="s">
        <v>2517</v>
      </c>
      <c r="V1444" s="37" t="s">
        <v>8638</v>
      </c>
      <c r="W1444" s="37" t="s">
        <v>8639</v>
      </c>
      <c r="X1444" s="60">
        <v>45985.4375</v>
      </c>
      <c r="Y1444" s="37" t="s">
        <v>8640</v>
      </c>
      <c r="Z1444" s="37">
        <v>1</v>
      </c>
      <c r="AA1444" s="37"/>
      <c r="AB1444" s="37" t="s">
        <v>2521</v>
      </c>
      <c r="AC1444" s="40" t="s">
        <v>8641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8642</v>
      </c>
      <c r="E1445" s="37" t="s">
        <v>2504</v>
      </c>
      <c r="F1445" s="37" t="s">
        <v>3950</v>
      </c>
      <c r="G1445" s="37" t="s">
        <v>7736</v>
      </c>
      <c r="H1445" s="37" t="s">
        <v>2609</v>
      </c>
      <c r="I1445" s="37" t="s">
        <v>8643</v>
      </c>
      <c r="J1445" s="37" t="s">
        <v>2661</v>
      </c>
      <c r="K1445" s="37" t="s">
        <v>2765</v>
      </c>
      <c r="L1445" s="37" t="s">
        <v>2537</v>
      </c>
      <c r="M1445" s="38" t="s">
        <v>2538</v>
      </c>
      <c r="N1445" s="37" t="s">
        <v>2539</v>
      </c>
      <c r="O1445" s="38" t="s">
        <v>2540</v>
      </c>
      <c r="P1445" s="39" t="s">
        <v>8644</v>
      </c>
      <c r="Q1445" s="37" t="s">
        <v>3955</v>
      </c>
      <c r="R1445" s="37" t="s">
        <v>2516</v>
      </c>
      <c r="S1445" s="37" t="s">
        <v>173</v>
      </c>
      <c r="T1445" s="37">
        <v>1</v>
      </c>
      <c r="U1445" s="37" t="s">
        <v>2517</v>
      </c>
      <c r="V1445" s="37" t="s">
        <v>8645</v>
      </c>
      <c r="W1445" s="37" t="s">
        <v>8646</v>
      </c>
      <c r="X1445" s="60">
        <v>45986.482638888891</v>
      </c>
      <c r="Y1445" s="37" t="s">
        <v>8647</v>
      </c>
      <c r="Z1445" s="37">
        <v>0.6</v>
      </c>
      <c r="AA1445" s="37"/>
      <c r="AB1445" s="37" t="s">
        <v>2521</v>
      </c>
      <c r="AC1445" s="40" t="s">
        <v>8648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8649</v>
      </c>
      <c r="E1446" s="37" t="s">
        <v>2843</v>
      </c>
      <c r="F1446" s="37">
        <v>5291</v>
      </c>
      <c r="G1446" s="37" t="s">
        <v>3936</v>
      </c>
      <c r="H1446" s="37" t="s">
        <v>2659</v>
      </c>
      <c r="I1446" s="37" t="s">
        <v>8650</v>
      </c>
      <c r="J1446" s="37" t="s">
        <v>2661</v>
      </c>
      <c r="K1446" s="37" t="s">
        <v>2568</v>
      </c>
      <c r="L1446" s="37" t="s">
        <v>2846</v>
      </c>
      <c r="M1446" s="38" t="s">
        <v>2847</v>
      </c>
      <c r="N1446" s="37">
        <v>2405</v>
      </c>
      <c r="O1446" s="38" t="s">
        <v>2963</v>
      </c>
      <c r="P1446" s="39" t="s">
        <v>8651</v>
      </c>
      <c r="Q1446" s="37" t="s">
        <v>3937</v>
      </c>
      <c r="R1446" s="37" t="s">
        <v>2516</v>
      </c>
      <c r="S1446" s="37" t="s">
        <v>185</v>
      </c>
      <c r="T1446" s="37">
        <v>1</v>
      </c>
      <c r="U1446" s="37" t="s">
        <v>2517</v>
      </c>
      <c r="V1446" s="37" t="s">
        <v>8652</v>
      </c>
      <c r="W1446" s="37" t="s">
        <v>8653</v>
      </c>
      <c r="X1446" s="60">
        <v>45985.552083333343</v>
      </c>
      <c r="Y1446" s="37" t="s">
        <v>8654</v>
      </c>
      <c r="Z1446" s="37">
        <v>1.8</v>
      </c>
      <c r="AA1446" s="37"/>
      <c r="AB1446" s="37" t="s">
        <v>2521</v>
      </c>
      <c r="AC1446" s="40" t="s">
        <v>8655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2799</v>
      </c>
      <c r="H1447" s="37" t="s">
        <v>2507</v>
      </c>
      <c r="I1447" s="37"/>
      <c r="J1447" s="37"/>
      <c r="K1447" s="37"/>
      <c r="L1447" s="37"/>
      <c r="M1447" s="38"/>
      <c r="N1447" s="37"/>
      <c r="O1447" s="38"/>
      <c r="P1447" s="39"/>
      <c r="Q1447" s="37" t="s">
        <v>2800</v>
      </c>
      <c r="R1447" s="37" t="s">
        <v>2516</v>
      </c>
      <c r="S1447" s="37" t="s">
        <v>25</v>
      </c>
      <c r="T1447" s="37">
        <v>1</v>
      </c>
      <c r="U1447" s="37" t="s">
        <v>2517</v>
      </c>
      <c r="V1447" s="37" t="s">
        <v>8656</v>
      </c>
      <c r="W1447" s="37" t="s">
        <v>8657</v>
      </c>
      <c r="X1447" s="60">
        <v>45985.486805555563</v>
      </c>
      <c r="Y1447" s="37"/>
      <c r="Z1447" s="37">
        <v>0.4</v>
      </c>
      <c r="AA1447" s="37"/>
      <c r="AB1447" s="37" t="s">
        <v>2521</v>
      </c>
      <c r="AC1447" s="40" t="s">
        <v>8130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3568</v>
      </c>
      <c r="H1448" s="37" t="s">
        <v>2507</v>
      </c>
      <c r="I1448" s="37"/>
      <c r="J1448" s="37"/>
      <c r="K1448" s="37"/>
      <c r="L1448" s="37"/>
      <c r="M1448" s="38"/>
      <c r="N1448" s="37"/>
      <c r="O1448" s="38"/>
      <c r="P1448" s="39"/>
      <c r="Q1448" s="37" t="s">
        <v>3569</v>
      </c>
      <c r="R1448" s="37" t="s">
        <v>2516</v>
      </c>
      <c r="S1448" s="37" t="s">
        <v>25</v>
      </c>
      <c r="T1448" s="37">
        <v>1</v>
      </c>
      <c r="U1448" s="37" t="s">
        <v>2517</v>
      </c>
      <c r="V1448" s="37" t="s">
        <v>8658</v>
      </c>
      <c r="W1448" s="37" t="s">
        <v>8659</v>
      </c>
      <c r="X1448" s="60">
        <v>45985.506944444453</v>
      </c>
      <c r="Y1448" s="37"/>
      <c r="Z1448" s="37">
        <v>0.3</v>
      </c>
      <c r="AA1448" s="37"/>
      <c r="AB1448" s="37" t="s">
        <v>2521</v>
      </c>
      <c r="AC1448" s="40" t="s">
        <v>8130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3597</v>
      </c>
      <c r="H1449" s="37" t="s">
        <v>2507</v>
      </c>
      <c r="I1449" s="37"/>
      <c r="J1449" s="37"/>
      <c r="K1449" s="37"/>
      <c r="L1449" s="37"/>
      <c r="M1449" s="38"/>
      <c r="N1449" s="37"/>
      <c r="O1449" s="38"/>
      <c r="P1449" s="39"/>
      <c r="Q1449" s="37" t="s">
        <v>3598</v>
      </c>
      <c r="R1449" s="37" t="s">
        <v>2516</v>
      </c>
      <c r="S1449" s="37" t="s">
        <v>25</v>
      </c>
      <c r="T1449" s="37">
        <v>1</v>
      </c>
      <c r="U1449" s="37" t="s">
        <v>2517</v>
      </c>
      <c r="V1449" s="37" t="s">
        <v>8660</v>
      </c>
      <c r="W1449" s="37" t="s">
        <v>8661</v>
      </c>
      <c r="X1449" s="60">
        <v>45985.645833333343</v>
      </c>
      <c r="Y1449" s="37"/>
      <c r="Z1449" s="37">
        <v>1</v>
      </c>
      <c r="AA1449" s="37"/>
      <c r="AB1449" s="37" t="s">
        <v>2521</v>
      </c>
      <c r="AC1449" s="40" t="s">
        <v>7891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3597</v>
      </c>
      <c r="H1450" s="37" t="s">
        <v>2507</v>
      </c>
      <c r="I1450" s="37"/>
      <c r="J1450" s="37"/>
      <c r="K1450" s="37"/>
      <c r="L1450" s="37"/>
      <c r="M1450" s="38"/>
      <c r="N1450" s="37"/>
      <c r="O1450" s="38"/>
      <c r="P1450" s="39"/>
      <c r="Q1450" s="37" t="s">
        <v>3598</v>
      </c>
      <c r="R1450" s="37" t="s">
        <v>2516</v>
      </c>
      <c r="S1450" s="37" t="s">
        <v>185</v>
      </c>
      <c r="T1450" s="37">
        <v>1</v>
      </c>
      <c r="U1450" s="37" t="s">
        <v>2517</v>
      </c>
      <c r="V1450" s="37" t="s">
        <v>8662</v>
      </c>
      <c r="W1450" s="37" t="s">
        <v>8661</v>
      </c>
      <c r="X1450" s="60">
        <v>45985.645833333343</v>
      </c>
      <c r="Y1450" s="37"/>
      <c r="Z1450" s="37">
        <v>1</v>
      </c>
      <c r="AA1450" s="37"/>
      <c r="AB1450" s="37" t="s">
        <v>2521</v>
      </c>
      <c r="AC1450" s="40" t="s">
        <v>2563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2729</v>
      </c>
      <c r="H1451" s="37" t="s">
        <v>2641</v>
      </c>
      <c r="I1451" s="37"/>
      <c r="J1451" s="37"/>
      <c r="K1451" s="37"/>
      <c r="L1451" s="37"/>
      <c r="M1451" s="38"/>
      <c r="N1451" s="37"/>
      <c r="O1451" s="38"/>
      <c r="P1451" s="39"/>
      <c r="Q1451" s="37" t="s">
        <v>2730</v>
      </c>
      <c r="R1451" s="37" t="s">
        <v>2516</v>
      </c>
      <c r="S1451" s="37" t="s">
        <v>25</v>
      </c>
      <c r="T1451" s="37">
        <v>1</v>
      </c>
      <c r="U1451" s="37" t="s">
        <v>2517</v>
      </c>
      <c r="V1451" s="37" t="s">
        <v>8663</v>
      </c>
      <c r="W1451" s="37" t="s">
        <v>8664</v>
      </c>
      <c r="X1451" s="60">
        <v>45986.465277777781</v>
      </c>
      <c r="Y1451" s="37"/>
      <c r="Z1451" s="37">
        <v>0.3</v>
      </c>
      <c r="AA1451" s="37"/>
      <c r="AB1451" s="37" t="s">
        <v>2521</v>
      </c>
      <c r="AC1451" s="40" t="s">
        <v>8130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3950</v>
      </c>
      <c r="G1452" s="37" t="s">
        <v>7736</v>
      </c>
      <c r="H1452" s="37" t="s">
        <v>2609</v>
      </c>
      <c r="I1452" s="37"/>
      <c r="J1452" s="37"/>
      <c r="K1452" s="37"/>
      <c r="L1452" s="37"/>
      <c r="M1452" s="38"/>
      <c r="N1452" s="37"/>
      <c r="O1452" s="38"/>
      <c r="P1452" s="39"/>
      <c r="Q1452" s="37" t="s">
        <v>3955</v>
      </c>
      <c r="R1452" s="37" t="s">
        <v>2516</v>
      </c>
      <c r="S1452" s="37" t="s">
        <v>173</v>
      </c>
      <c r="T1452" s="37">
        <v>1</v>
      </c>
      <c r="U1452" s="37" t="s">
        <v>2517</v>
      </c>
      <c r="V1452" s="37" t="s">
        <v>8665</v>
      </c>
      <c r="W1452" s="37" t="s">
        <v>8666</v>
      </c>
      <c r="X1452" s="60">
        <v>45986.482638888891</v>
      </c>
      <c r="Y1452" s="37"/>
      <c r="Z1452" s="37">
        <v>0.1</v>
      </c>
      <c r="AA1452" s="37"/>
      <c r="AB1452" s="37" t="s">
        <v>2521</v>
      </c>
      <c r="AC1452" s="40" t="s">
        <v>8130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2724</v>
      </c>
      <c r="G1453" s="37" t="s">
        <v>2725</v>
      </c>
      <c r="H1453" s="37" t="s">
        <v>2641</v>
      </c>
      <c r="I1453" s="37"/>
      <c r="J1453" s="37"/>
      <c r="K1453" s="37"/>
      <c r="L1453" s="37"/>
      <c r="M1453" s="38"/>
      <c r="N1453" s="37"/>
      <c r="O1453" s="38"/>
      <c r="P1453" s="39"/>
      <c r="Q1453" s="37" t="s">
        <v>2726</v>
      </c>
      <c r="R1453" s="37" t="s">
        <v>2516</v>
      </c>
      <c r="S1453" s="37" t="s">
        <v>25</v>
      </c>
      <c r="T1453" s="37">
        <v>1</v>
      </c>
      <c r="U1453" s="37" t="s">
        <v>2517</v>
      </c>
      <c r="V1453" s="37" t="s">
        <v>8667</v>
      </c>
      <c r="W1453" s="37" t="s">
        <v>8668</v>
      </c>
      <c r="X1453" s="60">
        <v>45986.486111111109</v>
      </c>
      <c r="Y1453" s="37"/>
      <c r="Z1453" s="37">
        <v>0.3</v>
      </c>
      <c r="AA1453" s="37"/>
      <c r="AB1453" s="37" t="s">
        <v>2521</v>
      </c>
      <c r="AC1453" s="40" t="s">
        <v>8130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3613</v>
      </c>
      <c r="H1454" s="37" t="s">
        <v>2641</v>
      </c>
      <c r="I1454" s="37"/>
      <c r="J1454" s="37"/>
      <c r="K1454" s="37"/>
      <c r="L1454" s="37"/>
      <c r="M1454" s="38"/>
      <c r="N1454" s="37"/>
      <c r="O1454" s="38"/>
      <c r="P1454" s="39"/>
      <c r="Q1454" s="37" t="s">
        <v>3616</v>
      </c>
      <c r="R1454" s="37" t="s">
        <v>2516</v>
      </c>
      <c r="S1454" s="37" t="s">
        <v>25</v>
      </c>
      <c r="T1454" s="37">
        <v>1</v>
      </c>
      <c r="U1454" s="37" t="s">
        <v>2517</v>
      </c>
      <c r="V1454" s="37" t="s">
        <v>8669</v>
      </c>
      <c r="W1454" s="37" t="s">
        <v>8670</v>
      </c>
      <c r="X1454" s="60">
        <v>45986.506944444453</v>
      </c>
      <c r="Y1454" s="37"/>
      <c r="Z1454" s="37">
        <v>0.3</v>
      </c>
      <c r="AA1454" s="37"/>
      <c r="AB1454" s="37" t="s">
        <v>2521</v>
      </c>
      <c r="AC1454" s="40" t="s">
        <v>8130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8671</v>
      </c>
      <c r="E1455" s="37" t="s">
        <v>2504</v>
      </c>
      <c r="F1455" s="37" t="s">
        <v>4278</v>
      </c>
      <c r="G1455" s="37" t="s">
        <v>8672</v>
      </c>
      <c r="H1455" s="37" t="s">
        <v>2609</v>
      </c>
      <c r="I1455" s="37" t="s">
        <v>8673</v>
      </c>
      <c r="J1455" s="37" t="s">
        <v>2509</v>
      </c>
      <c r="K1455" s="37" t="s">
        <v>2510</v>
      </c>
      <c r="L1455" s="37" t="s">
        <v>7340</v>
      </c>
      <c r="M1455" s="38" t="s">
        <v>7341</v>
      </c>
      <c r="N1455" s="37">
        <v>9903</v>
      </c>
      <c r="O1455" s="38" t="s">
        <v>8674</v>
      </c>
      <c r="P1455" s="39" t="s">
        <v>8675</v>
      </c>
      <c r="Q1455" s="37" t="s">
        <v>4280</v>
      </c>
      <c r="R1455" s="37" t="s">
        <v>2516</v>
      </c>
      <c r="S1455" s="37" t="s">
        <v>173</v>
      </c>
      <c r="T1455" s="37">
        <v>1</v>
      </c>
      <c r="U1455" s="37" t="s">
        <v>2517</v>
      </c>
      <c r="V1455" s="37" t="s">
        <v>8676</v>
      </c>
      <c r="W1455" s="37" t="s">
        <v>8677</v>
      </c>
      <c r="X1455" s="60">
        <v>45986.520833333343</v>
      </c>
      <c r="Y1455" s="37" t="s">
        <v>8678</v>
      </c>
      <c r="Z1455" s="37">
        <v>0.5</v>
      </c>
      <c r="AA1455" s="37"/>
      <c r="AB1455" s="37" t="s">
        <v>2521</v>
      </c>
      <c r="AC1455" s="40" t="s">
        <v>8679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8680</v>
      </c>
      <c r="E1456" s="37" t="s">
        <v>2504</v>
      </c>
      <c r="F1456" s="37" t="s">
        <v>4278</v>
      </c>
      <c r="G1456" s="37" t="s">
        <v>8672</v>
      </c>
      <c r="H1456" s="37" t="s">
        <v>2609</v>
      </c>
      <c r="I1456" s="37" t="s">
        <v>8681</v>
      </c>
      <c r="J1456" s="37" t="s">
        <v>2509</v>
      </c>
      <c r="K1456" s="37" t="s">
        <v>2510</v>
      </c>
      <c r="L1456" s="37" t="s">
        <v>7340</v>
      </c>
      <c r="M1456" s="38" t="s">
        <v>7341</v>
      </c>
      <c r="N1456" s="37">
        <v>9903</v>
      </c>
      <c r="O1456" s="38" t="s">
        <v>8674</v>
      </c>
      <c r="P1456" s="39" t="s">
        <v>8682</v>
      </c>
      <c r="Q1456" s="37" t="s">
        <v>4280</v>
      </c>
      <c r="R1456" s="37" t="s">
        <v>2516</v>
      </c>
      <c r="S1456" s="37" t="s">
        <v>173</v>
      </c>
      <c r="T1456" s="37">
        <v>1</v>
      </c>
      <c r="U1456" s="37" t="s">
        <v>2517</v>
      </c>
      <c r="V1456" s="37" t="s">
        <v>8683</v>
      </c>
      <c r="W1456" s="37" t="s">
        <v>8677</v>
      </c>
      <c r="X1456" s="60">
        <v>45986.520833333343</v>
      </c>
      <c r="Y1456" s="37" t="s">
        <v>8678</v>
      </c>
      <c r="Z1456" s="37">
        <v>0.5</v>
      </c>
      <c r="AA1456" s="37"/>
      <c r="AB1456" s="37" t="s">
        <v>2521</v>
      </c>
      <c r="AC1456" s="40" t="s">
        <v>8684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3890</v>
      </c>
      <c r="G1457" s="37" t="s">
        <v>3891</v>
      </c>
      <c r="H1457" s="37" t="s">
        <v>2641</v>
      </c>
      <c r="I1457" s="37"/>
      <c r="J1457" s="37"/>
      <c r="K1457" s="37"/>
      <c r="L1457" s="37"/>
      <c r="M1457" s="38"/>
      <c r="N1457" s="37"/>
      <c r="O1457" s="38"/>
      <c r="P1457" s="39"/>
      <c r="Q1457" s="37" t="s">
        <v>3892</v>
      </c>
      <c r="R1457" s="37" t="s">
        <v>2516</v>
      </c>
      <c r="S1457" s="37" t="s">
        <v>25</v>
      </c>
      <c r="T1457" s="37">
        <v>1</v>
      </c>
      <c r="U1457" s="37" t="s">
        <v>2517</v>
      </c>
      <c r="V1457" s="37" t="s">
        <v>8685</v>
      </c>
      <c r="W1457" s="37" t="s">
        <v>8686</v>
      </c>
      <c r="X1457" s="60">
        <v>45986.517361111109</v>
      </c>
      <c r="Y1457" s="37"/>
      <c r="Z1457" s="37">
        <v>0.2</v>
      </c>
      <c r="AA1457" s="37"/>
      <c r="AB1457" s="37" t="s">
        <v>2521</v>
      </c>
      <c r="AC1457" s="40" t="s">
        <v>7788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4278</v>
      </c>
      <c r="G1458" s="37" t="s">
        <v>8672</v>
      </c>
      <c r="H1458" s="37" t="s">
        <v>2609</v>
      </c>
      <c r="I1458" s="37"/>
      <c r="J1458" s="37"/>
      <c r="K1458" s="37"/>
      <c r="L1458" s="37"/>
      <c r="M1458" s="38"/>
      <c r="N1458" s="37"/>
      <c r="O1458" s="38"/>
      <c r="P1458" s="39"/>
      <c r="Q1458" s="37" t="s">
        <v>4280</v>
      </c>
      <c r="R1458" s="37" t="s">
        <v>2516</v>
      </c>
      <c r="S1458" s="37" t="s">
        <v>173</v>
      </c>
      <c r="T1458" s="37">
        <v>1</v>
      </c>
      <c r="U1458" s="37" t="s">
        <v>2517</v>
      </c>
      <c r="V1458" s="37" t="s">
        <v>8687</v>
      </c>
      <c r="W1458" s="37" t="s">
        <v>8677</v>
      </c>
      <c r="X1458" s="60">
        <v>45986.513888888891</v>
      </c>
      <c r="Y1458" s="37"/>
      <c r="Z1458" s="37">
        <v>0.3</v>
      </c>
      <c r="AA1458" s="37"/>
      <c r="AB1458" s="37" t="s">
        <v>2521</v>
      </c>
      <c r="AC1458" s="40" t="s">
        <v>8130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3080</v>
      </c>
      <c r="H1459" s="37" t="s">
        <v>2996</v>
      </c>
      <c r="I1459" s="37"/>
      <c r="J1459" s="37"/>
      <c r="K1459" s="37"/>
      <c r="L1459" s="37"/>
      <c r="M1459" s="38"/>
      <c r="N1459" s="37"/>
      <c r="O1459" s="38"/>
      <c r="P1459" s="39"/>
      <c r="Q1459" s="37" t="s">
        <v>3081</v>
      </c>
      <c r="R1459" s="37" t="s">
        <v>2516</v>
      </c>
      <c r="S1459" s="37" t="s">
        <v>185</v>
      </c>
      <c r="T1459" s="37">
        <v>1</v>
      </c>
      <c r="U1459" s="37" t="s">
        <v>2517</v>
      </c>
      <c r="V1459" s="37" t="s">
        <v>8688</v>
      </c>
      <c r="W1459" s="37" t="s">
        <v>8689</v>
      </c>
      <c r="X1459" s="60">
        <v>45986.534722222219</v>
      </c>
      <c r="Y1459" s="37"/>
      <c r="Z1459" s="37">
        <v>0.3</v>
      </c>
      <c r="AA1459" s="37"/>
      <c r="AB1459" s="37" t="s">
        <v>2521</v>
      </c>
      <c r="AC1459" s="40" t="s">
        <v>8130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3084</v>
      </c>
      <c r="H1460" s="37" t="s">
        <v>2996</v>
      </c>
      <c r="I1460" s="37"/>
      <c r="J1460" s="37"/>
      <c r="K1460" s="37"/>
      <c r="L1460" s="37"/>
      <c r="M1460" s="38"/>
      <c r="N1460" s="37"/>
      <c r="O1460" s="38"/>
      <c r="P1460" s="39"/>
      <c r="Q1460" s="37" t="s">
        <v>3085</v>
      </c>
      <c r="R1460" s="37" t="s">
        <v>2516</v>
      </c>
      <c r="S1460" s="37" t="s">
        <v>185</v>
      </c>
      <c r="T1460" s="37">
        <v>1</v>
      </c>
      <c r="U1460" s="37" t="s">
        <v>2517</v>
      </c>
      <c r="V1460" s="37" t="s">
        <v>8690</v>
      </c>
      <c r="W1460" s="37" t="s">
        <v>8691</v>
      </c>
      <c r="X1460" s="60">
        <v>45986.548611111109</v>
      </c>
      <c r="Y1460" s="37"/>
      <c r="Z1460" s="37">
        <v>0.3</v>
      </c>
      <c r="AA1460" s="37"/>
      <c r="AB1460" s="37" t="s">
        <v>2521</v>
      </c>
      <c r="AC1460" s="40" t="s">
        <v>8130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8692</v>
      </c>
      <c r="E1461" s="37" t="s">
        <v>2504</v>
      </c>
      <c r="F1461" s="37">
        <v>3601</v>
      </c>
      <c r="G1461" s="37" t="s">
        <v>8180</v>
      </c>
      <c r="H1461" s="37" t="s">
        <v>2507</v>
      </c>
      <c r="I1461" s="37" t="s">
        <v>8693</v>
      </c>
      <c r="J1461" s="37" t="s">
        <v>2509</v>
      </c>
      <c r="K1461" s="37" t="s">
        <v>2510</v>
      </c>
      <c r="L1461" s="37" t="s">
        <v>7340</v>
      </c>
      <c r="M1461" s="38" t="s">
        <v>7341</v>
      </c>
      <c r="N1461" s="37">
        <v>9903</v>
      </c>
      <c r="O1461" s="38" t="s">
        <v>8674</v>
      </c>
      <c r="P1461" s="39" t="s">
        <v>8675</v>
      </c>
      <c r="Q1461" s="37" t="s">
        <v>3845</v>
      </c>
      <c r="R1461" s="37" t="s">
        <v>2516</v>
      </c>
      <c r="S1461" s="37" t="s">
        <v>173</v>
      </c>
      <c r="T1461" s="37">
        <v>1</v>
      </c>
      <c r="U1461" s="37" t="s">
        <v>2517</v>
      </c>
      <c r="V1461" s="37" t="s">
        <v>8694</v>
      </c>
      <c r="W1461" s="37" t="s">
        <v>8695</v>
      </c>
      <c r="X1461" s="60">
        <v>45986.590277777781</v>
      </c>
      <c r="Y1461" s="37" t="s">
        <v>8696</v>
      </c>
      <c r="Z1461" s="37">
        <v>0.7</v>
      </c>
      <c r="AA1461" s="37"/>
      <c r="AB1461" s="37" t="s">
        <v>2521</v>
      </c>
      <c r="AC1461" s="40" t="s">
        <v>8679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8697</v>
      </c>
      <c r="E1462" s="37" t="s">
        <v>2504</v>
      </c>
      <c r="F1462" s="37">
        <v>3601</v>
      </c>
      <c r="G1462" s="37" t="s">
        <v>8180</v>
      </c>
      <c r="H1462" s="37" t="s">
        <v>2507</v>
      </c>
      <c r="I1462" s="37" t="s">
        <v>8698</v>
      </c>
      <c r="J1462" s="37" t="s">
        <v>2509</v>
      </c>
      <c r="K1462" s="37" t="s">
        <v>2510</v>
      </c>
      <c r="L1462" s="37" t="s">
        <v>7340</v>
      </c>
      <c r="M1462" s="38" t="s">
        <v>7341</v>
      </c>
      <c r="N1462" s="37">
        <v>9903</v>
      </c>
      <c r="O1462" s="38" t="s">
        <v>8674</v>
      </c>
      <c r="P1462" s="39" t="s">
        <v>8682</v>
      </c>
      <c r="Q1462" s="37" t="s">
        <v>3845</v>
      </c>
      <c r="R1462" s="37" t="s">
        <v>2516</v>
      </c>
      <c r="S1462" s="37" t="s">
        <v>173</v>
      </c>
      <c r="T1462" s="37">
        <v>1</v>
      </c>
      <c r="U1462" s="37" t="s">
        <v>2517</v>
      </c>
      <c r="V1462" s="37" t="s">
        <v>8699</v>
      </c>
      <c r="W1462" s="37" t="s">
        <v>8695</v>
      </c>
      <c r="X1462" s="60">
        <v>45986.590277777781</v>
      </c>
      <c r="Y1462" s="37" t="s">
        <v>8696</v>
      </c>
      <c r="Z1462" s="37">
        <v>0.7</v>
      </c>
      <c r="AA1462" s="37"/>
      <c r="AB1462" s="37" t="s">
        <v>2521</v>
      </c>
      <c r="AC1462" s="40" t="s">
        <v>8679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2692</v>
      </c>
      <c r="H1463" s="37" t="s">
        <v>2659</v>
      </c>
      <c r="I1463" s="37"/>
      <c r="J1463" s="37"/>
      <c r="K1463" s="37"/>
      <c r="L1463" s="37"/>
      <c r="M1463" s="38"/>
      <c r="N1463" s="37"/>
      <c r="O1463" s="38"/>
      <c r="P1463" s="39"/>
      <c r="Q1463" s="37" t="s">
        <v>2693</v>
      </c>
      <c r="R1463" s="37" t="s">
        <v>2516</v>
      </c>
      <c r="S1463" s="37" t="s">
        <v>185</v>
      </c>
      <c r="T1463" s="37">
        <v>1</v>
      </c>
      <c r="U1463" s="37" t="s">
        <v>2517</v>
      </c>
      <c r="V1463" s="37" t="s">
        <v>8700</v>
      </c>
      <c r="W1463" s="37" t="s">
        <v>8701</v>
      </c>
      <c r="X1463" s="60">
        <v>45986.645833333343</v>
      </c>
      <c r="Y1463" s="37"/>
      <c r="Z1463" s="37">
        <v>1</v>
      </c>
      <c r="AA1463" s="37"/>
      <c r="AB1463" s="37" t="s">
        <v>2521</v>
      </c>
      <c r="AC1463" s="40" t="s">
        <v>7864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8702</v>
      </c>
      <c r="E1464" s="37" t="s">
        <v>2504</v>
      </c>
      <c r="F1464" s="37">
        <v>3227</v>
      </c>
      <c r="G1464" s="37" t="s">
        <v>3080</v>
      </c>
      <c r="H1464" s="37" t="s">
        <v>2996</v>
      </c>
      <c r="I1464" s="37" t="s">
        <v>8703</v>
      </c>
      <c r="J1464" s="37" t="s">
        <v>2509</v>
      </c>
      <c r="K1464" s="37" t="s">
        <v>2510</v>
      </c>
      <c r="L1464" s="37" t="s">
        <v>2846</v>
      </c>
      <c r="M1464" s="38" t="s">
        <v>2847</v>
      </c>
      <c r="N1464" s="37">
        <v>2405</v>
      </c>
      <c r="O1464" s="38" t="s">
        <v>2963</v>
      </c>
      <c r="P1464" s="39" t="s">
        <v>8704</v>
      </c>
      <c r="Q1464" s="37" t="s">
        <v>3081</v>
      </c>
      <c r="R1464" s="37" t="s">
        <v>2516</v>
      </c>
      <c r="S1464" s="37" t="s">
        <v>185</v>
      </c>
      <c r="T1464" s="37">
        <v>1</v>
      </c>
      <c r="U1464" s="37" t="s">
        <v>2517</v>
      </c>
      <c r="V1464" s="37" t="s">
        <v>8705</v>
      </c>
      <c r="W1464" s="37" t="s">
        <v>8706</v>
      </c>
      <c r="X1464" s="60">
        <v>45987.5625</v>
      </c>
      <c r="Y1464" s="37" t="s">
        <v>8707</v>
      </c>
      <c r="Z1464" s="37">
        <v>2.8</v>
      </c>
      <c r="AA1464" s="37"/>
      <c r="AB1464" s="37" t="s">
        <v>2521</v>
      </c>
      <c r="AC1464" s="40" t="s">
        <v>8708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2692</v>
      </c>
      <c r="H1465" s="37" t="s">
        <v>2659</v>
      </c>
      <c r="I1465" s="37"/>
      <c r="J1465" s="37"/>
      <c r="K1465" s="37"/>
      <c r="L1465" s="37"/>
      <c r="M1465" s="38"/>
      <c r="N1465" s="37"/>
      <c r="O1465" s="38"/>
      <c r="P1465" s="39"/>
      <c r="Q1465" s="37" t="s">
        <v>2693</v>
      </c>
      <c r="R1465" s="37" t="s">
        <v>2516</v>
      </c>
      <c r="S1465" s="37" t="s">
        <v>25</v>
      </c>
      <c r="T1465" s="37">
        <v>1</v>
      </c>
      <c r="U1465" s="37" t="s">
        <v>2517</v>
      </c>
      <c r="V1465" s="37" t="s">
        <v>8709</v>
      </c>
      <c r="W1465" s="37" t="s">
        <v>8710</v>
      </c>
      <c r="X1465" s="60">
        <v>45986.645833333343</v>
      </c>
      <c r="Y1465" s="37"/>
      <c r="Z1465" s="37">
        <v>0.7</v>
      </c>
      <c r="AA1465" s="37"/>
      <c r="AB1465" s="37" t="s">
        <v>2521</v>
      </c>
      <c r="AC1465" s="40" t="s">
        <v>8711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8712</v>
      </c>
      <c r="E1466" s="37" t="s">
        <v>2504</v>
      </c>
      <c r="F1466" s="37" t="s">
        <v>2657</v>
      </c>
      <c r="G1466" s="37" t="s">
        <v>2658</v>
      </c>
      <c r="H1466" s="37" t="s">
        <v>2659</v>
      </c>
      <c r="I1466" s="37" t="s">
        <v>8713</v>
      </c>
      <c r="J1466" s="37" t="s">
        <v>2536</v>
      </c>
      <c r="K1466" s="37" t="s">
        <v>2568</v>
      </c>
      <c r="L1466" s="37" t="s">
        <v>2537</v>
      </c>
      <c r="M1466" s="38" t="s">
        <v>2538</v>
      </c>
      <c r="N1466" s="37" t="s">
        <v>2539</v>
      </c>
      <c r="O1466" s="38" t="s">
        <v>2540</v>
      </c>
      <c r="P1466" s="39" t="s">
        <v>8714</v>
      </c>
      <c r="Q1466" s="37" t="s">
        <v>2666</v>
      </c>
      <c r="R1466" s="37" t="s">
        <v>2516</v>
      </c>
      <c r="S1466" s="37" t="s">
        <v>185</v>
      </c>
      <c r="T1466" s="37">
        <v>1</v>
      </c>
      <c r="U1466" s="37" t="s">
        <v>2517</v>
      </c>
      <c r="V1466" s="37" t="s">
        <v>8715</v>
      </c>
      <c r="W1466" s="37" t="s">
        <v>8716</v>
      </c>
      <c r="X1466" s="60">
        <v>45987.625</v>
      </c>
      <c r="Y1466" s="37" t="s">
        <v>8717</v>
      </c>
      <c r="Z1466" s="37">
        <v>0.5</v>
      </c>
      <c r="AA1466" s="37"/>
      <c r="AB1466" s="37" t="s">
        <v>2521</v>
      </c>
      <c r="AC1466" s="40" t="s">
        <v>8718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3175</v>
      </c>
      <c r="H1467" s="37" t="s">
        <v>3171</v>
      </c>
      <c r="I1467" s="37"/>
      <c r="J1467" s="37"/>
      <c r="K1467" s="37"/>
      <c r="L1467" s="37"/>
      <c r="M1467" s="38"/>
      <c r="N1467" s="37"/>
      <c r="O1467" s="38"/>
      <c r="P1467" s="39"/>
      <c r="Q1467" s="37" t="s">
        <v>3176</v>
      </c>
      <c r="R1467" s="37" t="s">
        <v>2516</v>
      </c>
      <c r="S1467" s="37" t="s">
        <v>25</v>
      </c>
      <c r="T1467" s="37">
        <v>1</v>
      </c>
      <c r="U1467" s="37" t="s">
        <v>2517</v>
      </c>
      <c r="V1467" s="37" t="s">
        <v>8719</v>
      </c>
      <c r="W1467" s="37" t="s">
        <v>8716</v>
      </c>
      <c r="X1467" s="60">
        <v>45987.618055555547</v>
      </c>
      <c r="Y1467" s="37"/>
      <c r="Z1467" s="37">
        <v>0.3</v>
      </c>
      <c r="AA1467" s="37"/>
      <c r="AB1467" s="37" t="s">
        <v>2521</v>
      </c>
      <c r="AC1467" s="40" t="s">
        <v>8130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3170</v>
      </c>
      <c r="H1468" s="37" t="s">
        <v>3171</v>
      </c>
      <c r="I1468" s="37"/>
      <c r="J1468" s="37"/>
      <c r="K1468" s="37"/>
      <c r="L1468" s="37"/>
      <c r="M1468" s="38"/>
      <c r="N1468" s="37"/>
      <c r="O1468" s="38"/>
      <c r="P1468" s="39"/>
      <c r="Q1468" s="37" t="s">
        <v>3172</v>
      </c>
      <c r="R1468" s="37" t="s">
        <v>2516</v>
      </c>
      <c r="S1468" s="37" t="s">
        <v>25</v>
      </c>
      <c r="T1468" s="37">
        <v>1</v>
      </c>
      <c r="U1468" s="37" t="s">
        <v>2517</v>
      </c>
      <c r="V1468" s="37" t="s">
        <v>8720</v>
      </c>
      <c r="W1468" s="37" t="s">
        <v>8721</v>
      </c>
      <c r="X1468" s="60">
        <v>45987.636805555558</v>
      </c>
      <c r="Y1468" s="37"/>
      <c r="Z1468" s="37">
        <v>0.4</v>
      </c>
      <c r="AA1468" s="37"/>
      <c r="AB1468" s="37" t="s">
        <v>2521</v>
      </c>
      <c r="AC1468" s="40" t="s">
        <v>8130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3179</v>
      </c>
      <c r="H1469" s="37" t="s">
        <v>3180</v>
      </c>
      <c r="I1469" s="37"/>
      <c r="J1469" s="37"/>
      <c r="K1469" s="37"/>
      <c r="L1469" s="37"/>
      <c r="M1469" s="38"/>
      <c r="N1469" s="37"/>
      <c r="O1469" s="38"/>
      <c r="P1469" s="39"/>
      <c r="Q1469" s="37" t="s">
        <v>3181</v>
      </c>
      <c r="R1469" s="37" t="s">
        <v>2516</v>
      </c>
      <c r="S1469" s="37" t="s">
        <v>25</v>
      </c>
      <c r="T1469" s="37">
        <v>1</v>
      </c>
      <c r="U1469" s="37" t="s">
        <v>2517</v>
      </c>
      <c r="V1469" s="37" t="s">
        <v>8722</v>
      </c>
      <c r="W1469" s="37" t="s">
        <v>8723</v>
      </c>
      <c r="X1469" s="60">
        <v>45987.670138888891</v>
      </c>
      <c r="Y1469" s="37"/>
      <c r="Z1469" s="37">
        <v>0.3</v>
      </c>
      <c r="AA1469" s="37"/>
      <c r="AB1469" s="37" t="s">
        <v>2521</v>
      </c>
      <c r="AC1469" s="40" t="s">
        <v>8130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8724</v>
      </c>
      <c r="E1470" s="37" t="s">
        <v>2504</v>
      </c>
      <c r="F1470" s="37">
        <v>4155</v>
      </c>
      <c r="G1470" s="37" t="s">
        <v>2737</v>
      </c>
      <c r="H1470" s="37" t="s">
        <v>2507</v>
      </c>
      <c r="I1470" s="37" t="s">
        <v>8725</v>
      </c>
      <c r="J1470" s="37" t="s">
        <v>2536</v>
      </c>
      <c r="K1470" s="37" t="s">
        <v>2510</v>
      </c>
      <c r="L1470" s="37" t="s">
        <v>2511</v>
      </c>
      <c r="M1470" s="38" t="s">
        <v>2512</v>
      </c>
      <c r="N1470" s="37">
        <v>2305</v>
      </c>
      <c r="O1470" s="38" t="s">
        <v>3035</v>
      </c>
      <c r="P1470" s="39" t="s">
        <v>8726</v>
      </c>
      <c r="Q1470" s="37" t="s">
        <v>2738</v>
      </c>
      <c r="R1470" s="37" t="s">
        <v>2516</v>
      </c>
      <c r="S1470" s="37" t="s">
        <v>25</v>
      </c>
      <c r="T1470" s="37">
        <v>1</v>
      </c>
      <c r="U1470" s="37" t="s">
        <v>2517</v>
      </c>
      <c r="V1470" s="37" t="s">
        <v>8727</v>
      </c>
      <c r="W1470" s="37" t="s">
        <v>8728</v>
      </c>
      <c r="X1470" s="60">
        <v>45988.416666666657</v>
      </c>
      <c r="Y1470" s="37" t="s">
        <v>8729</v>
      </c>
      <c r="Z1470" s="37">
        <v>0.5</v>
      </c>
      <c r="AA1470" s="37"/>
      <c r="AB1470" s="37" t="s">
        <v>2521</v>
      </c>
      <c r="AC1470" s="40" t="s">
        <v>8730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2737</v>
      </c>
      <c r="H1471" s="37" t="s">
        <v>2507</v>
      </c>
      <c r="I1471" s="37"/>
      <c r="J1471" s="37"/>
      <c r="K1471" s="37"/>
      <c r="L1471" s="37"/>
      <c r="M1471" s="38"/>
      <c r="N1471" s="37"/>
      <c r="O1471" s="38"/>
      <c r="P1471" s="39"/>
      <c r="Q1471" s="37" t="s">
        <v>2738</v>
      </c>
      <c r="R1471" s="37" t="s">
        <v>2516</v>
      </c>
      <c r="S1471" s="37" t="s">
        <v>25</v>
      </c>
      <c r="T1471" s="37">
        <v>1</v>
      </c>
      <c r="U1471" s="37" t="s">
        <v>2517</v>
      </c>
      <c r="V1471" s="37" t="s">
        <v>8731</v>
      </c>
      <c r="W1471" s="37" t="s">
        <v>8732</v>
      </c>
      <c r="X1471" s="60">
        <v>45988.435416666667</v>
      </c>
      <c r="Y1471" s="37"/>
      <c r="Z1471" s="37">
        <v>0.3</v>
      </c>
      <c r="AA1471" s="37"/>
      <c r="AB1471" s="37" t="s">
        <v>2521</v>
      </c>
      <c r="AC1471" s="40" t="s">
        <v>8136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4285</v>
      </c>
      <c r="H1472" s="37" t="s">
        <v>2659</v>
      </c>
      <c r="I1472" s="37"/>
      <c r="J1472" s="37"/>
      <c r="K1472" s="37"/>
      <c r="L1472" s="37"/>
      <c r="M1472" s="38"/>
      <c r="N1472" s="37"/>
      <c r="O1472" s="38"/>
      <c r="P1472" s="39"/>
      <c r="Q1472" s="37" t="s">
        <v>4286</v>
      </c>
      <c r="R1472" s="37" t="s">
        <v>2516</v>
      </c>
      <c r="S1472" s="37" t="s">
        <v>185</v>
      </c>
      <c r="T1472" s="37">
        <v>1</v>
      </c>
      <c r="U1472" s="37" t="s">
        <v>2517</v>
      </c>
      <c r="V1472" s="37" t="s">
        <v>8733</v>
      </c>
      <c r="W1472" s="37" t="s">
        <v>8734</v>
      </c>
      <c r="X1472" s="60">
        <v>45988.604166666657</v>
      </c>
      <c r="Y1472" s="37"/>
      <c r="Z1472" s="37">
        <v>0.5</v>
      </c>
      <c r="AA1472" s="37"/>
      <c r="AB1472" s="37" t="s">
        <v>2521</v>
      </c>
      <c r="AC1472" s="40" t="s">
        <v>8130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3464</v>
      </c>
      <c r="H1473" s="37" t="s">
        <v>1604</v>
      </c>
      <c r="I1473" s="37"/>
      <c r="J1473" s="37"/>
      <c r="K1473" s="37"/>
      <c r="L1473" s="37"/>
      <c r="M1473" s="38"/>
      <c r="N1473" s="37"/>
      <c r="O1473" s="38"/>
      <c r="P1473" s="39"/>
      <c r="Q1473" s="37" t="s">
        <v>3467</v>
      </c>
      <c r="R1473" s="37" t="s">
        <v>2516</v>
      </c>
      <c r="S1473" s="37" t="s">
        <v>25</v>
      </c>
      <c r="T1473" s="37">
        <v>1</v>
      </c>
      <c r="U1473" s="37" t="s">
        <v>2517</v>
      </c>
      <c r="V1473" s="37" t="s">
        <v>8735</v>
      </c>
      <c r="W1473" s="37" t="s">
        <v>8736</v>
      </c>
      <c r="X1473" s="60">
        <v>45988.638888888891</v>
      </c>
      <c r="Y1473" s="37"/>
      <c r="Z1473" s="37">
        <v>0.3</v>
      </c>
      <c r="AA1473" s="37"/>
      <c r="AB1473" s="37" t="s">
        <v>2521</v>
      </c>
      <c r="AC1473" s="40" t="s">
        <v>8130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4136</v>
      </c>
      <c r="H1474" s="37" t="s">
        <v>1604</v>
      </c>
      <c r="I1474" s="37"/>
      <c r="J1474" s="37"/>
      <c r="K1474" s="37"/>
      <c r="L1474" s="37"/>
      <c r="M1474" s="38"/>
      <c r="N1474" s="37"/>
      <c r="O1474" s="38"/>
      <c r="P1474" s="39"/>
      <c r="Q1474" s="37" t="s">
        <v>4137</v>
      </c>
      <c r="R1474" s="37" t="s">
        <v>2516</v>
      </c>
      <c r="S1474" s="37" t="s">
        <v>25</v>
      </c>
      <c r="T1474" s="37">
        <v>1</v>
      </c>
      <c r="U1474" s="37" t="s">
        <v>2517</v>
      </c>
      <c r="V1474" s="37" t="s">
        <v>8737</v>
      </c>
      <c r="W1474" s="37" t="s">
        <v>8738</v>
      </c>
      <c r="X1474" s="60">
        <v>45988.655555555553</v>
      </c>
      <c r="Y1474" s="37"/>
      <c r="Z1474" s="37">
        <v>0.3</v>
      </c>
      <c r="AA1474" s="37"/>
      <c r="AB1474" s="37" t="s">
        <v>2521</v>
      </c>
      <c r="AC1474" s="40" t="s">
        <v>8130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8739</v>
      </c>
      <c r="E1475" s="37" t="s">
        <v>2504</v>
      </c>
      <c r="F1475" s="37" t="s">
        <v>2778</v>
      </c>
      <c r="G1475" s="37" t="s">
        <v>2779</v>
      </c>
      <c r="H1475" s="37" t="s">
        <v>2507</v>
      </c>
      <c r="I1475" s="37" t="s">
        <v>8740</v>
      </c>
      <c r="J1475" s="37" t="s">
        <v>2567</v>
      </c>
      <c r="K1475" s="37" t="s">
        <v>2568</v>
      </c>
      <c r="L1475" s="37" t="s">
        <v>2511</v>
      </c>
      <c r="M1475" s="38" t="s">
        <v>2512</v>
      </c>
      <c r="N1475" s="37">
        <v>2305</v>
      </c>
      <c r="O1475" s="38" t="s">
        <v>3035</v>
      </c>
      <c r="P1475" s="39" t="s">
        <v>8741</v>
      </c>
      <c r="Q1475" s="37" t="s">
        <v>2780</v>
      </c>
      <c r="R1475" s="37" t="s">
        <v>2516</v>
      </c>
      <c r="S1475" s="37" t="s">
        <v>25</v>
      </c>
      <c r="T1475" s="37">
        <v>1</v>
      </c>
      <c r="U1475" s="37" t="s">
        <v>2517</v>
      </c>
      <c r="V1475" s="37" t="s">
        <v>8742</v>
      </c>
      <c r="W1475" s="37" t="s">
        <v>8743</v>
      </c>
      <c r="X1475" s="60">
        <v>45989.4375</v>
      </c>
      <c r="Y1475" s="37" t="s">
        <v>8744</v>
      </c>
      <c r="Z1475" s="37">
        <v>0.8</v>
      </c>
      <c r="AA1475" s="37"/>
      <c r="AB1475" s="37" t="s">
        <v>2521</v>
      </c>
      <c r="AC1475" s="40" t="s">
        <v>8745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2778</v>
      </c>
      <c r="G1476" s="37" t="s">
        <v>2779</v>
      </c>
      <c r="H1476" s="37" t="s">
        <v>2507</v>
      </c>
      <c r="I1476" s="37"/>
      <c r="J1476" s="37"/>
      <c r="K1476" s="37"/>
      <c r="L1476" s="37"/>
      <c r="M1476" s="38"/>
      <c r="N1476" s="37"/>
      <c r="O1476" s="38"/>
      <c r="P1476" s="39"/>
      <c r="Q1476" s="37" t="s">
        <v>2780</v>
      </c>
      <c r="R1476" s="37" t="s">
        <v>2516</v>
      </c>
      <c r="S1476" s="37" t="s">
        <v>25</v>
      </c>
      <c r="T1476" s="37">
        <v>1</v>
      </c>
      <c r="U1476" s="37" t="s">
        <v>2517</v>
      </c>
      <c r="V1476" s="37" t="s">
        <v>8746</v>
      </c>
      <c r="W1476" s="37" t="s">
        <v>8747</v>
      </c>
      <c r="X1476" s="60">
        <v>45989.461805555547</v>
      </c>
      <c r="Y1476" s="37"/>
      <c r="Z1476" s="37">
        <v>0.5</v>
      </c>
      <c r="AA1476" s="37"/>
      <c r="AB1476" s="37" t="s">
        <v>2521</v>
      </c>
      <c r="AC1476" s="40" t="s">
        <v>8136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7846</v>
      </c>
      <c r="H1477" s="37" t="s">
        <v>2507</v>
      </c>
      <c r="I1477" s="37"/>
      <c r="J1477" s="37"/>
      <c r="K1477" s="37"/>
      <c r="L1477" s="37"/>
      <c r="M1477" s="38"/>
      <c r="N1477" s="37"/>
      <c r="O1477" s="38"/>
      <c r="P1477" s="39"/>
      <c r="Q1477" s="37" t="s">
        <v>2542</v>
      </c>
      <c r="R1477" s="37" t="s">
        <v>2516</v>
      </c>
      <c r="S1477" s="37" t="s">
        <v>25</v>
      </c>
      <c r="T1477" s="37">
        <v>1</v>
      </c>
      <c r="U1477" s="37" t="s">
        <v>2517</v>
      </c>
      <c r="V1477" s="37" t="s">
        <v>8748</v>
      </c>
      <c r="W1477" s="37" t="s">
        <v>8749</v>
      </c>
      <c r="X1477" s="60">
        <v>45989.645833333343</v>
      </c>
      <c r="Y1477" s="37"/>
      <c r="Z1477" s="37">
        <v>1</v>
      </c>
      <c r="AA1477" s="37"/>
      <c r="AB1477" s="37" t="s">
        <v>2521</v>
      </c>
      <c r="AC1477" s="40" t="s">
        <v>5308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7846</v>
      </c>
      <c r="H1478" s="37" t="s">
        <v>2507</v>
      </c>
      <c r="I1478" s="37"/>
      <c r="J1478" s="37"/>
      <c r="K1478" s="37"/>
      <c r="L1478" s="37"/>
      <c r="M1478" s="38"/>
      <c r="N1478" s="37"/>
      <c r="O1478" s="38"/>
      <c r="P1478" s="39"/>
      <c r="Q1478" s="37" t="s">
        <v>2542</v>
      </c>
      <c r="R1478" s="37" t="s">
        <v>2516</v>
      </c>
      <c r="S1478" s="37" t="s">
        <v>185</v>
      </c>
      <c r="T1478" s="37">
        <v>1</v>
      </c>
      <c r="U1478" s="37" t="s">
        <v>2517</v>
      </c>
      <c r="V1478" s="37" t="s">
        <v>8750</v>
      </c>
      <c r="W1478" s="37" t="s">
        <v>8749</v>
      </c>
      <c r="X1478" s="60">
        <v>45989.645833333343</v>
      </c>
      <c r="Y1478" s="37"/>
      <c r="Z1478" s="37">
        <v>1</v>
      </c>
      <c r="AA1478" s="37"/>
      <c r="AB1478" s="37" t="s">
        <v>2521</v>
      </c>
      <c r="AC1478" s="40" t="s">
        <v>8751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8752</v>
      </c>
      <c r="E1479" s="37" t="s">
        <v>2504</v>
      </c>
      <c r="F1479" s="37">
        <v>2935</v>
      </c>
      <c r="G1479" s="37" t="s">
        <v>3532</v>
      </c>
      <c r="H1479" s="37" t="s">
        <v>2507</v>
      </c>
      <c r="I1479" s="37" t="s">
        <v>8753</v>
      </c>
      <c r="J1479" s="37" t="s">
        <v>2643</v>
      </c>
      <c r="K1479" s="37" t="s">
        <v>2510</v>
      </c>
      <c r="L1479" s="37" t="s">
        <v>2537</v>
      </c>
      <c r="M1479" s="38" t="s">
        <v>2538</v>
      </c>
      <c r="N1479" s="37" t="s">
        <v>2539</v>
      </c>
      <c r="O1479" s="38" t="s">
        <v>2540</v>
      </c>
      <c r="P1479" s="39" t="s">
        <v>8754</v>
      </c>
      <c r="Q1479" s="37" t="s">
        <v>3533</v>
      </c>
      <c r="R1479" s="37" t="s">
        <v>2516</v>
      </c>
      <c r="S1479" s="37" t="s">
        <v>25</v>
      </c>
      <c r="T1479" s="37">
        <v>1</v>
      </c>
      <c r="U1479" s="37" t="s">
        <v>2517</v>
      </c>
      <c r="V1479" s="37" t="s">
        <v>8755</v>
      </c>
      <c r="W1479" s="37" t="s">
        <v>8756</v>
      </c>
      <c r="X1479" s="60">
        <v>45992.50277777778</v>
      </c>
      <c r="Y1479" s="37" t="s">
        <v>8757</v>
      </c>
      <c r="Z1479" s="37">
        <v>0.5</v>
      </c>
      <c r="AA1479" s="37"/>
      <c r="AB1479" s="37" t="s">
        <v>2521</v>
      </c>
      <c r="AC1479" s="40" t="s">
        <v>8758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3629</v>
      </c>
      <c r="H1480" s="37" t="s">
        <v>3148</v>
      </c>
      <c r="I1480" s="37"/>
      <c r="J1480" s="37"/>
      <c r="K1480" s="37"/>
      <c r="L1480" s="37"/>
      <c r="M1480" s="38"/>
      <c r="N1480" s="37"/>
      <c r="O1480" s="38"/>
      <c r="P1480" s="39"/>
      <c r="Q1480" s="37" t="s">
        <v>3630</v>
      </c>
      <c r="R1480" s="37" t="s">
        <v>2516</v>
      </c>
      <c r="S1480" s="37" t="s">
        <v>185</v>
      </c>
      <c r="T1480" s="37">
        <v>1</v>
      </c>
      <c r="U1480" s="37" t="s">
        <v>2517</v>
      </c>
      <c r="V1480" s="37" t="s">
        <v>8759</v>
      </c>
      <c r="W1480" s="37" t="s">
        <v>8760</v>
      </c>
      <c r="X1480" s="60">
        <v>45992.4375</v>
      </c>
      <c r="Y1480" s="37"/>
      <c r="Z1480" s="37">
        <v>0.5</v>
      </c>
      <c r="AA1480" s="37"/>
      <c r="AB1480" s="37" t="s">
        <v>2521</v>
      </c>
      <c r="AC1480" s="40" t="s">
        <v>8130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3635</v>
      </c>
      <c r="H1481" s="37" t="s">
        <v>3148</v>
      </c>
      <c r="I1481" s="37"/>
      <c r="J1481" s="37"/>
      <c r="K1481" s="37"/>
      <c r="L1481" s="37"/>
      <c r="M1481" s="38"/>
      <c r="N1481" s="37"/>
      <c r="O1481" s="38"/>
      <c r="P1481" s="39"/>
      <c r="Q1481" s="37" t="s">
        <v>3636</v>
      </c>
      <c r="R1481" s="37" t="s">
        <v>2516</v>
      </c>
      <c r="S1481" s="37" t="s">
        <v>185</v>
      </c>
      <c r="T1481" s="37">
        <v>1</v>
      </c>
      <c r="U1481" s="37" t="s">
        <v>2517</v>
      </c>
      <c r="V1481" s="37" t="s">
        <v>8761</v>
      </c>
      <c r="W1481" s="37" t="s">
        <v>8762</v>
      </c>
      <c r="X1481" s="60">
        <v>45992.454861111109</v>
      </c>
      <c r="Y1481" s="37"/>
      <c r="Z1481" s="37">
        <v>0.4</v>
      </c>
      <c r="AA1481" s="37"/>
      <c r="AB1481" s="37" t="s">
        <v>2521</v>
      </c>
      <c r="AC1481" s="40" t="s">
        <v>8130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4062</v>
      </c>
      <c r="G1482" s="37" t="s">
        <v>4063</v>
      </c>
      <c r="H1482" s="37" t="s">
        <v>3148</v>
      </c>
      <c r="I1482" s="37"/>
      <c r="J1482" s="37"/>
      <c r="K1482" s="37"/>
      <c r="L1482" s="37"/>
      <c r="M1482" s="38"/>
      <c r="N1482" s="37"/>
      <c r="O1482" s="38"/>
      <c r="P1482" s="39"/>
      <c r="Q1482" s="37" t="s">
        <v>4064</v>
      </c>
      <c r="R1482" s="37" t="s">
        <v>2516</v>
      </c>
      <c r="S1482" s="37" t="s">
        <v>185</v>
      </c>
      <c r="T1482" s="37">
        <v>1</v>
      </c>
      <c r="U1482" s="37" t="s">
        <v>2517</v>
      </c>
      <c r="V1482" s="37" t="s">
        <v>8763</v>
      </c>
      <c r="W1482" s="37" t="s">
        <v>8764</v>
      </c>
      <c r="X1482" s="60">
        <v>45992.465277777781</v>
      </c>
      <c r="Y1482" s="37"/>
      <c r="Z1482" s="37">
        <v>0.3</v>
      </c>
      <c r="AA1482" s="37"/>
      <c r="AB1482" s="37" t="s">
        <v>2521</v>
      </c>
      <c r="AC1482" s="40" t="s">
        <v>7788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4070</v>
      </c>
      <c r="G1483" s="37" t="s">
        <v>4071</v>
      </c>
      <c r="H1483" s="37" t="s">
        <v>3148</v>
      </c>
      <c r="I1483" s="37"/>
      <c r="J1483" s="37"/>
      <c r="K1483" s="37"/>
      <c r="L1483" s="37"/>
      <c r="M1483" s="38"/>
      <c r="N1483" s="37"/>
      <c r="O1483" s="38"/>
      <c r="P1483" s="39"/>
      <c r="Q1483" s="37" t="s">
        <v>4072</v>
      </c>
      <c r="R1483" s="37" t="s">
        <v>2516</v>
      </c>
      <c r="S1483" s="37" t="s">
        <v>185</v>
      </c>
      <c r="T1483" s="37">
        <v>1</v>
      </c>
      <c r="U1483" s="37" t="s">
        <v>2517</v>
      </c>
      <c r="V1483" s="37" t="s">
        <v>8765</v>
      </c>
      <c r="W1483" s="37" t="s">
        <v>8766</v>
      </c>
      <c r="X1483" s="60">
        <v>45992.479166666657</v>
      </c>
      <c r="Y1483" s="37"/>
      <c r="Z1483" s="37">
        <v>0.3</v>
      </c>
      <c r="AA1483" s="37"/>
      <c r="AB1483" s="37" t="s">
        <v>2521</v>
      </c>
      <c r="AC1483" s="40" t="s">
        <v>7788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3362</v>
      </c>
      <c r="H1484" s="37" t="s">
        <v>3148</v>
      </c>
      <c r="I1484" s="37"/>
      <c r="J1484" s="37"/>
      <c r="K1484" s="37"/>
      <c r="L1484" s="37"/>
      <c r="M1484" s="38"/>
      <c r="N1484" s="37"/>
      <c r="O1484" s="38"/>
      <c r="P1484" s="39"/>
      <c r="Q1484" s="37" t="s">
        <v>3363</v>
      </c>
      <c r="R1484" s="37" t="s">
        <v>2516</v>
      </c>
      <c r="S1484" s="37" t="s">
        <v>185</v>
      </c>
      <c r="T1484" s="37">
        <v>1</v>
      </c>
      <c r="U1484" s="37" t="s">
        <v>2517</v>
      </c>
      <c r="V1484" s="37" t="s">
        <v>8767</v>
      </c>
      <c r="W1484" s="37" t="s">
        <v>8768</v>
      </c>
      <c r="X1484" s="60">
        <v>45992.496527777781</v>
      </c>
      <c r="Y1484" s="37"/>
      <c r="Z1484" s="37">
        <v>0.4</v>
      </c>
      <c r="AA1484" s="37"/>
      <c r="AB1484" s="37" t="s">
        <v>2521</v>
      </c>
      <c r="AC1484" s="40" t="s">
        <v>8130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3147</v>
      </c>
      <c r="H1485" s="37" t="s">
        <v>3148</v>
      </c>
      <c r="I1485" s="37"/>
      <c r="J1485" s="37"/>
      <c r="K1485" s="37"/>
      <c r="L1485" s="37"/>
      <c r="M1485" s="38"/>
      <c r="N1485" s="37"/>
      <c r="O1485" s="38"/>
      <c r="P1485" s="39"/>
      <c r="Q1485" s="37" t="s">
        <v>3154</v>
      </c>
      <c r="R1485" s="37" t="s">
        <v>2516</v>
      </c>
      <c r="S1485" s="37" t="s">
        <v>185</v>
      </c>
      <c r="T1485" s="37">
        <v>1</v>
      </c>
      <c r="U1485" s="37" t="s">
        <v>2517</v>
      </c>
      <c r="V1485" s="37" t="s">
        <v>8769</v>
      </c>
      <c r="W1485" s="37" t="s">
        <v>8770</v>
      </c>
      <c r="X1485" s="60">
        <v>45992.5625</v>
      </c>
      <c r="Y1485" s="37"/>
      <c r="Z1485" s="37">
        <v>0.5</v>
      </c>
      <c r="AA1485" s="37"/>
      <c r="AB1485" s="37" t="s">
        <v>2521</v>
      </c>
      <c r="AC1485" s="40" t="s">
        <v>8130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3366</v>
      </c>
      <c r="H1486" s="37" t="s">
        <v>3148</v>
      </c>
      <c r="I1486" s="37"/>
      <c r="J1486" s="37"/>
      <c r="K1486" s="37"/>
      <c r="L1486" s="37"/>
      <c r="M1486" s="38"/>
      <c r="N1486" s="37"/>
      <c r="O1486" s="38"/>
      <c r="P1486" s="39"/>
      <c r="Q1486" s="37" t="s">
        <v>3367</v>
      </c>
      <c r="R1486" s="37" t="s">
        <v>2516</v>
      </c>
      <c r="S1486" s="37" t="s">
        <v>185</v>
      </c>
      <c r="T1486" s="37">
        <v>1</v>
      </c>
      <c r="U1486" s="37" t="s">
        <v>2517</v>
      </c>
      <c r="V1486" s="37" t="s">
        <v>8771</v>
      </c>
      <c r="W1486" s="37" t="s">
        <v>8744</v>
      </c>
      <c r="X1486" s="60">
        <v>45992.576388888891</v>
      </c>
      <c r="Y1486" s="37"/>
      <c r="Z1486" s="37">
        <v>0.3</v>
      </c>
      <c r="AA1486" s="37"/>
      <c r="AB1486" s="37" t="s">
        <v>2521</v>
      </c>
      <c r="AC1486" s="40" t="s">
        <v>8130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8772</v>
      </c>
      <c r="H1487" s="37" t="s">
        <v>2507</v>
      </c>
      <c r="I1487" s="37"/>
      <c r="J1487" s="37"/>
      <c r="K1487" s="37"/>
      <c r="L1487" s="37"/>
      <c r="M1487" s="38"/>
      <c r="N1487" s="37"/>
      <c r="O1487" s="38"/>
      <c r="P1487" s="39"/>
      <c r="Q1487" s="37" t="s">
        <v>8773</v>
      </c>
      <c r="R1487" s="37" t="s">
        <v>2516</v>
      </c>
      <c r="S1487" s="37" t="s">
        <v>25</v>
      </c>
      <c r="T1487" s="37">
        <v>1</v>
      </c>
      <c r="U1487" s="37" t="s">
        <v>2517</v>
      </c>
      <c r="V1487" s="37" t="s">
        <v>8774</v>
      </c>
      <c r="W1487" s="37" t="s">
        <v>8775</v>
      </c>
      <c r="X1487" s="60">
        <v>45993.5625</v>
      </c>
      <c r="Y1487" s="37"/>
      <c r="Z1487" s="37">
        <v>2.5</v>
      </c>
      <c r="AA1487" s="37"/>
      <c r="AB1487" s="37" t="s">
        <v>2521</v>
      </c>
      <c r="AC1487" s="40" t="s">
        <v>8776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8777</v>
      </c>
      <c r="E1488" s="37" t="s">
        <v>2504</v>
      </c>
      <c r="F1488" s="37" t="s">
        <v>2747</v>
      </c>
      <c r="G1488" s="37" t="s">
        <v>2748</v>
      </c>
      <c r="H1488" s="37" t="s">
        <v>2507</v>
      </c>
      <c r="I1488" s="37" t="s">
        <v>8778</v>
      </c>
      <c r="J1488" s="37" t="s">
        <v>2509</v>
      </c>
      <c r="K1488" s="37" t="s">
        <v>2510</v>
      </c>
      <c r="L1488" s="37" t="s">
        <v>2511</v>
      </c>
      <c r="M1488" s="38" t="s">
        <v>2512</v>
      </c>
      <c r="N1488" s="37">
        <v>2304</v>
      </c>
      <c r="O1488" s="38" t="s">
        <v>2513</v>
      </c>
      <c r="P1488" s="39" t="s">
        <v>8779</v>
      </c>
      <c r="Q1488" s="37" t="s">
        <v>2749</v>
      </c>
      <c r="R1488" s="37" t="s">
        <v>2516</v>
      </c>
      <c r="S1488" s="37" t="s">
        <v>25</v>
      </c>
      <c r="T1488" s="37">
        <v>1</v>
      </c>
      <c r="U1488" s="37" t="s">
        <v>2517</v>
      </c>
      <c r="V1488" s="37" t="s">
        <v>8780</v>
      </c>
      <c r="W1488" s="37" t="s">
        <v>8781</v>
      </c>
      <c r="X1488" s="60">
        <v>45993.642361111109</v>
      </c>
      <c r="Y1488" s="37" t="s">
        <v>8782</v>
      </c>
      <c r="Z1488" s="37">
        <v>0.5</v>
      </c>
      <c r="AA1488" s="37"/>
      <c r="AB1488" s="37" t="s">
        <v>2521</v>
      </c>
      <c r="AC1488" s="40" t="s">
        <v>8783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2747</v>
      </c>
      <c r="G1489" s="37" t="s">
        <v>2748</v>
      </c>
      <c r="H1489" s="37" t="s">
        <v>2507</v>
      </c>
      <c r="I1489" s="37"/>
      <c r="J1489" s="37"/>
      <c r="K1489" s="37"/>
      <c r="L1489" s="37"/>
      <c r="M1489" s="38"/>
      <c r="N1489" s="37"/>
      <c r="O1489" s="38"/>
      <c r="P1489" s="39"/>
      <c r="Q1489" s="37" t="s">
        <v>2749</v>
      </c>
      <c r="R1489" s="37" t="s">
        <v>2516</v>
      </c>
      <c r="S1489" s="37" t="s">
        <v>25</v>
      </c>
      <c r="T1489" s="37">
        <v>1</v>
      </c>
      <c r="U1489" s="37" t="s">
        <v>2517</v>
      </c>
      <c r="V1489" s="37" t="s">
        <v>8784</v>
      </c>
      <c r="W1489" s="37" t="s">
        <v>8785</v>
      </c>
      <c r="X1489" s="60">
        <v>45993.621527777781</v>
      </c>
      <c r="Y1489" s="37"/>
      <c r="Z1489" s="37">
        <v>0.4</v>
      </c>
      <c r="AA1489" s="37"/>
      <c r="AB1489" s="37" t="s">
        <v>2521</v>
      </c>
      <c r="AC1489" s="40" t="s">
        <v>8136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8786</v>
      </c>
      <c r="E1490" s="37" t="s">
        <v>2504</v>
      </c>
      <c r="F1490" s="37">
        <v>3796</v>
      </c>
      <c r="G1490" s="37" t="s">
        <v>3859</v>
      </c>
      <c r="H1490" s="37" t="s">
        <v>2507</v>
      </c>
      <c r="I1490" s="37" t="s">
        <v>8787</v>
      </c>
      <c r="J1490" s="37" t="s">
        <v>2536</v>
      </c>
      <c r="K1490" s="37" t="s">
        <v>2765</v>
      </c>
      <c r="L1490" s="37" t="s">
        <v>2511</v>
      </c>
      <c r="M1490" s="38" t="s">
        <v>2512</v>
      </c>
      <c r="N1490" s="37">
        <v>2307</v>
      </c>
      <c r="O1490" s="38" t="s">
        <v>2678</v>
      </c>
      <c r="P1490" s="39" t="s">
        <v>8788</v>
      </c>
      <c r="Q1490" s="37" t="s">
        <v>3860</v>
      </c>
      <c r="R1490" s="37" t="s">
        <v>2516</v>
      </c>
      <c r="S1490" s="37" t="s">
        <v>25</v>
      </c>
      <c r="T1490" s="37">
        <v>1</v>
      </c>
      <c r="U1490" s="37" t="s">
        <v>2517</v>
      </c>
      <c r="V1490" s="37" t="s">
        <v>8789</v>
      </c>
      <c r="W1490" s="37" t="s">
        <v>8790</v>
      </c>
      <c r="X1490" s="60">
        <v>45994.444444444453</v>
      </c>
      <c r="Y1490" s="37" t="s">
        <v>8791</v>
      </c>
      <c r="Z1490" s="37">
        <v>0.7</v>
      </c>
      <c r="AA1490" s="37"/>
      <c r="AB1490" s="37" t="s">
        <v>2521</v>
      </c>
      <c r="AC1490" s="40" t="s">
        <v>8792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3859</v>
      </c>
      <c r="H1491" s="37" t="s">
        <v>2507</v>
      </c>
      <c r="I1491" s="37"/>
      <c r="J1491" s="37"/>
      <c r="K1491" s="37"/>
      <c r="L1491" s="37"/>
      <c r="M1491" s="38"/>
      <c r="N1491" s="37"/>
      <c r="O1491" s="38"/>
      <c r="P1491" s="39"/>
      <c r="Q1491" s="37" t="s">
        <v>3860</v>
      </c>
      <c r="R1491" s="37" t="s">
        <v>2516</v>
      </c>
      <c r="S1491" s="37" t="s">
        <v>25</v>
      </c>
      <c r="T1491" s="37">
        <v>1</v>
      </c>
      <c r="U1491" s="37" t="s">
        <v>2517</v>
      </c>
      <c r="V1491" s="37" t="s">
        <v>8793</v>
      </c>
      <c r="W1491" s="37" t="s">
        <v>8794</v>
      </c>
      <c r="X1491" s="60">
        <v>45994.465277777781</v>
      </c>
      <c r="Y1491" s="37"/>
      <c r="Z1491" s="37">
        <v>0.3</v>
      </c>
      <c r="AA1491" s="37"/>
      <c r="AB1491" s="37" t="s">
        <v>2521</v>
      </c>
      <c r="AC1491" s="40" t="s">
        <v>8130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8795</v>
      </c>
      <c r="E1492" s="37" t="s">
        <v>2504</v>
      </c>
      <c r="F1492" s="37" t="s">
        <v>4278</v>
      </c>
      <c r="G1492" s="37" t="s">
        <v>8672</v>
      </c>
      <c r="H1492" s="37" t="s">
        <v>2609</v>
      </c>
      <c r="I1492" s="37" t="s">
        <v>8796</v>
      </c>
      <c r="J1492" s="37" t="s">
        <v>2536</v>
      </c>
      <c r="K1492" s="37" t="s">
        <v>2510</v>
      </c>
      <c r="L1492" s="37" t="s">
        <v>2611</v>
      </c>
      <c r="M1492" s="38" t="s">
        <v>2612</v>
      </c>
      <c r="N1492" s="37" t="s">
        <v>3526</v>
      </c>
      <c r="O1492" s="38" t="s">
        <v>3152</v>
      </c>
      <c r="P1492" s="39" t="s">
        <v>8797</v>
      </c>
      <c r="Q1492" s="37" t="s">
        <v>4280</v>
      </c>
      <c r="R1492" s="37" t="s">
        <v>2516</v>
      </c>
      <c r="S1492" s="37" t="s">
        <v>173</v>
      </c>
      <c r="T1492" s="37">
        <v>1</v>
      </c>
      <c r="U1492" s="37" t="s">
        <v>2517</v>
      </c>
      <c r="V1492" s="37" t="s">
        <v>8798</v>
      </c>
      <c r="W1492" s="37" t="s">
        <v>8799</v>
      </c>
      <c r="X1492" s="60">
        <v>45995.642361111109</v>
      </c>
      <c r="Y1492" s="37" t="s">
        <v>8800</v>
      </c>
      <c r="Z1492" s="37">
        <v>0.4</v>
      </c>
      <c r="AA1492" s="37"/>
      <c r="AB1492" s="37" t="s">
        <v>2521</v>
      </c>
      <c r="AC1492" s="40" t="s">
        <v>8801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8802</v>
      </c>
      <c r="E1493" s="37" t="s">
        <v>2504</v>
      </c>
      <c r="F1493" s="37">
        <v>5410</v>
      </c>
      <c r="G1493" s="37" t="s">
        <v>8772</v>
      </c>
      <c r="H1493" s="37" t="s">
        <v>2507</v>
      </c>
      <c r="I1493" s="37" t="s">
        <v>8803</v>
      </c>
      <c r="J1493" s="37" t="s">
        <v>2536</v>
      </c>
      <c r="K1493" s="37" t="s">
        <v>2510</v>
      </c>
      <c r="L1493" s="37" t="s">
        <v>2511</v>
      </c>
      <c r="M1493" s="38" t="s">
        <v>2512</v>
      </c>
      <c r="N1493" s="37">
        <v>2305</v>
      </c>
      <c r="O1493" s="38" t="s">
        <v>3035</v>
      </c>
      <c r="P1493" s="39" t="s">
        <v>8804</v>
      </c>
      <c r="Q1493" s="37" t="s">
        <v>8773</v>
      </c>
      <c r="R1493" s="37" t="s">
        <v>2516</v>
      </c>
      <c r="S1493" s="37" t="s">
        <v>25</v>
      </c>
      <c r="T1493" s="37">
        <v>1</v>
      </c>
      <c r="U1493" s="37" t="s">
        <v>2517</v>
      </c>
      <c r="V1493" s="37" t="s">
        <v>8805</v>
      </c>
      <c r="W1493" s="37" t="s">
        <v>8806</v>
      </c>
      <c r="X1493" s="60">
        <v>45995.614583333343</v>
      </c>
      <c r="Y1493" s="37" t="s">
        <v>8807</v>
      </c>
      <c r="Z1493" s="37">
        <v>0.4</v>
      </c>
      <c r="AA1493" s="37"/>
      <c r="AB1493" s="37" t="s">
        <v>2521</v>
      </c>
      <c r="AC1493" s="40" t="s">
        <v>8808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3374</v>
      </c>
      <c r="H1494" s="37" t="s">
        <v>2507</v>
      </c>
      <c r="I1494" s="37"/>
      <c r="J1494" s="37"/>
      <c r="K1494" s="37"/>
      <c r="L1494" s="37"/>
      <c r="M1494" s="38"/>
      <c r="N1494" s="37"/>
      <c r="O1494" s="38"/>
      <c r="P1494" s="39"/>
      <c r="Q1494" s="37" t="s">
        <v>3375</v>
      </c>
      <c r="R1494" s="37" t="s">
        <v>2516</v>
      </c>
      <c r="S1494" s="37" t="s">
        <v>25</v>
      </c>
      <c r="T1494" s="37">
        <v>1</v>
      </c>
      <c r="U1494" s="37" t="s">
        <v>2517</v>
      </c>
      <c r="V1494" s="37" t="s">
        <v>8809</v>
      </c>
      <c r="W1494" s="37" t="s">
        <v>8810</v>
      </c>
      <c r="X1494" s="60">
        <v>45995.548611111109</v>
      </c>
      <c r="Y1494" s="37"/>
      <c r="Z1494" s="37">
        <v>2.2000000000000002</v>
      </c>
      <c r="AA1494" s="37"/>
      <c r="AB1494" s="37" t="s">
        <v>2521</v>
      </c>
      <c r="AC1494" s="40" t="s">
        <v>8811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3374</v>
      </c>
      <c r="H1495" s="37" t="s">
        <v>2507</v>
      </c>
      <c r="I1495" s="37"/>
      <c r="J1495" s="37"/>
      <c r="K1495" s="37"/>
      <c r="L1495" s="37"/>
      <c r="M1495" s="38"/>
      <c r="N1495" s="37"/>
      <c r="O1495" s="38"/>
      <c r="P1495" s="39"/>
      <c r="Q1495" s="37" t="s">
        <v>3375</v>
      </c>
      <c r="R1495" s="37" t="s">
        <v>2516</v>
      </c>
      <c r="S1495" s="37" t="s">
        <v>25</v>
      </c>
      <c r="T1495" s="37">
        <v>1</v>
      </c>
      <c r="U1495" s="37" t="s">
        <v>2517</v>
      </c>
      <c r="V1495" s="37" t="s">
        <v>8812</v>
      </c>
      <c r="W1495" s="37" t="s">
        <v>8813</v>
      </c>
      <c r="X1495" s="60">
        <v>45995.576388888891</v>
      </c>
      <c r="Y1495" s="37"/>
      <c r="Z1495" s="37">
        <v>0.5</v>
      </c>
      <c r="AA1495" s="37"/>
      <c r="AB1495" s="37" t="s">
        <v>2521</v>
      </c>
      <c r="AC1495" s="40" t="s">
        <v>8130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8814</v>
      </c>
      <c r="E1496" s="37" t="s">
        <v>2504</v>
      </c>
      <c r="F1496" s="37">
        <v>5364</v>
      </c>
      <c r="G1496" s="37" t="s">
        <v>5700</v>
      </c>
      <c r="H1496" s="37" t="s">
        <v>3148</v>
      </c>
      <c r="I1496" s="37" t="s">
        <v>8815</v>
      </c>
      <c r="J1496" s="37" t="s">
        <v>2835</v>
      </c>
      <c r="K1496" s="37" t="s">
        <v>2510</v>
      </c>
      <c r="L1496" s="37" t="s">
        <v>2511</v>
      </c>
      <c r="M1496" s="38" t="s">
        <v>2512</v>
      </c>
      <c r="N1496" s="37">
        <v>2306</v>
      </c>
      <c r="O1496" s="38" t="s">
        <v>2893</v>
      </c>
      <c r="P1496" s="39" t="s">
        <v>8816</v>
      </c>
      <c r="Q1496" s="37" t="s">
        <v>5701</v>
      </c>
      <c r="R1496" s="37" t="s">
        <v>2516</v>
      </c>
      <c r="S1496" s="37" t="s">
        <v>185</v>
      </c>
      <c r="T1496" s="37">
        <v>1</v>
      </c>
      <c r="U1496" s="37" t="s">
        <v>2517</v>
      </c>
      <c r="V1496" s="37" t="s">
        <v>8817</v>
      </c>
      <c r="W1496" s="37" t="s">
        <v>8799</v>
      </c>
      <c r="X1496" s="60">
        <v>45995.666666666657</v>
      </c>
      <c r="Y1496" s="37" t="s">
        <v>8818</v>
      </c>
      <c r="Z1496" s="37">
        <v>1</v>
      </c>
      <c r="AA1496" s="37"/>
      <c r="AB1496" s="37" t="s">
        <v>2521</v>
      </c>
      <c r="AC1496" s="40" t="s">
        <v>8819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3780</v>
      </c>
      <c r="H1497" s="37" t="s">
        <v>2507</v>
      </c>
      <c r="I1497" s="37"/>
      <c r="J1497" s="37"/>
      <c r="K1497" s="37"/>
      <c r="L1497" s="37"/>
      <c r="M1497" s="38"/>
      <c r="N1497" s="37"/>
      <c r="O1497" s="38"/>
      <c r="P1497" s="39"/>
      <c r="Q1497" s="37" t="s">
        <v>3784</v>
      </c>
      <c r="R1497" s="37" t="s">
        <v>2516</v>
      </c>
      <c r="S1497" s="37" t="s">
        <v>25</v>
      </c>
      <c r="T1497" s="37">
        <v>1</v>
      </c>
      <c r="U1497" s="37" t="s">
        <v>2517</v>
      </c>
      <c r="V1497" s="37" t="s">
        <v>8820</v>
      </c>
      <c r="W1497" s="37" t="s">
        <v>8821</v>
      </c>
      <c r="X1497" s="60">
        <v>45996.555555555547</v>
      </c>
      <c r="Y1497" s="37"/>
      <c r="Z1497" s="37">
        <v>0.3</v>
      </c>
      <c r="AA1497" s="37"/>
      <c r="AB1497" s="37" t="s">
        <v>2521</v>
      </c>
      <c r="AC1497" s="40" t="s">
        <v>8130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3229</v>
      </c>
      <c r="H1498" s="37" t="s">
        <v>2507</v>
      </c>
      <c r="I1498" s="37"/>
      <c r="J1498" s="37"/>
      <c r="K1498" s="37"/>
      <c r="L1498" s="37"/>
      <c r="M1498" s="38"/>
      <c r="N1498" s="37"/>
      <c r="O1498" s="38"/>
      <c r="P1498" s="39"/>
      <c r="Q1498" s="37" t="s">
        <v>3232</v>
      </c>
      <c r="R1498" s="37" t="s">
        <v>2516</v>
      </c>
      <c r="S1498" s="37" t="s">
        <v>25</v>
      </c>
      <c r="T1498" s="37">
        <v>1</v>
      </c>
      <c r="U1498" s="37" t="s">
        <v>2517</v>
      </c>
      <c r="V1498" s="37" t="s">
        <v>8822</v>
      </c>
      <c r="W1498" s="37" t="s">
        <v>8823</v>
      </c>
      <c r="X1498" s="60">
        <v>45996.576388888891</v>
      </c>
      <c r="Y1498" s="37"/>
      <c r="Z1498" s="37">
        <v>0.3</v>
      </c>
      <c r="AA1498" s="37"/>
      <c r="AB1498" s="37" t="s">
        <v>2521</v>
      </c>
      <c r="AC1498" s="40" t="s">
        <v>8130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3684</v>
      </c>
      <c r="G1499" s="37" t="s">
        <v>3685</v>
      </c>
      <c r="H1499" s="37" t="s">
        <v>2507</v>
      </c>
      <c r="I1499" s="37"/>
      <c r="J1499" s="37"/>
      <c r="K1499" s="37"/>
      <c r="L1499" s="37"/>
      <c r="M1499" s="38"/>
      <c r="N1499" s="37"/>
      <c r="O1499" s="38"/>
      <c r="P1499" s="39"/>
      <c r="Q1499" s="37" t="s">
        <v>3686</v>
      </c>
      <c r="R1499" s="37" t="s">
        <v>2516</v>
      </c>
      <c r="S1499" s="37" t="s">
        <v>25</v>
      </c>
      <c r="T1499" s="37">
        <v>1</v>
      </c>
      <c r="U1499" s="37" t="s">
        <v>2517</v>
      </c>
      <c r="V1499" s="37" t="s">
        <v>8824</v>
      </c>
      <c r="W1499" s="37" t="s">
        <v>8825</v>
      </c>
      <c r="X1499" s="60">
        <v>45996.618055555547</v>
      </c>
      <c r="Y1499" s="37"/>
      <c r="Z1499" s="37">
        <v>0.3</v>
      </c>
      <c r="AA1499" s="37"/>
      <c r="AB1499" s="37" t="s">
        <v>2521</v>
      </c>
      <c r="AC1499" s="40" t="s">
        <v>8130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8826</v>
      </c>
      <c r="E1500" s="37" t="s">
        <v>2504</v>
      </c>
      <c r="F1500" s="37" t="s">
        <v>4278</v>
      </c>
      <c r="G1500" s="37" t="s">
        <v>8672</v>
      </c>
      <c r="H1500" s="37" t="s">
        <v>2609</v>
      </c>
      <c r="I1500" s="37" t="s">
        <v>8827</v>
      </c>
      <c r="J1500" s="37" t="s">
        <v>2567</v>
      </c>
      <c r="K1500" s="37" t="s">
        <v>2568</v>
      </c>
      <c r="L1500" s="37" t="s">
        <v>2537</v>
      </c>
      <c r="M1500" s="38" t="s">
        <v>2538</v>
      </c>
      <c r="N1500" s="37" t="s">
        <v>2539</v>
      </c>
      <c r="O1500" s="38" t="s">
        <v>2540</v>
      </c>
      <c r="P1500" s="39" t="s">
        <v>8828</v>
      </c>
      <c r="Q1500" s="37" t="s">
        <v>4280</v>
      </c>
      <c r="R1500" s="37" t="s">
        <v>2516</v>
      </c>
      <c r="S1500" s="37" t="s">
        <v>173</v>
      </c>
      <c r="T1500" s="37">
        <v>1</v>
      </c>
      <c r="U1500" s="37" t="s">
        <v>2517</v>
      </c>
      <c r="V1500" s="37" t="s">
        <v>8829</v>
      </c>
      <c r="W1500" s="37" t="s">
        <v>8830</v>
      </c>
      <c r="X1500" s="60">
        <v>45999.570833333331</v>
      </c>
      <c r="Y1500" s="37" t="s">
        <v>8831</v>
      </c>
      <c r="Z1500" s="37">
        <v>0.5</v>
      </c>
      <c r="AA1500" s="37"/>
      <c r="AB1500" s="37" t="s">
        <v>2521</v>
      </c>
      <c r="AC1500" s="40" t="s">
        <v>2684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8832</v>
      </c>
      <c r="E1501" s="37" t="s">
        <v>2504</v>
      </c>
      <c r="F1501" s="37">
        <v>3811</v>
      </c>
      <c r="G1501" s="37" t="s">
        <v>3780</v>
      </c>
      <c r="H1501" s="37" t="s">
        <v>2507</v>
      </c>
      <c r="I1501" s="37" t="s">
        <v>8833</v>
      </c>
      <c r="J1501" s="37" t="s">
        <v>2930</v>
      </c>
      <c r="K1501" s="37" t="s">
        <v>2568</v>
      </c>
      <c r="L1501" s="37" t="s">
        <v>2595</v>
      </c>
      <c r="M1501" s="38" t="s">
        <v>2596</v>
      </c>
      <c r="N1501" s="37" t="s">
        <v>8834</v>
      </c>
      <c r="O1501" s="38" t="s">
        <v>8835</v>
      </c>
      <c r="P1501" s="39" t="s">
        <v>8836</v>
      </c>
      <c r="Q1501" s="37" t="s">
        <v>3784</v>
      </c>
      <c r="R1501" s="37" t="s">
        <v>2516</v>
      </c>
      <c r="S1501" s="37" t="s">
        <v>25</v>
      </c>
      <c r="T1501" s="37">
        <v>1</v>
      </c>
      <c r="U1501" s="37" t="s">
        <v>2517</v>
      </c>
      <c r="V1501" s="37" t="s">
        <v>8837</v>
      </c>
      <c r="W1501" s="37" t="s">
        <v>8838</v>
      </c>
      <c r="X1501" s="60">
        <v>45999.409722222219</v>
      </c>
      <c r="Y1501" s="37" t="s">
        <v>8839</v>
      </c>
      <c r="Z1501" s="37">
        <v>0.3</v>
      </c>
      <c r="AA1501" s="37"/>
      <c r="AB1501" s="37" t="s">
        <v>2521</v>
      </c>
      <c r="AC1501" s="40" t="s">
        <v>8840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8841</v>
      </c>
      <c r="E1502" s="37" t="s">
        <v>2504</v>
      </c>
      <c r="F1502" s="37" t="s">
        <v>2747</v>
      </c>
      <c r="G1502" s="37" t="s">
        <v>2748</v>
      </c>
      <c r="H1502" s="37" t="s">
        <v>2507</v>
      </c>
      <c r="I1502" s="37" t="s">
        <v>8842</v>
      </c>
      <c r="J1502" s="37" t="s">
        <v>2930</v>
      </c>
      <c r="K1502" s="37" t="s">
        <v>2510</v>
      </c>
      <c r="L1502" s="37" t="s">
        <v>2511</v>
      </c>
      <c r="M1502" s="38" t="s">
        <v>2512</v>
      </c>
      <c r="N1502" s="37">
        <v>2306</v>
      </c>
      <c r="O1502" s="38" t="s">
        <v>2893</v>
      </c>
      <c r="P1502" s="39" t="s">
        <v>8843</v>
      </c>
      <c r="Q1502" s="37" t="s">
        <v>2749</v>
      </c>
      <c r="R1502" s="37" t="s">
        <v>2516</v>
      </c>
      <c r="S1502" s="37" t="s">
        <v>25</v>
      </c>
      <c r="T1502" s="37">
        <v>1</v>
      </c>
      <c r="U1502" s="37" t="s">
        <v>2517</v>
      </c>
      <c r="V1502" s="37" t="s">
        <v>8844</v>
      </c>
      <c r="W1502" s="37" t="s">
        <v>8845</v>
      </c>
      <c r="X1502" s="60">
        <v>45997.793055555558</v>
      </c>
      <c r="Y1502" s="37" t="s">
        <v>8839</v>
      </c>
      <c r="Z1502" s="37">
        <v>0.5</v>
      </c>
      <c r="AA1502" s="37"/>
      <c r="AB1502" s="37" t="s">
        <v>2521</v>
      </c>
      <c r="AC1502" s="40" t="s">
        <v>8846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8847</v>
      </c>
      <c r="E1503" s="37" t="s">
        <v>2843</v>
      </c>
      <c r="F1503" s="37" t="s">
        <v>2747</v>
      </c>
      <c r="G1503" s="37" t="s">
        <v>2748</v>
      </c>
      <c r="H1503" s="37" t="s">
        <v>2507</v>
      </c>
      <c r="I1503" s="37" t="s">
        <v>8848</v>
      </c>
      <c r="J1503" s="37" t="s">
        <v>2930</v>
      </c>
      <c r="K1503" s="37" t="s">
        <v>2510</v>
      </c>
      <c r="L1503" s="37" t="s">
        <v>2511</v>
      </c>
      <c r="M1503" s="38" t="s">
        <v>2512</v>
      </c>
      <c r="N1503" s="37">
        <v>2306</v>
      </c>
      <c r="O1503" s="38" t="s">
        <v>2893</v>
      </c>
      <c r="P1503" s="39" t="s">
        <v>8849</v>
      </c>
      <c r="Q1503" s="37" t="s">
        <v>2749</v>
      </c>
      <c r="R1503" s="37" t="s">
        <v>2516</v>
      </c>
      <c r="S1503" s="37" t="s">
        <v>25</v>
      </c>
      <c r="T1503" s="37">
        <v>1</v>
      </c>
      <c r="U1503" s="37" t="s">
        <v>2517</v>
      </c>
      <c r="V1503" s="37" t="s">
        <v>8850</v>
      </c>
      <c r="W1503" s="37" t="s">
        <v>8851</v>
      </c>
      <c r="X1503" s="60">
        <v>45997.791666666657</v>
      </c>
      <c r="Y1503" s="37" t="s">
        <v>8852</v>
      </c>
      <c r="Z1503" s="37">
        <v>0.5</v>
      </c>
      <c r="AA1503" s="37"/>
      <c r="AB1503" s="37" t="s">
        <v>2521</v>
      </c>
      <c r="AC1503" s="40" t="s">
        <v>8846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8853</v>
      </c>
      <c r="E1504" s="37" t="s">
        <v>2504</v>
      </c>
      <c r="F1504" s="37">
        <v>3811</v>
      </c>
      <c r="G1504" s="37" t="s">
        <v>3780</v>
      </c>
      <c r="H1504" s="37" t="s">
        <v>2507</v>
      </c>
      <c r="I1504" s="37" t="s">
        <v>8854</v>
      </c>
      <c r="J1504" s="37" t="s">
        <v>2643</v>
      </c>
      <c r="K1504" s="37" t="s">
        <v>2568</v>
      </c>
      <c r="L1504" s="37" t="s">
        <v>2611</v>
      </c>
      <c r="M1504" s="38" t="s">
        <v>2612</v>
      </c>
      <c r="N1504" s="37" t="s">
        <v>3526</v>
      </c>
      <c r="O1504" s="38" t="s">
        <v>3152</v>
      </c>
      <c r="P1504" s="39" t="s">
        <v>8855</v>
      </c>
      <c r="Q1504" s="37" t="s">
        <v>3784</v>
      </c>
      <c r="R1504" s="37" t="s">
        <v>2516</v>
      </c>
      <c r="S1504" s="37" t="s">
        <v>25</v>
      </c>
      <c r="T1504" s="37">
        <v>1</v>
      </c>
      <c r="U1504" s="37" t="s">
        <v>2517</v>
      </c>
      <c r="V1504" s="37" t="s">
        <v>8856</v>
      </c>
      <c r="W1504" s="37" t="s">
        <v>8857</v>
      </c>
      <c r="X1504" s="60">
        <v>45999.434027777781</v>
      </c>
      <c r="Y1504" s="37" t="s">
        <v>8839</v>
      </c>
      <c r="Z1504" s="37">
        <v>0.5</v>
      </c>
      <c r="AA1504" s="37"/>
      <c r="AB1504" s="37" t="s">
        <v>2521</v>
      </c>
      <c r="AC1504" s="40" t="s">
        <v>8858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8859</v>
      </c>
      <c r="E1505" s="37" t="s">
        <v>2504</v>
      </c>
      <c r="F1505" s="37">
        <v>3785</v>
      </c>
      <c r="G1505" s="37" t="s">
        <v>3413</v>
      </c>
      <c r="H1505" s="37" t="s">
        <v>2659</v>
      </c>
      <c r="I1505" s="37" t="s">
        <v>8860</v>
      </c>
      <c r="J1505" s="37" t="s">
        <v>2661</v>
      </c>
      <c r="K1505" s="37" t="s">
        <v>2568</v>
      </c>
      <c r="L1505" s="37" t="s">
        <v>2569</v>
      </c>
      <c r="M1505" s="38" t="s">
        <v>2570</v>
      </c>
      <c r="N1505" s="37">
        <v>2501</v>
      </c>
      <c r="O1505" s="38" t="s">
        <v>2571</v>
      </c>
      <c r="P1505" s="39" t="s">
        <v>8861</v>
      </c>
      <c r="Q1505" s="37" t="s">
        <v>3414</v>
      </c>
      <c r="R1505" s="37" t="s">
        <v>2516</v>
      </c>
      <c r="S1505" s="37" t="s">
        <v>173</v>
      </c>
      <c r="T1505" s="37">
        <v>1</v>
      </c>
      <c r="U1505" s="37" t="s">
        <v>2517</v>
      </c>
      <c r="V1505" s="37" t="s">
        <v>8862</v>
      </c>
      <c r="W1505" s="37" t="s">
        <v>8863</v>
      </c>
      <c r="X1505" s="60">
        <v>45999.55</v>
      </c>
      <c r="Y1505" s="37" t="s">
        <v>8864</v>
      </c>
      <c r="Z1505" s="37">
        <v>0.5</v>
      </c>
      <c r="AA1505" s="37"/>
      <c r="AB1505" s="37" t="s">
        <v>2521</v>
      </c>
      <c r="AC1505" s="40" t="s">
        <v>2684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8865</v>
      </c>
      <c r="E1506" s="37" t="s">
        <v>2843</v>
      </c>
      <c r="F1506" s="37">
        <v>3811</v>
      </c>
      <c r="G1506" s="37" t="s">
        <v>3780</v>
      </c>
      <c r="H1506" s="37" t="s">
        <v>2507</v>
      </c>
      <c r="I1506" s="37" t="s">
        <v>8866</v>
      </c>
      <c r="J1506" s="37" t="s">
        <v>2661</v>
      </c>
      <c r="K1506" s="37" t="s">
        <v>2568</v>
      </c>
      <c r="L1506" s="37" t="s">
        <v>2611</v>
      </c>
      <c r="M1506" s="38" t="s">
        <v>2612</v>
      </c>
      <c r="N1506" s="37" t="s">
        <v>3526</v>
      </c>
      <c r="O1506" s="38" t="s">
        <v>3152</v>
      </c>
      <c r="P1506" s="39" t="s">
        <v>8867</v>
      </c>
      <c r="Q1506" s="37" t="s">
        <v>3784</v>
      </c>
      <c r="R1506" s="37" t="s">
        <v>2516</v>
      </c>
      <c r="S1506" s="37" t="s">
        <v>25</v>
      </c>
      <c r="T1506" s="37">
        <v>1</v>
      </c>
      <c r="U1506" s="37" t="s">
        <v>2517</v>
      </c>
      <c r="V1506" s="37" t="s">
        <v>8868</v>
      </c>
      <c r="W1506" s="37" t="s">
        <v>8857</v>
      </c>
      <c r="X1506" s="60">
        <v>45999.434027777781</v>
      </c>
      <c r="Y1506" s="37" t="s">
        <v>8869</v>
      </c>
      <c r="Z1506" s="37">
        <v>0.5</v>
      </c>
      <c r="AA1506" s="37"/>
      <c r="AB1506" s="37" t="s">
        <v>2521</v>
      </c>
      <c r="AC1506" s="40" t="s">
        <v>8858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3895</v>
      </c>
      <c r="G1507" s="37" t="s">
        <v>6760</v>
      </c>
      <c r="H1507" s="37" t="s">
        <v>2507</v>
      </c>
      <c r="I1507" s="37"/>
      <c r="J1507" s="37"/>
      <c r="K1507" s="37"/>
      <c r="L1507" s="37"/>
      <c r="M1507" s="38"/>
      <c r="N1507" s="37"/>
      <c r="O1507" s="38"/>
      <c r="P1507" s="39"/>
      <c r="Q1507" s="37" t="s">
        <v>3897</v>
      </c>
      <c r="R1507" s="37" t="s">
        <v>2516</v>
      </c>
      <c r="S1507" s="37" t="s">
        <v>25</v>
      </c>
      <c r="T1507" s="37">
        <v>1</v>
      </c>
      <c r="U1507" s="37" t="s">
        <v>2517</v>
      </c>
      <c r="V1507" s="37" t="s">
        <v>8870</v>
      </c>
      <c r="W1507" s="37" t="s">
        <v>8871</v>
      </c>
      <c r="X1507" s="60">
        <v>45999.458333333343</v>
      </c>
      <c r="Y1507" s="37"/>
      <c r="Z1507" s="37">
        <v>0.3</v>
      </c>
      <c r="AA1507" s="37"/>
      <c r="AB1507" s="37" t="s">
        <v>2521</v>
      </c>
      <c r="AC1507" s="40" t="s">
        <v>8130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8872</v>
      </c>
      <c r="E1508" s="37" t="s">
        <v>2843</v>
      </c>
      <c r="F1508" s="37">
        <v>3785</v>
      </c>
      <c r="G1508" s="37" t="s">
        <v>3413</v>
      </c>
      <c r="H1508" s="37" t="s">
        <v>2659</v>
      </c>
      <c r="I1508" s="37" t="s">
        <v>8873</v>
      </c>
      <c r="J1508" s="37" t="s">
        <v>2661</v>
      </c>
      <c r="K1508" s="37" t="s">
        <v>2568</v>
      </c>
      <c r="L1508" s="37" t="s">
        <v>2569</v>
      </c>
      <c r="M1508" s="38" t="s">
        <v>2570</v>
      </c>
      <c r="N1508" s="37">
        <v>2501</v>
      </c>
      <c r="O1508" s="38" t="s">
        <v>2571</v>
      </c>
      <c r="P1508" s="39" t="s">
        <v>8874</v>
      </c>
      <c r="Q1508" s="37" t="s">
        <v>3414</v>
      </c>
      <c r="R1508" s="37" t="s">
        <v>2516</v>
      </c>
      <c r="S1508" s="37" t="s">
        <v>173</v>
      </c>
      <c r="T1508" s="37">
        <v>1</v>
      </c>
      <c r="U1508" s="37" t="s">
        <v>2517</v>
      </c>
      <c r="V1508" s="37" t="s">
        <v>8875</v>
      </c>
      <c r="W1508" s="37" t="s">
        <v>8876</v>
      </c>
      <c r="X1508" s="60">
        <v>45999.549305555563</v>
      </c>
      <c r="Y1508" s="37" t="s">
        <v>8877</v>
      </c>
      <c r="Z1508" s="37">
        <v>0.5</v>
      </c>
      <c r="AA1508" s="37"/>
      <c r="AB1508" s="37" t="s">
        <v>2521</v>
      </c>
      <c r="AC1508" s="40" t="s">
        <v>2684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3900</v>
      </c>
      <c r="H1509" s="37" t="s">
        <v>2507</v>
      </c>
      <c r="I1509" s="37"/>
      <c r="J1509" s="37"/>
      <c r="K1509" s="37"/>
      <c r="L1509" s="37"/>
      <c r="M1509" s="38"/>
      <c r="N1509" s="37"/>
      <c r="O1509" s="38"/>
      <c r="P1509" s="39"/>
      <c r="Q1509" s="37" t="s">
        <v>3901</v>
      </c>
      <c r="R1509" s="37" t="s">
        <v>2516</v>
      </c>
      <c r="S1509" s="37" t="s">
        <v>25</v>
      </c>
      <c r="T1509" s="37">
        <v>1</v>
      </c>
      <c r="U1509" s="37" t="s">
        <v>2517</v>
      </c>
      <c r="V1509" s="37" t="s">
        <v>8878</v>
      </c>
      <c r="W1509" s="37" t="s">
        <v>8879</v>
      </c>
      <c r="X1509" s="60">
        <v>45999.513888888891</v>
      </c>
      <c r="Y1509" s="37"/>
      <c r="Z1509" s="37">
        <v>0.3</v>
      </c>
      <c r="AA1509" s="37"/>
      <c r="AB1509" s="37" t="s">
        <v>2521</v>
      </c>
      <c r="AC1509" s="40" t="s">
        <v>8130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3900</v>
      </c>
      <c r="H1510" s="37" t="s">
        <v>2507</v>
      </c>
      <c r="I1510" s="37"/>
      <c r="J1510" s="37"/>
      <c r="K1510" s="37"/>
      <c r="L1510" s="37"/>
      <c r="M1510" s="38"/>
      <c r="N1510" s="37"/>
      <c r="O1510" s="38"/>
      <c r="P1510" s="39"/>
      <c r="Q1510" s="37" t="s">
        <v>3901</v>
      </c>
      <c r="R1510" s="37" t="s">
        <v>2516</v>
      </c>
      <c r="S1510" s="37" t="s">
        <v>25</v>
      </c>
      <c r="T1510" s="37">
        <v>1</v>
      </c>
      <c r="U1510" s="37" t="s">
        <v>2517</v>
      </c>
      <c r="V1510" s="37" t="s">
        <v>8880</v>
      </c>
      <c r="W1510" s="37" t="s">
        <v>8879</v>
      </c>
      <c r="X1510" s="60">
        <v>45999.513888888891</v>
      </c>
      <c r="Y1510" s="37"/>
      <c r="Z1510" s="37">
        <v>0.3</v>
      </c>
      <c r="AA1510" s="37"/>
      <c r="AB1510" s="37" t="s">
        <v>2521</v>
      </c>
      <c r="AC1510" s="40" t="s">
        <v>8130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3667</v>
      </c>
      <c r="H1511" s="37" t="s">
        <v>2507</v>
      </c>
      <c r="I1511" s="37"/>
      <c r="J1511" s="37"/>
      <c r="K1511" s="37"/>
      <c r="L1511" s="37"/>
      <c r="M1511" s="38"/>
      <c r="N1511" s="37"/>
      <c r="O1511" s="38"/>
      <c r="P1511" s="39"/>
      <c r="Q1511" s="37" t="s">
        <v>3670</v>
      </c>
      <c r="R1511" s="37" t="s">
        <v>2516</v>
      </c>
      <c r="S1511" s="37" t="s">
        <v>25</v>
      </c>
      <c r="T1511" s="37">
        <v>1</v>
      </c>
      <c r="U1511" s="37" t="s">
        <v>2517</v>
      </c>
      <c r="V1511" s="37" t="s">
        <v>8881</v>
      </c>
      <c r="W1511" s="37" t="s">
        <v>8882</v>
      </c>
      <c r="X1511" s="60">
        <v>45999.548611111109</v>
      </c>
      <c r="Y1511" s="37"/>
      <c r="Z1511" s="37">
        <v>0.3</v>
      </c>
      <c r="AA1511" s="37"/>
      <c r="AB1511" s="37" t="s">
        <v>2521</v>
      </c>
      <c r="AC1511" s="40" t="s">
        <v>8130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3827</v>
      </c>
      <c r="H1512" s="37" t="s">
        <v>2507</v>
      </c>
      <c r="I1512" s="37"/>
      <c r="J1512" s="37"/>
      <c r="K1512" s="37"/>
      <c r="L1512" s="37"/>
      <c r="M1512" s="38"/>
      <c r="N1512" s="37"/>
      <c r="O1512" s="38"/>
      <c r="P1512" s="39"/>
      <c r="Q1512" s="37" t="s">
        <v>3828</v>
      </c>
      <c r="R1512" s="37" t="s">
        <v>2516</v>
      </c>
      <c r="S1512" s="37" t="s">
        <v>25</v>
      </c>
      <c r="T1512" s="37">
        <v>1</v>
      </c>
      <c r="U1512" s="37" t="s">
        <v>2517</v>
      </c>
      <c r="V1512" s="37" t="s">
        <v>8883</v>
      </c>
      <c r="W1512" s="37" t="s">
        <v>8884</v>
      </c>
      <c r="X1512" s="60">
        <v>45999.572916666657</v>
      </c>
      <c r="Y1512" s="37"/>
      <c r="Z1512" s="37">
        <v>0.3</v>
      </c>
      <c r="AA1512" s="37"/>
      <c r="AB1512" s="37" t="s">
        <v>2521</v>
      </c>
      <c r="AC1512" s="40" t="s">
        <v>8130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2676</v>
      </c>
      <c r="H1513" s="37" t="s">
        <v>2609</v>
      </c>
      <c r="I1513" s="37"/>
      <c r="J1513" s="37"/>
      <c r="K1513" s="37"/>
      <c r="L1513" s="37"/>
      <c r="M1513" s="38"/>
      <c r="N1513" s="37"/>
      <c r="O1513" s="38"/>
      <c r="P1513" s="39"/>
      <c r="Q1513" s="37" t="s">
        <v>2680</v>
      </c>
      <c r="R1513" s="37" t="s">
        <v>2516</v>
      </c>
      <c r="S1513" s="37" t="s">
        <v>173</v>
      </c>
      <c r="T1513" s="37">
        <v>1</v>
      </c>
      <c r="U1513" s="37" t="s">
        <v>2517</v>
      </c>
      <c r="V1513" s="37" t="s">
        <v>8885</v>
      </c>
      <c r="W1513" s="37" t="s">
        <v>8886</v>
      </c>
      <c r="X1513" s="60">
        <v>45999.588194444441</v>
      </c>
      <c r="Y1513" s="37"/>
      <c r="Z1513" s="37">
        <v>0.2</v>
      </c>
      <c r="AA1513" s="37"/>
      <c r="AB1513" s="37" t="s">
        <v>2521</v>
      </c>
      <c r="AC1513" s="40" t="s">
        <v>8130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8887</v>
      </c>
      <c r="H1514" s="37" t="s">
        <v>2609</v>
      </c>
      <c r="I1514" s="37"/>
      <c r="J1514" s="37"/>
      <c r="K1514" s="37"/>
      <c r="L1514" s="37"/>
      <c r="M1514" s="38"/>
      <c r="N1514" s="37"/>
      <c r="O1514" s="38"/>
      <c r="P1514" s="39"/>
      <c r="Q1514" s="37" t="s">
        <v>4289</v>
      </c>
      <c r="R1514" s="37" t="s">
        <v>2516</v>
      </c>
      <c r="S1514" s="37" t="s">
        <v>173</v>
      </c>
      <c r="T1514" s="37">
        <v>1</v>
      </c>
      <c r="U1514" s="37" t="s">
        <v>2517</v>
      </c>
      <c r="V1514" s="37" t="s">
        <v>8888</v>
      </c>
      <c r="W1514" s="37" t="s">
        <v>8889</v>
      </c>
      <c r="X1514" s="60">
        <v>45999.60833333333</v>
      </c>
      <c r="Y1514" s="37"/>
      <c r="Z1514" s="37">
        <v>0.4</v>
      </c>
      <c r="AA1514" s="37"/>
      <c r="AB1514" s="37" t="s">
        <v>2521</v>
      </c>
      <c r="AC1514" s="40" t="s">
        <v>8130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4292</v>
      </c>
      <c r="G1515" s="37" t="s">
        <v>4293</v>
      </c>
      <c r="H1515" s="37" t="s">
        <v>2609</v>
      </c>
      <c r="I1515" s="37"/>
      <c r="J1515" s="37"/>
      <c r="K1515" s="37"/>
      <c r="L1515" s="37"/>
      <c r="M1515" s="38"/>
      <c r="N1515" s="37"/>
      <c r="O1515" s="38"/>
      <c r="P1515" s="39"/>
      <c r="Q1515" s="37" t="s">
        <v>4294</v>
      </c>
      <c r="R1515" s="37" t="s">
        <v>2516</v>
      </c>
      <c r="S1515" s="37" t="s">
        <v>173</v>
      </c>
      <c r="T1515" s="37">
        <v>1</v>
      </c>
      <c r="U1515" s="37" t="s">
        <v>2517</v>
      </c>
      <c r="V1515" s="37" t="s">
        <v>8890</v>
      </c>
      <c r="W1515" s="37" t="s">
        <v>8891</v>
      </c>
      <c r="X1515" s="60">
        <v>45999.620833333327</v>
      </c>
      <c r="Y1515" s="37"/>
      <c r="Z1515" s="37">
        <v>0.2</v>
      </c>
      <c r="AA1515" s="37"/>
      <c r="AB1515" s="37" t="s">
        <v>2521</v>
      </c>
      <c r="AC1515" s="40" t="s">
        <v>8130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3831</v>
      </c>
      <c r="H1516" s="37" t="s">
        <v>2507</v>
      </c>
      <c r="I1516" s="37"/>
      <c r="J1516" s="37"/>
      <c r="K1516" s="37"/>
      <c r="L1516" s="37"/>
      <c r="M1516" s="38"/>
      <c r="N1516" s="37"/>
      <c r="O1516" s="38"/>
      <c r="P1516" s="39"/>
      <c r="Q1516" s="37" t="s">
        <v>3075</v>
      </c>
      <c r="R1516" s="37" t="s">
        <v>2516</v>
      </c>
      <c r="S1516" s="37" t="s">
        <v>25</v>
      </c>
      <c r="T1516" s="37">
        <v>1</v>
      </c>
      <c r="U1516" s="37" t="s">
        <v>2517</v>
      </c>
      <c r="V1516" s="37" t="s">
        <v>8892</v>
      </c>
      <c r="W1516" s="37" t="s">
        <v>8893</v>
      </c>
      <c r="X1516" s="60">
        <v>45999.631944444453</v>
      </c>
      <c r="Y1516" s="37"/>
      <c r="Z1516" s="37">
        <v>0.3</v>
      </c>
      <c r="AA1516" s="37"/>
      <c r="AB1516" s="37" t="s">
        <v>2521</v>
      </c>
      <c r="AC1516" s="40" t="s">
        <v>8130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4463</v>
      </c>
      <c r="H1517" s="37" t="s">
        <v>2609</v>
      </c>
      <c r="I1517" s="37"/>
      <c r="J1517" s="37"/>
      <c r="K1517" s="37"/>
      <c r="L1517" s="37"/>
      <c r="M1517" s="38"/>
      <c r="N1517" s="37"/>
      <c r="O1517" s="38"/>
      <c r="P1517" s="39"/>
      <c r="Q1517" s="37" t="s">
        <v>4464</v>
      </c>
      <c r="R1517" s="37" t="s">
        <v>2516</v>
      </c>
      <c r="S1517" s="37" t="s">
        <v>173</v>
      </c>
      <c r="T1517" s="37">
        <v>1</v>
      </c>
      <c r="U1517" s="37" t="s">
        <v>2517</v>
      </c>
      <c r="V1517" s="37" t="s">
        <v>8894</v>
      </c>
      <c r="W1517" s="37" t="s">
        <v>8895</v>
      </c>
      <c r="X1517" s="60">
        <v>45999.638888888891</v>
      </c>
      <c r="Y1517" s="37"/>
      <c r="Z1517" s="37">
        <v>0.3</v>
      </c>
      <c r="AA1517" s="37"/>
      <c r="AB1517" s="37" t="s">
        <v>2521</v>
      </c>
      <c r="AC1517" s="40" t="s">
        <v>8130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3868</v>
      </c>
      <c r="G1518" s="37" t="s">
        <v>3869</v>
      </c>
      <c r="H1518" s="37" t="s">
        <v>2507</v>
      </c>
      <c r="I1518" s="37"/>
      <c r="J1518" s="37"/>
      <c r="K1518" s="37"/>
      <c r="L1518" s="37"/>
      <c r="M1518" s="38"/>
      <c r="N1518" s="37"/>
      <c r="O1518" s="38"/>
      <c r="P1518" s="39"/>
      <c r="Q1518" s="37" t="s">
        <v>3870</v>
      </c>
      <c r="R1518" s="37" t="s">
        <v>2516</v>
      </c>
      <c r="S1518" s="37" t="s">
        <v>25</v>
      </c>
      <c r="T1518" s="37">
        <v>1</v>
      </c>
      <c r="U1518" s="37" t="s">
        <v>2517</v>
      </c>
      <c r="V1518" s="37" t="s">
        <v>8896</v>
      </c>
      <c r="W1518" s="37" t="s">
        <v>8897</v>
      </c>
      <c r="X1518" s="60">
        <v>45999.649305555547</v>
      </c>
      <c r="Y1518" s="37"/>
      <c r="Z1518" s="37">
        <v>0.3</v>
      </c>
      <c r="AA1518" s="37"/>
      <c r="AB1518" s="37" t="s">
        <v>2521</v>
      </c>
      <c r="AC1518" s="40" t="s">
        <v>8130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4452</v>
      </c>
      <c r="H1519" s="37" t="s">
        <v>2609</v>
      </c>
      <c r="I1519" s="37"/>
      <c r="J1519" s="37"/>
      <c r="K1519" s="37"/>
      <c r="L1519" s="37"/>
      <c r="M1519" s="38"/>
      <c r="N1519" s="37"/>
      <c r="O1519" s="38"/>
      <c r="P1519" s="39"/>
      <c r="Q1519" s="37" t="s">
        <v>4453</v>
      </c>
      <c r="R1519" s="37" t="s">
        <v>2516</v>
      </c>
      <c r="S1519" s="37" t="s">
        <v>173</v>
      </c>
      <c r="T1519" s="37">
        <v>1</v>
      </c>
      <c r="U1519" s="37" t="s">
        <v>2517</v>
      </c>
      <c r="V1519" s="37" t="s">
        <v>8898</v>
      </c>
      <c r="W1519" s="37" t="s">
        <v>8899</v>
      </c>
      <c r="X1519" s="60">
        <v>45999.654861111107</v>
      </c>
      <c r="Y1519" s="37"/>
      <c r="Z1519" s="37">
        <v>0.2</v>
      </c>
      <c r="AA1519" s="37"/>
      <c r="AB1519" s="37" t="s">
        <v>2521</v>
      </c>
      <c r="AC1519" s="40" t="s">
        <v>8130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8900</v>
      </c>
      <c r="E1520" s="37" t="s">
        <v>2504</v>
      </c>
      <c r="F1520" s="37">
        <v>3785</v>
      </c>
      <c r="G1520" s="37" t="s">
        <v>3413</v>
      </c>
      <c r="H1520" s="37" t="s">
        <v>2659</v>
      </c>
      <c r="I1520" s="37" t="s">
        <v>8901</v>
      </c>
      <c r="J1520" s="37" t="s">
        <v>2509</v>
      </c>
      <c r="K1520" s="37" t="s">
        <v>2568</v>
      </c>
      <c r="L1520" s="37" t="s">
        <v>2846</v>
      </c>
      <c r="M1520" s="38" t="s">
        <v>2847</v>
      </c>
      <c r="N1520" s="37">
        <v>2405</v>
      </c>
      <c r="O1520" s="38" t="s">
        <v>2963</v>
      </c>
      <c r="P1520" s="39" t="s">
        <v>8902</v>
      </c>
      <c r="Q1520" s="37" t="s">
        <v>3414</v>
      </c>
      <c r="R1520" s="37" t="s">
        <v>2516</v>
      </c>
      <c r="S1520" s="37" t="s">
        <v>173</v>
      </c>
      <c r="T1520" s="37">
        <v>1</v>
      </c>
      <c r="U1520" s="37" t="s">
        <v>2517</v>
      </c>
      <c r="V1520" s="37" t="s">
        <v>8903</v>
      </c>
      <c r="W1520" s="37" t="s">
        <v>8904</v>
      </c>
      <c r="X1520" s="60">
        <v>46000.638888888891</v>
      </c>
      <c r="Y1520" s="37" t="s">
        <v>8905</v>
      </c>
      <c r="Z1520" s="37">
        <v>3.3</v>
      </c>
      <c r="AA1520" s="37"/>
      <c r="AB1520" s="37" t="s">
        <v>2521</v>
      </c>
      <c r="AC1520" s="40" t="s">
        <v>8906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3973</v>
      </c>
      <c r="H1521" s="37" t="s">
        <v>1604</v>
      </c>
      <c r="I1521" s="37"/>
      <c r="J1521" s="37"/>
      <c r="K1521" s="37"/>
      <c r="L1521" s="37"/>
      <c r="M1521" s="38"/>
      <c r="N1521" s="37"/>
      <c r="O1521" s="38"/>
      <c r="P1521" s="39"/>
      <c r="Q1521" s="37" t="s">
        <v>3974</v>
      </c>
      <c r="R1521" s="37" t="s">
        <v>2516</v>
      </c>
      <c r="S1521" s="37" t="s">
        <v>25</v>
      </c>
      <c r="T1521" s="37">
        <v>1</v>
      </c>
      <c r="U1521" s="37" t="s">
        <v>2517</v>
      </c>
      <c r="V1521" s="37" t="s">
        <v>8907</v>
      </c>
      <c r="W1521" s="37" t="s">
        <v>8908</v>
      </c>
      <c r="X1521" s="60">
        <v>46000.430555555547</v>
      </c>
      <c r="Y1521" s="37"/>
      <c r="Z1521" s="37">
        <v>0.5</v>
      </c>
      <c r="AA1521" s="37"/>
      <c r="AB1521" s="37" t="s">
        <v>2521</v>
      </c>
      <c r="AC1521" s="40" t="s">
        <v>8130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3979</v>
      </c>
      <c r="H1522" s="37" t="s">
        <v>1604</v>
      </c>
      <c r="I1522" s="37"/>
      <c r="J1522" s="37"/>
      <c r="K1522" s="37"/>
      <c r="L1522" s="37"/>
      <c r="M1522" s="38"/>
      <c r="N1522" s="37"/>
      <c r="O1522" s="38"/>
      <c r="P1522" s="39"/>
      <c r="Q1522" s="37" t="s">
        <v>3980</v>
      </c>
      <c r="R1522" s="37" t="s">
        <v>2516</v>
      </c>
      <c r="S1522" s="37" t="s">
        <v>25</v>
      </c>
      <c r="T1522" s="37">
        <v>1</v>
      </c>
      <c r="U1522" s="37" t="s">
        <v>2517</v>
      </c>
      <c r="V1522" s="37" t="s">
        <v>8909</v>
      </c>
      <c r="W1522" s="37" t="s">
        <v>8910</v>
      </c>
      <c r="X1522" s="60">
        <v>46000.472222222219</v>
      </c>
      <c r="Y1522" s="37"/>
      <c r="Z1522" s="37">
        <v>0.5</v>
      </c>
      <c r="AA1522" s="37"/>
      <c r="AB1522" s="37" t="s">
        <v>2521</v>
      </c>
      <c r="AC1522" s="40" t="s">
        <v>8130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4178</v>
      </c>
      <c r="H1523" s="37" t="s">
        <v>1604</v>
      </c>
      <c r="I1523" s="37"/>
      <c r="J1523" s="37"/>
      <c r="K1523" s="37"/>
      <c r="L1523" s="37"/>
      <c r="M1523" s="38"/>
      <c r="N1523" s="37"/>
      <c r="O1523" s="38"/>
      <c r="P1523" s="39"/>
      <c r="Q1523" s="37" t="s">
        <v>4179</v>
      </c>
      <c r="R1523" s="37" t="s">
        <v>2516</v>
      </c>
      <c r="S1523" s="37" t="s">
        <v>25</v>
      </c>
      <c r="T1523" s="37">
        <v>1</v>
      </c>
      <c r="U1523" s="37" t="s">
        <v>2517</v>
      </c>
      <c r="V1523" s="37" t="s">
        <v>8911</v>
      </c>
      <c r="W1523" s="37" t="s">
        <v>8912</v>
      </c>
      <c r="X1523" s="60">
        <v>46000.496527777781</v>
      </c>
      <c r="Y1523" s="37"/>
      <c r="Z1523" s="37">
        <v>0.4</v>
      </c>
      <c r="AA1523" s="37"/>
      <c r="AB1523" s="37" t="s">
        <v>2521</v>
      </c>
      <c r="AC1523" s="40" t="s">
        <v>8136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3797</v>
      </c>
      <c r="H1524" s="37" t="s">
        <v>1604</v>
      </c>
      <c r="I1524" s="37"/>
      <c r="J1524" s="37"/>
      <c r="K1524" s="37"/>
      <c r="L1524" s="37"/>
      <c r="M1524" s="38"/>
      <c r="N1524" s="37"/>
      <c r="O1524" s="38"/>
      <c r="P1524" s="39"/>
      <c r="Q1524" s="37" t="s">
        <v>3800</v>
      </c>
      <c r="R1524" s="37" t="s">
        <v>2516</v>
      </c>
      <c r="S1524" s="37" t="s">
        <v>25</v>
      </c>
      <c r="T1524" s="37">
        <v>1</v>
      </c>
      <c r="U1524" s="37" t="s">
        <v>2517</v>
      </c>
      <c r="V1524" s="37" t="s">
        <v>8913</v>
      </c>
      <c r="W1524" s="37" t="s">
        <v>8914</v>
      </c>
      <c r="X1524" s="60">
        <v>46000.521527777782</v>
      </c>
      <c r="Y1524" s="37"/>
      <c r="Z1524" s="37">
        <v>0.4</v>
      </c>
      <c r="AA1524" s="37"/>
      <c r="AB1524" s="37" t="s">
        <v>2521</v>
      </c>
      <c r="AC1524" s="40" t="s">
        <v>8130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4147</v>
      </c>
      <c r="H1525" s="37" t="s">
        <v>1604</v>
      </c>
      <c r="I1525" s="37"/>
      <c r="J1525" s="37"/>
      <c r="K1525" s="37"/>
      <c r="L1525" s="37"/>
      <c r="M1525" s="38"/>
      <c r="N1525" s="37"/>
      <c r="O1525" s="38"/>
      <c r="P1525" s="39"/>
      <c r="Q1525" s="37" t="s">
        <v>4148</v>
      </c>
      <c r="R1525" s="37" t="s">
        <v>2516</v>
      </c>
      <c r="S1525" s="37" t="s">
        <v>25</v>
      </c>
      <c r="T1525" s="37">
        <v>1</v>
      </c>
      <c r="U1525" s="37" t="s">
        <v>2517</v>
      </c>
      <c r="V1525" s="37" t="s">
        <v>8915</v>
      </c>
      <c r="W1525" s="37" t="s">
        <v>8916</v>
      </c>
      <c r="X1525" s="60">
        <v>46000.618055555547</v>
      </c>
      <c r="Y1525" s="37"/>
      <c r="Z1525" s="37">
        <v>0.3</v>
      </c>
      <c r="AA1525" s="37"/>
      <c r="AB1525" s="37" t="s">
        <v>2521</v>
      </c>
      <c r="AC1525" s="40" t="s">
        <v>8130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4161</v>
      </c>
      <c r="H1526" s="37" t="s">
        <v>1604</v>
      </c>
      <c r="I1526" s="37"/>
      <c r="J1526" s="37"/>
      <c r="K1526" s="37"/>
      <c r="L1526" s="37"/>
      <c r="M1526" s="38"/>
      <c r="N1526" s="37"/>
      <c r="O1526" s="38"/>
      <c r="P1526" s="39"/>
      <c r="Q1526" s="37" t="s">
        <v>4162</v>
      </c>
      <c r="R1526" s="37" t="s">
        <v>2516</v>
      </c>
      <c r="S1526" s="37" t="s">
        <v>25</v>
      </c>
      <c r="T1526" s="37">
        <v>1</v>
      </c>
      <c r="U1526" s="37" t="s">
        <v>2517</v>
      </c>
      <c r="V1526" s="37" t="s">
        <v>8917</v>
      </c>
      <c r="W1526" s="37" t="s">
        <v>8918</v>
      </c>
      <c r="X1526" s="60">
        <v>46000.645833333343</v>
      </c>
      <c r="Y1526" s="37"/>
      <c r="Z1526" s="37">
        <v>0.3</v>
      </c>
      <c r="AA1526" s="37"/>
      <c r="AB1526" s="37" t="s">
        <v>2521</v>
      </c>
      <c r="AC1526" s="40" t="s">
        <v>8130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2961</v>
      </c>
      <c r="H1527" s="37" t="s">
        <v>2609</v>
      </c>
      <c r="I1527" s="37"/>
      <c r="J1527" s="37"/>
      <c r="K1527" s="37"/>
      <c r="L1527" s="37"/>
      <c r="M1527" s="38"/>
      <c r="N1527" s="37"/>
      <c r="O1527" s="38"/>
      <c r="P1527" s="39"/>
      <c r="Q1527" s="37" t="s">
        <v>2965</v>
      </c>
      <c r="R1527" s="37" t="s">
        <v>2516</v>
      </c>
      <c r="S1527" s="37" t="s">
        <v>173</v>
      </c>
      <c r="T1527" s="37">
        <v>1</v>
      </c>
      <c r="U1527" s="37" t="s">
        <v>2517</v>
      </c>
      <c r="V1527" s="37" t="s">
        <v>8919</v>
      </c>
      <c r="W1527" s="37" t="s">
        <v>8920</v>
      </c>
      <c r="X1527" s="60">
        <v>46000.663888888892</v>
      </c>
      <c r="Y1527" s="37"/>
      <c r="Z1527" s="37">
        <v>0.3</v>
      </c>
      <c r="AA1527" s="37"/>
      <c r="AB1527" s="37" t="s">
        <v>2521</v>
      </c>
      <c r="AC1527" s="40" t="s">
        <v>8130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7739</v>
      </c>
      <c r="H1528" s="37" t="s">
        <v>2609</v>
      </c>
      <c r="I1528" s="37"/>
      <c r="J1528" s="37"/>
      <c r="K1528" s="37"/>
      <c r="L1528" s="37"/>
      <c r="M1528" s="38"/>
      <c r="N1528" s="37"/>
      <c r="O1528" s="38"/>
      <c r="P1528" s="39"/>
      <c r="Q1528" s="37" t="s">
        <v>3455</v>
      </c>
      <c r="R1528" s="37" t="s">
        <v>2516</v>
      </c>
      <c r="S1528" s="37" t="s">
        <v>173</v>
      </c>
      <c r="T1528" s="37">
        <v>1</v>
      </c>
      <c r="U1528" s="37" t="s">
        <v>2517</v>
      </c>
      <c r="V1528" s="37" t="s">
        <v>8921</v>
      </c>
      <c r="W1528" s="37" t="s">
        <v>8922</v>
      </c>
      <c r="X1528" s="60">
        <v>46000.677083333343</v>
      </c>
      <c r="Y1528" s="37"/>
      <c r="Z1528" s="37">
        <v>0.3</v>
      </c>
      <c r="AA1528" s="37"/>
      <c r="AB1528" s="37" t="s">
        <v>2521</v>
      </c>
      <c r="AC1528" s="40" t="s">
        <v>8130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4172</v>
      </c>
      <c r="H1529" s="37" t="s">
        <v>1604</v>
      </c>
      <c r="I1529" s="37"/>
      <c r="J1529" s="37"/>
      <c r="K1529" s="37"/>
      <c r="L1529" s="37"/>
      <c r="M1529" s="38"/>
      <c r="N1529" s="37"/>
      <c r="O1529" s="38"/>
      <c r="P1529" s="39"/>
      <c r="Q1529" s="37" t="s">
        <v>4173</v>
      </c>
      <c r="R1529" s="37" t="s">
        <v>2516</v>
      </c>
      <c r="S1529" s="37" t="s">
        <v>25</v>
      </c>
      <c r="T1529" s="37">
        <v>1</v>
      </c>
      <c r="U1529" s="37" t="s">
        <v>2517</v>
      </c>
      <c r="V1529" s="37" t="s">
        <v>8923</v>
      </c>
      <c r="W1529" s="37" t="s">
        <v>8924</v>
      </c>
      <c r="X1529" s="60">
        <v>46000.673611111109</v>
      </c>
      <c r="Y1529" s="37"/>
      <c r="Z1529" s="37">
        <v>0.3</v>
      </c>
      <c r="AA1529" s="37"/>
      <c r="AB1529" s="37" t="s">
        <v>2521</v>
      </c>
      <c r="AC1529" s="40" t="s">
        <v>8130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8925</v>
      </c>
      <c r="E1530" s="37" t="s">
        <v>2504</v>
      </c>
      <c r="F1530" s="37" t="s">
        <v>3684</v>
      </c>
      <c r="G1530" s="37" t="s">
        <v>3685</v>
      </c>
      <c r="H1530" s="37" t="s">
        <v>2507</v>
      </c>
      <c r="I1530" s="37" t="s">
        <v>8926</v>
      </c>
      <c r="J1530" s="37" t="s">
        <v>2509</v>
      </c>
      <c r="K1530" s="37" t="s">
        <v>2568</v>
      </c>
      <c r="L1530" s="37" t="s">
        <v>2537</v>
      </c>
      <c r="M1530" s="38" t="s">
        <v>2538</v>
      </c>
      <c r="N1530" s="37" t="s">
        <v>2539</v>
      </c>
      <c r="O1530" s="38" t="s">
        <v>2540</v>
      </c>
      <c r="P1530" s="39" t="s">
        <v>8927</v>
      </c>
      <c r="Q1530" s="37" t="s">
        <v>3686</v>
      </c>
      <c r="R1530" s="37" t="s">
        <v>2516</v>
      </c>
      <c r="S1530" s="37" t="s">
        <v>25</v>
      </c>
      <c r="T1530" s="37">
        <v>1</v>
      </c>
      <c r="U1530" s="37" t="s">
        <v>2517</v>
      </c>
      <c r="V1530" s="37" t="s">
        <v>8928</v>
      </c>
      <c r="W1530" s="37" t="s">
        <v>8929</v>
      </c>
      <c r="X1530" s="60">
        <v>46001.472222222219</v>
      </c>
      <c r="Y1530" s="37" t="s">
        <v>8930</v>
      </c>
      <c r="Z1530" s="37">
        <v>0.7</v>
      </c>
      <c r="AA1530" s="37"/>
      <c r="AB1530" s="37" t="s">
        <v>2521</v>
      </c>
      <c r="AC1530" s="40" t="s">
        <v>8931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8932</v>
      </c>
      <c r="E1531" s="37" t="s">
        <v>2504</v>
      </c>
      <c r="F1531" s="37" t="s">
        <v>3684</v>
      </c>
      <c r="G1531" s="37" t="s">
        <v>3685</v>
      </c>
      <c r="H1531" s="37" t="s">
        <v>2507</v>
      </c>
      <c r="I1531" s="37" t="s">
        <v>8933</v>
      </c>
      <c r="J1531" s="37" t="s">
        <v>2509</v>
      </c>
      <c r="K1531" s="37" t="s">
        <v>2568</v>
      </c>
      <c r="L1531" s="37" t="s">
        <v>4123</v>
      </c>
      <c r="M1531" s="38" t="s">
        <v>4124</v>
      </c>
      <c r="N1531" s="37">
        <v>2901</v>
      </c>
      <c r="O1531" s="38" t="s">
        <v>2540</v>
      </c>
      <c r="P1531" s="39" t="s">
        <v>8934</v>
      </c>
      <c r="Q1531" s="37" t="s">
        <v>3686</v>
      </c>
      <c r="R1531" s="37" t="s">
        <v>2516</v>
      </c>
      <c r="S1531" s="37" t="s">
        <v>25</v>
      </c>
      <c r="T1531" s="37">
        <v>1</v>
      </c>
      <c r="U1531" s="37" t="s">
        <v>2517</v>
      </c>
      <c r="V1531" s="37" t="s">
        <v>8935</v>
      </c>
      <c r="W1531" s="37" t="s">
        <v>8936</v>
      </c>
      <c r="X1531" s="60">
        <v>46001.440972222219</v>
      </c>
      <c r="Y1531" s="37" t="s">
        <v>8937</v>
      </c>
      <c r="Z1531" s="37">
        <v>0.3</v>
      </c>
      <c r="AA1531" s="37"/>
      <c r="AB1531" s="37" t="s">
        <v>2521</v>
      </c>
      <c r="AC1531" s="40" t="s">
        <v>8938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3269</v>
      </c>
      <c r="H1532" s="37" t="s">
        <v>1604</v>
      </c>
      <c r="I1532" s="37"/>
      <c r="J1532" s="37"/>
      <c r="K1532" s="37"/>
      <c r="L1532" s="37"/>
      <c r="M1532" s="38"/>
      <c r="N1532" s="37"/>
      <c r="O1532" s="38"/>
      <c r="P1532" s="39"/>
      <c r="Q1532" s="37" t="s">
        <v>3276</v>
      </c>
      <c r="R1532" s="37" t="s">
        <v>2516</v>
      </c>
      <c r="S1532" s="37" t="s">
        <v>25</v>
      </c>
      <c r="T1532" s="37">
        <v>1</v>
      </c>
      <c r="U1532" s="37" t="s">
        <v>2517</v>
      </c>
      <c r="V1532" s="37" t="s">
        <v>8939</v>
      </c>
      <c r="W1532" s="37" t="s">
        <v>8940</v>
      </c>
      <c r="X1532" s="60">
        <v>46000.704861111109</v>
      </c>
      <c r="Y1532" s="37"/>
      <c r="Z1532" s="37">
        <v>0.3</v>
      </c>
      <c r="AA1532" s="37"/>
      <c r="AB1532" s="37" t="s">
        <v>2521</v>
      </c>
      <c r="AC1532" s="40" t="s">
        <v>8130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3108</v>
      </c>
      <c r="H1533" s="37" t="s">
        <v>2609</v>
      </c>
      <c r="I1533" s="37"/>
      <c r="J1533" s="37"/>
      <c r="K1533" s="37"/>
      <c r="L1533" s="37"/>
      <c r="M1533" s="38"/>
      <c r="N1533" s="37"/>
      <c r="O1533" s="38"/>
      <c r="P1533" s="39"/>
      <c r="Q1533" s="37" t="s">
        <v>3113</v>
      </c>
      <c r="R1533" s="37" t="s">
        <v>2516</v>
      </c>
      <c r="S1533" s="37" t="s">
        <v>173</v>
      </c>
      <c r="T1533" s="37">
        <v>1</v>
      </c>
      <c r="U1533" s="37" t="s">
        <v>2517</v>
      </c>
      <c r="V1533" s="37" t="s">
        <v>8941</v>
      </c>
      <c r="W1533" s="37" t="s">
        <v>8942</v>
      </c>
      <c r="X1533" s="60">
        <v>46001.631944444453</v>
      </c>
      <c r="Y1533" s="37"/>
      <c r="Z1533" s="37">
        <v>0.2</v>
      </c>
      <c r="AA1533" s="37"/>
      <c r="AB1533" s="37" t="s">
        <v>2521</v>
      </c>
      <c r="AC1533" s="40" t="s">
        <v>8130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4327</v>
      </c>
      <c r="H1534" s="37" t="s">
        <v>2609</v>
      </c>
      <c r="I1534" s="37"/>
      <c r="J1534" s="37"/>
      <c r="K1534" s="37"/>
      <c r="L1534" s="37"/>
      <c r="M1534" s="38"/>
      <c r="N1534" s="37"/>
      <c r="O1534" s="38"/>
      <c r="P1534" s="39"/>
      <c r="Q1534" s="37" t="s">
        <v>4328</v>
      </c>
      <c r="R1534" s="37" t="s">
        <v>2516</v>
      </c>
      <c r="S1534" s="37" t="s">
        <v>173</v>
      </c>
      <c r="T1534" s="37">
        <v>1</v>
      </c>
      <c r="U1534" s="37" t="s">
        <v>2517</v>
      </c>
      <c r="V1534" s="37" t="s">
        <v>8943</v>
      </c>
      <c r="W1534" s="37" t="s">
        <v>8944</v>
      </c>
      <c r="X1534" s="60">
        <v>46001.618055555547</v>
      </c>
      <c r="Y1534" s="37"/>
      <c r="Z1534" s="37">
        <v>0.3</v>
      </c>
      <c r="AA1534" s="37"/>
      <c r="AB1534" s="37" t="s">
        <v>2521</v>
      </c>
      <c r="AC1534" s="40" t="s">
        <v>8130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8945</v>
      </c>
      <c r="E1535" s="37" t="s">
        <v>2843</v>
      </c>
      <c r="F1535" s="37">
        <v>5428</v>
      </c>
      <c r="G1535" s="37" t="s">
        <v>8596</v>
      </c>
      <c r="H1535" s="37" t="s">
        <v>2507</v>
      </c>
      <c r="I1535" s="37" t="s">
        <v>8946</v>
      </c>
      <c r="J1535" s="37" t="s">
        <v>2536</v>
      </c>
      <c r="K1535" s="37" t="s">
        <v>2510</v>
      </c>
      <c r="L1535" s="37" t="s">
        <v>2846</v>
      </c>
      <c r="M1535" s="38" t="s">
        <v>2847</v>
      </c>
      <c r="N1535" s="37">
        <v>2405</v>
      </c>
      <c r="O1535" s="38" t="s">
        <v>2963</v>
      </c>
      <c r="P1535" s="39" t="s">
        <v>8947</v>
      </c>
      <c r="Q1535" s="37" t="s">
        <v>8597</v>
      </c>
      <c r="R1535" s="37" t="s">
        <v>2516</v>
      </c>
      <c r="S1535" s="37" t="s">
        <v>25</v>
      </c>
      <c r="T1535" s="37">
        <v>1</v>
      </c>
      <c r="U1535" s="37" t="s">
        <v>2517</v>
      </c>
      <c r="V1535" s="37" t="s">
        <v>8948</v>
      </c>
      <c r="W1535" s="37" t="s">
        <v>8949</v>
      </c>
      <c r="X1535" s="60">
        <v>46001.785416666673</v>
      </c>
      <c r="Y1535" s="37" t="s">
        <v>8950</v>
      </c>
      <c r="Z1535" s="37">
        <v>1.9</v>
      </c>
      <c r="AA1535" s="37"/>
      <c r="AB1535" s="37" t="s">
        <v>2521</v>
      </c>
      <c r="AC1535" s="40" t="s">
        <v>6715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8951</v>
      </c>
      <c r="H1536" s="37" t="s">
        <v>2609</v>
      </c>
      <c r="I1536" s="37"/>
      <c r="J1536" s="37"/>
      <c r="K1536" s="37"/>
      <c r="L1536" s="37"/>
      <c r="M1536" s="38"/>
      <c r="N1536" s="37"/>
      <c r="O1536" s="38"/>
      <c r="P1536" s="39"/>
      <c r="Q1536" s="37" t="s">
        <v>4084</v>
      </c>
      <c r="R1536" s="37" t="s">
        <v>2516</v>
      </c>
      <c r="S1536" s="37" t="s">
        <v>173</v>
      </c>
      <c r="T1536" s="37">
        <v>1</v>
      </c>
      <c r="U1536" s="37" t="s">
        <v>2517</v>
      </c>
      <c r="V1536" s="37" t="s">
        <v>8952</v>
      </c>
      <c r="W1536" s="37" t="s">
        <v>8953</v>
      </c>
      <c r="X1536" s="60">
        <v>46002.458333333343</v>
      </c>
      <c r="Y1536" s="37"/>
      <c r="Z1536" s="37">
        <v>0.3</v>
      </c>
      <c r="AA1536" s="37"/>
      <c r="AB1536" s="37" t="s">
        <v>2521</v>
      </c>
      <c r="AC1536" s="40" t="s">
        <v>8130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3506</v>
      </c>
      <c r="H1537" s="37" t="s">
        <v>2609</v>
      </c>
      <c r="I1537" s="37"/>
      <c r="J1537" s="37"/>
      <c r="K1537" s="37"/>
      <c r="L1537" s="37"/>
      <c r="M1537" s="38"/>
      <c r="N1537" s="37"/>
      <c r="O1537" s="38"/>
      <c r="P1537" s="39"/>
      <c r="Q1537" s="37" t="s">
        <v>3510</v>
      </c>
      <c r="R1537" s="37" t="s">
        <v>2516</v>
      </c>
      <c r="S1537" s="37" t="s">
        <v>173</v>
      </c>
      <c r="T1537" s="37">
        <v>1</v>
      </c>
      <c r="U1537" s="37" t="s">
        <v>2517</v>
      </c>
      <c r="V1537" s="37" t="s">
        <v>8954</v>
      </c>
      <c r="W1537" s="37" t="s">
        <v>8955</v>
      </c>
      <c r="X1537" s="60">
        <v>46002.46875</v>
      </c>
      <c r="Y1537" s="37"/>
      <c r="Z1537" s="37">
        <v>0.3</v>
      </c>
      <c r="AA1537" s="37"/>
      <c r="AB1537" s="37" t="s">
        <v>2521</v>
      </c>
      <c r="AC1537" s="40" t="s">
        <v>8130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2774</v>
      </c>
      <c r="H1538" s="37" t="s">
        <v>2507</v>
      </c>
      <c r="I1538" s="37"/>
      <c r="J1538" s="37"/>
      <c r="K1538" s="37"/>
      <c r="L1538" s="37"/>
      <c r="M1538" s="38"/>
      <c r="N1538" s="37"/>
      <c r="O1538" s="38"/>
      <c r="P1538" s="39"/>
      <c r="Q1538" s="37" t="s">
        <v>2775</v>
      </c>
      <c r="R1538" s="37" t="s">
        <v>2516</v>
      </c>
      <c r="S1538" s="37" t="s">
        <v>25</v>
      </c>
      <c r="T1538" s="37">
        <v>1</v>
      </c>
      <c r="U1538" s="37" t="s">
        <v>2517</v>
      </c>
      <c r="V1538" s="37" t="s">
        <v>8956</v>
      </c>
      <c r="W1538" s="37" t="s">
        <v>8957</v>
      </c>
      <c r="X1538" s="60">
        <v>46002.5625</v>
      </c>
      <c r="Y1538" s="37"/>
      <c r="Z1538" s="37">
        <v>0.5</v>
      </c>
      <c r="AA1538" s="37"/>
      <c r="AB1538" s="37" t="s">
        <v>2521</v>
      </c>
      <c r="AC1538" s="40" t="s">
        <v>8136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5305</v>
      </c>
      <c r="H1539" s="37" t="s">
        <v>2507</v>
      </c>
      <c r="I1539" s="37"/>
      <c r="J1539" s="37"/>
      <c r="K1539" s="37"/>
      <c r="L1539" s="37"/>
      <c r="M1539" s="38"/>
      <c r="N1539" s="37"/>
      <c r="O1539" s="38"/>
      <c r="P1539" s="39"/>
      <c r="Q1539" s="37" t="s">
        <v>2788</v>
      </c>
      <c r="R1539" s="37" t="s">
        <v>2516</v>
      </c>
      <c r="S1539" s="37" t="s">
        <v>25</v>
      </c>
      <c r="T1539" s="37">
        <v>1</v>
      </c>
      <c r="U1539" s="37" t="s">
        <v>2517</v>
      </c>
      <c r="V1539" s="37" t="s">
        <v>8958</v>
      </c>
      <c r="W1539" s="37" t="s">
        <v>8959</v>
      </c>
      <c r="X1539" s="60">
        <v>46002.572916666657</v>
      </c>
      <c r="Y1539" s="37"/>
      <c r="Z1539" s="37">
        <v>0.3</v>
      </c>
      <c r="AA1539" s="37"/>
      <c r="AB1539" s="37" t="s">
        <v>2521</v>
      </c>
      <c r="AC1539" s="40" t="s">
        <v>8136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2783</v>
      </c>
      <c r="H1540" s="37" t="s">
        <v>2507</v>
      </c>
      <c r="I1540" s="37"/>
      <c r="J1540" s="37"/>
      <c r="K1540" s="37"/>
      <c r="L1540" s="37"/>
      <c r="M1540" s="38"/>
      <c r="N1540" s="37"/>
      <c r="O1540" s="38"/>
      <c r="P1540" s="39"/>
      <c r="Q1540" s="37" t="s">
        <v>2784</v>
      </c>
      <c r="R1540" s="37" t="s">
        <v>2516</v>
      </c>
      <c r="S1540" s="37" t="s">
        <v>25</v>
      </c>
      <c r="T1540" s="37">
        <v>1</v>
      </c>
      <c r="U1540" s="37" t="s">
        <v>2517</v>
      </c>
      <c r="V1540" s="37" t="s">
        <v>8960</v>
      </c>
      <c r="W1540" s="37" t="s">
        <v>8961</v>
      </c>
      <c r="X1540" s="60">
        <v>46002.575694444437</v>
      </c>
      <c r="Y1540" s="37"/>
      <c r="Z1540" s="37">
        <v>0.1</v>
      </c>
      <c r="AA1540" s="37"/>
      <c r="AB1540" s="37" t="s">
        <v>2521</v>
      </c>
      <c r="AC1540" s="40" t="s">
        <v>8136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7954</v>
      </c>
      <c r="H1541" s="37" t="s">
        <v>2507</v>
      </c>
      <c r="I1541" s="37"/>
      <c r="J1541" s="37"/>
      <c r="K1541" s="37"/>
      <c r="L1541" s="37"/>
      <c r="M1541" s="38"/>
      <c r="N1541" s="37"/>
      <c r="O1541" s="38"/>
      <c r="P1541" s="39"/>
      <c r="Q1541" s="37" t="s">
        <v>2792</v>
      </c>
      <c r="R1541" s="37" t="s">
        <v>2516</v>
      </c>
      <c r="S1541" s="37" t="s">
        <v>25</v>
      </c>
      <c r="T1541" s="37">
        <v>1</v>
      </c>
      <c r="U1541" s="37" t="s">
        <v>2517</v>
      </c>
      <c r="V1541" s="37" t="s">
        <v>8962</v>
      </c>
      <c r="W1541" s="37" t="s">
        <v>8963</v>
      </c>
      <c r="X1541" s="60">
        <v>46002.579861111109</v>
      </c>
      <c r="Y1541" s="37"/>
      <c r="Z1541" s="37">
        <v>0.1</v>
      </c>
      <c r="AA1541" s="37"/>
      <c r="AB1541" s="37" t="s">
        <v>2521</v>
      </c>
      <c r="AC1541" s="40" t="s">
        <v>8136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2795</v>
      </c>
      <c r="H1542" s="37" t="s">
        <v>2507</v>
      </c>
      <c r="I1542" s="37"/>
      <c r="J1542" s="37"/>
      <c r="K1542" s="37"/>
      <c r="L1542" s="37"/>
      <c r="M1542" s="38"/>
      <c r="N1542" s="37"/>
      <c r="O1542" s="38"/>
      <c r="P1542" s="39"/>
      <c r="Q1542" s="37" t="s">
        <v>2796</v>
      </c>
      <c r="R1542" s="37" t="s">
        <v>2516</v>
      </c>
      <c r="S1542" s="37" t="s">
        <v>25</v>
      </c>
      <c r="T1542" s="37">
        <v>1</v>
      </c>
      <c r="U1542" s="37" t="s">
        <v>2517</v>
      </c>
      <c r="V1542" s="37" t="s">
        <v>8964</v>
      </c>
      <c r="W1542" s="37" t="s">
        <v>8965</v>
      </c>
      <c r="X1542" s="60">
        <v>46002.586805555547</v>
      </c>
      <c r="Y1542" s="37"/>
      <c r="Z1542" s="37">
        <v>0.2</v>
      </c>
      <c r="AA1542" s="37"/>
      <c r="AB1542" s="37" t="s">
        <v>2521</v>
      </c>
      <c r="AC1542" s="40" t="s">
        <v>8136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7949</v>
      </c>
      <c r="H1543" s="37" t="s">
        <v>2507</v>
      </c>
      <c r="I1543" s="37"/>
      <c r="J1543" s="37"/>
      <c r="K1543" s="37"/>
      <c r="L1543" s="37"/>
      <c r="M1543" s="38"/>
      <c r="N1543" s="37"/>
      <c r="O1543" s="38"/>
      <c r="P1543" s="39"/>
      <c r="Q1543" s="37" t="s">
        <v>3909</v>
      </c>
      <c r="R1543" s="37" t="s">
        <v>2516</v>
      </c>
      <c r="S1543" s="37" t="s">
        <v>25</v>
      </c>
      <c r="T1543" s="37">
        <v>1</v>
      </c>
      <c r="U1543" s="37" t="s">
        <v>2517</v>
      </c>
      <c r="V1543" s="37" t="s">
        <v>8966</v>
      </c>
      <c r="W1543" s="37" t="s">
        <v>8967</v>
      </c>
      <c r="X1543" s="60">
        <v>46002.591666666667</v>
      </c>
      <c r="Y1543" s="37"/>
      <c r="Z1543" s="37">
        <v>0.1</v>
      </c>
      <c r="AA1543" s="37"/>
      <c r="AB1543" s="37" t="s">
        <v>2521</v>
      </c>
      <c r="AC1543" s="40" t="s">
        <v>8136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3516</v>
      </c>
      <c r="H1544" s="37" t="s">
        <v>2507</v>
      </c>
      <c r="I1544" s="37"/>
      <c r="J1544" s="37"/>
      <c r="K1544" s="37"/>
      <c r="L1544" s="37"/>
      <c r="M1544" s="38"/>
      <c r="N1544" s="37"/>
      <c r="O1544" s="38"/>
      <c r="P1544" s="39"/>
      <c r="Q1544" s="37" t="s">
        <v>3519</v>
      </c>
      <c r="R1544" s="37" t="s">
        <v>2516</v>
      </c>
      <c r="S1544" s="37" t="s">
        <v>25</v>
      </c>
      <c r="T1544" s="37">
        <v>1</v>
      </c>
      <c r="U1544" s="37" t="s">
        <v>2517</v>
      </c>
      <c r="V1544" s="37" t="s">
        <v>8968</v>
      </c>
      <c r="W1544" s="37" t="s">
        <v>8969</v>
      </c>
      <c r="X1544" s="60">
        <v>46002.597222222219</v>
      </c>
      <c r="Y1544" s="37"/>
      <c r="Z1544" s="37">
        <v>0.1</v>
      </c>
      <c r="AA1544" s="37"/>
      <c r="AB1544" s="37" t="s">
        <v>2521</v>
      </c>
      <c r="AC1544" s="40" t="s">
        <v>8136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2808</v>
      </c>
      <c r="H1545" s="37" t="s">
        <v>2507</v>
      </c>
      <c r="I1545" s="37"/>
      <c r="J1545" s="37"/>
      <c r="K1545" s="37"/>
      <c r="L1545" s="37"/>
      <c r="M1545" s="38"/>
      <c r="N1545" s="37"/>
      <c r="O1545" s="38"/>
      <c r="P1545" s="39"/>
      <c r="Q1545" s="37" t="s">
        <v>2809</v>
      </c>
      <c r="R1545" s="37" t="s">
        <v>2516</v>
      </c>
      <c r="S1545" s="37" t="s">
        <v>25</v>
      </c>
      <c r="T1545" s="37">
        <v>1</v>
      </c>
      <c r="U1545" s="37" t="s">
        <v>2517</v>
      </c>
      <c r="V1545" s="37" t="s">
        <v>8970</v>
      </c>
      <c r="W1545" s="37" t="s">
        <v>8971</v>
      </c>
      <c r="X1545" s="60">
        <v>46002.600694444453</v>
      </c>
      <c r="Y1545" s="37"/>
      <c r="Z1545" s="37">
        <v>0.1</v>
      </c>
      <c r="AA1545" s="37"/>
      <c r="AB1545" s="37" t="s">
        <v>2521</v>
      </c>
      <c r="AC1545" s="40" t="s">
        <v>8136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2905</v>
      </c>
      <c r="H1546" s="37" t="s">
        <v>2507</v>
      </c>
      <c r="I1546" s="37"/>
      <c r="J1546" s="37"/>
      <c r="K1546" s="37"/>
      <c r="L1546" s="37"/>
      <c r="M1546" s="38"/>
      <c r="N1546" s="37"/>
      <c r="O1546" s="38"/>
      <c r="P1546" s="39"/>
      <c r="Q1546" s="37" t="s">
        <v>2906</v>
      </c>
      <c r="R1546" s="37" t="s">
        <v>2516</v>
      </c>
      <c r="S1546" s="37" t="s">
        <v>25</v>
      </c>
      <c r="T1546" s="37">
        <v>1</v>
      </c>
      <c r="U1546" s="37" t="s">
        <v>2517</v>
      </c>
      <c r="V1546" s="37" t="s">
        <v>8972</v>
      </c>
      <c r="W1546" s="37" t="s">
        <v>8973</v>
      </c>
      <c r="X1546" s="60">
        <v>46002.615277777782</v>
      </c>
      <c r="Y1546" s="37"/>
      <c r="Z1546" s="37">
        <v>0.1</v>
      </c>
      <c r="AA1546" s="37"/>
      <c r="AB1546" s="37" t="s">
        <v>2521</v>
      </c>
      <c r="AC1546" s="40" t="s">
        <v>8136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2943</v>
      </c>
      <c r="H1547" s="37" t="s">
        <v>2507</v>
      </c>
      <c r="I1547" s="37"/>
      <c r="J1547" s="37"/>
      <c r="K1547" s="37"/>
      <c r="L1547" s="37"/>
      <c r="M1547" s="38"/>
      <c r="N1547" s="37"/>
      <c r="O1547" s="38"/>
      <c r="P1547" s="39"/>
      <c r="Q1547" s="37" t="s">
        <v>2950</v>
      </c>
      <c r="R1547" s="37" t="s">
        <v>2516</v>
      </c>
      <c r="S1547" s="37" t="s">
        <v>25</v>
      </c>
      <c r="T1547" s="37">
        <v>1</v>
      </c>
      <c r="U1547" s="37" t="s">
        <v>2517</v>
      </c>
      <c r="V1547" s="37" t="s">
        <v>8974</v>
      </c>
      <c r="W1547" s="37" t="s">
        <v>8975</v>
      </c>
      <c r="X1547" s="60">
        <v>46002.625694444447</v>
      </c>
      <c r="Y1547" s="37"/>
      <c r="Z1547" s="37">
        <v>0.1</v>
      </c>
      <c r="AA1547" s="37"/>
      <c r="AB1547" s="37" t="s">
        <v>2521</v>
      </c>
      <c r="AC1547" s="40" t="s">
        <v>8136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3851</v>
      </c>
      <c r="H1548" s="37" t="s">
        <v>2507</v>
      </c>
      <c r="I1548" s="37"/>
      <c r="J1548" s="37"/>
      <c r="K1548" s="37"/>
      <c r="L1548" s="37"/>
      <c r="M1548" s="38"/>
      <c r="N1548" s="37"/>
      <c r="O1548" s="38"/>
      <c r="P1548" s="39"/>
      <c r="Q1548" s="37" t="s">
        <v>3852</v>
      </c>
      <c r="R1548" s="37" t="s">
        <v>2516</v>
      </c>
      <c r="S1548" s="37" t="s">
        <v>25</v>
      </c>
      <c r="T1548" s="37">
        <v>1</v>
      </c>
      <c r="U1548" s="37" t="s">
        <v>2517</v>
      </c>
      <c r="V1548" s="37" t="s">
        <v>8976</v>
      </c>
      <c r="W1548" s="37" t="s">
        <v>8977</v>
      </c>
      <c r="X1548" s="60">
        <v>46002.628472222219</v>
      </c>
      <c r="Y1548" s="37"/>
      <c r="Z1548" s="37">
        <v>0.1</v>
      </c>
      <c r="AA1548" s="37"/>
      <c r="AB1548" s="37" t="s">
        <v>2521</v>
      </c>
      <c r="AC1548" s="40" t="s">
        <v>8136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3647</v>
      </c>
      <c r="H1549" s="37" t="s">
        <v>2507</v>
      </c>
      <c r="I1549" s="37"/>
      <c r="J1549" s="37"/>
      <c r="K1549" s="37"/>
      <c r="L1549" s="37"/>
      <c r="M1549" s="38"/>
      <c r="N1549" s="37"/>
      <c r="O1549" s="38"/>
      <c r="P1549" s="39"/>
      <c r="Q1549" s="37" t="s">
        <v>3650</v>
      </c>
      <c r="R1549" s="37" t="s">
        <v>2516</v>
      </c>
      <c r="S1549" s="37" t="s">
        <v>25</v>
      </c>
      <c r="T1549" s="37">
        <v>1</v>
      </c>
      <c r="U1549" s="37" t="s">
        <v>2517</v>
      </c>
      <c r="V1549" s="37" t="s">
        <v>8978</v>
      </c>
      <c r="W1549" s="37" t="s">
        <v>8979</v>
      </c>
      <c r="X1549" s="60">
        <v>46002.631944444453</v>
      </c>
      <c r="Y1549" s="37"/>
      <c r="Z1549" s="37">
        <v>0.1</v>
      </c>
      <c r="AA1549" s="37"/>
      <c r="AB1549" s="37" t="s">
        <v>2521</v>
      </c>
      <c r="AC1549" s="40" t="s">
        <v>8136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3033</v>
      </c>
      <c r="H1550" s="37" t="s">
        <v>2507</v>
      </c>
      <c r="I1550" s="37"/>
      <c r="J1550" s="37"/>
      <c r="K1550" s="37"/>
      <c r="L1550" s="37"/>
      <c r="M1550" s="38"/>
      <c r="N1550" s="37"/>
      <c r="O1550" s="38"/>
      <c r="P1550" s="39"/>
      <c r="Q1550" s="37" t="s">
        <v>3037</v>
      </c>
      <c r="R1550" s="37" t="s">
        <v>2516</v>
      </c>
      <c r="S1550" s="37" t="s">
        <v>25</v>
      </c>
      <c r="T1550" s="37">
        <v>1</v>
      </c>
      <c r="U1550" s="37" t="s">
        <v>2517</v>
      </c>
      <c r="V1550" s="37" t="s">
        <v>8980</v>
      </c>
      <c r="W1550" s="37" t="s">
        <v>8981</v>
      </c>
      <c r="X1550" s="60">
        <v>46002.635416666657</v>
      </c>
      <c r="Y1550" s="37"/>
      <c r="Z1550" s="37">
        <v>0.1</v>
      </c>
      <c r="AA1550" s="37"/>
      <c r="AB1550" s="37" t="s">
        <v>2521</v>
      </c>
      <c r="AC1550" s="40" t="s">
        <v>8136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4067</v>
      </c>
      <c r="H1551" s="37" t="s">
        <v>3148</v>
      </c>
      <c r="I1551" s="37"/>
      <c r="J1551" s="37"/>
      <c r="K1551" s="37"/>
      <c r="L1551" s="37"/>
      <c r="M1551" s="38"/>
      <c r="N1551" s="37"/>
      <c r="O1551" s="38"/>
      <c r="P1551" s="39"/>
      <c r="Q1551" s="37" t="s">
        <v>4068</v>
      </c>
      <c r="R1551" s="37" t="s">
        <v>2516</v>
      </c>
      <c r="S1551" s="37" t="s">
        <v>25</v>
      </c>
      <c r="T1551" s="37">
        <v>1</v>
      </c>
      <c r="U1551" s="37" t="s">
        <v>2517</v>
      </c>
      <c r="V1551" s="37" t="s">
        <v>8982</v>
      </c>
      <c r="W1551" s="37" t="s">
        <v>8983</v>
      </c>
      <c r="X1551" s="60">
        <v>46003.458333333343</v>
      </c>
      <c r="Y1551" s="37"/>
      <c r="Z1551" s="37">
        <v>2</v>
      </c>
      <c r="AA1551" s="37"/>
      <c r="AB1551" s="37" t="s">
        <v>2521</v>
      </c>
      <c r="AC1551" s="40" t="s">
        <v>7891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4067</v>
      </c>
      <c r="H1552" s="37" t="s">
        <v>3148</v>
      </c>
      <c r="I1552" s="37"/>
      <c r="J1552" s="37"/>
      <c r="K1552" s="37"/>
      <c r="L1552" s="37"/>
      <c r="M1552" s="38"/>
      <c r="N1552" s="37"/>
      <c r="O1552" s="38"/>
      <c r="P1552" s="39"/>
      <c r="Q1552" s="37" t="s">
        <v>4068</v>
      </c>
      <c r="R1552" s="37" t="s">
        <v>2516</v>
      </c>
      <c r="S1552" s="37" t="s">
        <v>185</v>
      </c>
      <c r="T1552" s="37">
        <v>1</v>
      </c>
      <c r="U1552" s="37" t="s">
        <v>2517</v>
      </c>
      <c r="V1552" s="37" t="s">
        <v>8984</v>
      </c>
      <c r="W1552" s="37" t="s">
        <v>8983</v>
      </c>
      <c r="X1552" s="60">
        <v>46003.458333333343</v>
      </c>
      <c r="Y1552" s="37"/>
      <c r="Z1552" s="37">
        <v>2</v>
      </c>
      <c r="AA1552" s="37"/>
      <c r="AB1552" s="37" t="s">
        <v>2521</v>
      </c>
      <c r="AC1552" s="40" t="s">
        <v>7123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6279</v>
      </c>
      <c r="H1553" s="37" t="s">
        <v>2609</v>
      </c>
      <c r="I1553" s="37"/>
      <c r="J1553" s="37"/>
      <c r="K1553" s="37"/>
      <c r="L1553" s="37"/>
      <c r="M1553" s="38"/>
      <c r="N1553" s="37"/>
      <c r="O1553" s="38"/>
      <c r="P1553" s="39"/>
      <c r="Q1553" s="37" t="s">
        <v>6280</v>
      </c>
      <c r="R1553" s="37" t="s">
        <v>2516</v>
      </c>
      <c r="S1553" s="37" t="s">
        <v>173</v>
      </c>
      <c r="T1553" s="37">
        <v>1</v>
      </c>
      <c r="U1553" s="37" t="s">
        <v>2517</v>
      </c>
      <c r="V1553" s="37" t="s">
        <v>8985</v>
      </c>
      <c r="W1553" s="37" t="s">
        <v>8986</v>
      </c>
      <c r="X1553" s="60">
        <v>46003.552777777782</v>
      </c>
      <c r="Y1553" s="37"/>
      <c r="Z1553" s="37">
        <v>0.3</v>
      </c>
      <c r="AA1553" s="37"/>
      <c r="AB1553" s="37" t="s">
        <v>2521</v>
      </c>
      <c r="AC1553" s="40" t="s">
        <v>8130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2875</v>
      </c>
      <c r="H1554" s="37" t="s">
        <v>2609</v>
      </c>
      <c r="I1554" s="37"/>
      <c r="J1554" s="37"/>
      <c r="K1554" s="37"/>
      <c r="L1554" s="37"/>
      <c r="M1554" s="38"/>
      <c r="N1554" s="37"/>
      <c r="O1554" s="38"/>
      <c r="P1554" s="39"/>
      <c r="Q1554" s="37" t="s">
        <v>2878</v>
      </c>
      <c r="R1554" s="37" t="s">
        <v>2516</v>
      </c>
      <c r="S1554" s="37" t="s">
        <v>173</v>
      </c>
      <c r="T1554" s="37">
        <v>1</v>
      </c>
      <c r="U1554" s="37" t="s">
        <v>2517</v>
      </c>
      <c r="V1554" s="37" t="s">
        <v>8987</v>
      </c>
      <c r="W1554" s="37" t="s">
        <v>8988</v>
      </c>
      <c r="X1554" s="60">
        <v>46003.572916666657</v>
      </c>
      <c r="Y1554" s="37"/>
      <c r="Z1554" s="37">
        <v>0.3</v>
      </c>
      <c r="AA1554" s="37"/>
      <c r="AB1554" s="37" t="s">
        <v>2521</v>
      </c>
      <c r="AC1554" s="40" t="s">
        <v>8130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8989</v>
      </c>
      <c r="E1555" s="37" t="s">
        <v>2504</v>
      </c>
      <c r="F1555" s="37">
        <v>2014</v>
      </c>
      <c r="G1555" s="37" t="s">
        <v>6223</v>
      </c>
      <c r="H1555" s="37" t="s">
        <v>2507</v>
      </c>
      <c r="I1555" s="37" t="s">
        <v>8990</v>
      </c>
      <c r="J1555" s="37" t="s">
        <v>2567</v>
      </c>
      <c r="K1555" s="37" t="s">
        <v>2510</v>
      </c>
      <c r="L1555" s="37" t="s">
        <v>2846</v>
      </c>
      <c r="M1555" s="38" t="s">
        <v>2847</v>
      </c>
      <c r="N1555" s="37">
        <v>2401</v>
      </c>
      <c r="O1555" s="38" t="s">
        <v>2848</v>
      </c>
      <c r="P1555" s="39" t="s">
        <v>8991</v>
      </c>
      <c r="Q1555" s="37" t="s">
        <v>2759</v>
      </c>
      <c r="R1555" s="37" t="s">
        <v>2516</v>
      </c>
      <c r="S1555" s="37" t="s">
        <v>25</v>
      </c>
      <c r="T1555" s="37">
        <v>1</v>
      </c>
      <c r="U1555" s="37" t="s">
        <v>2517</v>
      </c>
      <c r="V1555" s="37" t="s">
        <v>8992</v>
      </c>
      <c r="W1555" s="37" t="s">
        <v>8993</v>
      </c>
      <c r="X1555" s="60">
        <v>46004.760416666657</v>
      </c>
      <c r="Y1555" s="37" t="s">
        <v>8994</v>
      </c>
      <c r="Z1555" s="37">
        <v>2.2999999999999998</v>
      </c>
      <c r="AA1555" s="37"/>
      <c r="AB1555" s="37" t="s">
        <v>2521</v>
      </c>
      <c r="AC1555" s="40" t="s">
        <v>8995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8996</v>
      </c>
      <c r="E1556" s="37" t="s">
        <v>2843</v>
      </c>
      <c r="F1556" s="37">
        <v>2014</v>
      </c>
      <c r="G1556" s="37" t="s">
        <v>6223</v>
      </c>
      <c r="H1556" s="37" t="s">
        <v>2507</v>
      </c>
      <c r="I1556" s="37" t="s">
        <v>8997</v>
      </c>
      <c r="J1556" s="37" t="s">
        <v>2930</v>
      </c>
      <c r="K1556" s="37" t="s">
        <v>2510</v>
      </c>
      <c r="L1556" s="37" t="s">
        <v>2846</v>
      </c>
      <c r="M1556" s="38" t="s">
        <v>2847</v>
      </c>
      <c r="N1556" s="37">
        <v>2401</v>
      </c>
      <c r="O1556" s="38" t="s">
        <v>2848</v>
      </c>
      <c r="P1556" s="39" t="s">
        <v>8998</v>
      </c>
      <c r="Q1556" s="37" t="s">
        <v>2759</v>
      </c>
      <c r="R1556" s="37" t="s">
        <v>2516</v>
      </c>
      <c r="S1556" s="37" t="s">
        <v>25</v>
      </c>
      <c r="T1556" s="37">
        <v>1</v>
      </c>
      <c r="U1556" s="37" t="s">
        <v>2517</v>
      </c>
      <c r="V1556" s="37" t="s">
        <v>8999</v>
      </c>
      <c r="W1556" s="37" t="s">
        <v>8993</v>
      </c>
      <c r="X1556" s="60">
        <v>46004.760416666657</v>
      </c>
      <c r="Y1556" s="37" t="s">
        <v>9000</v>
      </c>
      <c r="Z1556" s="37">
        <v>2.2999999999999998</v>
      </c>
      <c r="AA1556" s="37"/>
      <c r="AB1556" s="37" t="s">
        <v>2521</v>
      </c>
      <c r="AC1556" s="40" t="s">
        <v>8995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9001</v>
      </c>
      <c r="E1557" s="37" t="s">
        <v>2504</v>
      </c>
      <c r="F1557" s="37">
        <v>3962</v>
      </c>
      <c r="G1557" s="37" t="s">
        <v>4390</v>
      </c>
      <c r="H1557" s="37" t="s">
        <v>2609</v>
      </c>
      <c r="I1557" s="37" t="s">
        <v>9002</v>
      </c>
      <c r="J1557" s="37" t="s">
        <v>2643</v>
      </c>
      <c r="K1557" s="37" t="s">
        <v>2510</v>
      </c>
      <c r="L1557" s="37" t="s">
        <v>2537</v>
      </c>
      <c r="M1557" s="38" t="s">
        <v>2538</v>
      </c>
      <c r="N1557" s="37" t="s">
        <v>2539</v>
      </c>
      <c r="O1557" s="38" t="s">
        <v>2540</v>
      </c>
      <c r="P1557" s="39" t="s">
        <v>9003</v>
      </c>
      <c r="Q1557" s="37" t="s">
        <v>4391</v>
      </c>
      <c r="R1557" s="37" t="s">
        <v>2516</v>
      </c>
      <c r="S1557" s="37" t="s">
        <v>173</v>
      </c>
      <c r="T1557" s="37">
        <v>1</v>
      </c>
      <c r="U1557" s="37" t="s">
        <v>2517</v>
      </c>
      <c r="V1557" s="37" t="s">
        <v>9004</v>
      </c>
      <c r="W1557" s="37" t="s">
        <v>9005</v>
      </c>
      <c r="X1557" s="60">
        <v>46007.520833333343</v>
      </c>
      <c r="Y1557" s="37" t="s">
        <v>9006</v>
      </c>
      <c r="Z1557" s="37">
        <v>0.5</v>
      </c>
      <c r="AA1557" s="37"/>
      <c r="AB1557" s="37" t="s">
        <v>2521</v>
      </c>
      <c r="AC1557" s="40" t="s">
        <v>9007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9008</v>
      </c>
      <c r="E1558" s="37" t="s">
        <v>2504</v>
      </c>
      <c r="F1558" s="37">
        <v>3962</v>
      </c>
      <c r="G1558" s="37" t="s">
        <v>4390</v>
      </c>
      <c r="H1558" s="37" t="s">
        <v>2609</v>
      </c>
      <c r="I1558" s="37" t="s">
        <v>9009</v>
      </c>
      <c r="J1558" s="37" t="s">
        <v>2643</v>
      </c>
      <c r="K1558" s="37" t="s">
        <v>2510</v>
      </c>
      <c r="L1558" s="37" t="s">
        <v>2537</v>
      </c>
      <c r="M1558" s="38" t="s">
        <v>2538</v>
      </c>
      <c r="N1558" s="37" t="s">
        <v>2539</v>
      </c>
      <c r="O1558" s="38" t="s">
        <v>2540</v>
      </c>
      <c r="P1558" s="39" t="s">
        <v>9010</v>
      </c>
      <c r="Q1558" s="37" t="s">
        <v>4391</v>
      </c>
      <c r="R1558" s="37" t="s">
        <v>2516</v>
      </c>
      <c r="S1558" s="37" t="s">
        <v>173</v>
      </c>
      <c r="T1558" s="37">
        <v>1</v>
      </c>
      <c r="U1558" s="37" t="s">
        <v>2517</v>
      </c>
      <c r="V1558" s="37" t="s">
        <v>9011</v>
      </c>
      <c r="W1558" s="37" t="s">
        <v>9005</v>
      </c>
      <c r="X1558" s="60">
        <v>46007.520833333343</v>
      </c>
      <c r="Y1558" s="37" t="s">
        <v>9006</v>
      </c>
      <c r="Z1558" s="37">
        <v>0.5</v>
      </c>
      <c r="AA1558" s="37"/>
      <c r="AB1558" s="37" t="s">
        <v>2521</v>
      </c>
      <c r="AC1558" s="40" t="s">
        <v>9012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9013</v>
      </c>
      <c r="E1559" s="37" t="s">
        <v>2504</v>
      </c>
      <c r="F1559" s="37">
        <v>2154</v>
      </c>
      <c r="G1559" s="37" t="s">
        <v>9014</v>
      </c>
      <c r="H1559" s="37" t="s">
        <v>2609</v>
      </c>
      <c r="I1559" s="37" t="s">
        <v>9015</v>
      </c>
      <c r="J1559" s="37" t="s">
        <v>2661</v>
      </c>
      <c r="K1559" s="37" t="s">
        <v>2568</v>
      </c>
      <c r="L1559" s="37" t="s">
        <v>2511</v>
      </c>
      <c r="M1559" s="38" t="s">
        <v>2512</v>
      </c>
      <c r="N1559" s="37">
        <v>2301</v>
      </c>
      <c r="O1559" s="38" t="s">
        <v>3953</v>
      </c>
      <c r="P1559" s="39" t="s">
        <v>9016</v>
      </c>
      <c r="Q1559" s="37" t="s">
        <v>4397</v>
      </c>
      <c r="R1559" s="37" t="s">
        <v>2516</v>
      </c>
      <c r="S1559" s="37" t="s">
        <v>173</v>
      </c>
      <c r="T1559" s="37">
        <v>1</v>
      </c>
      <c r="U1559" s="37" t="s">
        <v>2517</v>
      </c>
      <c r="V1559" s="37" t="s">
        <v>9017</v>
      </c>
      <c r="W1559" s="37" t="s">
        <v>9018</v>
      </c>
      <c r="X1559" s="60">
        <v>46007.611111111109</v>
      </c>
      <c r="Y1559" s="37" t="s">
        <v>9019</v>
      </c>
      <c r="Z1559" s="37">
        <v>2</v>
      </c>
      <c r="AA1559" s="37"/>
      <c r="AB1559" s="37" t="s">
        <v>2521</v>
      </c>
      <c r="AC1559" s="40" t="s">
        <v>9020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9021</v>
      </c>
      <c r="H1560" s="37" t="s">
        <v>2641</v>
      </c>
      <c r="I1560" s="37"/>
      <c r="J1560" s="37"/>
      <c r="K1560" s="37"/>
      <c r="L1560" s="37"/>
      <c r="M1560" s="38"/>
      <c r="N1560" s="37"/>
      <c r="O1560" s="38"/>
      <c r="P1560" s="39"/>
      <c r="Q1560" s="37" t="s">
        <v>9022</v>
      </c>
      <c r="R1560" s="37" t="s">
        <v>2516</v>
      </c>
      <c r="S1560" s="37" t="s">
        <v>185</v>
      </c>
      <c r="T1560" s="37">
        <v>1</v>
      </c>
      <c r="U1560" s="37" t="s">
        <v>2517</v>
      </c>
      <c r="V1560" s="37" t="s">
        <v>9023</v>
      </c>
      <c r="W1560" s="37" t="s">
        <v>9024</v>
      </c>
      <c r="X1560" s="60">
        <v>46006.583333333343</v>
      </c>
      <c r="Y1560" s="37"/>
      <c r="Z1560" s="37">
        <v>4</v>
      </c>
      <c r="AA1560" s="37"/>
      <c r="AB1560" s="37" t="s">
        <v>2521</v>
      </c>
      <c r="AC1560" s="40" t="s">
        <v>4776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9021</v>
      </c>
      <c r="H1561" s="37" t="s">
        <v>2641</v>
      </c>
      <c r="I1561" s="37"/>
      <c r="J1561" s="37"/>
      <c r="K1561" s="37"/>
      <c r="L1561" s="37"/>
      <c r="M1561" s="38"/>
      <c r="N1561" s="37"/>
      <c r="O1561" s="38"/>
      <c r="P1561" s="39"/>
      <c r="Q1561" s="37" t="s">
        <v>9022</v>
      </c>
      <c r="R1561" s="37" t="s">
        <v>2516</v>
      </c>
      <c r="S1561" s="37" t="s">
        <v>25</v>
      </c>
      <c r="T1561" s="37">
        <v>1</v>
      </c>
      <c r="U1561" s="37" t="s">
        <v>2517</v>
      </c>
      <c r="V1561" s="37" t="s">
        <v>9025</v>
      </c>
      <c r="W1561" s="37" t="s">
        <v>9026</v>
      </c>
      <c r="X1561" s="60">
        <v>46006.583333333343</v>
      </c>
      <c r="Y1561" s="37"/>
      <c r="Z1561" s="37">
        <v>3</v>
      </c>
      <c r="AA1561" s="37"/>
      <c r="AB1561" s="37" t="s">
        <v>2521</v>
      </c>
      <c r="AC1561" s="40" t="s">
        <v>9027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3827</v>
      </c>
      <c r="H1562" s="37" t="s">
        <v>2507</v>
      </c>
      <c r="I1562" s="37"/>
      <c r="J1562" s="37"/>
      <c r="K1562" s="37"/>
      <c r="L1562" s="37"/>
      <c r="M1562" s="38"/>
      <c r="N1562" s="37"/>
      <c r="O1562" s="38"/>
      <c r="P1562" s="39"/>
      <c r="Q1562" s="37" t="s">
        <v>3828</v>
      </c>
      <c r="R1562" s="37" t="s">
        <v>2516</v>
      </c>
      <c r="S1562" s="37" t="s">
        <v>185</v>
      </c>
      <c r="T1562" s="37">
        <v>1</v>
      </c>
      <c r="U1562" s="37" t="s">
        <v>2517</v>
      </c>
      <c r="V1562" s="37" t="s">
        <v>9028</v>
      </c>
      <c r="W1562" s="37" t="s">
        <v>9029</v>
      </c>
      <c r="X1562" s="60">
        <v>46006.645833333343</v>
      </c>
      <c r="Y1562" s="37"/>
      <c r="Z1562" s="37">
        <v>0.5</v>
      </c>
      <c r="AA1562" s="37"/>
      <c r="AB1562" s="37" t="s">
        <v>2521</v>
      </c>
      <c r="AC1562" s="40" t="s">
        <v>2563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3827</v>
      </c>
      <c r="H1563" s="37" t="s">
        <v>2507</v>
      </c>
      <c r="I1563" s="37"/>
      <c r="J1563" s="37"/>
      <c r="K1563" s="37"/>
      <c r="L1563" s="37"/>
      <c r="M1563" s="38"/>
      <c r="N1563" s="37"/>
      <c r="O1563" s="38"/>
      <c r="P1563" s="39"/>
      <c r="Q1563" s="37" t="s">
        <v>3828</v>
      </c>
      <c r="R1563" s="37" t="s">
        <v>2516</v>
      </c>
      <c r="S1563" s="37" t="s">
        <v>25</v>
      </c>
      <c r="T1563" s="37">
        <v>1</v>
      </c>
      <c r="U1563" s="37" t="s">
        <v>2517</v>
      </c>
      <c r="V1563" s="37" t="s">
        <v>9030</v>
      </c>
      <c r="W1563" s="37" t="s">
        <v>9029</v>
      </c>
      <c r="X1563" s="60">
        <v>46006.645833333343</v>
      </c>
      <c r="Y1563" s="37"/>
      <c r="Z1563" s="37">
        <v>0.5</v>
      </c>
      <c r="AA1563" s="37"/>
      <c r="AB1563" s="37" t="s">
        <v>2521</v>
      </c>
      <c r="AC1563" s="40" t="s">
        <v>7891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4390</v>
      </c>
      <c r="H1564" s="37" t="s">
        <v>2609</v>
      </c>
      <c r="I1564" s="37"/>
      <c r="J1564" s="37"/>
      <c r="K1564" s="37"/>
      <c r="L1564" s="37"/>
      <c r="M1564" s="38"/>
      <c r="N1564" s="37"/>
      <c r="O1564" s="38"/>
      <c r="P1564" s="39"/>
      <c r="Q1564" s="37" t="s">
        <v>4391</v>
      </c>
      <c r="R1564" s="37" t="s">
        <v>2516</v>
      </c>
      <c r="S1564" s="37" t="s">
        <v>173</v>
      </c>
      <c r="T1564" s="37">
        <v>1</v>
      </c>
      <c r="U1564" s="37" t="s">
        <v>2517</v>
      </c>
      <c r="V1564" s="37" t="s">
        <v>9031</v>
      </c>
      <c r="W1564" s="37" t="s">
        <v>9032</v>
      </c>
      <c r="X1564" s="60">
        <v>46007.520833333343</v>
      </c>
      <c r="Y1564" s="37"/>
      <c r="Z1564" s="37">
        <v>0.3</v>
      </c>
      <c r="AA1564" s="37"/>
      <c r="AB1564" s="37" t="s">
        <v>2521</v>
      </c>
      <c r="AC1564" s="40" t="s">
        <v>8130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2995</v>
      </c>
      <c r="H1565" s="37" t="s">
        <v>2996</v>
      </c>
      <c r="I1565" s="37"/>
      <c r="J1565" s="37"/>
      <c r="K1565" s="37"/>
      <c r="L1565" s="37"/>
      <c r="M1565" s="38"/>
      <c r="N1565" s="37"/>
      <c r="O1565" s="38"/>
      <c r="P1565" s="39"/>
      <c r="Q1565" s="37" t="s">
        <v>2997</v>
      </c>
      <c r="R1565" s="37" t="s">
        <v>2516</v>
      </c>
      <c r="S1565" s="37" t="s">
        <v>185</v>
      </c>
      <c r="T1565" s="37">
        <v>1</v>
      </c>
      <c r="U1565" s="37" t="s">
        <v>2517</v>
      </c>
      <c r="V1565" s="37" t="s">
        <v>9033</v>
      </c>
      <c r="W1565" s="37" t="s">
        <v>9006</v>
      </c>
      <c r="X1565" s="60">
        <v>46007.555555555547</v>
      </c>
      <c r="Y1565" s="37"/>
      <c r="Z1565" s="37">
        <v>0.3</v>
      </c>
      <c r="AA1565" s="37"/>
      <c r="AB1565" s="37" t="s">
        <v>2521</v>
      </c>
      <c r="AC1565" s="40" t="s">
        <v>8130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9014</v>
      </c>
      <c r="H1566" s="37" t="s">
        <v>2609</v>
      </c>
      <c r="I1566" s="37"/>
      <c r="J1566" s="37"/>
      <c r="K1566" s="37"/>
      <c r="L1566" s="37"/>
      <c r="M1566" s="38"/>
      <c r="N1566" s="37"/>
      <c r="O1566" s="38"/>
      <c r="P1566" s="39"/>
      <c r="Q1566" s="37" t="s">
        <v>4397</v>
      </c>
      <c r="R1566" s="37" t="s">
        <v>2516</v>
      </c>
      <c r="S1566" s="37" t="s">
        <v>173</v>
      </c>
      <c r="T1566" s="37">
        <v>1</v>
      </c>
      <c r="U1566" s="37" t="s">
        <v>2517</v>
      </c>
      <c r="V1566" s="37" t="s">
        <v>9034</v>
      </c>
      <c r="W1566" s="37" t="s">
        <v>9018</v>
      </c>
      <c r="X1566" s="60">
        <v>46007.621527777781</v>
      </c>
      <c r="Y1566" s="37"/>
      <c r="Z1566" s="37">
        <v>2.2999999999999998</v>
      </c>
      <c r="AA1566" s="37"/>
      <c r="AB1566" s="37" t="s">
        <v>2521</v>
      </c>
      <c r="AC1566" s="40" t="s">
        <v>8130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4297</v>
      </c>
      <c r="H1567" s="37" t="s">
        <v>2659</v>
      </c>
      <c r="I1567" s="37"/>
      <c r="J1567" s="37"/>
      <c r="K1567" s="37"/>
      <c r="L1567" s="37"/>
      <c r="M1567" s="38"/>
      <c r="N1567" s="37"/>
      <c r="O1567" s="38"/>
      <c r="P1567" s="39"/>
      <c r="Q1567" s="37" t="s">
        <v>4298</v>
      </c>
      <c r="R1567" s="37" t="s">
        <v>2516</v>
      </c>
      <c r="S1567" s="37" t="s">
        <v>185</v>
      </c>
      <c r="T1567" s="37">
        <v>1</v>
      </c>
      <c r="U1567" s="37" t="s">
        <v>2517</v>
      </c>
      <c r="V1567" s="37" t="s">
        <v>9035</v>
      </c>
      <c r="W1567" s="37" t="s">
        <v>9036</v>
      </c>
      <c r="X1567" s="60">
        <v>46007.652777777781</v>
      </c>
      <c r="Y1567" s="37"/>
      <c r="Z1567" s="37">
        <v>0.3</v>
      </c>
      <c r="AA1567" s="37"/>
      <c r="AB1567" s="37" t="s">
        <v>2521</v>
      </c>
      <c r="AC1567" s="40" t="s">
        <v>8130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2833</v>
      </c>
      <c r="H1568" s="37" t="s">
        <v>2659</v>
      </c>
      <c r="I1568" s="37"/>
      <c r="J1568" s="37"/>
      <c r="K1568" s="37"/>
      <c r="L1568" s="37"/>
      <c r="M1568" s="38"/>
      <c r="N1568" s="37"/>
      <c r="O1568" s="38"/>
      <c r="P1568" s="39"/>
      <c r="Q1568" s="37" t="s">
        <v>2837</v>
      </c>
      <c r="R1568" s="37" t="s">
        <v>2516</v>
      </c>
      <c r="S1568" s="37" t="s">
        <v>185</v>
      </c>
      <c r="T1568" s="37">
        <v>1</v>
      </c>
      <c r="U1568" s="37" t="s">
        <v>2517</v>
      </c>
      <c r="V1568" s="37" t="s">
        <v>9037</v>
      </c>
      <c r="W1568" s="37" t="s">
        <v>9038</v>
      </c>
      <c r="X1568" s="60">
        <v>46007.666666666657</v>
      </c>
      <c r="Y1568" s="37"/>
      <c r="Z1568" s="37">
        <v>0.3</v>
      </c>
      <c r="AA1568" s="37"/>
      <c r="AB1568" s="37" t="s">
        <v>2521</v>
      </c>
      <c r="AC1568" s="40" t="s">
        <v>8130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9039</v>
      </c>
      <c r="E1569" s="37" t="s">
        <v>2504</v>
      </c>
      <c r="F1569" s="37">
        <v>2318</v>
      </c>
      <c r="G1569" s="37" t="s">
        <v>3464</v>
      </c>
      <c r="H1569" s="37" t="s">
        <v>1604</v>
      </c>
      <c r="I1569" s="37" t="s">
        <v>9040</v>
      </c>
      <c r="J1569" s="37" t="s">
        <v>2509</v>
      </c>
      <c r="K1569" s="37" t="s">
        <v>2510</v>
      </c>
      <c r="L1569" s="37" t="s">
        <v>4269</v>
      </c>
      <c r="M1569" s="38" t="s">
        <v>4270</v>
      </c>
      <c r="N1569" s="37">
        <v>2803</v>
      </c>
      <c r="O1569" s="38" t="s">
        <v>5801</v>
      </c>
      <c r="P1569" s="39" t="s">
        <v>9041</v>
      </c>
      <c r="Q1569" s="37" t="s">
        <v>3467</v>
      </c>
      <c r="R1569" s="37" t="s">
        <v>2516</v>
      </c>
      <c r="S1569" s="37" t="s">
        <v>25</v>
      </c>
      <c r="T1569" s="37">
        <v>1</v>
      </c>
      <c r="U1569" s="37" t="s">
        <v>2517</v>
      </c>
      <c r="V1569" s="37" t="s">
        <v>9042</v>
      </c>
      <c r="W1569" s="37" t="s">
        <v>9043</v>
      </c>
      <c r="X1569" s="60">
        <v>46008.493055555547</v>
      </c>
      <c r="Y1569" s="37" t="s">
        <v>9044</v>
      </c>
      <c r="Z1569" s="37">
        <v>0.5</v>
      </c>
      <c r="AA1569" s="37"/>
      <c r="AB1569" s="37" t="s">
        <v>2521</v>
      </c>
      <c r="AC1569" s="40" t="s">
        <v>9045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9046</v>
      </c>
      <c r="E1570" s="37" t="s">
        <v>2504</v>
      </c>
      <c r="F1570" s="37" t="s">
        <v>2579</v>
      </c>
      <c r="G1570" s="37" t="s">
        <v>2580</v>
      </c>
      <c r="H1570" s="37" t="s">
        <v>1604</v>
      </c>
      <c r="I1570" s="37" t="s">
        <v>9047</v>
      </c>
      <c r="J1570" s="37" t="s">
        <v>2536</v>
      </c>
      <c r="K1570" s="37" t="s">
        <v>2510</v>
      </c>
      <c r="L1570" s="37" t="s">
        <v>2511</v>
      </c>
      <c r="M1570" s="38" t="s">
        <v>2512</v>
      </c>
      <c r="N1570" s="37">
        <v>2305</v>
      </c>
      <c r="O1570" s="38" t="s">
        <v>3035</v>
      </c>
      <c r="P1570" s="39" t="s">
        <v>9048</v>
      </c>
      <c r="Q1570" s="37" t="s">
        <v>2584</v>
      </c>
      <c r="R1570" s="37" t="s">
        <v>2516</v>
      </c>
      <c r="S1570" s="37" t="s">
        <v>25</v>
      </c>
      <c r="T1570" s="37">
        <v>1</v>
      </c>
      <c r="U1570" s="37" t="s">
        <v>2517</v>
      </c>
      <c r="V1570" s="37" t="s">
        <v>9049</v>
      </c>
      <c r="W1570" s="37" t="s">
        <v>9050</v>
      </c>
      <c r="X1570" s="60">
        <v>46008.55972222222</v>
      </c>
      <c r="Y1570" s="37" t="s">
        <v>9051</v>
      </c>
      <c r="Z1570" s="37">
        <v>0.5</v>
      </c>
      <c r="AA1570" s="37"/>
      <c r="AB1570" s="37" t="s">
        <v>2521</v>
      </c>
      <c r="AC1570" s="40" t="s">
        <v>9052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9053</v>
      </c>
      <c r="E1571" s="37" t="s">
        <v>2504</v>
      </c>
      <c r="F1571" s="37" t="s">
        <v>3353</v>
      </c>
      <c r="G1571" s="37" t="s">
        <v>3354</v>
      </c>
      <c r="H1571" s="37" t="s">
        <v>2507</v>
      </c>
      <c r="I1571" s="37" t="s">
        <v>9054</v>
      </c>
      <c r="J1571" s="37" t="s">
        <v>2536</v>
      </c>
      <c r="K1571" s="37" t="s">
        <v>2510</v>
      </c>
      <c r="L1571" s="37" t="s">
        <v>2511</v>
      </c>
      <c r="M1571" s="38" t="s">
        <v>2512</v>
      </c>
      <c r="N1571" s="37">
        <v>2305</v>
      </c>
      <c r="O1571" s="38" t="s">
        <v>3035</v>
      </c>
      <c r="P1571" s="39" t="s">
        <v>9055</v>
      </c>
      <c r="Q1571" s="37" t="s">
        <v>3357</v>
      </c>
      <c r="R1571" s="37" t="s">
        <v>2516</v>
      </c>
      <c r="S1571" s="37" t="s">
        <v>25</v>
      </c>
      <c r="T1571" s="37">
        <v>1</v>
      </c>
      <c r="U1571" s="37" t="s">
        <v>2517</v>
      </c>
      <c r="V1571" s="37" t="s">
        <v>9056</v>
      </c>
      <c r="W1571" s="37" t="s">
        <v>9057</v>
      </c>
      <c r="X1571" s="60">
        <v>46009.458333333343</v>
      </c>
      <c r="Y1571" s="37" t="s">
        <v>9058</v>
      </c>
      <c r="Z1571" s="37">
        <v>1</v>
      </c>
      <c r="AA1571" s="37"/>
      <c r="AB1571" s="37" t="s">
        <v>2521</v>
      </c>
      <c r="AC1571" s="40" t="s">
        <v>9059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2774</v>
      </c>
      <c r="H1572" s="37" t="s">
        <v>2507</v>
      </c>
      <c r="I1572" s="37"/>
      <c r="J1572" s="37"/>
      <c r="K1572" s="37"/>
      <c r="L1572" s="37"/>
      <c r="M1572" s="38"/>
      <c r="N1572" s="37"/>
      <c r="O1572" s="38"/>
      <c r="P1572" s="39"/>
      <c r="Q1572" s="37" t="s">
        <v>2775</v>
      </c>
      <c r="R1572" s="37" t="s">
        <v>2516</v>
      </c>
      <c r="S1572" s="37" t="s">
        <v>185</v>
      </c>
      <c r="T1572" s="37">
        <v>1</v>
      </c>
      <c r="U1572" s="37" t="s">
        <v>2517</v>
      </c>
      <c r="V1572" s="37" t="s">
        <v>9060</v>
      </c>
      <c r="W1572" s="37" t="s">
        <v>9061</v>
      </c>
      <c r="X1572" s="60">
        <v>46008.645833333343</v>
      </c>
      <c r="Y1572" s="37"/>
      <c r="Z1572" s="37">
        <v>1</v>
      </c>
      <c r="AA1572" s="37"/>
      <c r="AB1572" s="37" t="s">
        <v>2521</v>
      </c>
      <c r="AC1572" s="40" t="s">
        <v>8751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2774</v>
      </c>
      <c r="H1573" s="37" t="s">
        <v>2507</v>
      </c>
      <c r="I1573" s="37"/>
      <c r="J1573" s="37"/>
      <c r="K1573" s="37"/>
      <c r="L1573" s="37"/>
      <c r="M1573" s="38"/>
      <c r="N1573" s="37"/>
      <c r="O1573" s="38"/>
      <c r="P1573" s="39"/>
      <c r="Q1573" s="37" t="s">
        <v>2775</v>
      </c>
      <c r="R1573" s="37" t="s">
        <v>2516</v>
      </c>
      <c r="S1573" s="37" t="s">
        <v>25</v>
      </c>
      <c r="T1573" s="37">
        <v>1</v>
      </c>
      <c r="U1573" s="37" t="s">
        <v>2517</v>
      </c>
      <c r="V1573" s="37" t="s">
        <v>9062</v>
      </c>
      <c r="W1573" s="37" t="s">
        <v>9061</v>
      </c>
      <c r="X1573" s="60">
        <v>46008.645833333343</v>
      </c>
      <c r="Y1573" s="37"/>
      <c r="Z1573" s="37">
        <v>1</v>
      </c>
      <c r="AA1573" s="37"/>
      <c r="AB1573" s="37" t="s">
        <v>2521</v>
      </c>
      <c r="AC1573" s="40" t="s">
        <v>7891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9063</v>
      </c>
      <c r="E1574" s="37" t="s">
        <v>2504</v>
      </c>
      <c r="F1574" s="37">
        <v>4057</v>
      </c>
      <c r="G1574" s="37" t="s">
        <v>3147</v>
      </c>
      <c r="H1574" s="37" t="s">
        <v>3148</v>
      </c>
      <c r="I1574" s="37" t="s">
        <v>9064</v>
      </c>
      <c r="J1574" s="37" t="s">
        <v>2835</v>
      </c>
      <c r="K1574" s="37" t="s">
        <v>2568</v>
      </c>
      <c r="L1574" s="37" t="s">
        <v>2537</v>
      </c>
      <c r="M1574" s="38" t="s">
        <v>2538</v>
      </c>
      <c r="N1574" s="37" t="s">
        <v>2539</v>
      </c>
      <c r="O1574" s="38" t="s">
        <v>2540</v>
      </c>
      <c r="P1574" s="39" t="s">
        <v>9065</v>
      </c>
      <c r="Q1574" s="37" t="s">
        <v>3154</v>
      </c>
      <c r="R1574" s="37" t="s">
        <v>2516</v>
      </c>
      <c r="S1574" s="37" t="s">
        <v>185</v>
      </c>
      <c r="T1574" s="37">
        <v>1</v>
      </c>
      <c r="U1574" s="37" t="s">
        <v>2517</v>
      </c>
      <c r="V1574" s="37" t="s">
        <v>9066</v>
      </c>
      <c r="W1574" s="37" t="s">
        <v>9067</v>
      </c>
      <c r="X1574" s="60">
        <v>46009.666666666657</v>
      </c>
      <c r="Y1574" s="37" t="s">
        <v>9068</v>
      </c>
      <c r="Z1574" s="37">
        <v>0.5</v>
      </c>
      <c r="AA1574" s="37"/>
      <c r="AB1574" s="37" t="s">
        <v>2521</v>
      </c>
      <c r="AC1574" s="40" t="s">
        <v>9069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9070</v>
      </c>
      <c r="E1575" s="37" t="s">
        <v>2504</v>
      </c>
      <c r="F1575" s="37">
        <v>4057</v>
      </c>
      <c r="G1575" s="37" t="s">
        <v>3147</v>
      </c>
      <c r="H1575" s="37" t="s">
        <v>3148</v>
      </c>
      <c r="I1575" s="37" t="s">
        <v>9071</v>
      </c>
      <c r="J1575" s="37" t="s">
        <v>2835</v>
      </c>
      <c r="K1575" s="37" t="s">
        <v>2568</v>
      </c>
      <c r="L1575" s="37" t="s">
        <v>2537</v>
      </c>
      <c r="M1575" s="38" t="s">
        <v>2538</v>
      </c>
      <c r="N1575" s="37" t="s">
        <v>2539</v>
      </c>
      <c r="O1575" s="38" t="s">
        <v>2540</v>
      </c>
      <c r="P1575" s="39" t="s">
        <v>9072</v>
      </c>
      <c r="Q1575" s="37" t="s">
        <v>3154</v>
      </c>
      <c r="R1575" s="37" t="s">
        <v>2516</v>
      </c>
      <c r="S1575" s="37" t="s">
        <v>185</v>
      </c>
      <c r="T1575" s="37">
        <v>1</v>
      </c>
      <c r="U1575" s="37" t="s">
        <v>2517</v>
      </c>
      <c r="V1575" s="37" t="s">
        <v>9073</v>
      </c>
      <c r="W1575" s="37" t="s">
        <v>9074</v>
      </c>
      <c r="X1575" s="60">
        <v>46009.6875</v>
      </c>
      <c r="Y1575" s="37" t="s">
        <v>9068</v>
      </c>
      <c r="Z1575" s="37">
        <v>0.5</v>
      </c>
      <c r="AA1575" s="37"/>
      <c r="AB1575" s="37" t="s">
        <v>2521</v>
      </c>
      <c r="AC1575" s="40" t="s">
        <v>9069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2548</v>
      </c>
      <c r="H1576" s="37" t="s">
        <v>2507</v>
      </c>
      <c r="I1576" s="37"/>
      <c r="J1576" s="37"/>
      <c r="K1576" s="37"/>
      <c r="L1576" s="37"/>
      <c r="M1576" s="38"/>
      <c r="N1576" s="37"/>
      <c r="O1576" s="38"/>
      <c r="P1576" s="39"/>
      <c r="Q1576" s="37" t="s">
        <v>2552</v>
      </c>
      <c r="R1576" s="37" t="s">
        <v>2516</v>
      </c>
      <c r="S1576" s="37" t="s">
        <v>25</v>
      </c>
      <c r="T1576" s="37">
        <v>1</v>
      </c>
      <c r="U1576" s="37" t="s">
        <v>2517</v>
      </c>
      <c r="V1576" s="37" t="s">
        <v>9075</v>
      </c>
      <c r="W1576" s="37" t="s">
        <v>9076</v>
      </c>
      <c r="X1576" s="60">
        <v>46010.521527777782</v>
      </c>
      <c r="Y1576" s="37"/>
      <c r="Z1576" s="37">
        <v>0.3</v>
      </c>
      <c r="AA1576" s="37"/>
      <c r="AB1576" s="37" t="s">
        <v>2521</v>
      </c>
      <c r="AC1576" s="40" t="s">
        <v>8136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2565</v>
      </c>
      <c r="H1577" s="37" t="s">
        <v>2507</v>
      </c>
      <c r="I1577" s="37"/>
      <c r="J1577" s="37"/>
      <c r="K1577" s="37"/>
      <c r="L1577" s="37"/>
      <c r="M1577" s="38"/>
      <c r="N1577" s="37"/>
      <c r="O1577" s="38"/>
      <c r="P1577" s="39"/>
      <c r="Q1577" s="37" t="s">
        <v>2573</v>
      </c>
      <c r="R1577" s="37" t="s">
        <v>2516</v>
      </c>
      <c r="S1577" s="37" t="s">
        <v>25</v>
      </c>
      <c r="T1577" s="37">
        <v>1</v>
      </c>
      <c r="U1577" s="37" t="s">
        <v>2517</v>
      </c>
      <c r="V1577" s="37" t="s">
        <v>9077</v>
      </c>
      <c r="W1577" s="37" t="s">
        <v>9078</v>
      </c>
      <c r="X1577" s="60">
        <v>46010.536111111112</v>
      </c>
      <c r="Y1577" s="37"/>
      <c r="Z1577" s="37">
        <v>0.3</v>
      </c>
      <c r="AA1577" s="37"/>
      <c r="AB1577" s="37" t="s">
        <v>2521</v>
      </c>
      <c r="AC1577" s="40" t="s">
        <v>8136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3096</v>
      </c>
      <c r="H1578" s="37" t="s">
        <v>2507</v>
      </c>
      <c r="I1578" s="37"/>
      <c r="J1578" s="37"/>
      <c r="K1578" s="37"/>
      <c r="L1578" s="37"/>
      <c r="M1578" s="38"/>
      <c r="N1578" s="37"/>
      <c r="O1578" s="38"/>
      <c r="P1578" s="39"/>
      <c r="Q1578" s="37" t="s">
        <v>3097</v>
      </c>
      <c r="R1578" s="37" t="s">
        <v>2516</v>
      </c>
      <c r="S1578" s="37" t="s">
        <v>25</v>
      </c>
      <c r="T1578" s="37">
        <v>1</v>
      </c>
      <c r="U1578" s="37" t="s">
        <v>2517</v>
      </c>
      <c r="V1578" s="37" t="s">
        <v>9079</v>
      </c>
      <c r="W1578" s="37" t="s">
        <v>9077</v>
      </c>
      <c r="X1578" s="60">
        <v>46010.540277777778</v>
      </c>
      <c r="Y1578" s="37"/>
      <c r="Z1578" s="37">
        <v>0.1</v>
      </c>
      <c r="AA1578" s="37"/>
      <c r="AB1578" s="37" t="s">
        <v>2521</v>
      </c>
      <c r="AC1578" s="40" t="s">
        <v>8136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2865</v>
      </c>
      <c r="G1579" s="37" t="s">
        <v>2866</v>
      </c>
      <c r="H1579" s="37" t="s">
        <v>2507</v>
      </c>
      <c r="I1579" s="37"/>
      <c r="J1579" s="37"/>
      <c r="K1579" s="37"/>
      <c r="L1579" s="37"/>
      <c r="M1579" s="38"/>
      <c r="N1579" s="37"/>
      <c r="O1579" s="38"/>
      <c r="P1579" s="39"/>
      <c r="Q1579" s="37" t="s">
        <v>2867</v>
      </c>
      <c r="R1579" s="37" t="s">
        <v>2516</v>
      </c>
      <c r="S1579" s="37" t="s">
        <v>25</v>
      </c>
      <c r="T1579" s="37">
        <v>1</v>
      </c>
      <c r="U1579" s="37" t="s">
        <v>2517</v>
      </c>
      <c r="V1579" s="37" t="s">
        <v>9080</v>
      </c>
      <c r="W1579" s="37" t="s">
        <v>9081</v>
      </c>
      <c r="X1579" s="60">
        <v>46010.543749999997</v>
      </c>
      <c r="Y1579" s="37"/>
      <c r="Z1579" s="37">
        <v>0.1</v>
      </c>
      <c r="AA1579" s="37"/>
      <c r="AB1579" s="37" t="s">
        <v>2521</v>
      </c>
      <c r="AC1579" s="40" t="s">
        <v>8136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6874</v>
      </c>
      <c r="H1580" s="37" t="s">
        <v>2507</v>
      </c>
      <c r="I1580" s="37"/>
      <c r="J1580" s="37"/>
      <c r="K1580" s="37"/>
      <c r="L1580" s="37"/>
      <c r="M1580" s="38"/>
      <c r="N1580" s="37"/>
      <c r="O1580" s="38"/>
      <c r="P1580" s="39"/>
      <c r="Q1580" s="37" t="s">
        <v>2636</v>
      </c>
      <c r="R1580" s="37" t="s">
        <v>2516</v>
      </c>
      <c r="S1580" s="37" t="s">
        <v>25</v>
      </c>
      <c r="T1580" s="37">
        <v>1</v>
      </c>
      <c r="U1580" s="37" t="s">
        <v>2517</v>
      </c>
      <c r="V1580" s="37" t="s">
        <v>9082</v>
      </c>
      <c r="W1580" s="37" t="s">
        <v>9083</v>
      </c>
      <c r="X1580" s="60">
        <v>46010.547222222223</v>
      </c>
      <c r="Y1580" s="37"/>
      <c r="Z1580" s="37">
        <v>0.1</v>
      </c>
      <c r="AA1580" s="37"/>
      <c r="AB1580" s="37" t="s">
        <v>2521</v>
      </c>
      <c r="AC1580" s="40" t="s">
        <v>8136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2870</v>
      </c>
      <c r="H1581" s="37" t="s">
        <v>2507</v>
      </c>
      <c r="I1581" s="37"/>
      <c r="J1581" s="37"/>
      <c r="K1581" s="37"/>
      <c r="L1581" s="37"/>
      <c r="M1581" s="38"/>
      <c r="N1581" s="37"/>
      <c r="O1581" s="38"/>
      <c r="P1581" s="39"/>
      <c r="Q1581" s="37" t="s">
        <v>2871</v>
      </c>
      <c r="R1581" s="37" t="s">
        <v>2516</v>
      </c>
      <c r="S1581" s="37" t="s">
        <v>25</v>
      </c>
      <c r="T1581" s="37">
        <v>1</v>
      </c>
      <c r="U1581" s="37" t="s">
        <v>2517</v>
      </c>
      <c r="V1581" s="37" t="s">
        <v>9084</v>
      </c>
      <c r="W1581" s="37" t="s">
        <v>9085</v>
      </c>
      <c r="X1581" s="60">
        <v>46010.549305555563</v>
      </c>
      <c r="Y1581" s="37"/>
      <c r="Z1581" s="37">
        <v>0.1</v>
      </c>
      <c r="AA1581" s="37"/>
      <c r="AB1581" s="37" t="s">
        <v>2521</v>
      </c>
      <c r="AC1581" s="40" t="s">
        <v>8136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6223</v>
      </c>
      <c r="H1582" s="37" t="s">
        <v>2507</v>
      </c>
      <c r="I1582" s="37"/>
      <c r="J1582" s="37"/>
      <c r="K1582" s="37"/>
      <c r="L1582" s="37"/>
      <c r="M1582" s="38"/>
      <c r="N1582" s="37"/>
      <c r="O1582" s="38"/>
      <c r="P1582" s="39"/>
      <c r="Q1582" s="37" t="s">
        <v>2759</v>
      </c>
      <c r="R1582" s="37" t="s">
        <v>2516</v>
      </c>
      <c r="S1582" s="37" t="s">
        <v>25</v>
      </c>
      <c r="T1582" s="37">
        <v>1</v>
      </c>
      <c r="U1582" s="37" t="s">
        <v>2517</v>
      </c>
      <c r="V1582" s="37" t="s">
        <v>9086</v>
      </c>
      <c r="W1582" s="37" t="s">
        <v>9087</v>
      </c>
      <c r="X1582" s="60">
        <v>46010.558333333327</v>
      </c>
      <c r="Y1582" s="37"/>
      <c r="Z1582" s="37">
        <v>0.2</v>
      </c>
      <c r="AA1582" s="37"/>
      <c r="AB1582" s="37" t="s">
        <v>2521</v>
      </c>
      <c r="AC1582" s="40" t="s">
        <v>8136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6508</v>
      </c>
      <c r="H1583" s="37" t="s">
        <v>2507</v>
      </c>
      <c r="I1583" s="37"/>
      <c r="J1583" s="37"/>
      <c r="K1583" s="37"/>
      <c r="L1583" s="37"/>
      <c r="M1583" s="38"/>
      <c r="N1583" s="37"/>
      <c r="O1583" s="38"/>
      <c r="P1583" s="39"/>
      <c r="Q1583" s="37" t="s">
        <v>3089</v>
      </c>
      <c r="R1583" s="37" t="s">
        <v>2516</v>
      </c>
      <c r="S1583" s="37" t="s">
        <v>25</v>
      </c>
      <c r="T1583" s="37">
        <v>1</v>
      </c>
      <c r="U1583" s="37" t="s">
        <v>2517</v>
      </c>
      <c r="V1583" s="37" t="s">
        <v>9088</v>
      </c>
      <c r="W1583" s="37" t="s">
        <v>9089</v>
      </c>
      <c r="X1583" s="60">
        <v>46010.56527777778</v>
      </c>
      <c r="Y1583" s="37"/>
      <c r="Z1583" s="37">
        <v>0.1</v>
      </c>
      <c r="AA1583" s="37"/>
      <c r="AB1583" s="37" t="s">
        <v>2521</v>
      </c>
      <c r="AC1583" s="40" t="s">
        <v>8136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2754</v>
      </c>
      <c r="H1584" s="37" t="s">
        <v>2507</v>
      </c>
      <c r="I1584" s="37"/>
      <c r="J1584" s="37"/>
      <c r="K1584" s="37"/>
      <c r="L1584" s="37"/>
      <c r="M1584" s="38"/>
      <c r="N1584" s="37"/>
      <c r="O1584" s="38"/>
      <c r="P1584" s="39"/>
      <c r="Q1584" s="37" t="s">
        <v>2755</v>
      </c>
      <c r="R1584" s="37" t="s">
        <v>2516</v>
      </c>
      <c r="S1584" s="37" t="s">
        <v>25</v>
      </c>
      <c r="T1584" s="37">
        <v>1</v>
      </c>
      <c r="U1584" s="37" t="s">
        <v>2517</v>
      </c>
      <c r="V1584" s="37" t="s">
        <v>9090</v>
      </c>
      <c r="W1584" s="37" t="s">
        <v>9091</v>
      </c>
      <c r="X1584" s="60">
        <v>46010.593055555553</v>
      </c>
      <c r="Y1584" s="37"/>
      <c r="Z1584" s="37">
        <v>0.3</v>
      </c>
      <c r="AA1584" s="37"/>
      <c r="AB1584" s="37" t="s">
        <v>2521</v>
      </c>
      <c r="AC1584" s="40" t="s">
        <v>8136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2593</v>
      </c>
      <c r="H1585" s="37" t="s">
        <v>2507</v>
      </c>
      <c r="I1585" s="37"/>
      <c r="J1585" s="37"/>
      <c r="K1585" s="37"/>
      <c r="L1585" s="37"/>
      <c r="M1585" s="38"/>
      <c r="N1585" s="37"/>
      <c r="O1585" s="38"/>
      <c r="P1585" s="39"/>
      <c r="Q1585" s="37" t="s">
        <v>2600</v>
      </c>
      <c r="R1585" s="37" t="s">
        <v>2516</v>
      </c>
      <c r="S1585" s="37" t="s">
        <v>25</v>
      </c>
      <c r="T1585" s="37">
        <v>1</v>
      </c>
      <c r="U1585" s="37" t="s">
        <v>2517</v>
      </c>
      <c r="V1585" s="37" t="s">
        <v>9092</v>
      </c>
      <c r="W1585" s="37" t="s">
        <v>9093</v>
      </c>
      <c r="X1585" s="60">
        <v>46010.607638888891</v>
      </c>
      <c r="Y1585" s="37"/>
      <c r="Z1585" s="37">
        <v>0.2</v>
      </c>
      <c r="AA1585" s="37"/>
      <c r="AB1585" s="37" t="s">
        <v>2521</v>
      </c>
      <c r="AC1585" s="40" t="s">
        <v>8136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3697</v>
      </c>
      <c r="G1586" s="37" t="s">
        <v>3698</v>
      </c>
      <c r="H1586" s="37" t="s">
        <v>2507</v>
      </c>
      <c r="I1586" s="37"/>
      <c r="J1586" s="37"/>
      <c r="K1586" s="37"/>
      <c r="L1586" s="37"/>
      <c r="M1586" s="38"/>
      <c r="N1586" s="37"/>
      <c r="O1586" s="38"/>
      <c r="P1586" s="39"/>
      <c r="Q1586" s="37" t="s">
        <v>3699</v>
      </c>
      <c r="R1586" s="37" t="s">
        <v>2516</v>
      </c>
      <c r="S1586" s="37" t="s">
        <v>25</v>
      </c>
      <c r="T1586" s="37">
        <v>1</v>
      </c>
      <c r="U1586" s="37" t="s">
        <v>2517</v>
      </c>
      <c r="V1586" s="37" t="s">
        <v>9094</v>
      </c>
      <c r="W1586" s="37" t="s">
        <v>9095</v>
      </c>
      <c r="X1586" s="60">
        <v>46010.61041666667</v>
      </c>
      <c r="Y1586" s="37"/>
      <c r="Z1586" s="37">
        <v>0.1</v>
      </c>
      <c r="AA1586" s="37"/>
      <c r="AB1586" s="37" t="s">
        <v>2521</v>
      </c>
      <c r="AC1586" s="40" t="s">
        <v>8136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9096</v>
      </c>
      <c r="E1587" s="37" t="s">
        <v>2504</v>
      </c>
      <c r="F1587" s="37">
        <v>3147</v>
      </c>
      <c r="G1587" s="37" t="s">
        <v>9097</v>
      </c>
      <c r="H1587" s="37" t="s">
        <v>2609</v>
      </c>
      <c r="I1587" s="37" t="s">
        <v>9098</v>
      </c>
      <c r="J1587" s="37" t="s">
        <v>2930</v>
      </c>
      <c r="K1587" s="37" t="s">
        <v>2568</v>
      </c>
      <c r="L1587" s="37" t="s">
        <v>2662</v>
      </c>
      <c r="M1587" s="38" t="s">
        <v>2663</v>
      </c>
      <c r="N1587" s="37">
        <v>2703</v>
      </c>
      <c r="O1587" s="38" t="s">
        <v>9099</v>
      </c>
      <c r="P1587" s="39" t="s">
        <v>9100</v>
      </c>
      <c r="Q1587" s="37" t="s">
        <v>3242</v>
      </c>
      <c r="R1587" s="37" t="s">
        <v>2516</v>
      </c>
      <c r="S1587" s="37" t="s">
        <v>173</v>
      </c>
      <c r="T1587" s="37">
        <v>1</v>
      </c>
      <c r="U1587" s="37" t="s">
        <v>2517</v>
      </c>
      <c r="V1587" s="37" t="s">
        <v>9101</v>
      </c>
      <c r="W1587" s="37" t="s">
        <v>9102</v>
      </c>
      <c r="X1587" s="60">
        <v>46014.518055555563</v>
      </c>
      <c r="Y1587" s="37" t="s">
        <v>9103</v>
      </c>
      <c r="Z1587" s="37">
        <v>0.1</v>
      </c>
      <c r="AA1587" s="37"/>
      <c r="AB1587" s="37" t="s">
        <v>2521</v>
      </c>
      <c r="AC1587" s="40" t="s">
        <v>9104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9105</v>
      </c>
      <c r="E1588" s="37" t="s">
        <v>2504</v>
      </c>
      <c r="F1588" s="37" t="s">
        <v>2778</v>
      </c>
      <c r="G1588" s="37" t="s">
        <v>2779</v>
      </c>
      <c r="H1588" s="37" t="s">
        <v>2507</v>
      </c>
      <c r="I1588" s="37" t="s">
        <v>9106</v>
      </c>
      <c r="J1588" s="37" t="s">
        <v>2643</v>
      </c>
      <c r="K1588" s="37" t="s">
        <v>2510</v>
      </c>
      <c r="L1588" s="37" t="s">
        <v>2511</v>
      </c>
      <c r="M1588" s="38" t="s">
        <v>2512</v>
      </c>
      <c r="N1588" s="37">
        <v>2306</v>
      </c>
      <c r="O1588" s="38" t="s">
        <v>2893</v>
      </c>
      <c r="P1588" s="39" t="s">
        <v>9107</v>
      </c>
      <c r="Q1588" s="37" t="s">
        <v>2780</v>
      </c>
      <c r="R1588" s="37" t="s">
        <v>2516</v>
      </c>
      <c r="S1588" s="37" t="s">
        <v>25</v>
      </c>
      <c r="T1588" s="37">
        <v>1</v>
      </c>
      <c r="U1588" s="37" t="s">
        <v>2517</v>
      </c>
      <c r="V1588" s="37" t="s">
        <v>9108</v>
      </c>
      <c r="W1588" s="37" t="s">
        <v>9109</v>
      </c>
      <c r="X1588" s="60">
        <v>46013.510416666657</v>
      </c>
      <c r="Y1588" s="37" t="s">
        <v>9103</v>
      </c>
      <c r="Z1588" s="37">
        <v>0.5</v>
      </c>
      <c r="AA1588" s="37"/>
      <c r="AB1588" s="37" t="s">
        <v>2521</v>
      </c>
      <c r="AC1588" s="40" t="s">
        <v>9110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4379</v>
      </c>
      <c r="H1589" s="37" t="s">
        <v>2659</v>
      </c>
      <c r="I1589" s="37"/>
      <c r="J1589" s="37"/>
      <c r="K1589" s="37"/>
      <c r="L1589" s="37"/>
      <c r="M1589" s="38"/>
      <c r="N1589" s="37"/>
      <c r="O1589" s="38"/>
      <c r="P1589" s="39"/>
      <c r="Q1589" s="37" t="s">
        <v>4380</v>
      </c>
      <c r="R1589" s="37" t="s">
        <v>2516</v>
      </c>
      <c r="S1589" s="37" t="s">
        <v>185</v>
      </c>
      <c r="T1589" s="37">
        <v>1</v>
      </c>
      <c r="U1589" s="37" t="s">
        <v>2517</v>
      </c>
      <c r="V1589" s="37" t="s">
        <v>9111</v>
      </c>
      <c r="W1589" s="37" t="s">
        <v>9112</v>
      </c>
      <c r="X1589" s="60">
        <v>46013.5625</v>
      </c>
      <c r="Y1589" s="37"/>
      <c r="Z1589" s="37">
        <v>0.5</v>
      </c>
      <c r="AA1589" s="37"/>
      <c r="AB1589" s="37" t="s">
        <v>2521</v>
      </c>
      <c r="AC1589" s="40" t="s">
        <v>8130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3481</v>
      </c>
      <c r="H1590" s="37" t="s">
        <v>2659</v>
      </c>
      <c r="I1590" s="37"/>
      <c r="J1590" s="37"/>
      <c r="K1590" s="37"/>
      <c r="L1590" s="37"/>
      <c r="M1590" s="38"/>
      <c r="N1590" s="37"/>
      <c r="O1590" s="38"/>
      <c r="P1590" s="39"/>
      <c r="Q1590" s="37" t="s">
        <v>3486</v>
      </c>
      <c r="R1590" s="37" t="s">
        <v>2516</v>
      </c>
      <c r="S1590" s="37" t="s">
        <v>185</v>
      </c>
      <c r="T1590" s="37">
        <v>1</v>
      </c>
      <c r="U1590" s="37" t="s">
        <v>2517</v>
      </c>
      <c r="V1590" s="37" t="s">
        <v>9113</v>
      </c>
      <c r="W1590" s="37" t="s">
        <v>9114</v>
      </c>
      <c r="X1590" s="60">
        <v>46013.583333333343</v>
      </c>
      <c r="Y1590" s="37"/>
      <c r="Z1590" s="37">
        <v>0.5</v>
      </c>
      <c r="AA1590" s="37"/>
      <c r="AB1590" s="37" t="s">
        <v>2521</v>
      </c>
      <c r="AC1590" s="40" t="s">
        <v>8130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3748</v>
      </c>
      <c r="H1591" s="37" t="s">
        <v>2659</v>
      </c>
      <c r="I1591" s="37"/>
      <c r="J1591" s="37"/>
      <c r="K1591" s="37"/>
      <c r="L1591" s="37"/>
      <c r="M1591" s="38"/>
      <c r="N1591" s="37"/>
      <c r="O1591" s="38"/>
      <c r="P1591" s="39"/>
      <c r="Q1591" s="37" t="s">
        <v>3751</v>
      </c>
      <c r="R1591" s="37" t="s">
        <v>2516</v>
      </c>
      <c r="S1591" s="37" t="s">
        <v>185</v>
      </c>
      <c r="T1591" s="37">
        <v>1</v>
      </c>
      <c r="U1591" s="37" t="s">
        <v>2517</v>
      </c>
      <c r="V1591" s="37" t="s">
        <v>9115</v>
      </c>
      <c r="W1591" s="37" t="s">
        <v>9116</v>
      </c>
      <c r="X1591" s="60">
        <v>46013.604166666657</v>
      </c>
      <c r="Y1591" s="37"/>
      <c r="Z1591" s="37">
        <v>0.5</v>
      </c>
      <c r="AA1591" s="37"/>
      <c r="AB1591" s="37" t="s">
        <v>2521</v>
      </c>
      <c r="AC1591" s="40" t="s">
        <v>8130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3771</v>
      </c>
      <c r="H1592" s="37" t="s">
        <v>2659</v>
      </c>
      <c r="I1592" s="37"/>
      <c r="J1592" s="37"/>
      <c r="K1592" s="37"/>
      <c r="L1592" s="37"/>
      <c r="M1592" s="38"/>
      <c r="N1592" s="37"/>
      <c r="O1592" s="38"/>
      <c r="P1592" s="39"/>
      <c r="Q1592" s="37" t="s">
        <v>3772</v>
      </c>
      <c r="R1592" s="37" t="s">
        <v>2516</v>
      </c>
      <c r="S1592" s="37" t="s">
        <v>185</v>
      </c>
      <c r="T1592" s="37">
        <v>1</v>
      </c>
      <c r="U1592" s="37" t="s">
        <v>2517</v>
      </c>
      <c r="V1592" s="37" t="s">
        <v>9117</v>
      </c>
      <c r="W1592" s="37" t="s">
        <v>9118</v>
      </c>
      <c r="X1592" s="60">
        <v>46013.625</v>
      </c>
      <c r="Y1592" s="37"/>
      <c r="Z1592" s="37">
        <v>0.5</v>
      </c>
      <c r="AA1592" s="37"/>
      <c r="AB1592" s="37" t="s">
        <v>2521</v>
      </c>
      <c r="AC1592" s="40" t="s">
        <v>8130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3775</v>
      </c>
      <c r="H1593" s="37" t="s">
        <v>2659</v>
      </c>
      <c r="I1593" s="37"/>
      <c r="J1593" s="37"/>
      <c r="K1593" s="37"/>
      <c r="L1593" s="37"/>
      <c r="M1593" s="38"/>
      <c r="N1593" s="37"/>
      <c r="O1593" s="38"/>
      <c r="P1593" s="39"/>
      <c r="Q1593" s="37" t="s">
        <v>3776</v>
      </c>
      <c r="R1593" s="37" t="s">
        <v>2516</v>
      </c>
      <c r="S1593" s="37" t="s">
        <v>185</v>
      </c>
      <c r="T1593" s="37">
        <v>1</v>
      </c>
      <c r="U1593" s="37" t="s">
        <v>2517</v>
      </c>
      <c r="V1593" s="37" t="s">
        <v>9119</v>
      </c>
      <c r="W1593" s="37" t="s">
        <v>9120</v>
      </c>
      <c r="X1593" s="60">
        <v>46013.645833333343</v>
      </c>
      <c r="Y1593" s="37"/>
      <c r="Z1593" s="37">
        <v>0.5</v>
      </c>
      <c r="AA1593" s="37"/>
      <c r="AB1593" s="37" t="s">
        <v>2521</v>
      </c>
      <c r="AC1593" s="40" t="s">
        <v>8130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9121</v>
      </c>
      <c r="E1594" s="37" t="s">
        <v>2504</v>
      </c>
      <c r="F1594" s="37">
        <v>4312</v>
      </c>
      <c r="G1594" s="37" t="s">
        <v>2917</v>
      </c>
      <c r="H1594" s="37" t="s">
        <v>2507</v>
      </c>
      <c r="I1594" s="37" t="s">
        <v>9122</v>
      </c>
      <c r="J1594" s="37" t="s">
        <v>2661</v>
      </c>
      <c r="K1594" s="37" t="s">
        <v>2717</v>
      </c>
      <c r="L1594" s="37" t="s">
        <v>2537</v>
      </c>
      <c r="M1594" s="38" t="s">
        <v>2538</v>
      </c>
      <c r="N1594" s="37" t="s">
        <v>2539</v>
      </c>
      <c r="O1594" s="38" t="s">
        <v>2540</v>
      </c>
      <c r="P1594" s="39" t="s">
        <v>9123</v>
      </c>
      <c r="Q1594" s="37" t="s">
        <v>2918</v>
      </c>
      <c r="R1594" s="37" t="s">
        <v>2516</v>
      </c>
      <c r="S1594" s="37" t="s">
        <v>25</v>
      </c>
      <c r="T1594" s="37">
        <v>1</v>
      </c>
      <c r="U1594" s="37" t="s">
        <v>2517</v>
      </c>
      <c r="V1594" s="37" t="s">
        <v>9124</v>
      </c>
      <c r="W1594" s="37" t="s">
        <v>9125</v>
      </c>
      <c r="X1594" s="60">
        <v>46015.48541666667</v>
      </c>
      <c r="Y1594" s="37" t="s">
        <v>9126</v>
      </c>
      <c r="Z1594" s="37">
        <v>0.7</v>
      </c>
      <c r="AA1594" s="37"/>
      <c r="AB1594" s="37" t="s">
        <v>2521</v>
      </c>
      <c r="AC1594" s="40" t="s">
        <v>9127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9128</v>
      </c>
      <c r="E1595" s="37" t="s">
        <v>2504</v>
      </c>
      <c r="F1595" s="37">
        <v>4312</v>
      </c>
      <c r="G1595" s="37" t="s">
        <v>2917</v>
      </c>
      <c r="H1595" s="37" t="s">
        <v>2507</v>
      </c>
      <c r="I1595" s="37" t="s">
        <v>9129</v>
      </c>
      <c r="J1595" s="37" t="s">
        <v>2509</v>
      </c>
      <c r="K1595" s="37" t="s">
        <v>2568</v>
      </c>
      <c r="L1595" s="37" t="s">
        <v>2537</v>
      </c>
      <c r="M1595" s="38" t="s">
        <v>2538</v>
      </c>
      <c r="N1595" s="37" t="s">
        <v>2539</v>
      </c>
      <c r="O1595" s="38" t="s">
        <v>2540</v>
      </c>
      <c r="P1595" s="39" t="s">
        <v>9130</v>
      </c>
      <c r="Q1595" s="37" t="s">
        <v>2918</v>
      </c>
      <c r="R1595" s="37" t="s">
        <v>2516</v>
      </c>
      <c r="S1595" s="37" t="s">
        <v>25</v>
      </c>
      <c r="T1595" s="37">
        <v>1</v>
      </c>
      <c r="U1595" s="37" t="s">
        <v>2517</v>
      </c>
      <c r="V1595" s="37" t="s">
        <v>9131</v>
      </c>
      <c r="W1595" s="37" t="s">
        <v>9125</v>
      </c>
      <c r="X1595" s="60">
        <v>46015.484722222223</v>
      </c>
      <c r="Y1595" s="37" t="s">
        <v>9132</v>
      </c>
      <c r="Z1595" s="37">
        <v>0.6</v>
      </c>
      <c r="AA1595" s="37"/>
      <c r="AB1595" s="37" t="s">
        <v>2521</v>
      </c>
      <c r="AC1595" s="40" t="s">
        <v>9133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3689</v>
      </c>
      <c r="H1596" s="37" t="s">
        <v>2507</v>
      </c>
      <c r="I1596" s="37"/>
      <c r="J1596" s="37"/>
      <c r="K1596" s="37"/>
      <c r="L1596" s="37"/>
      <c r="M1596" s="38"/>
      <c r="N1596" s="37"/>
      <c r="O1596" s="38"/>
      <c r="P1596" s="39"/>
      <c r="Q1596" s="37" t="s">
        <v>3690</v>
      </c>
      <c r="R1596" s="37" t="s">
        <v>2516</v>
      </c>
      <c r="S1596" s="37" t="s">
        <v>25</v>
      </c>
      <c r="T1596" s="37">
        <v>1</v>
      </c>
      <c r="U1596" s="37" t="s">
        <v>2517</v>
      </c>
      <c r="V1596" s="37" t="s">
        <v>9134</v>
      </c>
      <c r="W1596" s="37" t="s">
        <v>9135</v>
      </c>
      <c r="X1596" s="60">
        <v>46014.594444444447</v>
      </c>
      <c r="Y1596" s="37"/>
      <c r="Z1596" s="37">
        <v>3.3</v>
      </c>
      <c r="AA1596" s="37"/>
      <c r="AB1596" s="37" t="s">
        <v>2521</v>
      </c>
      <c r="AC1596" s="40" t="s">
        <v>8136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3689</v>
      </c>
      <c r="H1597" s="37" t="s">
        <v>2507</v>
      </c>
      <c r="I1597" s="37"/>
      <c r="J1597" s="37"/>
      <c r="K1597" s="37"/>
      <c r="L1597" s="37"/>
      <c r="M1597" s="38"/>
      <c r="N1597" s="37"/>
      <c r="O1597" s="38"/>
      <c r="P1597" s="39"/>
      <c r="Q1597" s="37" t="s">
        <v>3690</v>
      </c>
      <c r="R1597" s="37" t="s">
        <v>2516</v>
      </c>
      <c r="S1597" s="37" t="s">
        <v>25</v>
      </c>
      <c r="T1597" s="37">
        <v>1</v>
      </c>
      <c r="U1597" s="37" t="s">
        <v>2517</v>
      </c>
      <c r="V1597" s="37" t="s">
        <v>9136</v>
      </c>
      <c r="W1597" s="37" t="s">
        <v>9135</v>
      </c>
      <c r="X1597" s="60">
        <v>46014.604166666657</v>
      </c>
      <c r="Y1597" s="37"/>
      <c r="Z1597" s="37">
        <v>3.5</v>
      </c>
      <c r="AA1597" s="37"/>
      <c r="AB1597" s="37" t="s">
        <v>2521</v>
      </c>
      <c r="AC1597" s="40" t="s">
        <v>9137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9138</v>
      </c>
      <c r="E1598" s="37" t="s">
        <v>2504</v>
      </c>
      <c r="F1598" s="37">
        <v>4834</v>
      </c>
      <c r="G1598" s="37" t="s">
        <v>3629</v>
      </c>
      <c r="H1598" s="37" t="s">
        <v>3148</v>
      </c>
      <c r="I1598" s="37" t="s">
        <v>9139</v>
      </c>
      <c r="J1598" s="37" t="s">
        <v>2509</v>
      </c>
      <c r="K1598" s="37" t="s">
        <v>2510</v>
      </c>
      <c r="L1598" s="37" t="s">
        <v>2569</v>
      </c>
      <c r="M1598" s="38" t="s">
        <v>2570</v>
      </c>
      <c r="N1598" s="37">
        <v>2501</v>
      </c>
      <c r="O1598" s="38" t="s">
        <v>2571</v>
      </c>
      <c r="P1598" s="39" t="s">
        <v>9140</v>
      </c>
      <c r="Q1598" s="37" t="s">
        <v>3630</v>
      </c>
      <c r="R1598" s="37" t="s">
        <v>2516</v>
      </c>
      <c r="S1598" s="37" t="s">
        <v>185</v>
      </c>
      <c r="T1598" s="37">
        <v>1</v>
      </c>
      <c r="U1598" s="37" t="s">
        <v>2517</v>
      </c>
      <c r="V1598" s="37" t="s">
        <v>9141</v>
      </c>
      <c r="W1598" s="37" t="s">
        <v>9142</v>
      </c>
      <c r="X1598" s="60">
        <v>46015.444444444453</v>
      </c>
      <c r="Y1598" s="37" t="s">
        <v>9143</v>
      </c>
      <c r="Z1598" s="37">
        <v>0.5</v>
      </c>
      <c r="AA1598" s="37"/>
      <c r="AB1598" s="37" t="s">
        <v>2521</v>
      </c>
      <c r="AC1598" s="40" t="s">
        <v>4200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9144</v>
      </c>
      <c r="H1599" s="37" t="s">
        <v>2609</v>
      </c>
      <c r="I1599" s="37"/>
      <c r="J1599" s="37"/>
      <c r="K1599" s="37"/>
      <c r="L1599" s="37"/>
      <c r="M1599" s="38"/>
      <c r="N1599" s="37"/>
      <c r="O1599" s="38"/>
      <c r="P1599" s="39"/>
      <c r="Q1599" s="37" t="s">
        <v>9145</v>
      </c>
      <c r="R1599" s="37" t="s">
        <v>2516</v>
      </c>
      <c r="S1599" s="37" t="s">
        <v>173</v>
      </c>
      <c r="T1599" s="37">
        <v>1</v>
      </c>
      <c r="U1599" s="37" t="s">
        <v>2517</v>
      </c>
      <c r="V1599" s="37" t="s">
        <v>9146</v>
      </c>
      <c r="W1599" s="37" t="s">
        <v>9147</v>
      </c>
      <c r="X1599" s="60">
        <v>46014.65347222222</v>
      </c>
      <c r="Y1599" s="37"/>
      <c r="Z1599" s="37">
        <v>3.7</v>
      </c>
      <c r="AA1599" s="37"/>
      <c r="AB1599" s="37" t="s">
        <v>2521</v>
      </c>
      <c r="AC1599" s="40" t="s">
        <v>9148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3689</v>
      </c>
      <c r="H1600" s="37" t="s">
        <v>2507</v>
      </c>
      <c r="I1600" s="37"/>
      <c r="J1600" s="37"/>
      <c r="K1600" s="37"/>
      <c r="L1600" s="37"/>
      <c r="M1600" s="38"/>
      <c r="N1600" s="37"/>
      <c r="O1600" s="38"/>
      <c r="P1600" s="39"/>
      <c r="Q1600" s="37" t="s">
        <v>3690</v>
      </c>
      <c r="R1600" s="37" t="s">
        <v>2516</v>
      </c>
      <c r="S1600" s="37" t="s">
        <v>185</v>
      </c>
      <c r="T1600" s="37">
        <v>1</v>
      </c>
      <c r="U1600" s="37" t="s">
        <v>2517</v>
      </c>
      <c r="V1600" s="37" t="s">
        <v>9149</v>
      </c>
      <c r="W1600" s="37" t="s">
        <v>9150</v>
      </c>
      <c r="X1600" s="60">
        <v>46014.541666666657</v>
      </c>
      <c r="Y1600" s="37"/>
      <c r="Z1600" s="37">
        <v>4</v>
      </c>
      <c r="AA1600" s="37"/>
      <c r="AB1600" s="37" t="s">
        <v>2521</v>
      </c>
      <c r="AC1600" s="40" t="s">
        <v>9151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9144</v>
      </c>
      <c r="H1601" s="37" t="s">
        <v>2609</v>
      </c>
      <c r="I1601" s="37"/>
      <c r="J1601" s="37"/>
      <c r="K1601" s="37"/>
      <c r="L1601" s="37"/>
      <c r="M1601" s="38"/>
      <c r="N1601" s="37"/>
      <c r="O1601" s="38"/>
      <c r="P1601" s="39"/>
      <c r="Q1601" s="37" t="s">
        <v>9145</v>
      </c>
      <c r="R1601" s="37" t="s">
        <v>2516</v>
      </c>
      <c r="S1601" s="37" t="s">
        <v>185</v>
      </c>
      <c r="T1601" s="37">
        <v>1</v>
      </c>
      <c r="U1601" s="37" t="s">
        <v>2517</v>
      </c>
      <c r="V1601" s="37" t="s">
        <v>9152</v>
      </c>
      <c r="W1601" s="37" t="s">
        <v>9103</v>
      </c>
      <c r="X1601" s="60">
        <v>46014.6875</v>
      </c>
      <c r="Y1601" s="37"/>
      <c r="Z1601" s="37">
        <v>3.5</v>
      </c>
      <c r="AA1601" s="37"/>
      <c r="AB1601" s="37" t="s">
        <v>2521</v>
      </c>
      <c r="AC1601" s="40" t="s">
        <v>3948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7754</v>
      </c>
      <c r="H1602" s="37" t="s">
        <v>2609</v>
      </c>
      <c r="I1602" s="37"/>
      <c r="J1602" s="37"/>
      <c r="K1602" s="37"/>
      <c r="L1602" s="37"/>
      <c r="M1602" s="38"/>
      <c r="N1602" s="37"/>
      <c r="O1602" s="38"/>
      <c r="P1602" s="39"/>
      <c r="Q1602" s="37" t="s">
        <v>4401</v>
      </c>
      <c r="R1602" s="37" t="s">
        <v>2516</v>
      </c>
      <c r="S1602" s="37" t="s">
        <v>173</v>
      </c>
      <c r="T1602" s="37">
        <v>1</v>
      </c>
      <c r="U1602" s="37" t="s">
        <v>2517</v>
      </c>
      <c r="V1602" s="37" t="s">
        <v>9153</v>
      </c>
      <c r="W1602" s="37" t="s">
        <v>9154</v>
      </c>
      <c r="X1602" s="60">
        <v>46015.482638888891</v>
      </c>
      <c r="Y1602" s="37"/>
      <c r="Z1602" s="37">
        <v>0.5</v>
      </c>
      <c r="AA1602" s="37"/>
      <c r="AB1602" s="37" t="s">
        <v>2521</v>
      </c>
      <c r="AC1602" s="40" t="s">
        <v>8130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9155</v>
      </c>
      <c r="H1603" s="37" t="s">
        <v>2659</v>
      </c>
      <c r="I1603" s="37"/>
      <c r="J1603" s="37"/>
      <c r="K1603" s="37"/>
      <c r="L1603" s="37"/>
      <c r="M1603" s="38"/>
      <c r="N1603" s="37"/>
      <c r="O1603" s="38"/>
      <c r="P1603" s="39"/>
      <c r="Q1603" s="37" t="s">
        <v>4183</v>
      </c>
      <c r="R1603" s="37" t="s">
        <v>2516</v>
      </c>
      <c r="S1603" s="37" t="s">
        <v>185</v>
      </c>
      <c r="T1603" s="37">
        <v>1</v>
      </c>
      <c r="U1603" s="37" t="s">
        <v>2517</v>
      </c>
      <c r="V1603" s="37" t="s">
        <v>9156</v>
      </c>
      <c r="W1603" s="37" t="s">
        <v>9157</v>
      </c>
      <c r="X1603" s="60">
        <v>46015.604166666657</v>
      </c>
      <c r="Y1603" s="37"/>
      <c r="Z1603" s="37">
        <v>0.5</v>
      </c>
      <c r="AA1603" s="37"/>
      <c r="AB1603" s="37" t="s">
        <v>2521</v>
      </c>
      <c r="AC1603" s="40" t="s">
        <v>8130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9158</v>
      </c>
      <c r="E1604" s="37" t="s">
        <v>2504</v>
      </c>
      <c r="F1604" s="37" t="s">
        <v>2579</v>
      </c>
      <c r="G1604" s="37" t="s">
        <v>2580</v>
      </c>
      <c r="H1604" s="37" t="s">
        <v>1604</v>
      </c>
      <c r="I1604" s="37" t="s">
        <v>9159</v>
      </c>
      <c r="J1604" s="37" t="s">
        <v>2835</v>
      </c>
      <c r="K1604" s="37" t="s">
        <v>2568</v>
      </c>
      <c r="L1604" s="37" t="s">
        <v>2511</v>
      </c>
      <c r="M1604" s="38" t="s">
        <v>2512</v>
      </c>
      <c r="N1604" s="37">
        <v>2305</v>
      </c>
      <c r="O1604" s="38" t="s">
        <v>3035</v>
      </c>
      <c r="P1604" s="39" t="s">
        <v>9160</v>
      </c>
      <c r="Q1604" s="37" t="s">
        <v>2584</v>
      </c>
      <c r="R1604" s="37" t="s">
        <v>2516</v>
      </c>
      <c r="S1604" s="37" t="s">
        <v>25</v>
      </c>
      <c r="T1604" s="37">
        <v>1</v>
      </c>
      <c r="U1604" s="37" t="s">
        <v>2517</v>
      </c>
      <c r="V1604" s="37" t="s">
        <v>9161</v>
      </c>
      <c r="W1604" s="37" t="s">
        <v>9162</v>
      </c>
      <c r="X1604" s="60">
        <v>46017.461805555547</v>
      </c>
      <c r="Y1604" s="37" t="s">
        <v>9163</v>
      </c>
      <c r="Z1604" s="37">
        <v>0.6</v>
      </c>
      <c r="AA1604" s="37"/>
      <c r="AB1604" s="37" t="s">
        <v>2521</v>
      </c>
      <c r="AC1604" s="40" t="s">
        <v>9164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9165</v>
      </c>
      <c r="E1605" s="37" t="s">
        <v>2504</v>
      </c>
      <c r="F1605" s="37">
        <v>4196</v>
      </c>
      <c r="G1605" s="37" t="s">
        <v>3689</v>
      </c>
      <c r="H1605" s="37" t="s">
        <v>2507</v>
      </c>
      <c r="I1605" s="37" t="s">
        <v>9166</v>
      </c>
      <c r="J1605" s="37" t="s">
        <v>2835</v>
      </c>
      <c r="K1605" s="37" t="s">
        <v>2568</v>
      </c>
      <c r="L1605" s="37" t="s">
        <v>2511</v>
      </c>
      <c r="M1605" s="38" t="s">
        <v>2512</v>
      </c>
      <c r="N1605" s="37">
        <v>2307</v>
      </c>
      <c r="O1605" s="38" t="s">
        <v>2678</v>
      </c>
      <c r="P1605" s="39" t="s">
        <v>9167</v>
      </c>
      <c r="Q1605" s="37" t="s">
        <v>3690</v>
      </c>
      <c r="R1605" s="37" t="s">
        <v>2516</v>
      </c>
      <c r="S1605" s="37" t="s">
        <v>25</v>
      </c>
      <c r="T1605" s="37">
        <v>1</v>
      </c>
      <c r="U1605" s="37" t="s">
        <v>2517</v>
      </c>
      <c r="V1605" s="37" t="s">
        <v>9168</v>
      </c>
      <c r="W1605" s="37" t="s">
        <v>9169</v>
      </c>
      <c r="X1605" s="60">
        <v>46017.574999999997</v>
      </c>
      <c r="Y1605" s="37" t="s">
        <v>9163</v>
      </c>
      <c r="Z1605" s="37">
        <v>0.8</v>
      </c>
      <c r="AA1605" s="37"/>
      <c r="AB1605" s="37" t="s">
        <v>2521</v>
      </c>
      <c r="AC1605" s="40" t="s">
        <v>9170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9171</v>
      </c>
      <c r="E1606" s="37" t="s">
        <v>2504</v>
      </c>
      <c r="F1606" s="37">
        <v>3227</v>
      </c>
      <c r="G1606" s="37" t="s">
        <v>3080</v>
      </c>
      <c r="H1606" s="37" t="s">
        <v>2996</v>
      </c>
      <c r="I1606" s="37" t="s">
        <v>9172</v>
      </c>
      <c r="J1606" s="37" t="s">
        <v>2835</v>
      </c>
      <c r="K1606" s="37" t="s">
        <v>2510</v>
      </c>
      <c r="L1606" s="37" t="s">
        <v>2537</v>
      </c>
      <c r="M1606" s="38" t="s">
        <v>2538</v>
      </c>
      <c r="N1606" s="37" t="s">
        <v>2539</v>
      </c>
      <c r="O1606" s="38" t="s">
        <v>2540</v>
      </c>
      <c r="P1606" s="39" t="s">
        <v>9173</v>
      </c>
      <c r="Q1606" s="37" t="s">
        <v>3081</v>
      </c>
      <c r="R1606" s="37" t="s">
        <v>2516</v>
      </c>
      <c r="S1606" s="37" t="s">
        <v>185</v>
      </c>
      <c r="T1606" s="37">
        <v>1</v>
      </c>
      <c r="U1606" s="37" t="s">
        <v>2517</v>
      </c>
      <c r="V1606" s="37" t="s">
        <v>9174</v>
      </c>
      <c r="W1606" s="37" t="s">
        <v>9162</v>
      </c>
      <c r="X1606" s="60">
        <v>46017.458333333343</v>
      </c>
      <c r="Y1606" s="37" t="s">
        <v>9163</v>
      </c>
      <c r="Z1606" s="37">
        <v>0.5</v>
      </c>
      <c r="AA1606" s="37"/>
      <c r="AB1606" s="37" t="s">
        <v>2521</v>
      </c>
      <c r="AC1606" s="40" t="s">
        <v>9175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9176</v>
      </c>
      <c r="E1607" s="37" t="s">
        <v>2504</v>
      </c>
      <c r="F1607" s="37">
        <v>3227</v>
      </c>
      <c r="G1607" s="37" t="s">
        <v>3080</v>
      </c>
      <c r="H1607" s="37" t="s">
        <v>2996</v>
      </c>
      <c r="I1607" s="37" t="s">
        <v>9177</v>
      </c>
      <c r="J1607" s="37" t="s">
        <v>2835</v>
      </c>
      <c r="K1607" s="37" t="s">
        <v>2510</v>
      </c>
      <c r="L1607" s="37" t="s">
        <v>2537</v>
      </c>
      <c r="M1607" s="38" t="s">
        <v>2538</v>
      </c>
      <c r="N1607" s="37" t="s">
        <v>2539</v>
      </c>
      <c r="O1607" s="38" t="s">
        <v>2540</v>
      </c>
      <c r="P1607" s="39" t="s">
        <v>9178</v>
      </c>
      <c r="Q1607" s="37" t="s">
        <v>3081</v>
      </c>
      <c r="R1607" s="37" t="s">
        <v>2516</v>
      </c>
      <c r="S1607" s="37" t="s">
        <v>185</v>
      </c>
      <c r="T1607" s="37">
        <v>1</v>
      </c>
      <c r="U1607" s="37" t="s">
        <v>2517</v>
      </c>
      <c r="V1607" s="37" t="s">
        <v>9179</v>
      </c>
      <c r="W1607" s="37" t="s">
        <v>9180</v>
      </c>
      <c r="X1607" s="60">
        <v>46017.479166666657</v>
      </c>
      <c r="Y1607" s="37" t="s">
        <v>9163</v>
      </c>
      <c r="Z1607" s="37">
        <v>0.5</v>
      </c>
      <c r="AA1607" s="37"/>
      <c r="AB1607" s="37" t="s">
        <v>2521</v>
      </c>
      <c r="AC1607" s="40" t="s">
        <v>9181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4487</v>
      </c>
      <c r="G1608" s="37" t="s">
        <v>4488</v>
      </c>
      <c r="H1608" s="37" t="s">
        <v>2996</v>
      </c>
      <c r="I1608" s="37"/>
      <c r="J1608" s="37"/>
      <c r="K1608" s="37"/>
      <c r="L1608" s="37"/>
      <c r="M1608" s="38"/>
      <c r="N1608" s="37"/>
      <c r="O1608" s="38"/>
      <c r="P1608" s="39"/>
      <c r="Q1608" s="37" t="s">
        <v>4489</v>
      </c>
      <c r="R1608" s="37" t="s">
        <v>2516</v>
      </c>
      <c r="S1608" s="37" t="s">
        <v>185</v>
      </c>
      <c r="T1608" s="37">
        <v>1</v>
      </c>
      <c r="U1608" s="37" t="s">
        <v>2517</v>
      </c>
      <c r="V1608" s="37" t="s">
        <v>9182</v>
      </c>
      <c r="W1608" s="37" t="s">
        <v>9183</v>
      </c>
      <c r="X1608" s="60">
        <v>46017.597222222219</v>
      </c>
      <c r="Y1608" s="37"/>
      <c r="Z1608" s="37">
        <v>0.5</v>
      </c>
      <c r="AA1608" s="37"/>
      <c r="AB1608" s="37" t="s">
        <v>2521</v>
      </c>
      <c r="AC1608" s="40" t="s">
        <v>7788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4483</v>
      </c>
      <c r="H1609" s="37" t="s">
        <v>2996</v>
      </c>
      <c r="I1609" s="37"/>
      <c r="J1609" s="37"/>
      <c r="K1609" s="37"/>
      <c r="L1609" s="37"/>
      <c r="M1609" s="38"/>
      <c r="N1609" s="37"/>
      <c r="O1609" s="38"/>
      <c r="P1609" s="39"/>
      <c r="Q1609" s="37" t="s">
        <v>4484</v>
      </c>
      <c r="R1609" s="37" t="s">
        <v>2516</v>
      </c>
      <c r="S1609" s="37" t="s">
        <v>185</v>
      </c>
      <c r="T1609" s="37">
        <v>1</v>
      </c>
      <c r="U1609" s="37" t="s">
        <v>2517</v>
      </c>
      <c r="V1609" s="37" t="s">
        <v>9184</v>
      </c>
      <c r="W1609" s="37" t="s">
        <v>9185</v>
      </c>
      <c r="X1609" s="60">
        <v>46017.618055555547</v>
      </c>
      <c r="Y1609" s="37"/>
      <c r="Z1609" s="37">
        <v>0.5</v>
      </c>
      <c r="AA1609" s="37"/>
      <c r="AB1609" s="37" t="s">
        <v>2521</v>
      </c>
      <c r="AC1609" s="40" t="s">
        <v>8130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4421</v>
      </c>
      <c r="H1610" s="37" t="s">
        <v>2609</v>
      </c>
      <c r="I1610" s="37"/>
      <c r="J1610" s="37"/>
      <c r="K1610" s="37"/>
      <c r="L1610" s="37"/>
      <c r="M1610" s="38"/>
      <c r="N1610" s="37"/>
      <c r="O1610" s="38"/>
      <c r="P1610" s="39"/>
      <c r="Q1610" s="37" t="s">
        <v>4422</v>
      </c>
      <c r="R1610" s="37" t="s">
        <v>2516</v>
      </c>
      <c r="S1610" s="37" t="s">
        <v>25</v>
      </c>
      <c r="T1610" s="37">
        <v>1</v>
      </c>
      <c r="U1610" s="37" t="s">
        <v>2517</v>
      </c>
      <c r="V1610" s="37" t="s">
        <v>9186</v>
      </c>
      <c r="W1610" s="37" t="s">
        <v>9187</v>
      </c>
      <c r="X1610" s="60">
        <v>46017.635416666657</v>
      </c>
      <c r="Y1610" s="37"/>
      <c r="Z1610" s="37">
        <v>0.3</v>
      </c>
      <c r="AA1610" s="37"/>
      <c r="AB1610" s="37" t="s">
        <v>2521</v>
      </c>
      <c r="AC1610" s="40" t="s">
        <v>8130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2697</v>
      </c>
      <c r="H1611" s="37" t="s">
        <v>2609</v>
      </c>
      <c r="I1611" s="37"/>
      <c r="J1611" s="37"/>
      <c r="K1611" s="37"/>
      <c r="L1611" s="37"/>
      <c r="M1611" s="38"/>
      <c r="N1611" s="37"/>
      <c r="O1611" s="38"/>
      <c r="P1611" s="39"/>
      <c r="Q1611" s="37" t="s">
        <v>2700</v>
      </c>
      <c r="R1611" s="37" t="s">
        <v>2516</v>
      </c>
      <c r="S1611" s="37" t="s">
        <v>25</v>
      </c>
      <c r="T1611" s="37">
        <v>1</v>
      </c>
      <c r="U1611" s="37" t="s">
        <v>2517</v>
      </c>
      <c r="V1611" s="37" t="s">
        <v>9188</v>
      </c>
      <c r="W1611" s="37" t="s">
        <v>9189</v>
      </c>
      <c r="X1611" s="60">
        <v>46017.652777777781</v>
      </c>
      <c r="Y1611" s="37"/>
      <c r="Z1611" s="37">
        <v>0.3</v>
      </c>
      <c r="AA1611" s="37"/>
      <c r="AB1611" s="37" t="s">
        <v>2521</v>
      </c>
      <c r="AC1611" s="40" t="s">
        <v>8130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4432</v>
      </c>
      <c r="H1612" s="37" t="s">
        <v>2609</v>
      </c>
      <c r="I1612" s="37"/>
      <c r="J1612" s="37"/>
      <c r="K1612" s="37"/>
      <c r="L1612" s="37"/>
      <c r="M1612" s="38"/>
      <c r="N1612" s="37"/>
      <c r="O1612" s="38"/>
      <c r="P1612" s="39"/>
      <c r="Q1612" s="37" t="s">
        <v>4433</v>
      </c>
      <c r="R1612" s="37" t="s">
        <v>2516</v>
      </c>
      <c r="S1612" s="37" t="s">
        <v>25</v>
      </c>
      <c r="T1612" s="37">
        <v>1</v>
      </c>
      <c r="U1612" s="37" t="s">
        <v>2517</v>
      </c>
      <c r="V1612" s="37" t="s">
        <v>9190</v>
      </c>
      <c r="W1612" s="37" t="s">
        <v>9191</v>
      </c>
      <c r="X1612" s="60">
        <v>46017.670138888891</v>
      </c>
      <c r="Y1612" s="37"/>
      <c r="Z1612" s="37">
        <v>0.3</v>
      </c>
      <c r="AA1612" s="37"/>
      <c r="AB1612" s="37" t="s">
        <v>2521</v>
      </c>
      <c r="AC1612" s="40" t="s">
        <v>8130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9192</v>
      </c>
      <c r="E1613" s="37" t="s">
        <v>2504</v>
      </c>
      <c r="F1613" s="37">
        <v>3358</v>
      </c>
      <c r="G1613" s="37" t="s">
        <v>4301</v>
      </c>
      <c r="H1613" s="37" t="s">
        <v>2659</v>
      </c>
      <c r="I1613" s="37" t="s">
        <v>9193</v>
      </c>
      <c r="J1613" s="37" t="s">
        <v>2930</v>
      </c>
      <c r="K1613" s="37" t="s">
        <v>2568</v>
      </c>
      <c r="L1613" s="37" t="s">
        <v>2511</v>
      </c>
      <c r="M1613" s="38" t="s">
        <v>2512</v>
      </c>
      <c r="N1613" s="37">
        <v>2306</v>
      </c>
      <c r="O1613" s="38" t="s">
        <v>2893</v>
      </c>
      <c r="P1613" s="39" t="s">
        <v>9194</v>
      </c>
      <c r="Q1613" s="37" t="s">
        <v>4302</v>
      </c>
      <c r="R1613" s="37" t="s">
        <v>2516</v>
      </c>
      <c r="S1613" s="37" t="s">
        <v>185</v>
      </c>
      <c r="T1613" s="37">
        <v>1</v>
      </c>
      <c r="U1613" s="37" t="s">
        <v>2517</v>
      </c>
      <c r="V1613" s="37" t="s">
        <v>9195</v>
      </c>
      <c r="W1613" s="37" t="s">
        <v>9196</v>
      </c>
      <c r="X1613" s="60">
        <v>46018.493055555547</v>
      </c>
      <c r="Y1613" s="37" t="s">
        <v>9197</v>
      </c>
      <c r="Z1613" s="37">
        <v>0.5</v>
      </c>
      <c r="AA1613" s="37"/>
      <c r="AB1613" s="37" t="s">
        <v>2521</v>
      </c>
      <c r="AC1613" s="40" t="s">
        <v>9198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9199</v>
      </c>
      <c r="E1614" s="37" t="s">
        <v>2843</v>
      </c>
      <c r="F1614" s="37">
        <v>3358</v>
      </c>
      <c r="G1614" s="37" t="s">
        <v>4301</v>
      </c>
      <c r="H1614" s="37" t="s">
        <v>2659</v>
      </c>
      <c r="I1614" s="37" t="s">
        <v>9200</v>
      </c>
      <c r="J1614" s="37" t="s">
        <v>2930</v>
      </c>
      <c r="K1614" s="37" t="s">
        <v>2568</v>
      </c>
      <c r="L1614" s="37" t="s">
        <v>2511</v>
      </c>
      <c r="M1614" s="38" t="s">
        <v>2512</v>
      </c>
      <c r="N1614" s="37">
        <v>2306</v>
      </c>
      <c r="O1614" s="38" t="s">
        <v>2893</v>
      </c>
      <c r="P1614" s="39" t="s">
        <v>9201</v>
      </c>
      <c r="Q1614" s="37" t="s">
        <v>4302</v>
      </c>
      <c r="R1614" s="37" t="s">
        <v>2516</v>
      </c>
      <c r="S1614" s="37" t="s">
        <v>185</v>
      </c>
      <c r="T1614" s="37">
        <v>1</v>
      </c>
      <c r="U1614" s="37" t="s">
        <v>2517</v>
      </c>
      <c r="V1614" s="37" t="s">
        <v>9202</v>
      </c>
      <c r="W1614" s="37" t="s">
        <v>9196</v>
      </c>
      <c r="X1614" s="60">
        <v>46018.493055555547</v>
      </c>
      <c r="Y1614" s="37" t="s">
        <v>9203</v>
      </c>
      <c r="Z1614" s="37">
        <v>0.5</v>
      </c>
      <c r="AA1614" s="37"/>
      <c r="AB1614" s="37" t="s">
        <v>2521</v>
      </c>
      <c r="AC1614" s="40" t="s">
        <v>9204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9205</v>
      </c>
      <c r="E1615" s="37" t="s">
        <v>2504</v>
      </c>
      <c r="F1615" s="37">
        <v>4144</v>
      </c>
      <c r="G1615" s="37" t="s">
        <v>3281</v>
      </c>
      <c r="H1615" s="37" t="s">
        <v>2659</v>
      </c>
      <c r="I1615" s="37" t="s">
        <v>9206</v>
      </c>
      <c r="J1615" s="37" t="s">
        <v>2661</v>
      </c>
      <c r="K1615" s="37" t="s">
        <v>2568</v>
      </c>
      <c r="L1615" s="37" t="s">
        <v>2525</v>
      </c>
      <c r="M1615" s="38" t="s">
        <v>2526</v>
      </c>
      <c r="N1615" s="37">
        <v>5801</v>
      </c>
      <c r="O1615" s="38" t="s">
        <v>2527</v>
      </c>
      <c r="P1615" s="39" t="s">
        <v>9207</v>
      </c>
      <c r="Q1615" s="37" t="s">
        <v>3284</v>
      </c>
      <c r="R1615" s="37" t="s">
        <v>2516</v>
      </c>
      <c r="S1615" s="37" t="s">
        <v>185</v>
      </c>
      <c r="T1615" s="37">
        <v>1</v>
      </c>
      <c r="U1615" s="37" t="s">
        <v>2517</v>
      </c>
      <c r="V1615" s="37" t="s">
        <v>9208</v>
      </c>
      <c r="W1615" s="37" t="s">
        <v>9209</v>
      </c>
      <c r="X1615" s="60">
        <v>46020.604166666657</v>
      </c>
      <c r="Y1615" s="37" t="s">
        <v>9210</v>
      </c>
      <c r="Z1615" s="37">
        <v>1</v>
      </c>
      <c r="AA1615" s="37"/>
      <c r="AB1615" s="37" t="s">
        <v>2521</v>
      </c>
      <c r="AC1615" s="40" t="s">
        <v>9211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2844</v>
      </c>
      <c r="H1616" s="37" t="s">
        <v>2609</v>
      </c>
      <c r="I1616" s="37"/>
      <c r="J1616" s="37"/>
      <c r="K1616" s="37"/>
      <c r="L1616" s="37"/>
      <c r="M1616" s="38"/>
      <c r="N1616" s="37"/>
      <c r="O1616" s="38"/>
      <c r="P1616" s="39"/>
      <c r="Q1616" s="37" t="s">
        <v>2850</v>
      </c>
      <c r="R1616" s="37" t="s">
        <v>2516</v>
      </c>
      <c r="S1616" s="37" t="s">
        <v>25</v>
      </c>
      <c r="T1616" s="37">
        <v>1</v>
      </c>
      <c r="U1616" s="37" t="s">
        <v>2517</v>
      </c>
      <c r="V1616" s="37" t="s">
        <v>9212</v>
      </c>
      <c r="W1616" s="37" t="s">
        <v>9213</v>
      </c>
      <c r="X1616" s="60">
        <v>46020.407638888893</v>
      </c>
      <c r="Y1616" s="37"/>
      <c r="Z1616" s="37">
        <v>0.8</v>
      </c>
      <c r="AA1616" s="37"/>
      <c r="AB1616" s="37" t="s">
        <v>2521</v>
      </c>
      <c r="AC1616" s="40" t="s">
        <v>8130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3214</v>
      </c>
      <c r="H1617" s="37" t="s">
        <v>2609</v>
      </c>
      <c r="I1617" s="37"/>
      <c r="J1617" s="37"/>
      <c r="K1617" s="37"/>
      <c r="L1617" s="37"/>
      <c r="M1617" s="38"/>
      <c r="N1617" s="37"/>
      <c r="O1617" s="38"/>
      <c r="P1617" s="39"/>
      <c r="Q1617" s="37" t="s">
        <v>3217</v>
      </c>
      <c r="R1617" s="37" t="s">
        <v>2516</v>
      </c>
      <c r="S1617" s="37" t="s">
        <v>25</v>
      </c>
      <c r="T1617" s="37">
        <v>1</v>
      </c>
      <c r="U1617" s="37" t="s">
        <v>2517</v>
      </c>
      <c r="V1617" s="37" t="s">
        <v>9214</v>
      </c>
      <c r="W1617" s="37" t="s">
        <v>9215</v>
      </c>
      <c r="X1617" s="60">
        <v>46020.420138888891</v>
      </c>
      <c r="Y1617" s="37"/>
      <c r="Z1617" s="37">
        <v>0.3</v>
      </c>
      <c r="AA1617" s="37"/>
      <c r="AB1617" s="37" t="s">
        <v>2521</v>
      </c>
      <c r="AC1617" s="40" t="s">
        <v>8130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4447</v>
      </c>
      <c r="G1618" s="37" t="s">
        <v>4448</v>
      </c>
      <c r="H1618" s="37" t="s">
        <v>2609</v>
      </c>
      <c r="I1618" s="37"/>
      <c r="J1618" s="37"/>
      <c r="K1618" s="37"/>
      <c r="L1618" s="37"/>
      <c r="M1618" s="38"/>
      <c r="N1618" s="37"/>
      <c r="O1618" s="38"/>
      <c r="P1618" s="39"/>
      <c r="Q1618" s="37" t="s">
        <v>4449</v>
      </c>
      <c r="R1618" s="37" t="s">
        <v>2516</v>
      </c>
      <c r="S1618" s="37" t="s">
        <v>25</v>
      </c>
      <c r="T1618" s="37">
        <v>1</v>
      </c>
      <c r="U1618" s="37" t="s">
        <v>2517</v>
      </c>
      <c r="V1618" s="37" t="s">
        <v>9216</v>
      </c>
      <c r="W1618" s="37" t="s">
        <v>9217</v>
      </c>
      <c r="X1618" s="60">
        <v>46020.4375</v>
      </c>
      <c r="Y1618" s="37"/>
      <c r="Z1618" s="37">
        <v>0.3</v>
      </c>
      <c r="AA1618" s="37"/>
      <c r="AB1618" s="37" t="s">
        <v>2521</v>
      </c>
      <c r="AC1618" s="40" t="s">
        <v>7788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9097</v>
      </c>
      <c r="H1619" s="37" t="s">
        <v>2609</v>
      </c>
      <c r="I1619" s="37"/>
      <c r="J1619" s="37"/>
      <c r="K1619" s="37"/>
      <c r="L1619" s="37"/>
      <c r="M1619" s="38"/>
      <c r="N1619" s="37"/>
      <c r="O1619" s="38"/>
      <c r="P1619" s="39"/>
      <c r="Q1619" s="37" t="s">
        <v>3242</v>
      </c>
      <c r="R1619" s="37" t="s">
        <v>2516</v>
      </c>
      <c r="S1619" s="37" t="s">
        <v>25</v>
      </c>
      <c r="T1619" s="37">
        <v>1</v>
      </c>
      <c r="U1619" s="37" t="s">
        <v>2517</v>
      </c>
      <c r="V1619" s="37" t="s">
        <v>9218</v>
      </c>
      <c r="W1619" s="37" t="s">
        <v>9219</v>
      </c>
      <c r="X1619" s="60">
        <v>46020.458333333343</v>
      </c>
      <c r="Y1619" s="37"/>
      <c r="Z1619" s="37">
        <v>0.3</v>
      </c>
      <c r="AA1619" s="37"/>
      <c r="AB1619" s="37" t="s">
        <v>2521</v>
      </c>
      <c r="AC1619" s="40" t="s">
        <v>8130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4224</v>
      </c>
      <c r="H1620" s="37" t="s">
        <v>2609</v>
      </c>
      <c r="I1620" s="37"/>
      <c r="J1620" s="37"/>
      <c r="K1620" s="37"/>
      <c r="L1620" s="37"/>
      <c r="M1620" s="38"/>
      <c r="N1620" s="37"/>
      <c r="O1620" s="38"/>
      <c r="P1620" s="39"/>
      <c r="Q1620" s="37" t="s">
        <v>4227</v>
      </c>
      <c r="R1620" s="37" t="s">
        <v>2516</v>
      </c>
      <c r="S1620" s="37" t="s">
        <v>25</v>
      </c>
      <c r="T1620" s="37">
        <v>1</v>
      </c>
      <c r="U1620" s="37" t="s">
        <v>2517</v>
      </c>
      <c r="V1620" s="37" t="s">
        <v>9220</v>
      </c>
      <c r="W1620" s="37" t="s">
        <v>9221</v>
      </c>
      <c r="X1620" s="60">
        <v>46020.475694444453</v>
      </c>
      <c r="Y1620" s="37"/>
      <c r="Z1620" s="37">
        <v>0.3</v>
      </c>
      <c r="AA1620" s="37"/>
      <c r="AB1620" s="37" t="s">
        <v>2521</v>
      </c>
      <c r="AC1620" s="40" t="s">
        <v>8130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2685</v>
      </c>
      <c r="G1621" s="37" t="s">
        <v>2686</v>
      </c>
      <c r="H1621" s="37" t="s">
        <v>2609</v>
      </c>
      <c r="I1621" s="37"/>
      <c r="J1621" s="37"/>
      <c r="K1621" s="37"/>
      <c r="L1621" s="37"/>
      <c r="M1621" s="38"/>
      <c r="N1621" s="37"/>
      <c r="O1621" s="38"/>
      <c r="P1621" s="39"/>
      <c r="Q1621" s="37" t="s">
        <v>2687</v>
      </c>
      <c r="R1621" s="37" t="s">
        <v>2516</v>
      </c>
      <c r="S1621" s="37" t="s">
        <v>25</v>
      </c>
      <c r="T1621" s="37">
        <v>1</v>
      </c>
      <c r="U1621" s="37" t="s">
        <v>2517</v>
      </c>
      <c r="V1621" s="37" t="s">
        <v>9222</v>
      </c>
      <c r="W1621" s="37" t="s">
        <v>9223</v>
      </c>
      <c r="X1621" s="60">
        <v>46020.493055555547</v>
      </c>
      <c r="Y1621" s="37"/>
      <c r="Z1621" s="37">
        <v>0.3</v>
      </c>
      <c r="AA1621" s="37"/>
      <c r="AB1621" s="37" t="s">
        <v>2521</v>
      </c>
      <c r="AC1621" s="40" t="s">
        <v>8130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4015</v>
      </c>
      <c r="H1622" s="37" t="s">
        <v>2609</v>
      </c>
      <c r="I1622" s="37"/>
      <c r="J1622" s="37"/>
      <c r="K1622" s="37"/>
      <c r="L1622" s="37"/>
      <c r="M1622" s="38"/>
      <c r="N1622" s="37"/>
      <c r="O1622" s="38"/>
      <c r="P1622" s="39"/>
      <c r="Q1622" s="37" t="s">
        <v>4018</v>
      </c>
      <c r="R1622" s="37" t="s">
        <v>2516</v>
      </c>
      <c r="S1622" s="37" t="s">
        <v>25</v>
      </c>
      <c r="T1622" s="37">
        <v>1</v>
      </c>
      <c r="U1622" s="37" t="s">
        <v>2517</v>
      </c>
      <c r="V1622" s="37" t="s">
        <v>9224</v>
      </c>
      <c r="W1622" s="37" t="s">
        <v>9225</v>
      </c>
      <c r="X1622" s="60">
        <v>46020.513194444437</v>
      </c>
      <c r="Y1622" s="37"/>
      <c r="Z1622" s="37">
        <v>0.3</v>
      </c>
      <c r="AA1622" s="37"/>
      <c r="AB1622" s="37" t="s">
        <v>2521</v>
      </c>
      <c r="AC1622" s="40" t="s">
        <v>8130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9226</v>
      </c>
      <c r="E1623" s="37" t="s">
        <v>2504</v>
      </c>
      <c r="F1623" s="37">
        <v>4196</v>
      </c>
      <c r="G1623" s="37" t="s">
        <v>3689</v>
      </c>
      <c r="H1623" s="37" t="s">
        <v>2507</v>
      </c>
      <c r="I1623" s="37" t="s">
        <v>9227</v>
      </c>
      <c r="J1623" s="37" t="s">
        <v>2661</v>
      </c>
      <c r="K1623" s="37" t="s">
        <v>2510</v>
      </c>
      <c r="L1623" s="37" t="s">
        <v>2511</v>
      </c>
      <c r="M1623" s="38" t="s">
        <v>2512</v>
      </c>
      <c r="N1623" s="37">
        <v>2307</v>
      </c>
      <c r="O1623" s="38" t="s">
        <v>2678</v>
      </c>
      <c r="P1623" s="39" t="s">
        <v>9228</v>
      </c>
      <c r="Q1623" s="37" t="s">
        <v>3690</v>
      </c>
      <c r="R1623" s="37" t="s">
        <v>2516</v>
      </c>
      <c r="S1623" s="37" t="s">
        <v>25</v>
      </c>
      <c r="T1623" s="37">
        <v>1</v>
      </c>
      <c r="U1623" s="37" t="s">
        <v>2517</v>
      </c>
      <c r="V1623" s="37" t="s">
        <v>9229</v>
      </c>
      <c r="W1623" s="37" t="s">
        <v>9230</v>
      </c>
      <c r="X1623" s="60">
        <v>46021.666666666657</v>
      </c>
      <c r="Y1623" s="37" t="s">
        <v>9231</v>
      </c>
      <c r="Z1623" s="37">
        <v>0.5</v>
      </c>
      <c r="AA1623" s="37"/>
      <c r="AB1623" s="37" t="s">
        <v>2915</v>
      </c>
      <c r="AC1623" s="40" t="s">
        <v>2684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9232</v>
      </c>
      <c r="E1624" s="37" t="s">
        <v>2504</v>
      </c>
      <c r="F1624" s="37">
        <v>4196</v>
      </c>
      <c r="G1624" s="37" t="s">
        <v>3689</v>
      </c>
      <c r="H1624" s="37" t="s">
        <v>2507</v>
      </c>
      <c r="I1624" s="37" t="s">
        <v>9233</v>
      </c>
      <c r="J1624" s="37" t="s">
        <v>2661</v>
      </c>
      <c r="K1624" s="37" t="s">
        <v>2510</v>
      </c>
      <c r="L1624" s="37" t="s">
        <v>2511</v>
      </c>
      <c r="M1624" s="38" t="s">
        <v>2512</v>
      </c>
      <c r="N1624" s="37">
        <v>2307</v>
      </c>
      <c r="O1624" s="38" t="s">
        <v>2678</v>
      </c>
      <c r="P1624" s="39" t="s">
        <v>9234</v>
      </c>
      <c r="Q1624" s="37" t="s">
        <v>3690</v>
      </c>
      <c r="R1624" s="37" t="s">
        <v>2516</v>
      </c>
      <c r="S1624" s="37" t="s">
        <v>25</v>
      </c>
      <c r="T1624" s="37">
        <v>1</v>
      </c>
      <c r="U1624" s="37" t="s">
        <v>2517</v>
      </c>
      <c r="V1624" s="37" t="s">
        <v>9235</v>
      </c>
      <c r="W1624" s="37" t="s">
        <v>9230</v>
      </c>
      <c r="X1624" s="60">
        <v>46021.666666666657</v>
      </c>
      <c r="Y1624" s="37" t="s">
        <v>9236</v>
      </c>
      <c r="Z1624" s="37">
        <v>0.5</v>
      </c>
      <c r="AA1624" s="37"/>
      <c r="AB1624" s="37" t="s">
        <v>2915</v>
      </c>
      <c r="AC1624" s="40" t="s">
        <v>2684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9237</v>
      </c>
      <c r="E1625" s="37" t="s">
        <v>2504</v>
      </c>
      <c r="F1625" s="37">
        <v>2302</v>
      </c>
      <c r="G1625" s="37" t="s">
        <v>7949</v>
      </c>
      <c r="H1625" s="37" t="s">
        <v>2507</v>
      </c>
      <c r="I1625" s="37" t="s">
        <v>9238</v>
      </c>
      <c r="J1625" s="37" t="s">
        <v>2661</v>
      </c>
      <c r="K1625" s="37" t="s">
        <v>2510</v>
      </c>
      <c r="L1625" s="37" t="s">
        <v>2611</v>
      </c>
      <c r="M1625" s="38" t="s">
        <v>2612</v>
      </c>
      <c r="N1625" s="37" t="s">
        <v>3526</v>
      </c>
      <c r="O1625" s="38" t="s">
        <v>3152</v>
      </c>
      <c r="P1625" s="39" t="s">
        <v>9239</v>
      </c>
      <c r="Q1625" s="37" t="s">
        <v>3909</v>
      </c>
      <c r="R1625" s="37" t="s">
        <v>2516</v>
      </c>
      <c r="S1625" s="37" t="s">
        <v>25</v>
      </c>
      <c r="T1625" s="37">
        <v>1</v>
      </c>
      <c r="U1625" s="37" t="s">
        <v>2517</v>
      </c>
      <c r="V1625" s="37" t="s">
        <v>9240</v>
      </c>
      <c r="W1625" s="37" t="s">
        <v>9241</v>
      </c>
      <c r="X1625" s="60">
        <v>46021.565972222219</v>
      </c>
      <c r="Y1625" s="37" t="s">
        <v>9242</v>
      </c>
      <c r="Z1625" s="37">
        <v>0.9</v>
      </c>
      <c r="AA1625" s="37"/>
      <c r="AB1625" s="37" t="s">
        <v>2521</v>
      </c>
      <c r="AC1625" s="40" t="s">
        <v>9243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2692</v>
      </c>
      <c r="H1626" s="37" t="s">
        <v>2659</v>
      </c>
      <c r="I1626" s="37"/>
      <c r="J1626" s="37"/>
      <c r="K1626" s="37"/>
      <c r="L1626" s="37"/>
      <c r="M1626" s="38"/>
      <c r="N1626" s="37"/>
      <c r="O1626" s="38"/>
      <c r="P1626" s="39"/>
      <c r="Q1626" s="37" t="s">
        <v>2693</v>
      </c>
      <c r="R1626" s="37" t="s">
        <v>2516</v>
      </c>
      <c r="S1626" s="37" t="s">
        <v>185</v>
      </c>
      <c r="T1626" s="37">
        <v>1</v>
      </c>
      <c r="U1626" s="37" t="s">
        <v>2517</v>
      </c>
      <c r="V1626" s="37" t="s">
        <v>9244</v>
      </c>
      <c r="W1626" s="37" t="s">
        <v>9245</v>
      </c>
      <c r="X1626" s="60">
        <v>46020.5625</v>
      </c>
      <c r="Y1626" s="37"/>
      <c r="Z1626" s="37">
        <v>2.5</v>
      </c>
      <c r="AA1626" s="37"/>
      <c r="AB1626" s="37" t="s">
        <v>2521</v>
      </c>
      <c r="AC1626" s="40" t="s">
        <v>9246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4186</v>
      </c>
      <c r="H1627" s="37" t="s">
        <v>1604</v>
      </c>
      <c r="I1627" s="37"/>
      <c r="J1627" s="37"/>
      <c r="K1627" s="37"/>
      <c r="L1627" s="37"/>
      <c r="M1627" s="38"/>
      <c r="N1627" s="37"/>
      <c r="O1627" s="38"/>
      <c r="P1627" s="39"/>
      <c r="Q1627" s="37" t="s">
        <v>4187</v>
      </c>
      <c r="R1627" s="37" t="s">
        <v>2516</v>
      </c>
      <c r="S1627" s="37" t="s">
        <v>25</v>
      </c>
      <c r="T1627" s="37">
        <v>1</v>
      </c>
      <c r="U1627" s="37" t="s">
        <v>2517</v>
      </c>
      <c r="V1627" s="37" t="s">
        <v>9247</v>
      </c>
      <c r="W1627" s="37" t="s">
        <v>9248</v>
      </c>
      <c r="X1627" s="60">
        <v>46021.472222222219</v>
      </c>
      <c r="Y1627" s="37"/>
      <c r="Z1627" s="37">
        <v>0.3</v>
      </c>
      <c r="AA1627" s="37"/>
      <c r="AB1627" s="37" t="s">
        <v>2521</v>
      </c>
      <c r="AC1627" s="40" t="s">
        <v>8130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2556</v>
      </c>
      <c r="H1628" s="37" t="s">
        <v>1604</v>
      </c>
      <c r="I1628" s="37"/>
      <c r="J1628" s="37"/>
      <c r="K1628" s="37"/>
      <c r="L1628" s="37"/>
      <c r="M1628" s="38"/>
      <c r="N1628" s="37"/>
      <c r="O1628" s="38"/>
      <c r="P1628" s="39"/>
      <c r="Q1628" s="37" t="s">
        <v>2557</v>
      </c>
      <c r="R1628" s="37" t="s">
        <v>2516</v>
      </c>
      <c r="S1628" s="37" t="s">
        <v>25</v>
      </c>
      <c r="T1628" s="37">
        <v>1</v>
      </c>
      <c r="U1628" s="37" t="s">
        <v>2517</v>
      </c>
      <c r="V1628" s="37" t="s">
        <v>9249</v>
      </c>
      <c r="W1628" s="37" t="s">
        <v>9250</v>
      </c>
      <c r="X1628" s="60">
        <v>46021.5</v>
      </c>
      <c r="Y1628" s="37"/>
      <c r="Z1628" s="37">
        <v>2</v>
      </c>
      <c r="AA1628" s="37"/>
      <c r="AB1628" s="37" t="s">
        <v>2521</v>
      </c>
      <c r="AC1628" s="40" t="s">
        <v>9251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2556</v>
      </c>
      <c r="H1629" s="37" t="s">
        <v>1604</v>
      </c>
      <c r="I1629" s="37"/>
      <c r="J1629" s="37"/>
      <c r="K1629" s="37"/>
      <c r="L1629" s="37"/>
      <c r="M1629" s="38"/>
      <c r="N1629" s="37"/>
      <c r="O1629" s="38"/>
      <c r="P1629" s="39"/>
      <c r="Q1629" s="37" t="s">
        <v>2557</v>
      </c>
      <c r="R1629" s="37" t="s">
        <v>2516</v>
      </c>
      <c r="S1629" s="37" t="s">
        <v>185</v>
      </c>
      <c r="T1629" s="37">
        <v>1</v>
      </c>
      <c r="U1629" s="37" t="s">
        <v>2517</v>
      </c>
      <c r="V1629" s="37" t="s">
        <v>9252</v>
      </c>
      <c r="W1629" s="37" t="s">
        <v>9253</v>
      </c>
      <c r="X1629" s="60">
        <v>46021.541666666657</v>
      </c>
      <c r="Y1629" s="37"/>
      <c r="Z1629" s="37">
        <v>4</v>
      </c>
      <c r="AA1629" s="37"/>
      <c r="AB1629" s="37" t="s">
        <v>2521</v>
      </c>
      <c r="AC1629" s="40" t="s">
        <v>9254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9255</v>
      </c>
      <c r="E1630" s="37" t="s">
        <v>2843</v>
      </c>
      <c r="F1630" s="37">
        <v>2442</v>
      </c>
      <c r="G1630" s="37" t="s">
        <v>3059</v>
      </c>
      <c r="H1630" s="37" t="s">
        <v>2987</v>
      </c>
      <c r="I1630" s="37" t="s">
        <v>9256</v>
      </c>
      <c r="J1630" s="37" t="s">
        <v>2835</v>
      </c>
      <c r="K1630" s="37" t="s">
        <v>2568</v>
      </c>
      <c r="L1630" s="37" t="s">
        <v>2511</v>
      </c>
      <c r="M1630" s="38" t="s">
        <v>2512</v>
      </c>
      <c r="N1630" s="37">
        <v>2306</v>
      </c>
      <c r="O1630" s="38" t="s">
        <v>2893</v>
      </c>
      <c r="P1630" s="39" t="s">
        <v>9257</v>
      </c>
      <c r="Q1630" s="37" t="s">
        <v>3060</v>
      </c>
      <c r="R1630" s="37" t="s">
        <v>2516</v>
      </c>
      <c r="S1630" s="37" t="s">
        <v>185</v>
      </c>
      <c r="T1630" s="37">
        <v>1</v>
      </c>
      <c r="U1630" s="37" t="s">
        <v>2517</v>
      </c>
      <c r="V1630" s="37" t="s">
        <v>9258</v>
      </c>
      <c r="W1630" s="37" t="s">
        <v>9259</v>
      </c>
      <c r="X1630" s="60">
        <v>46023.548611111109</v>
      </c>
      <c r="Y1630" s="37" t="s">
        <v>9260</v>
      </c>
      <c r="Z1630" s="37">
        <v>0.7</v>
      </c>
      <c r="AA1630" s="37"/>
      <c r="AB1630" s="37" t="s">
        <v>2521</v>
      </c>
      <c r="AC1630" s="40" t="s">
        <v>9261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9262</v>
      </c>
      <c r="E1631" s="37" t="s">
        <v>2504</v>
      </c>
      <c r="F1631" s="37">
        <v>2442</v>
      </c>
      <c r="G1631" s="37" t="s">
        <v>3059</v>
      </c>
      <c r="H1631" s="37" t="s">
        <v>2987</v>
      </c>
      <c r="I1631" s="37" t="s">
        <v>9263</v>
      </c>
      <c r="J1631" s="37" t="s">
        <v>2835</v>
      </c>
      <c r="K1631" s="37" t="s">
        <v>2568</v>
      </c>
      <c r="L1631" s="37" t="s">
        <v>2511</v>
      </c>
      <c r="M1631" s="38" t="s">
        <v>2512</v>
      </c>
      <c r="N1631" s="37">
        <v>2306</v>
      </c>
      <c r="O1631" s="38" t="s">
        <v>2893</v>
      </c>
      <c r="P1631" s="39" t="s">
        <v>9264</v>
      </c>
      <c r="Q1631" s="37" t="s">
        <v>3060</v>
      </c>
      <c r="R1631" s="37" t="s">
        <v>2516</v>
      </c>
      <c r="S1631" s="37" t="s">
        <v>185</v>
      </c>
      <c r="T1631" s="37">
        <v>1</v>
      </c>
      <c r="U1631" s="37" t="s">
        <v>2517</v>
      </c>
      <c r="V1631" s="37" t="s">
        <v>9265</v>
      </c>
      <c r="W1631" s="37" t="s">
        <v>9259</v>
      </c>
      <c r="X1631" s="60">
        <v>46023.548611111109</v>
      </c>
      <c r="Y1631" s="37" t="s">
        <v>9266</v>
      </c>
      <c r="Z1631" s="37">
        <v>0.7</v>
      </c>
      <c r="AA1631" s="37"/>
      <c r="AB1631" s="37" t="s">
        <v>2521</v>
      </c>
      <c r="AC1631" s="40" t="s">
        <v>9261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9267</v>
      </c>
      <c r="E1632" s="37" t="s">
        <v>2504</v>
      </c>
      <c r="F1632" s="37">
        <v>2442</v>
      </c>
      <c r="G1632" s="37" t="s">
        <v>3059</v>
      </c>
      <c r="H1632" s="37" t="s">
        <v>2987</v>
      </c>
      <c r="I1632" s="37" t="s">
        <v>9268</v>
      </c>
      <c r="J1632" s="37" t="s">
        <v>2835</v>
      </c>
      <c r="K1632" s="37" t="s">
        <v>2568</v>
      </c>
      <c r="L1632" s="37" t="s">
        <v>2569</v>
      </c>
      <c r="M1632" s="38" t="s">
        <v>2570</v>
      </c>
      <c r="N1632" s="37">
        <v>2501</v>
      </c>
      <c r="O1632" s="38" t="s">
        <v>2571</v>
      </c>
      <c r="P1632" s="39" t="s">
        <v>9269</v>
      </c>
      <c r="Q1632" s="37" t="s">
        <v>3060</v>
      </c>
      <c r="R1632" s="37" t="s">
        <v>2516</v>
      </c>
      <c r="S1632" s="37" t="s">
        <v>185</v>
      </c>
      <c r="T1632" s="37">
        <v>1</v>
      </c>
      <c r="U1632" s="37" t="s">
        <v>2517</v>
      </c>
      <c r="V1632" s="37" t="s">
        <v>9270</v>
      </c>
      <c r="W1632" s="37" t="s">
        <v>9271</v>
      </c>
      <c r="X1632" s="60">
        <v>46023.520833333343</v>
      </c>
      <c r="Y1632" s="37" t="s">
        <v>9266</v>
      </c>
      <c r="Z1632" s="37">
        <v>0.5</v>
      </c>
      <c r="AA1632" s="37"/>
      <c r="AB1632" s="37" t="s">
        <v>2521</v>
      </c>
      <c r="AC1632" s="40" t="s">
        <v>9261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9272</v>
      </c>
      <c r="E1633" s="37" t="s">
        <v>2504</v>
      </c>
      <c r="F1633" s="37">
        <v>2109</v>
      </c>
      <c r="G1633" s="37" t="s">
        <v>6202</v>
      </c>
      <c r="H1633" s="37" t="s">
        <v>2659</v>
      </c>
      <c r="I1633" s="37" t="s">
        <v>9273</v>
      </c>
      <c r="J1633" s="37" t="s">
        <v>2835</v>
      </c>
      <c r="K1633" s="37" t="s">
        <v>2510</v>
      </c>
      <c r="L1633" s="37" t="s">
        <v>2945</v>
      </c>
      <c r="M1633" s="38" t="s">
        <v>2946</v>
      </c>
      <c r="N1633" s="37" t="s">
        <v>2947</v>
      </c>
      <c r="O1633" s="38" t="s">
        <v>2948</v>
      </c>
      <c r="P1633" s="39" t="s">
        <v>9274</v>
      </c>
      <c r="Q1633" s="37" t="s">
        <v>3395</v>
      </c>
      <c r="R1633" s="37" t="s">
        <v>2516</v>
      </c>
      <c r="S1633" s="37" t="s">
        <v>185</v>
      </c>
      <c r="T1633" s="37">
        <v>1</v>
      </c>
      <c r="U1633" s="37" t="s">
        <v>2517</v>
      </c>
      <c r="V1633" s="37" t="s">
        <v>9275</v>
      </c>
      <c r="W1633" s="37" t="s">
        <v>9276</v>
      </c>
      <c r="X1633" s="60">
        <v>46024.375</v>
      </c>
      <c r="Y1633" s="37" t="s">
        <v>9266</v>
      </c>
      <c r="Z1633" s="37">
        <v>0.5</v>
      </c>
      <c r="AA1633" s="37"/>
      <c r="AB1633" s="37" t="s">
        <v>2521</v>
      </c>
      <c r="AC1633" s="40" t="s">
        <v>9277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6202</v>
      </c>
      <c r="H1634" s="37" t="s">
        <v>2659</v>
      </c>
      <c r="I1634" s="37"/>
      <c r="J1634" s="37"/>
      <c r="K1634" s="37"/>
      <c r="L1634" s="37"/>
      <c r="M1634" s="38"/>
      <c r="N1634" s="37"/>
      <c r="O1634" s="38"/>
      <c r="P1634" s="39"/>
      <c r="Q1634" s="37" t="s">
        <v>3395</v>
      </c>
      <c r="R1634" s="37" t="s">
        <v>2516</v>
      </c>
      <c r="S1634" s="37" t="s">
        <v>185</v>
      </c>
      <c r="T1634" s="37">
        <v>1</v>
      </c>
      <c r="U1634" s="37" t="s">
        <v>2517</v>
      </c>
      <c r="V1634" s="37" t="s">
        <v>9278</v>
      </c>
      <c r="W1634" s="37" t="s">
        <v>9279</v>
      </c>
      <c r="X1634" s="60">
        <v>46024.395833333343</v>
      </c>
      <c r="Y1634" s="37"/>
      <c r="Z1634" s="37">
        <v>0.5</v>
      </c>
      <c r="AA1634" s="37"/>
      <c r="AB1634" s="37" t="s">
        <v>2521</v>
      </c>
      <c r="AC1634" s="40" t="s">
        <v>9280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9281</v>
      </c>
      <c r="E1635" s="37" t="s">
        <v>2504</v>
      </c>
      <c r="F1635" s="37">
        <v>2399</v>
      </c>
      <c r="G1635" s="37" t="s">
        <v>3096</v>
      </c>
      <c r="H1635" s="37" t="s">
        <v>2507</v>
      </c>
      <c r="I1635" s="37" t="s">
        <v>9282</v>
      </c>
      <c r="J1635" s="37" t="s">
        <v>2835</v>
      </c>
      <c r="K1635" s="37" t="s">
        <v>2510</v>
      </c>
      <c r="L1635" s="37" t="s">
        <v>2662</v>
      </c>
      <c r="M1635" s="38" t="s">
        <v>2663</v>
      </c>
      <c r="N1635" s="37">
        <v>2702</v>
      </c>
      <c r="O1635" s="38" t="s">
        <v>3065</v>
      </c>
      <c r="P1635" s="39" t="s">
        <v>9283</v>
      </c>
      <c r="Q1635" s="37" t="s">
        <v>3097</v>
      </c>
      <c r="R1635" s="37" t="s">
        <v>2516</v>
      </c>
      <c r="S1635" s="37" t="s">
        <v>549</v>
      </c>
      <c r="T1635" s="37">
        <v>1</v>
      </c>
      <c r="U1635" s="37" t="s">
        <v>2517</v>
      </c>
      <c r="V1635" s="37" t="s">
        <v>9284</v>
      </c>
      <c r="W1635" s="37" t="s">
        <v>9285</v>
      </c>
      <c r="X1635" s="60">
        <v>46024.4375</v>
      </c>
      <c r="Y1635" s="37" t="s">
        <v>9266</v>
      </c>
      <c r="Z1635" s="37">
        <v>0.5</v>
      </c>
      <c r="AA1635" s="37"/>
      <c r="AB1635" s="37" t="s">
        <v>2521</v>
      </c>
      <c r="AC1635" s="40" t="s">
        <v>9286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9287</v>
      </c>
      <c r="E1636" s="37" t="s">
        <v>2504</v>
      </c>
      <c r="F1636" s="37">
        <v>4852</v>
      </c>
      <c r="G1636" s="37" t="s">
        <v>9288</v>
      </c>
      <c r="H1636" s="37" t="s">
        <v>9289</v>
      </c>
      <c r="I1636" s="37" t="s">
        <v>9290</v>
      </c>
      <c r="J1636" s="37" t="s">
        <v>2835</v>
      </c>
      <c r="K1636" s="37" t="s">
        <v>2510</v>
      </c>
      <c r="L1636" s="37" t="s">
        <v>2525</v>
      </c>
      <c r="M1636" s="38" t="s">
        <v>2526</v>
      </c>
      <c r="N1636" s="37">
        <v>5801</v>
      </c>
      <c r="O1636" s="38" t="s">
        <v>2527</v>
      </c>
      <c r="P1636" s="39" t="s">
        <v>9291</v>
      </c>
      <c r="Q1636" s="37" t="s">
        <v>9292</v>
      </c>
      <c r="R1636" s="37" t="s">
        <v>2516</v>
      </c>
      <c r="S1636" s="37" t="s">
        <v>25</v>
      </c>
      <c r="T1636" s="37">
        <v>1</v>
      </c>
      <c r="U1636" s="37" t="s">
        <v>2517</v>
      </c>
      <c r="V1636" s="37" t="s">
        <v>9293</v>
      </c>
      <c r="W1636" s="37" t="s">
        <v>9294</v>
      </c>
      <c r="X1636" s="60">
        <v>46024.631944444453</v>
      </c>
      <c r="Y1636" s="37" t="s">
        <v>9266</v>
      </c>
      <c r="Z1636" s="37">
        <v>0.3</v>
      </c>
      <c r="AA1636" s="37"/>
      <c r="AB1636" s="37" t="s">
        <v>2521</v>
      </c>
      <c r="AC1636" s="40" t="s">
        <v>9295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3096</v>
      </c>
      <c r="H1637" s="37" t="s">
        <v>2507</v>
      </c>
      <c r="I1637" s="37"/>
      <c r="J1637" s="37"/>
      <c r="K1637" s="37"/>
      <c r="L1637" s="37"/>
      <c r="M1637" s="38"/>
      <c r="N1637" s="37"/>
      <c r="O1637" s="38"/>
      <c r="P1637" s="39"/>
      <c r="Q1637" s="37" t="s">
        <v>3097</v>
      </c>
      <c r="R1637" s="37" t="s">
        <v>2516</v>
      </c>
      <c r="S1637" s="37" t="s">
        <v>549</v>
      </c>
      <c r="T1637" s="37">
        <v>1</v>
      </c>
      <c r="U1637" s="37" t="s">
        <v>2517</v>
      </c>
      <c r="V1637" s="37" t="s">
        <v>9296</v>
      </c>
      <c r="W1637" s="37" t="s">
        <v>9297</v>
      </c>
      <c r="X1637" s="60">
        <v>46024.416666666657</v>
      </c>
      <c r="Y1637" s="37"/>
      <c r="Z1637" s="37">
        <v>0.3</v>
      </c>
      <c r="AA1637" s="37"/>
      <c r="AB1637" s="37" t="s">
        <v>2521</v>
      </c>
      <c r="AC1637" s="40" t="s">
        <v>9298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9299</v>
      </c>
      <c r="E1638" s="37" t="s">
        <v>2504</v>
      </c>
      <c r="F1638" s="37">
        <v>3913</v>
      </c>
      <c r="G1638" s="37" t="s">
        <v>9300</v>
      </c>
      <c r="H1638" s="37" t="s">
        <v>9301</v>
      </c>
      <c r="I1638" s="37" t="s">
        <v>9302</v>
      </c>
      <c r="J1638" s="37" t="s">
        <v>2567</v>
      </c>
      <c r="K1638" s="37" t="s">
        <v>2568</v>
      </c>
      <c r="L1638" s="37" t="s">
        <v>2611</v>
      </c>
      <c r="M1638" s="38" t="s">
        <v>2612</v>
      </c>
      <c r="N1638" s="37" t="s">
        <v>3110</v>
      </c>
      <c r="O1638" s="38" t="s">
        <v>6688</v>
      </c>
      <c r="P1638" s="39" t="s">
        <v>9303</v>
      </c>
      <c r="Q1638" s="37" t="s">
        <v>9304</v>
      </c>
      <c r="R1638" s="37" t="s">
        <v>2516</v>
      </c>
      <c r="S1638" s="37" t="s">
        <v>549</v>
      </c>
      <c r="T1638" s="37">
        <v>1</v>
      </c>
      <c r="U1638" s="37" t="s">
        <v>2517</v>
      </c>
      <c r="V1638" s="37" t="s">
        <v>9305</v>
      </c>
      <c r="W1638" s="37" t="s">
        <v>9306</v>
      </c>
      <c r="X1638" s="60">
        <v>46024.638888888891</v>
      </c>
      <c r="Y1638" s="37" t="s">
        <v>9307</v>
      </c>
      <c r="Z1638" s="37">
        <v>0.3</v>
      </c>
      <c r="AA1638" s="37"/>
      <c r="AB1638" s="37" t="s">
        <v>2521</v>
      </c>
      <c r="AC1638" s="40" t="s">
        <v>9308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9309</v>
      </c>
      <c r="E1639" s="37" t="s">
        <v>2504</v>
      </c>
      <c r="F1639" s="37">
        <v>3913</v>
      </c>
      <c r="G1639" s="37" t="s">
        <v>9300</v>
      </c>
      <c r="H1639" s="37" t="s">
        <v>9301</v>
      </c>
      <c r="I1639" s="37" t="s">
        <v>9310</v>
      </c>
      <c r="J1639" s="37" t="s">
        <v>2567</v>
      </c>
      <c r="K1639" s="37" t="s">
        <v>2568</v>
      </c>
      <c r="L1639" s="37" t="s">
        <v>2611</v>
      </c>
      <c r="M1639" s="38" t="s">
        <v>2612</v>
      </c>
      <c r="N1639" s="37" t="s">
        <v>3110</v>
      </c>
      <c r="O1639" s="38" t="s">
        <v>6688</v>
      </c>
      <c r="P1639" s="39" t="s">
        <v>9311</v>
      </c>
      <c r="Q1639" s="37" t="s">
        <v>9304</v>
      </c>
      <c r="R1639" s="37" t="s">
        <v>2516</v>
      </c>
      <c r="S1639" s="37" t="s">
        <v>549</v>
      </c>
      <c r="T1639" s="37">
        <v>1</v>
      </c>
      <c r="U1639" s="37" t="s">
        <v>2517</v>
      </c>
      <c r="V1639" s="37" t="s">
        <v>9312</v>
      </c>
      <c r="W1639" s="37" t="s">
        <v>9313</v>
      </c>
      <c r="X1639" s="60">
        <v>46024.652777777781</v>
      </c>
      <c r="Y1639" s="37" t="s">
        <v>9307</v>
      </c>
      <c r="Z1639" s="37">
        <v>0.3</v>
      </c>
      <c r="AA1639" s="37"/>
      <c r="AB1639" s="37" t="s">
        <v>2521</v>
      </c>
      <c r="AC1639" s="40" t="s">
        <v>9308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3334</v>
      </c>
      <c r="H1640" s="37" t="s">
        <v>2996</v>
      </c>
      <c r="I1640" s="37"/>
      <c r="J1640" s="37"/>
      <c r="K1640" s="37"/>
      <c r="L1640" s="37"/>
      <c r="M1640" s="38"/>
      <c r="N1640" s="37"/>
      <c r="O1640" s="38"/>
      <c r="P1640" s="39"/>
      <c r="Q1640" s="37" t="s">
        <v>3335</v>
      </c>
      <c r="R1640" s="37" t="s">
        <v>2516</v>
      </c>
      <c r="S1640" s="37" t="s">
        <v>185</v>
      </c>
      <c r="T1640" s="37">
        <v>1</v>
      </c>
      <c r="U1640" s="37" t="s">
        <v>2517</v>
      </c>
      <c r="V1640" s="37" t="s">
        <v>9314</v>
      </c>
      <c r="W1640" s="37" t="s">
        <v>9315</v>
      </c>
      <c r="X1640" s="60">
        <v>46024.458333333343</v>
      </c>
      <c r="Y1640" s="37"/>
      <c r="Z1640" s="37">
        <v>0.5</v>
      </c>
      <c r="AA1640" s="37"/>
      <c r="AB1640" s="37" t="s">
        <v>2521</v>
      </c>
      <c r="AC1640" s="40" t="s">
        <v>9316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9317</v>
      </c>
      <c r="E1641" s="37" t="s">
        <v>2504</v>
      </c>
      <c r="F1641" s="37">
        <v>4788</v>
      </c>
      <c r="G1641" s="37" t="s">
        <v>4161</v>
      </c>
      <c r="H1641" s="37" t="s">
        <v>1604</v>
      </c>
      <c r="I1641" s="37" t="s">
        <v>9318</v>
      </c>
      <c r="J1641" s="37" t="s">
        <v>2567</v>
      </c>
      <c r="K1641" s="37" t="s">
        <v>2568</v>
      </c>
      <c r="L1641" s="37" t="s">
        <v>2611</v>
      </c>
      <c r="M1641" s="38" t="s">
        <v>2612</v>
      </c>
      <c r="N1641" s="37" t="s">
        <v>3110</v>
      </c>
      <c r="O1641" s="38" t="s">
        <v>6688</v>
      </c>
      <c r="P1641" s="39" t="s">
        <v>9319</v>
      </c>
      <c r="Q1641" s="37" t="s">
        <v>4162</v>
      </c>
      <c r="R1641" s="37" t="s">
        <v>2516</v>
      </c>
      <c r="S1641" s="37" t="s">
        <v>25</v>
      </c>
      <c r="T1641" s="37">
        <v>1</v>
      </c>
      <c r="U1641" s="37" t="s">
        <v>2517</v>
      </c>
      <c r="V1641" s="37" t="s">
        <v>9320</v>
      </c>
      <c r="W1641" s="37" t="s">
        <v>9321</v>
      </c>
      <c r="X1641" s="60">
        <v>46024.5</v>
      </c>
      <c r="Y1641" s="37" t="s">
        <v>9322</v>
      </c>
      <c r="Z1641" s="37">
        <v>0.3</v>
      </c>
      <c r="AA1641" s="37"/>
      <c r="AB1641" s="37" t="s">
        <v>2521</v>
      </c>
      <c r="AC1641" s="40" t="s">
        <v>9323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9324</v>
      </c>
      <c r="E1642" s="37" t="s">
        <v>2504</v>
      </c>
      <c r="F1642" s="37">
        <v>4788</v>
      </c>
      <c r="G1642" s="37" t="s">
        <v>4161</v>
      </c>
      <c r="H1642" s="37" t="s">
        <v>1604</v>
      </c>
      <c r="I1642" s="37" t="s">
        <v>9325</v>
      </c>
      <c r="J1642" s="37" t="s">
        <v>2567</v>
      </c>
      <c r="K1642" s="37" t="s">
        <v>2568</v>
      </c>
      <c r="L1642" s="37" t="s">
        <v>2611</v>
      </c>
      <c r="M1642" s="38" t="s">
        <v>2612</v>
      </c>
      <c r="N1642" s="37" t="s">
        <v>3110</v>
      </c>
      <c r="O1642" s="38" t="s">
        <v>6688</v>
      </c>
      <c r="P1642" s="39" t="s">
        <v>9326</v>
      </c>
      <c r="Q1642" s="37" t="s">
        <v>4162</v>
      </c>
      <c r="R1642" s="37" t="s">
        <v>2516</v>
      </c>
      <c r="S1642" s="37" t="s">
        <v>25</v>
      </c>
      <c r="T1642" s="37">
        <v>1</v>
      </c>
      <c r="U1642" s="37" t="s">
        <v>2517</v>
      </c>
      <c r="V1642" s="37" t="s">
        <v>9327</v>
      </c>
      <c r="W1642" s="37" t="s">
        <v>9321</v>
      </c>
      <c r="X1642" s="60">
        <v>46024.5</v>
      </c>
      <c r="Y1642" s="37" t="s">
        <v>9328</v>
      </c>
      <c r="Z1642" s="37">
        <v>0.3</v>
      </c>
      <c r="AA1642" s="37"/>
      <c r="AB1642" s="37" t="s">
        <v>2521</v>
      </c>
      <c r="AC1642" s="40" t="s">
        <v>9323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3338</v>
      </c>
      <c r="H1643" s="37" t="s">
        <v>2996</v>
      </c>
      <c r="I1643" s="37"/>
      <c r="J1643" s="37"/>
      <c r="K1643" s="37"/>
      <c r="L1643" s="37"/>
      <c r="M1643" s="38"/>
      <c r="N1643" s="37"/>
      <c r="O1643" s="38"/>
      <c r="P1643" s="39"/>
      <c r="Q1643" s="37" t="s">
        <v>3339</v>
      </c>
      <c r="R1643" s="37" t="s">
        <v>2516</v>
      </c>
      <c r="S1643" s="37" t="s">
        <v>185</v>
      </c>
      <c r="T1643" s="37">
        <v>1</v>
      </c>
      <c r="U1643" s="37" t="s">
        <v>2517</v>
      </c>
      <c r="V1643" s="37" t="s">
        <v>9329</v>
      </c>
      <c r="W1643" s="37" t="s">
        <v>9330</v>
      </c>
      <c r="X1643" s="60">
        <v>46024.479166666657</v>
      </c>
      <c r="Y1643" s="37"/>
      <c r="Z1643" s="37">
        <v>0.5</v>
      </c>
      <c r="AA1643" s="37"/>
      <c r="AB1643" s="37" t="s">
        <v>2521</v>
      </c>
      <c r="AC1643" s="40" t="s">
        <v>9331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2556</v>
      </c>
      <c r="H1644" s="37" t="s">
        <v>1604</v>
      </c>
      <c r="I1644" s="37"/>
      <c r="J1644" s="37"/>
      <c r="K1644" s="37"/>
      <c r="L1644" s="37"/>
      <c r="M1644" s="38"/>
      <c r="N1644" s="37"/>
      <c r="O1644" s="38"/>
      <c r="P1644" s="39"/>
      <c r="Q1644" s="37" t="s">
        <v>2557</v>
      </c>
      <c r="R1644" s="37" t="s">
        <v>2516</v>
      </c>
      <c r="S1644" s="37" t="s">
        <v>25</v>
      </c>
      <c r="T1644" s="37">
        <v>1</v>
      </c>
      <c r="U1644" s="37" t="s">
        <v>2517</v>
      </c>
      <c r="V1644" s="37" t="s">
        <v>9332</v>
      </c>
      <c r="W1644" s="37" t="s">
        <v>9330</v>
      </c>
      <c r="X1644" s="60">
        <v>46024.482638888891</v>
      </c>
      <c r="Y1644" s="37"/>
      <c r="Z1644" s="37">
        <v>0.6</v>
      </c>
      <c r="AA1644" s="37"/>
      <c r="AB1644" s="37" t="s">
        <v>2521</v>
      </c>
      <c r="AC1644" s="40" t="s">
        <v>2560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4161</v>
      </c>
      <c r="H1645" s="37" t="s">
        <v>1604</v>
      </c>
      <c r="I1645" s="37"/>
      <c r="J1645" s="37"/>
      <c r="K1645" s="37"/>
      <c r="L1645" s="37"/>
      <c r="M1645" s="38"/>
      <c r="N1645" s="37"/>
      <c r="O1645" s="38"/>
      <c r="P1645" s="39"/>
      <c r="Q1645" s="37" t="s">
        <v>4162</v>
      </c>
      <c r="R1645" s="37" t="s">
        <v>2516</v>
      </c>
      <c r="S1645" s="37" t="s">
        <v>25</v>
      </c>
      <c r="T1645" s="37">
        <v>1</v>
      </c>
      <c r="U1645" s="37" t="s">
        <v>2517</v>
      </c>
      <c r="V1645" s="37" t="s">
        <v>9333</v>
      </c>
      <c r="W1645" s="37" t="s">
        <v>9334</v>
      </c>
      <c r="X1645" s="60">
        <v>46024.520138888889</v>
      </c>
      <c r="Y1645" s="37"/>
      <c r="Z1645" s="37">
        <v>0.5</v>
      </c>
      <c r="AA1645" s="37"/>
      <c r="AB1645" s="37" t="s">
        <v>2521</v>
      </c>
      <c r="AC1645" s="40" t="s">
        <v>9335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9288</v>
      </c>
      <c r="H1646" s="37" t="s">
        <v>9289</v>
      </c>
      <c r="I1646" s="37"/>
      <c r="J1646" s="37"/>
      <c r="K1646" s="37"/>
      <c r="L1646" s="37"/>
      <c r="M1646" s="38"/>
      <c r="N1646" s="37"/>
      <c r="O1646" s="38"/>
      <c r="P1646" s="39"/>
      <c r="Q1646" s="37" t="s">
        <v>9292</v>
      </c>
      <c r="R1646" s="37" t="s">
        <v>2516</v>
      </c>
      <c r="S1646" s="37" t="s">
        <v>25</v>
      </c>
      <c r="T1646" s="37">
        <v>1</v>
      </c>
      <c r="U1646" s="37" t="s">
        <v>2517</v>
      </c>
      <c r="V1646" s="37" t="s">
        <v>9336</v>
      </c>
      <c r="W1646" s="37" t="s">
        <v>9337</v>
      </c>
      <c r="X1646" s="60">
        <v>46024.645833333343</v>
      </c>
      <c r="Y1646" s="37"/>
      <c r="Z1646" s="37">
        <v>0.3</v>
      </c>
      <c r="AA1646" s="37"/>
      <c r="AB1646" s="37" t="s">
        <v>2521</v>
      </c>
      <c r="AC1646" s="40" t="s">
        <v>9338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9300</v>
      </c>
      <c r="H1647" s="37" t="s">
        <v>9301</v>
      </c>
      <c r="I1647" s="37"/>
      <c r="J1647" s="37"/>
      <c r="K1647" s="37"/>
      <c r="L1647" s="37"/>
      <c r="M1647" s="38"/>
      <c r="N1647" s="37"/>
      <c r="O1647" s="38"/>
      <c r="P1647" s="39"/>
      <c r="Q1647" s="37" t="s">
        <v>9304</v>
      </c>
      <c r="R1647" s="37" t="s">
        <v>2516</v>
      </c>
      <c r="S1647" s="37" t="s">
        <v>549</v>
      </c>
      <c r="T1647" s="37">
        <v>1</v>
      </c>
      <c r="U1647" s="37" t="s">
        <v>2517</v>
      </c>
      <c r="V1647" s="37" t="s">
        <v>9339</v>
      </c>
      <c r="W1647" s="37" t="s">
        <v>9340</v>
      </c>
      <c r="X1647" s="60">
        <v>46024.625</v>
      </c>
      <c r="Y1647" s="37"/>
      <c r="Z1647" s="37">
        <v>0.3</v>
      </c>
      <c r="AA1647" s="37"/>
      <c r="AB1647" s="37" t="s">
        <v>2521</v>
      </c>
      <c r="AC1647" s="40" t="s">
        <v>9341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9288</v>
      </c>
      <c r="H1648" s="37" t="s">
        <v>9289</v>
      </c>
      <c r="I1648" s="37"/>
      <c r="J1648" s="37"/>
      <c r="K1648" s="37"/>
      <c r="L1648" s="37"/>
      <c r="M1648" s="38"/>
      <c r="N1648" s="37"/>
      <c r="O1648" s="38"/>
      <c r="P1648" s="39"/>
      <c r="Q1648" s="37" t="s">
        <v>9292</v>
      </c>
      <c r="R1648" s="37" t="s">
        <v>2516</v>
      </c>
      <c r="S1648" s="37" t="s">
        <v>25</v>
      </c>
      <c r="T1648" s="37">
        <v>1</v>
      </c>
      <c r="U1648" s="37" t="s">
        <v>2517</v>
      </c>
      <c r="V1648" s="37" t="s">
        <v>9342</v>
      </c>
      <c r="W1648" s="37" t="s">
        <v>9343</v>
      </c>
      <c r="X1648" s="60">
        <v>46024.625</v>
      </c>
      <c r="Y1648" s="37"/>
      <c r="Z1648" s="37">
        <v>0.1</v>
      </c>
      <c r="AA1648" s="37"/>
      <c r="AB1648" s="37" t="s">
        <v>2521</v>
      </c>
      <c r="AC1648" s="40" t="s">
        <v>8136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9344</v>
      </c>
      <c r="E1649" s="37" t="s">
        <v>2504</v>
      </c>
      <c r="F1649" s="37">
        <v>3785</v>
      </c>
      <c r="G1649" s="37" t="s">
        <v>3413</v>
      </c>
      <c r="H1649" s="37" t="s">
        <v>2659</v>
      </c>
      <c r="I1649" s="37" t="s">
        <v>9345</v>
      </c>
      <c r="J1649" s="37" t="s">
        <v>2567</v>
      </c>
      <c r="K1649" s="37" t="s">
        <v>2717</v>
      </c>
      <c r="L1649" s="37" t="s">
        <v>3150</v>
      </c>
      <c r="M1649" s="38" t="s">
        <v>3151</v>
      </c>
      <c r="N1649" s="37">
        <v>5903</v>
      </c>
      <c r="O1649" s="38" t="s">
        <v>3152</v>
      </c>
      <c r="P1649" s="39" t="s">
        <v>9346</v>
      </c>
      <c r="Q1649" s="37" t="s">
        <v>3414</v>
      </c>
      <c r="R1649" s="37" t="s">
        <v>2516</v>
      </c>
      <c r="S1649" s="37" t="s">
        <v>185</v>
      </c>
      <c r="T1649" s="37">
        <v>1</v>
      </c>
      <c r="U1649" s="37" t="s">
        <v>2517</v>
      </c>
      <c r="V1649" s="37" t="s">
        <v>9347</v>
      </c>
      <c r="W1649" s="37" t="s">
        <v>9348</v>
      </c>
      <c r="X1649" s="60">
        <v>46028.395833333343</v>
      </c>
      <c r="Y1649" s="37" t="s">
        <v>9349</v>
      </c>
      <c r="Z1649" s="37">
        <v>0.5</v>
      </c>
      <c r="AA1649" s="37"/>
      <c r="AB1649" s="37" t="s">
        <v>2521</v>
      </c>
      <c r="AC1649" s="40" t="s">
        <v>9350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9351</v>
      </c>
      <c r="E1650" s="37" t="s">
        <v>2504</v>
      </c>
      <c r="F1650" s="37">
        <v>4029</v>
      </c>
      <c r="G1650" s="37" t="s">
        <v>3568</v>
      </c>
      <c r="H1650" s="37" t="s">
        <v>2507</v>
      </c>
      <c r="I1650" s="37" t="s">
        <v>9352</v>
      </c>
      <c r="J1650" s="37" t="s">
        <v>2930</v>
      </c>
      <c r="K1650" s="37" t="s">
        <v>2568</v>
      </c>
      <c r="L1650" s="37" t="s">
        <v>2569</v>
      </c>
      <c r="M1650" s="38" t="s">
        <v>2570</v>
      </c>
      <c r="N1650" s="37">
        <v>2501</v>
      </c>
      <c r="O1650" s="38" t="s">
        <v>2571</v>
      </c>
      <c r="P1650" s="39" t="s">
        <v>9353</v>
      </c>
      <c r="Q1650" s="37" t="s">
        <v>3569</v>
      </c>
      <c r="R1650" s="37" t="s">
        <v>2516</v>
      </c>
      <c r="S1650" s="37" t="s">
        <v>549</v>
      </c>
      <c r="T1650" s="37">
        <v>1</v>
      </c>
      <c r="U1650" s="37" t="s">
        <v>2517</v>
      </c>
      <c r="V1650" s="37" t="s">
        <v>9354</v>
      </c>
      <c r="W1650" s="37" t="s">
        <v>9355</v>
      </c>
      <c r="X1650" s="60">
        <v>46025.583333333343</v>
      </c>
      <c r="Y1650" s="37" t="s">
        <v>9349</v>
      </c>
      <c r="Z1650" s="37">
        <v>0.1</v>
      </c>
      <c r="AA1650" s="37"/>
      <c r="AB1650" s="37" t="s">
        <v>2915</v>
      </c>
      <c r="AC1650" s="40" t="s">
        <v>9356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9357</v>
      </c>
      <c r="E1651" s="37" t="s">
        <v>2843</v>
      </c>
      <c r="F1651" s="37">
        <v>4029</v>
      </c>
      <c r="G1651" s="37" t="s">
        <v>3568</v>
      </c>
      <c r="H1651" s="37" t="s">
        <v>2507</v>
      </c>
      <c r="I1651" s="37" t="s">
        <v>9358</v>
      </c>
      <c r="J1651" s="37" t="s">
        <v>2930</v>
      </c>
      <c r="K1651" s="37" t="s">
        <v>2510</v>
      </c>
      <c r="L1651" s="37" t="s">
        <v>2569</v>
      </c>
      <c r="M1651" s="38" t="s">
        <v>2570</v>
      </c>
      <c r="N1651" s="37">
        <v>2501</v>
      </c>
      <c r="O1651" s="38" t="s">
        <v>2571</v>
      </c>
      <c r="P1651" s="39" t="s">
        <v>9359</v>
      </c>
      <c r="Q1651" s="37" t="s">
        <v>3569</v>
      </c>
      <c r="R1651" s="37" t="s">
        <v>2516</v>
      </c>
      <c r="S1651" s="37" t="s">
        <v>25</v>
      </c>
      <c r="T1651" s="37">
        <v>1</v>
      </c>
      <c r="U1651" s="37" t="s">
        <v>2517</v>
      </c>
      <c r="V1651" s="37" t="s">
        <v>9360</v>
      </c>
      <c r="W1651" s="37" t="s">
        <v>9361</v>
      </c>
      <c r="X1651" s="60">
        <v>46025.67083333333</v>
      </c>
      <c r="Y1651" s="37" t="s">
        <v>9362</v>
      </c>
      <c r="Z1651" s="37">
        <v>0.6</v>
      </c>
      <c r="AA1651" s="37"/>
      <c r="AB1651" s="37" t="s">
        <v>2521</v>
      </c>
      <c r="AC1651" s="40" t="s">
        <v>9363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9364</v>
      </c>
      <c r="E1652" s="37" t="s">
        <v>2504</v>
      </c>
      <c r="F1652" s="37">
        <v>3890</v>
      </c>
      <c r="G1652" s="37" t="s">
        <v>2548</v>
      </c>
      <c r="H1652" s="37" t="s">
        <v>2507</v>
      </c>
      <c r="I1652" s="37" t="s">
        <v>9365</v>
      </c>
      <c r="J1652" s="37" t="s">
        <v>2930</v>
      </c>
      <c r="K1652" s="37" t="s">
        <v>2510</v>
      </c>
      <c r="L1652" s="37" t="s">
        <v>2945</v>
      </c>
      <c r="M1652" s="38" t="s">
        <v>2946</v>
      </c>
      <c r="N1652" s="37" t="s">
        <v>2947</v>
      </c>
      <c r="O1652" s="38" t="s">
        <v>2948</v>
      </c>
      <c r="P1652" s="39" t="s">
        <v>9366</v>
      </c>
      <c r="Q1652" s="37" t="s">
        <v>2552</v>
      </c>
      <c r="R1652" s="37" t="s">
        <v>2516</v>
      </c>
      <c r="S1652" s="37" t="s">
        <v>549</v>
      </c>
      <c r="T1652" s="37">
        <v>1</v>
      </c>
      <c r="U1652" s="37" t="s">
        <v>2517</v>
      </c>
      <c r="V1652" s="37" t="s">
        <v>9367</v>
      </c>
      <c r="W1652" s="37" t="s">
        <v>9348</v>
      </c>
      <c r="X1652" s="60">
        <v>46028.392361111109</v>
      </c>
      <c r="Y1652" s="37" t="s">
        <v>9349</v>
      </c>
      <c r="Z1652" s="37">
        <v>0.4</v>
      </c>
      <c r="AA1652" s="37"/>
      <c r="AB1652" s="37" t="s">
        <v>2521</v>
      </c>
      <c r="AC1652" s="40" t="s">
        <v>9368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9369</v>
      </c>
      <c r="E1653" s="37" t="s">
        <v>2504</v>
      </c>
      <c r="F1653" s="37">
        <v>3741</v>
      </c>
      <c r="G1653" s="37" t="s">
        <v>3516</v>
      </c>
      <c r="H1653" s="37" t="s">
        <v>2507</v>
      </c>
      <c r="I1653" s="37" t="s">
        <v>9370</v>
      </c>
      <c r="J1653" s="37" t="s">
        <v>2930</v>
      </c>
      <c r="K1653" s="37" t="s">
        <v>2717</v>
      </c>
      <c r="L1653" s="37" t="s">
        <v>9371</v>
      </c>
      <c r="M1653" s="38" t="s">
        <v>9372</v>
      </c>
      <c r="N1653" s="37" t="s">
        <v>9373</v>
      </c>
      <c r="O1653" s="38" t="s">
        <v>9374</v>
      </c>
      <c r="P1653" s="39" t="s">
        <v>9375</v>
      </c>
      <c r="Q1653" s="37" t="s">
        <v>3519</v>
      </c>
      <c r="R1653" s="37" t="s">
        <v>2516</v>
      </c>
      <c r="S1653" s="37" t="s">
        <v>549</v>
      </c>
      <c r="T1653" s="37">
        <v>1</v>
      </c>
      <c r="U1653" s="37" t="s">
        <v>2517</v>
      </c>
      <c r="V1653" s="37" t="s">
        <v>9376</v>
      </c>
      <c r="W1653" s="37" t="s">
        <v>9377</v>
      </c>
      <c r="X1653" s="60">
        <v>46027.457638888889</v>
      </c>
      <c r="Y1653" s="37" t="s">
        <v>9349</v>
      </c>
      <c r="Z1653" s="37">
        <v>0.3</v>
      </c>
      <c r="AA1653" s="37"/>
      <c r="AB1653" s="37" t="s">
        <v>2521</v>
      </c>
      <c r="AC1653" s="40" t="s">
        <v>9378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9379</v>
      </c>
      <c r="E1654" s="37" t="s">
        <v>2504</v>
      </c>
      <c r="F1654" s="37">
        <v>5197</v>
      </c>
      <c r="G1654" s="37" t="s">
        <v>3092</v>
      </c>
      <c r="H1654" s="37" t="s">
        <v>2641</v>
      </c>
      <c r="I1654" s="37" t="s">
        <v>9380</v>
      </c>
      <c r="J1654" s="37" t="s">
        <v>2643</v>
      </c>
      <c r="K1654" s="37" t="s">
        <v>2510</v>
      </c>
      <c r="L1654" s="37" t="s">
        <v>3483</v>
      </c>
      <c r="M1654" s="38" t="s">
        <v>3484</v>
      </c>
      <c r="N1654" s="37">
        <v>6003</v>
      </c>
      <c r="O1654" s="38" t="s">
        <v>3152</v>
      </c>
      <c r="P1654" s="39" t="s">
        <v>9381</v>
      </c>
      <c r="Q1654" s="37" t="s">
        <v>3093</v>
      </c>
      <c r="R1654" s="37" t="s">
        <v>2516</v>
      </c>
      <c r="S1654" s="37" t="s">
        <v>185</v>
      </c>
      <c r="T1654" s="37">
        <v>1</v>
      </c>
      <c r="U1654" s="37" t="s">
        <v>2517</v>
      </c>
      <c r="V1654" s="37" t="s">
        <v>9382</v>
      </c>
      <c r="W1654" s="37" t="s">
        <v>9383</v>
      </c>
      <c r="X1654" s="60">
        <v>46028.479166666657</v>
      </c>
      <c r="Y1654" s="37" t="s">
        <v>9349</v>
      </c>
      <c r="Z1654" s="37">
        <v>0.5</v>
      </c>
      <c r="AA1654" s="37"/>
      <c r="AB1654" s="37" t="s">
        <v>2521</v>
      </c>
      <c r="AC1654" s="40" t="s">
        <v>9384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9385</v>
      </c>
      <c r="E1655" s="37" t="s">
        <v>2504</v>
      </c>
      <c r="F1655" s="37">
        <v>4679</v>
      </c>
      <c r="G1655" s="37" t="s">
        <v>4375</v>
      </c>
      <c r="H1655" s="37" t="s">
        <v>2659</v>
      </c>
      <c r="I1655" s="37" t="s">
        <v>9386</v>
      </c>
      <c r="J1655" s="37" t="s">
        <v>2643</v>
      </c>
      <c r="K1655" s="37" t="s">
        <v>2510</v>
      </c>
      <c r="L1655" s="37" t="s">
        <v>2537</v>
      </c>
      <c r="M1655" s="38" t="s">
        <v>2538</v>
      </c>
      <c r="N1655" s="37" t="s">
        <v>2539</v>
      </c>
      <c r="O1655" s="38" t="s">
        <v>2540</v>
      </c>
      <c r="P1655" s="39" t="s">
        <v>9387</v>
      </c>
      <c r="Q1655" s="37" t="s">
        <v>4376</v>
      </c>
      <c r="R1655" s="37" t="s">
        <v>2516</v>
      </c>
      <c r="S1655" s="37" t="s">
        <v>185</v>
      </c>
      <c r="T1655" s="37">
        <v>1</v>
      </c>
      <c r="U1655" s="37" t="s">
        <v>2517</v>
      </c>
      <c r="V1655" s="37" t="s">
        <v>9388</v>
      </c>
      <c r="W1655" s="37" t="s">
        <v>9389</v>
      </c>
      <c r="X1655" s="60">
        <v>46028.4375</v>
      </c>
      <c r="Y1655" s="37" t="s">
        <v>9349</v>
      </c>
      <c r="Z1655" s="37">
        <v>0.3</v>
      </c>
      <c r="AA1655" s="37"/>
      <c r="AB1655" s="37" t="s">
        <v>2521</v>
      </c>
      <c r="AC1655" s="40" t="s">
        <v>9390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9391</v>
      </c>
      <c r="E1656" s="37" t="s">
        <v>2504</v>
      </c>
      <c r="F1656" s="37">
        <v>4679</v>
      </c>
      <c r="G1656" s="37" t="s">
        <v>4375</v>
      </c>
      <c r="H1656" s="37" t="s">
        <v>2659</v>
      </c>
      <c r="I1656" s="37" t="s">
        <v>9392</v>
      </c>
      <c r="J1656" s="37" t="s">
        <v>2643</v>
      </c>
      <c r="K1656" s="37" t="s">
        <v>2510</v>
      </c>
      <c r="L1656" s="37" t="s">
        <v>2525</v>
      </c>
      <c r="M1656" s="38" t="s">
        <v>2526</v>
      </c>
      <c r="N1656" s="37">
        <v>5801</v>
      </c>
      <c r="O1656" s="38" t="s">
        <v>2527</v>
      </c>
      <c r="P1656" s="39" t="s">
        <v>9393</v>
      </c>
      <c r="Q1656" s="37" t="s">
        <v>4376</v>
      </c>
      <c r="R1656" s="37" t="s">
        <v>2516</v>
      </c>
      <c r="S1656" s="37" t="s">
        <v>185</v>
      </c>
      <c r="T1656" s="37">
        <v>1</v>
      </c>
      <c r="U1656" s="37" t="s">
        <v>2517</v>
      </c>
      <c r="V1656" s="37" t="s">
        <v>9394</v>
      </c>
      <c r="W1656" s="37" t="s">
        <v>9395</v>
      </c>
      <c r="X1656" s="60">
        <v>46028.423611111109</v>
      </c>
      <c r="Y1656" s="37" t="s">
        <v>9349</v>
      </c>
      <c r="Z1656" s="37">
        <v>0.2</v>
      </c>
      <c r="AA1656" s="37"/>
      <c r="AB1656" s="37" t="s">
        <v>2521</v>
      </c>
      <c r="AC1656" s="40" t="s">
        <v>9396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9397</v>
      </c>
      <c r="E1657" s="37" t="s">
        <v>2504</v>
      </c>
      <c r="F1657" s="37">
        <v>3941</v>
      </c>
      <c r="G1657" s="37" t="s">
        <v>9398</v>
      </c>
      <c r="H1657" s="37" t="s">
        <v>9399</v>
      </c>
      <c r="I1657" s="37" t="s">
        <v>9400</v>
      </c>
      <c r="J1657" s="37" t="s">
        <v>2661</v>
      </c>
      <c r="K1657" s="37" t="s">
        <v>2568</v>
      </c>
      <c r="L1657" s="37" t="s">
        <v>2846</v>
      </c>
      <c r="M1657" s="38" t="s">
        <v>2847</v>
      </c>
      <c r="N1657" s="37">
        <v>2405</v>
      </c>
      <c r="O1657" s="38" t="s">
        <v>2963</v>
      </c>
      <c r="P1657" s="39" t="s">
        <v>9401</v>
      </c>
      <c r="Q1657" s="37" t="s">
        <v>9402</v>
      </c>
      <c r="R1657" s="37" t="s">
        <v>2516</v>
      </c>
      <c r="S1657" s="37" t="s">
        <v>549</v>
      </c>
      <c r="T1657" s="37">
        <v>1</v>
      </c>
      <c r="U1657" s="37" t="s">
        <v>2517</v>
      </c>
      <c r="V1657" s="37" t="s">
        <v>9403</v>
      </c>
      <c r="W1657" s="37" t="s">
        <v>9404</v>
      </c>
      <c r="X1657" s="60">
        <v>46028.508333333331</v>
      </c>
      <c r="Y1657" s="37" t="s">
        <v>9405</v>
      </c>
      <c r="Z1657" s="37">
        <v>1.7</v>
      </c>
      <c r="AA1657" s="37"/>
      <c r="AB1657" s="37" t="s">
        <v>2521</v>
      </c>
      <c r="AC1657" s="40" t="s">
        <v>9406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9407</v>
      </c>
      <c r="E1658" s="37" t="s">
        <v>2504</v>
      </c>
      <c r="F1658" s="37">
        <v>3017</v>
      </c>
      <c r="G1658" s="37" t="s">
        <v>9408</v>
      </c>
      <c r="H1658" s="37" t="s">
        <v>9409</v>
      </c>
      <c r="I1658" s="37" t="s">
        <v>9410</v>
      </c>
      <c r="J1658" s="37" t="s">
        <v>2661</v>
      </c>
      <c r="K1658" s="37" t="s">
        <v>2765</v>
      </c>
      <c r="L1658" s="37" t="s">
        <v>2846</v>
      </c>
      <c r="M1658" s="38" t="s">
        <v>2847</v>
      </c>
      <c r="N1658" s="37">
        <v>2401</v>
      </c>
      <c r="O1658" s="38" t="s">
        <v>2848</v>
      </c>
      <c r="P1658" s="39" t="s">
        <v>9411</v>
      </c>
      <c r="Q1658" s="37" t="s">
        <v>9412</v>
      </c>
      <c r="R1658" s="37" t="s">
        <v>2516</v>
      </c>
      <c r="S1658" s="37" t="s">
        <v>25</v>
      </c>
      <c r="T1658" s="37">
        <v>1</v>
      </c>
      <c r="U1658" s="37" t="s">
        <v>2517</v>
      </c>
      <c r="V1658" s="37" t="s">
        <v>9413</v>
      </c>
      <c r="W1658" s="37" t="s">
        <v>9266</v>
      </c>
      <c r="X1658" s="60">
        <v>46027.583333333343</v>
      </c>
      <c r="Y1658" s="37" t="s">
        <v>9414</v>
      </c>
      <c r="Z1658" s="37">
        <v>1</v>
      </c>
      <c r="AA1658" s="37"/>
      <c r="AB1658" s="37" t="s">
        <v>2521</v>
      </c>
      <c r="AC1658" s="40" t="s">
        <v>9415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9416</v>
      </c>
      <c r="H1659" s="37" t="s">
        <v>9409</v>
      </c>
      <c r="I1659" s="37"/>
      <c r="J1659" s="37"/>
      <c r="K1659" s="37"/>
      <c r="L1659" s="37"/>
      <c r="M1659" s="38"/>
      <c r="N1659" s="37"/>
      <c r="O1659" s="38"/>
      <c r="P1659" s="39"/>
      <c r="Q1659" s="37" t="s">
        <v>9417</v>
      </c>
      <c r="R1659" s="37" t="s">
        <v>2516</v>
      </c>
      <c r="S1659" s="37" t="s">
        <v>25</v>
      </c>
      <c r="T1659" s="37">
        <v>1</v>
      </c>
      <c r="U1659" s="37" t="s">
        <v>2517</v>
      </c>
      <c r="V1659" s="37" t="s">
        <v>9418</v>
      </c>
      <c r="W1659" s="37" t="s">
        <v>9419</v>
      </c>
      <c r="X1659" s="60">
        <v>46027.479166666657</v>
      </c>
      <c r="Y1659" s="37"/>
      <c r="Z1659" s="37">
        <v>1</v>
      </c>
      <c r="AA1659" s="37"/>
      <c r="AB1659" s="37" t="s">
        <v>2521</v>
      </c>
      <c r="AC1659" s="40" t="s">
        <v>9420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9408</v>
      </c>
      <c r="H1660" s="37" t="s">
        <v>9409</v>
      </c>
      <c r="I1660" s="37"/>
      <c r="J1660" s="37"/>
      <c r="K1660" s="37"/>
      <c r="L1660" s="37"/>
      <c r="M1660" s="38"/>
      <c r="N1660" s="37"/>
      <c r="O1660" s="38"/>
      <c r="P1660" s="39"/>
      <c r="Q1660" s="37" t="s">
        <v>9412</v>
      </c>
      <c r="R1660" s="37" t="s">
        <v>2516</v>
      </c>
      <c r="S1660" s="37" t="s">
        <v>25</v>
      </c>
      <c r="T1660" s="37">
        <v>1</v>
      </c>
      <c r="U1660" s="37" t="s">
        <v>2517</v>
      </c>
      <c r="V1660" s="37" t="s">
        <v>9421</v>
      </c>
      <c r="W1660" s="37" t="s">
        <v>9422</v>
      </c>
      <c r="X1660" s="60">
        <v>46027.606944444437</v>
      </c>
      <c r="Y1660" s="37"/>
      <c r="Z1660" s="37">
        <v>0.6</v>
      </c>
      <c r="AA1660" s="37"/>
      <c r="AB1660" s="37" t="s">
        <v>2521</v>
      </c>
      <c r="AC1660" s="40" t="s">
        <v>9423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9424</v>
      </c>
      <c r="H1661" s="37" t="s">
        <v>9409</v>
      </c>
      <c r="I1661" s="37"/>
      <c r="J1661" s="37"/>
      <c r="K1661" s="37"/>
      <c r="L1661" s="37"/>
      <c r="M1661" s="38"/>
      <c r="N1661" s="37"/>
      <c r="O1661" s="38"/>
      <c r="P1661" s="39"/>
      <c r="Q1661" s="37" t="s">
        <v>9425</v>
      </c>
      <c r="R1661" s="37" t="s">
        <v>2516</v>
      </c>
      <c r="S1661" s="37" t="s">
        <v>25</v>
      </c>
      <c r="T1661" s="37">
        <v>1</v>
      </c>
      <c r="U1661" s="37" t="s">
        <v>2517</v>
      </c>
      <c r="V1661" s="37" t="s">
        <v>9426</v>
      </c>
      <c r="W1661" s="37" t="s">
        <v>9427</v>
      </c>
      <c r="X1661" s="60">
        <v>46027.633333333331</v>
      </c>
      <c r="Y1661" s="37"/>
      <c r="Z1661" s="37">
        <v>0.4</v>
      </c>
      <c r="AA1661" s="37"/>
      <c r="AB1661" s="37" t="s">
        <v>2521</v>
      </c>
      <c r="AC1661" s="40" t="s">
        <v>9428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9429</v>
      </c>
      <c r="E1662" s="37" t="s">
        <v>2504</v>
      </c>
      <c r="F1662" s="37">
        <v>4196</v>
      </c>
      <c r="G1662" s="37" t="s">
        <v>3689</v>
      </c>
      <c r="H1662" s="37" t="s">
        <v>2507</v>
      </c>
      <c r="I1662" s="37" t="s">
        <v>9430</v>
      </c>
      <c r="J1662" s="37" t="s">
        <v>2661</v>
      </c>
      <c r="K1662" s="37" t="s">
        <v>2510</v>
      </c>
      <c r="L1662" s="37" t="s">
        <v>2511</v>
      </c>
      <c r="M1662" s="38" t="s">
        <v>2512</v>
      </c>
      <c r="N1662" s="37">
        <v>2306</v>
      </c>
      <c r="O1662" s="38" t="s">
        <v>2893</v>
      </c>
      <c r="P1662" s="39" t="s">
        <v>9431</v>
      </c>
      <c r="Q1662" s="37" t="s">
        <v>3690</v>
      </c>
      <c r="R1662" s="37" t="s">
        <v>2516</v>
      </c>
      <c r="S1662" s="37" t="s">
        <v>549</v>
      </c>
      <c r="T1662" s="37">
        <v>1</v>
      </c>
      <c r="U1662" s="37" t="s">
        <v>2517</v>
      </c>
      <c r="V1662" s="37" t="s">
        <v>9432</v>
      </c>
      <c r="W1662" s="37" t="s">
        <v>9433</v>
      </c>
      <c r="X1662" s="60">
        <v>46027.714583333327</v>
      </c>
      <c r="Y1662" s="37" t="s">
        <v>9434</v>
      </c>
      <c r="Z1662" s="37">
        <v>0.5</v>
      </c>
      <c r="AA1662" s="37"/>
      <c r="AB1662" s="37" t="s">
        <v>2915</v>
      </c>
      <c r="AC1662" s="40" t="s">
        <v>9435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9436</v>
      </c>
      <c r="E1663" s="37" t="s">
        <v>2504</v>
      </c>
      <c r="F1663" s="37">
        <v>4196</v>
      </c>
      <c r="G1663" s="37" t="s">
        <v>3689</v>
      </c>
      <c r="H1663" s="37" t="s">
        <v>2507</v>
      </c>
      <c r="I1663" s="37" t="s">
        <v>9437</v>
      </c>
      <c r="J1663" s="37" t="s">
        <v>2661</v>
      </c>
      <c r="K1663" s="37" t="s">
        <v>2510</v>
      </c>
      <c r="L1663" s="37" t="s">
        <v>2511</v>
      </c>
      <c r="M1663" s="38" t="s">
        <v>2512</v>
      </c>
      <c r="N1663" s="37">
        <v>2307</v>
      </c>
      <c r="O1663" s="38" t="s">
        <v>2678</v>
      </c>
      <c r="P1663" s="39" t="s">
        <v>9438</v>
      </c>
      <c r="Q1663" s="37" t="s">
        <v>3690</v>
      </c>
      <c r="R1663" s="37" t="s">
        <v>2516</v>
      </c>
      <c r="S1663" s="37" t="s">
        <v>549</v>
      </c>
      <c r="T1663" s="37">
        <v>1</v>
      </c>
      <c r="U1663" s="37" t="s">
        <v>2517</v>
      </c>
      <c r="V1663" s="37" t="s">
        <v>9439</v>
      </c>
      <c r="W1663" s="37" t="s">
        <v>9440</v>
      </c>
      <c r="X1663" s="60">
        <v>46027.713888888888</v>
      </c>
      <c r="Y1663" s="37" t="s">
        <v>9441</v>
      </c>
      <c r="Z1663" s="37">
        <v>0.5</v>
      </c>
      <c r="AA1663" s="37"/>
      <c r="AB1663" s="37" t="s">
        <v>2915</v>
      </c>
      <c r="AC1663" s="40" t="s">
        <v>2684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9442</v>
      </c>
      <c r="H1664" s="37" t="s">
        <v>9409</v>
      </c>
      <c r="I1664" s="37"/>
      <c r="J1664" s="37"/>
      <c r="K1664" s="37"/>
      <c r="L1664" s="37"/>
      <c r="M1664" s="38"/>
      <c r="N1664" s="37"/>
      <c r="O1664" s="38"/>
      <c r="P1664" s="39"/>
      <c r="Q1664" s="37" t="s">
        <v>9443</v>
      </c>
      <c r="R1664" s="37" t="s">
        <v>2516</v>
      </c>
      <c r="S1664" s="37" t="s">
        <v>25</v>
      </c>
      <c r="T1664" s="37">
        <v>1</v>
      </c>
      <c r="U1664" s="37" t="s">
        <v>2517</v>
      </c>
      <c r="V1664" s="37" t="s">
        <v>9444</v>
      </c>
      <c r="W1664" s="37" t="s">
        <v>9445</v>
      </c>
      <c r="X1664" s="60">
        <v>46027.65347222222</v>
      </c>
      <c r="Y1664" s="37"/>
      <c r="Z1664" s="37">
        <v>0.4</v>
      </c>
      <c r="AA1664" s="37"/>
      <c r="AB1664" s="37" t="s">
        <v>2521</v>
      </c>
      <c r="AC1664" s="40" t="s">
        <v>9446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9447</v>
      </c>
      <c r="H1665" s="37" t="s">
        <v>9409</v>
      </c>
      <c r="I1665" s="37"/>
      <c r="J1665" s="37"/>
      <c r="K1665" s="37"/>
      <c r="L1665" s="37"/>
      <c r="M1665" s="38"/>
      <c r="N1665" s="37"/>
      <c r="O1665" s="38"/>
      <c r="P1665" s="39"/>
      <c r="Q1665" s="37" t="s">
        <v>9448</v>
      </c>
      <c r="R1665" s="37" t="s">
        <v>2516</v>
      </c>
      <c r="S1665" s="37" t="s">
        <v>25</v>
      </c>
      <c r="T1665" s="37">
        <v>1</v>
      </c>
      <c r="U1665" s="37" t="s">
        <v>2517</v>
      </c>
      <c r="V1665" s="37" t="s">
        <v>9449</v>
      </c>
      <c r="W1665" s="37" t="s">
        <v>9450</v>
      </c>
      <c r="X1665" s="60">
        <v>46027.677083333343</v>
      </c>
      <c r="Y1665" s="37"/>
      <c r="Z1665" s="37">
        <v>0.4</v>
      </c>
      <c r="AA1665" s="37"/>
      <c r="AB1665" s="37" t="s">
        <v>2521</v>
      </c>
      <c r="AC1665" s="40" t="s">
        <v>9451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8507</v>
      </c>
      <c r="H1666" s="37" t="s">
        <v>2609</v>
      </c>
      <c r="I1666" s="37"/>
      <c r="J1666" s="37"/>
      <c r="K1666" s="37"/>
      <c r="L1666" s="37"/>
      <c r="M1666" s="38"/>
      <c r="N1666" s="37"/>
      <c r="O1666" s="38"/>
      <c r="P1666" s="39"/>
      <c r="Q1666" s="37" t="s">
        <v>8392</v>
      </c>
      <c r="R1666" s="37" t="s">
        <v>2516</v>
      </c>
      <c r="S1666" s="37" t="s">
        <v>549</v>
      </c>
      <c r="T1666" s="37">
        <v>1</v>
      </c>
      <c r="U1666" s="37" t="s">
        <v>2517</v>
      </c>
      <c r="V1666" s="37" t="s">
        <v>9452</v>
      </c>
      <c r="W1666" s="37" t="s">
        <v>9453</v>
      </c>
      <c r="X1666" s="60">
        <v>46027.4375</v>
      </c>
      <c r="Y1666" s="37"/>
      <c r="Z1666" s="37">
        <v>0.5</v>
      </c>
      <c r="AA1666" s="37"/>
      <c r="AB1666" s="37" t="s">
        <v>2521</v>
      </c>
      <c r="AC1666" s="40" t="s">
        <v>9454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9455</v>
      </c>
      <c r="H1667" s="37" t="s">
        <v>2659</v>
      </c>
      <c r="I1667" s="37"/>
      <c r="J1667" s="37"/>
      <c r="K1667" s="37"/>
      <c r="L1667" s="37"/>
      <c r="M1667" s="38"/>
      <c r="N1667" s="37"/>
      <c r="O1667" s="38"/>
      <c r="P1667" s="39"/>
      <c r="Q1667" s="37" t="s">
        <v>9456</v>
      </c>
      <c r="R1667" s="37" t="s">
        <v>2516</v>
      </c>
      <c r="S1667" s="37" t="s">
        <v>549</v>
      </c>
      <c r="T1667" s="37">
        <v>1</v>
      </c>
      <c r="U1667" s="37" t="s">
        <v>2517</v>
      </c>
      <c r="V1667" s="37" t="s">
        <v>9457</v>
      </c>
      <c r="W1667" s="37" t="s">
        <v>9458</v>
      </c>
      <c r="X1667" s="60">
        <v>46027.708333333343</v>
      </c>
      <c r="Y1667" s="37"/>
      <c r="Z1667" s="37">
        <v>5.5</v>
      </c>
      <c r="AA1667" s="37"/>
      <c r="AB1667" s="37" t="s">
        <v>2521</v>
      </c>
      <c r="AC1667" s="40" t="s">
        <v>9459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8507</v>
      </c>
      <c r="H1668" s="37" t="s">
        <v>2609</v>
      </c>
      <c r="I1668" s="37"/>
      <c r="J1668" s="37"/>
      <c r="K1668" s="37"/>
      <c r="L1668" s="37"/>
      <c r="M1668" s="38"/>
      <c r="N1668" s="37"/>
      <c r="O1668" s="38"/>
      <c r="P1668" s="39"/>
      <c r="Q1668" s="37" t="s">
        <v>8392</v>
      </c>
      <c r="R1668" s="37" t="s">
        <v>2516</v>
      </c>
      <c r="S1668" s="37" t="s">
        <v>185</v>
      </c>
      <c r="T1668" s="37">
        <v>1</v>
      </c>
      <c r="U1668" s="37" t="s">
        <v>2517</v>
      </c>
      <c r="V1668" s="37" t="s">
        <v>9460</v>
      </c>
      <c r="W1668" s="37" t="s">
        <v>9453</v>
      </c>
      <c r="X1668" s="60">
        <v>46027.4375</v>
      </c>
      <c r="Y1668" s="37"/>
      <c r="Z1668" s="37">
        <v>0.5</v>
      </c>
      <c r="AA1668" s="37"/>
      <c r="AB1668" s="37" t="s">
        <v>2521</v>
      </c>
      <c r="AC1668" s="40" t="s">
        <v>9461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9455</v>
      </c>
      <c r="H1669" s="37" t="s">
        <v>2659</v>
      </c>
      <c r="I1669" s="37"/>
      <c r="J1669" s="37"/>
      <c r="K1669" s="37"/>
      <c r="L1669" s="37"/>
      <c r="M1669" s="38"/>
      <c r="N1669" s="37"/>
      <c r="O1669" s="38"/>
      <c r="P1669" s="39"/>
      <c r="Q1669" s="37" t="s">
        <v>9456</v>
      </c>
      <c r="R1669" s="37" t="s">
        <v>2516</v>
      </c>
      <c r="S1669" s="37" t="s">
        <v>185</v>
      </c>
      <c r="T1669" s="37">
        <v>1</v>
      </c>
      <c r="U1669" s="37" t="s">
        <v>2517</v>
      </c>
      <c r="V1669" s="37" t="s">
        <v>9462</v>
      </c>
      <c r="W1669" s="37" t="s">
        <v>9458</v>
      </c>
      <c r="X1669" s="60">
        <v>46027.708333333343</v>
      </c>
      <c r="Y1669" s="37"/>
      <c r="Z1669" s="37">
        <v>5.5</v>
      </c>
      <c r="AA1669" s="37"/>
      <c r="AB1669" s="37" t="s">
        <v>2521</v>
      </c>
      <c r="AC1669" s="40" t="s">
        <v>9463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9464</v>
      </c>
      <c r="E1670" s="37" t="s">
        <v>2504</v>
      </c>
      <c r="F1670" s="37">
        <v>2209</v>
      </c>
      <c r="G1670" s="37" t="s">
        <v>5697</v>
      </c>
      <c r="H1670" s="37" t="s">
        <v>2507</v>
      </c>
      <c r="I1670" s="37" t="s">
        <v>9465</v>
      </c>
      <c r="J1670" s="37" t="s">
        <v>2661</v>
      </c>
      <c r="K1670" s="37" t="s">
        <v>2717</v>
      </c>
      <c r="L1670" s="37" t="s">
        <v>2611</v>
      </c>
      <c r="M1670" s="38" t="s">
        <v>2612</v>
      </c>
      <c r="N1670" s="37" t="s">
        <v>2972</v>
      </c>
      <c r="O1670" s="38" t="s">
        <v>2973</v>
      </c>
      <c r="P1670" s="39" t="s">
        <v>9466</v>
      </c>
      <c r="Q1670" s="37" t="s">
        <v>2856</v>
      </c>
      <c r="R1670" s="37" t="s">
        <v>2516</v>
      </c>
      <c r="S1670" s="37" t="s">
        <v>549</v>
      </c>
      <c r="T1670" s="37">
        <v>1</v>
      </c>
      <c r="U1670" s="37" t="s">
        <v>2517</v>
      </c>
      <c r="V1670" s="37" t="s">
        <v>9467</v>
      </c>
      <c r="W1670" s="37" t="s">
        <v>9468</v>
      </c>
      <c r="X1670" s="60">
        <v>46028.729166666657</v>
      </c>
      <c r="Y1670" s="37" t="s">
        <v>9469</v>
      </c>
      <c r="Z1670" s="37">
        <v>0.5</v>
      </c>
      <c r="AA1670" s="37"/>
      <c r="AB1670" s="37" t="s">
        <v>2521</v>
      </c>
      <c r="AC1670" s="40" t="s">
        <v>9470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2548</v>
      </c>
      <c r="H1671" s="37" t="s">
        <v>2507</v>
      </c>
      <c r="I1671" s="37"/>
      <c r="J1671" s="37"/>
      <c r="K1671" s="37"/>
      <c r="L1671" s="37"/>
      <c r="M1671" s="38"/>
      <c r="N1671" s="37"/>
      <c r="O1671" s="38"/>
      <c r="P1671" s="39"/>
      <c r="Q1671" s="37" t="s">
        <v>2552</v>
      </c>
      <c r="R1671" s="37" t="s">
        <v>2516</v>
      </c>
      <c r="S1671" s="37" t="s">
        <v>549</v>
      </c>
      <c r="T1671" s="37">
        <v>1</v>
      </c>
      <c r="U1671" s="37" t="s">
        <v>2517</v>
      </c>
      <c r="V1671" s="37" t="s">
        <v>9471</v>
      </c>
      <c r="W1671" s="37" t="s">
        <v>9348</v>
      </c>
      <c r="X1671" s="60">
        <v>46028.385416666657</v>
      </c>
      <c r="Y1671" s="37"/>
      <c r="Z1671" s="37">
        <v>0.3</v>
      </c>
      <c r="AA1671" s="37"/>
      <c r="AB1671" s="37" t="s">
        <v>2521</v>
      </c>
      <c r="AC1671" s="40" t="s">
        <v>9472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3413</v>
      </c>
      <c r="H1672" s="37" t="s">
        <v>2659</v>
      </c>
      <c r="I1672" s="37"/>
      <c r="J1672" s="37"/>
      <c r="K1672" s="37"/>
      <c r="L1672" s="37"/>
      <c r="M1672" s="38"/>
      <c r="N1672" s="37"/>
      <c r="O1672" s="38"/>
      <c r="P1672" s="39"/>
      <c r="Q1672" s="37" t="s">
        <v>3414</v>
      </c>
      <c r="R1672" s="37" t="s">
        <v>2516</v>
      </c>
      <c r="S1672" s="37" t="s">
        <v>185</v>
      </c>
      <c r="T1672" s="37">
        <v>1</v>
      </c>
      <c r="U1672" s="37" t="s">
        <v>2517</v>
      </c>
      <c r="V1672" s="37" t="s">
        <v>9473</v>
      </c>
      <c r="W1672" s="37" t="s">
        <v>9474</v>
      </c>
      <c r="X1672" s="60">
        <v>46028.409722222219</v>
      </c>
      <c r="Y1672" s="37"/>
      <c r="Z1672" s="37">
        <v>0.3</v>
      </c>
      <c r="AA1672" s="37"/>
      <c r="AB1672" s="37" t="s">
        <v>2521</v>
      </c>
      <c r="AC1672" s="40" t="s">
        <v>9475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4375</v>
      </c>
      <c r="H1673" s="37" t="s">
        <v>2659</v>
      </c>
      <c r="I1673" s="37"/>
      <c r="J1673" s="37"/>
      <c r="K1673" s="37"/>
      <c r="L1673" s="37"/>
      <c r="M1673" s="38"/>
      <c r="N1673" s="37"/>
      <c r="O1673" s="38"/>
      <c r="P1673" s="39"/>
      <c r="Q1673" s="37" t="s">
        <v>4376</v>
      </c>
      <c r="R1673" s="37" t="s">
        <v>2516</v>
      </c>
      <c r="S1673" s="37" t="s">
        <v>185</v>
      </c>
      <c r="T1673" s="37">
        <v>1</v>
      </c>
      <c r="U1673" s="37" t="s">
        <v>2517</v>
      </c>
      <c r="V1673" s="37" t="s">
        <v>9476</v>
      </c>
      <c r="W1673" s="37" t="s">
        <v>9404</v>
      </c>
      <c r="X1673" s="60">
        <v>46028.451388888891</v>
      </c>
      <c r="Y1673" s="37"/>
      <c r="Z1673" s="37">
        <v>0.3</v>
      </c>
      <c r="AA1673" s="37"/>
      <c r="AB1673" s="37" t="s">
        <v>2521</v>
      </c>
      <c r="AC1673" s="40" t="s">
        <v>9477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3046</v>
      </c>
      <c r="H1674" s="37" t="s">
        <v>2987</v>
      </c>
      <c r="I1674" s="37"/>
      <c r="J1674" s="37"/>
      <c r="K1674" s="37"/>
      <c r="L1674" s="37"/>
      <c r="M1674" s="38"/>
      <c r="N1674" s="37"/>
      <c r="O1674" s="38"/>
      <c r="P1674" s="39"/>
      <c r="Q1674" s="37" t="s">
        <v>3047</v>
      </c>
      <c r="R1674" s="37" t="s">
        <v>2516</v>
      </c>
      <c r="S1674" s="37" t="s">
        <v>25</v>
      </c>
      <c r="T1674" s="37">
        <v>1</v>
      </c>
      <c r="U1674" s="37" t="s">
        <v>2517</v>
      </c>
      <c r="V1674" s="37" t="s">
        <v>9478</v>
      </c>
      <c r="W1674" s="37" t="s">
        <v>9395</v>
      </c>
      <c r="X1674" s="60">
        <v>46028.461805555547</v>
      </c>
      <c r="Y1674" s="37"/>
      <c r="Z1674" s="37">
        <v>1.1000000000000001</v>
      </c>
      <c r="AA1674" s="37"/>
      <c r="AB1674" s="37" t="s">
        <v>2521</v>
      </c>
      <c r="AC1674" s="40" t="s">
        <v>9479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3059</v>
      </c>
      <c r="H1675" s="37" t="s">
        <v>2987</v>
      </c>
      <c r="I1675" s="37"/>
      <c r="J1675" s="37"/>
      <c r="K1675" s="37"/>
      <c r="L1675" s="37"/>
      <c r="M1675" s="38"/>
      <c r="N1675" s="37"/>
      <c r="O1675" s="38"/>
      <c r="P1675" s="39"/>
      <c r="Q1675" s="37" t="s">
        <v>3060</v>
      </c>
      <c r="R1675" s="37" t="s">
        <v>2516</v>
      </c>
      <c r="S1675" s="37" t="s">
        <v>25</v>
      </c>
      <c r="T1675" s="37">
        <v>1</v>
      </c>
      <c r="U1675" s="37" t="s">
        <v>2517</v>
      </c>
      <c r="V1675" s="37" t="s">
        <v>9480</v>
      </c>
      <c r="W1675" s="37" t="s">
        <v>9481</v>
      </c>
      <c r="X1675" s="60">
        <v>46028.475694444453</v>
      </c>
      <c r="Y1675" s="37"/>
      <c r="Z1675" s="37">
        <v>0.3</v>
      </c>
      <c r="AA1675" s="37"/>
      <c r="AB1675" s="37" t="s">
        <v>2521</v>
      </c>
      <c r="AC1675" s="40" t="s">
        <v>9482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9483</v>
      </c>
      <c r="E1676" s="37" t="s">
        <v>2504</v>
      </c>
      <c r="F1676" s="37">
        <v>3883</v>
      </c>
      <c r="G1676" s="37" t="s">
        <v>9484</v>
      </c>
      <c r="H1676" s="37" t="s">
        <v>9301</v>
      </c>
      <c r="I1676" s="37" t="s">
        <v>9485</v>
      </c>
      <c r="J1676" s="37" t="s">
        <v>2509</v>
      </c>
      <c r="K1676" s="37" t="s">
        <v>2568</v>
      </c>
      <c r="L1676" s="37" t="s">
        <v>2945</v>
      </c>
      <c r="M1676" s="38" t="s">
        <v>2946</v>
      </c>
      <c r="N1676" s="37" t="s">
        <v>3782</v>
      </c>
      <c r="O1676" s="38" t="s">
        <v>2582</v>
      </c>
      <c r="P1676" s="39" t="s">
        <v>9486</v>
      </c>
      <c r="Q1676" s="37" t="s">
        <v>9487</v>
      </c>
      <c r="R1676" s="37" t="s">
        <v>2516</v>
      </c>
      <c r="S1676" s="37" t="s">
        <v>549</v>
      </c>
      <c r="T1676" s="37">
        <v>1</v>
      </c>
      <c r="U1676" s="37" t="s">
        <v>2517</v>
      </c>
      <c r="V1676" s="37" t="s">
        <v>9488</v>
      </c>
      <c r="W1676" s="37" t="s">
        <v>9489</v>
      </c>
      <c r="X1676" s="60">
        <v>46029.604166666657</v>
      </c>
      <c r="Y1676" s="37" t="s">
        <v>9490</v>
      </c>
      <c r="Z1676" s="37">
        <v>0.3</v>
      </c>
      <c r="AA1676" s="37"/>
      <c r="AB1676" s="37" t="s">
        <v>2521</v>
      </c>
      <c r="AC1676" s="40" t="s">
        <v>9491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9492</v>
      </c>
      <c r="E1677" s="37" t="s">
        <v>2504</v>
      </c>
      <c r="F1677" s="37">
        <v>2540</v>
      </c>
      <c r="G1677" s="37" t="s">
        <v>9493</v>
      </c>
      <c r="H1677" s="37" t="s">
        <v>9289</v>
      </c>
      <c r="I1677" s="37" t="s">
        <v>9494</v>
      </c>
      <c r="J1677" s="37" t="s">
        <v>2509</v>
      </c>
      <c r="K1677" s="37" t="s">
        <v>2568</v>
      </c>
      <c r="L1677" s="37" t="s">
        <v>2537</v>
      </c>
      <c r="M1677" s="38" t="s">
        <v>2538</v>
      </c>
      <c r="N1677" s="37" t="s">
        <v>2539</v>
      </c>
      <c r="O1677" s="38" t="s">
        <v>2540</v>
      </c>
      <c r="P1677" s="39" t="s">
        <v>9495</v>
      </c>
      <c r="Q1677" s="37" t="s">
        <v>9496</v>
      </c>
      <c r="R1677" s="37" t="s">
        <v>2516</v>
      </c>
      <c r="S1677" s="37" t="s">
        <v>25</v>
      </c>
      <c r="T1677" s="37">
        <v>1</v>
      </c>
      <c r="U1677" s="37" t="s">
        <v>2517</v>
      </c>
      <c r="V1677" s="37" t="s">
        <v>9497</v>
      </c>
      <c r="W1677" s="37" t="s">
        <v>9498</v>
      </c>
      <c r="X1677" s="60">
        <v>46029.506944444453</v>
      </c>
      <c r="Y1677" s="37" t="s">
        <v>9499</v>
      </c>
      <c r="Z1677" s="37">
        <v>0.7</v>
      </c>
      <c r="AA1677" s="37"/>
      <c r="AB1677" s="37" t="s">
        <v>2521</v>
      </c>
      <c r="AC1677" s="40" t="s">
        <v>9500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3092</v>
      </c>
      <c r="H1678" s="37" t="s">
        <v>2641</v>
      </c>
      <c r="I1678" s="37"/>
      <c r="J1678" s="37"/>
      <c r="K1678" s="37"/>
      <c r="L1678" s="37"/>
      <c r="M1678" s="38"/>
      <c r="N1678" s="37"/>
      <c r="O1678" s="38"/>
      <c r="P1678" s="39"/>
      <c r="Q1678" s="37" t="s">
        <v>3093</v>
      </c>
      <c r="R1678" s="37" t="s">
        <v>2516</v>
      </c>
      <c r="S1678" s="37" t="s">
        <v>185</v>
      </c>
      <c r="T1678" s="37">
        <v>1</v>
      </c>
      <c r="U1678" s="37" t="s">
        <v>2517</v>
      </c>
      <c r="V1678" s="37" t="s">
        <v>9501</v>
      </c>
      <c r="W1678" s="37" t="s">
        <v>9502</v>
      </c>
      <c r="X1678" s="60">
        <v>46028.493055555547</v>
      </c>
      <c r="Y1678" s="37"/>
      <c r="Z1678" s="37">
        <v>0.3</v>
      </c>
      <c r="AA1678" s="37"/>
      <c r="AB1678" s="37" t="s">
        <v>2521</v>
      </c>
      <c r="AC1678" s="40" t="s">
        <v>9503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9504</v>
      </c>
      <c r="E1679" s="37" t="s">
        <v>2504</v>
      </c>
      <c r="F1679" s="37">
        <v>2422</v>
      </c>
      <c r="G1679" s="37" t="s">
        <v>4463</v>
      </c>
      <c r="H1679" s="37" t="s">
        <v>2609</v>
      </c>
      <c r="I1679" s="37" t="s">
        <v>9505</v>
      </c>
      <c r="J1679" s="37" t="s">
        <v>2509</v>
      </c>
      <c r="K1679" s="37" t="s">
        <v>2510</v>
      </c>
      <c r="L1679" s="37" t="s">
        <v>3483</v>
      </c>
      <c r="M1679" s="38" t="s">
        <v>3484</v>
      </c>
      <c r="N1679" s="37">
        <v>6004</v>
      </c>
      <c r="O1679" s="38" t="s">
        <v>2893</v>
      </c>
      <c r="P1679" s="39" t="s">
        <v>9506</v>
      </c>
      <c r="Q1679" s="37" t="s">
        <v>4464</v>
      </c>
      <c r="R1679" s="37" t="s">
        <v>2516</v>
      </c>
      <c r="S1679" s="37" t="s">
        <v>173</v>
      </c>
      <c r="T1679" s="37">
        <v>1</v>
      </c>
      <c r="U1679" s="37" t="s">
        <v>2517</v>
      </c>
      <c r="V1679" s="37" t="s">
        <v>9507</v>
      </c>
      <c r="W1679" s="37" t="s">
        <v>9508</v>
      </c>
      <c r="X1679" s="60">
        <v>46029.465277777781</v>
      </c>
      <c r="Y1679" s="37" t="s">
        <v>9509</v>
      </c>
      <c r="Z1679" s="37">
        <v>0.3</v>
      </c>
      <c r="AA1679" s="37"/>
      <c r="AB1679" s="37" t="s">
        <v>2521</v>
      </c>
      <c r="AC1679" s="40" t="s">
        <v>9510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3051</v>
      </c>
      <c r="H1680" s="37" t="s">
        <v>2987</v>
      </c>
      <c r="I1680" s="37"/>
      <c r="J1680" s="37"/>
      <c r="K1680" s="37"/>
      <c r="L1680" s="37"/>
      <c r="M1680" s="38"/>
      <c r="N1680" s="37"/>
      <c r="O1680" s="38"/>
      <c r="P1680" s="39"/>
      <c r="Q1680" s="37" t="s">
        <v>3052</v>
      </c>
      <c r="R1680" s="37" t="s">
        <v>2516</v>
      </c>
      <c r="S1680" s="37" t="s">
        <v>25</v>
      </c>
      <c r="T1680" s="37">
        <v>1</v>
      </c>
      <c r="U1680" s="37" t="s">
        <v>2517</v>
      </c>
      <c r="V1680" s="37" t="s">
        <v>9511</v>
      </c>
      <c r="W1680" s="37" t="s">
        <v>9349</v>
      </c>
      <c r="X1680" s="60">
        <v>46028.555555555547</v>
      </c>
      <c r="Y1680" s="37"/>
      <c r="Z1680" s="37">
        <v>0.3</v>
      </c>
      <c r="AA1680" s="37"/>
      <c r="AB1680" s="37" t="s">
        <v>2521</v>
      </c>
      <c r="AC1680" s="40" t="s">
        <v>9512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3055</v>
      </c>
      <c r="H1681" s="37" t="s">
        <v>2987</v>
      </c>
      <c r="I1681" s="37"/>
      <c r="J1681" s="37"/>
      <c r="K1681" s="37"/>
      <c r="L1681" s="37"/>
      <c r="M1681" s="38"/>
      <c r="N1681" s="37"/>
      <c r="O1681" s="38"/>
      <c r="P1681" s="39"/>
      <c r="Q1681" s="37" t="s">
        <v>3056</v>
      </c>
      <c r="R1681" s="37" t="s">
        <v>2516</v>
      </c>
      <c r="S1681" s="37" t="s">
        <v>25</v>
      </c>
      <c r="T1681" s="37">
        <v>1</v>
      </c>
      <c r="U1681" s="37" t="s">
        <v>2517</v>
      </c>
      <c r="V1681" s="37" t="s">
        <v>9513</v>
      </c>
      <c r="W1681" s="37" t="s">
        <v>9514</v>
      </c>
      <c r="X1681" s="60">
        <v>46028.579861111109</v>
      </c>
      <c r="Y1681" s="37"/>
      <c r="Z1681" s="37">
        <v>0.4</v>
      </c>
      <c r="AA1681" s="37"/>
      <c r="AB1681" s="37" t="s">
        <v>2521</v>
      </c>
      <c r="AC1681" s="40" t="s">
        <v>9515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3042</v>
      </c>
      <c r="H1682" s="37" t="s">
        <v>2987</v>
      </c>
      <c r="I1682" s="37"/>
      <c r="J1682" s="37"/>
      <c r="K1682" s="37"/>
      <c r="L1682" s="37"/>
      <c r="M1682" s="38"/>
      <c r="N1682" s="37"/>
      <c r="O1682" s="38"/>
      <c r="P1682" s="39"/>
      <c r="Q1682" s="37" t="s">
        <v>3043</v>
      </c>
      <c r="R1682" s="37" t="s">
        <v>2516</v>
      </c>
      <c r="S1682" s="37" t="s">
        <v>25</v>
      </c>
      <c r="T1682" s="37">
        <v>1</v>
      </c>
      <c r="U1682" s="37" t="s">
        <v>2517</v>
      </c>
      <c r="V1682" s="37" t="s">
        <v>9516</v>
      </c>
      <c r="W1682" s="37" t="s">
        <v>9517</v>
      </c>
      <c r="X1682" s="60">
        <v>46028.604861111111</v>
      </c>
      <c r="Y1682" s="37"/>
      <c r="Z1682" s="37">
        <v>0.4</v>
      </c>
      <c r="AA1682" s="37"/>
      <c r="AB1682" s="37" t="s">
        <v>2521</v>
      </c>
      <c r="AC1682" s="40" t="s">
        <v>9518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2986</v>
      </c>
      <c r="H1683" s="37" t="s">
        <v>2987</v>
      </c>
      <c r="I1683" s="37"/>
      <c r="J1683" s="37"/>
      <c r="K1683" s="37"/>
      <c r="L1683" s="37"/>
      <c r="M1683" s="38"/>
      <c r="N1683" s="37"/>
      <c r="O1683" s="38"/>
      <c r="P1683" s="39"/>
      <c r="Q1683" s="37" t="s">
        <v>2990</v>
      </c>
      <c r="R1683" s="37" t="s">
        <v>2516</v>
      </c>
      <c r="S1683" s="37" t="s">
        <v>25</v>
      </c>
      <c r="T1683" s="37">
        <v>1</v>
      </c>
      <c r="U1683" s="37" t="s">
        <v>2517</v>
      </c>
      <c r="V1683" s="37" t="s">
        <v>9519</v>
      </c>
      <c r="W1683" s="37" t="s">
        <v>9520</v>
      </c>
      <c r="X1683" s="60">
        <v>46028.640277777777</v>
      </c>
      <c r="Y1683" s="37"/>
      <c r="Z1683" s="37">
        <v>0.4</v>
      </c>
      <c r="AA1683" s="37"/>
      <c r="AB1683" s="37" t="s">
        <v>2521</v>
      </c>
      <c r="AC1683" s="40" t="s">
        <v>9521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3472</v>
      </c>
      <c r="H1684" s="37" t="s">
        <v>2987</v>
      </c>
      <c r="I1684" s="37"/>
      <c r="J1684" s="37"/>
      <c r="K1684" s="37"/>
      <c r="L1684" s="37"/>
      <c r="M1684" s="38"/>
      <c r="N1684" s="37"/>
      <c r="O1684" s="38"/>
      <c r="P1684" s="39"/>
      <c r="Q1684" s="37" t="s">
        <v>3473</v>
      </c>
      <c r="R1684" s="37" t="s">
        <v>2516</v>
      </c>
      <c r="S1684" s="37" t="s">
        <v>25</v>
      </c>
      <c r="T1684" s="37">
        <v>1</v>
      </c>
      <c r="U1684" s="37" t="s">
        <v>2517</v>
      </c>
      <c r="V1684" s="37" t="s">
        <v>9522</v>
      </c>
      <c r="W1684" s="37" t="s">
        <v>9523</v>
      </c>
      <c r="X1684" s="60">
        <v>46028.659722222219</v>
      </c>
      <c r="Y1684" s="37"/>
      <c r="Z1684" s="37">
        <v>0.3</v>
      </c>
      <c r="AA1684" s="37"/>
      <c r="AB1684" s="37" t="s">
        <v>2521</v>
      </c>
      <c r="AC1684" s="40" t="s">
        <v>9524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3476</v>
      </c>
      <c r="H1685" s="37" t="s">
        <v>2987</v>
      </c>
      <c r="I1685" s="37"/>
      <c r="J1685" s="37"/>
      <c r="K1685" s="37"/>
      <c r="L1685" s="37"/>
      <c r="M1685" s="38"/>
      <c r="N1685" s="37"/>
      <c r="O1685" s="38"/>
      <c r="P1685" s="39"/>
      <c r="Q1685" s="37" t="s">
        <v>3477</v>
      </c>
      <c r="R1685" s="37" t="s">
        <v>2516</v>
      </c>
      <c r="S1685" s="37" t="s">
        <v>25</v>
      </c>
      <c r="T1685" s="37">
        <v>1</v>
      </c>
      <c r="U1685" s="37" t="s">
        <v>2517</v>
      </c>
      <c r="V1685" s="37" t="s">
        <v>9525</v>
      </c>
      <c r="W1685" s="37" t="s">
        <v>9526</v>
      </c>
      <c r="X1685" s="60">
        <v>46028.680555555547</v>
      </c>
      <c r="Y1685" s="37"/>
      <c r="Z1685" s="37">
        <v>0.3</v>
      </c>
      <c r="AA1685" s="37"/>
      <c r="AB1685" s="37" t="s">
        <v>2521</v>
      </c>
      <c r="AC1685" s="40" t="s">
        <v>9527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9528</v>
      </c>
      <c r="E1686" s="37" t="s">
        <v>2504</v>
      </c>
      <c r="F1686" s="37">
        <v>5451</v>
      </c>
      <c r="G1686" s="37" t="s">
        <v>9144</v>
      </c>
      <c r="H1686" s="37" t="s">
        <v>2609</v>
      </c>
      <c r="I1686" s="37" t="s">
        <v>9529</v>
      </c>
      <c r="J1686" s="37" t="s">
        <v>2536</v>
      </c>
      <c r="K1686" s="37" t="s">
        <v>2568</v>
      </c>
      <c r="L1686" s="37" t="s">
        <v>9371</v>
      </c>
      <c r="M1686" s="38" t="s">
        <v>9372</v>
      </c>
      <c r="N1686" s="37" t="s">
        <v>9373</v>
      </c>
      <c r="O1686" s="38" t="s">
        <v>9374</v>
      </c>
      <c r="P1686" s="39" t="s">
        <v>9530</v>
      </c>
      <c r="Q1686" s="37" t="s">
        <v>9145</v>
      </c>
      <c r="R1686" s="37" t="s">
        <v>2516</v>
      </c>
      <c r="S1686" s="37" t="s">
        <v>173</v>
      </c>
      <c r="T1686" s="37">
        <v>1</v>
      </c>
      <c r="U1686" s="37" t="s">
        <v>2517</v>
      </c>
      <c r="V1686" s="37" t="s">
        <v>9531</v>
      </c>
      <c r="W1686" s="37" t="s">
        <v>9532</v>
      </c>
      <c r="X1686" s="60">
        <v>46030.417361111111</v>
      </c>
      <c r="Y1686" s="37" t="s">
        <v>9533</v>
      </c>
      <c r="Z1686" s="37">
        <v>0.5</v>
      </c>
      <c r="AA1686" s="37"/>
      <c r="AB1686" s="37" t="s">
        <v>2521</v>
      </c>
      <c r="AC1686" s="40" t="s">
        <v>9534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4463</v>
      </c>
      <c r="H1687" s="37" t="s">
        <v>2609</v>
      </c>
      <c r="I1687" s="37"/>
      <c r="J1687" s="37"/>
      <c r="K1687" s="37"/>
      <c r="L1687" s="37"/>
      <c r="M1687" s="38"/>
      <c r="N1687" s="37"/>
      <c r="O1687" s="38"/>
      <c r="P1687" s="39"/>
      <c r="Q1687" s="37" t="s">
        <v>4464</v>
      </c>
      <c r="R1687" s="37" t="s">
        <v>2516</v>
      </c>
      <c r="S1687" s="37" t="s">
        <v>173</v>
      </c>
      <c r="T1687" s="37">
        <v>1</v>
      </c>
      <c r="U1687" s="37" t="s">
        <v>2517</v>
      </c>
      <c r="V1687" s="37" t="s">
        <v>9535</v>
      </c>
      <c r="W1687" s="37" t="s">
        <v>9508</v>
      </c>
      <c r="X1687" s="60">
        <v>46029.465277777781</v>
      </c>
      <c r="Y1687" s="37"/>
      <c r="Z1687" s="37">
        <v>0.3</v>
      </c>
      <c r="AA1687" s="37"/>
      <c r="AB1687" s="37" t="s">
        <v>2521</v>
      </c>
      <c r="AC1687" s="40" t="s">
        <v>9536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9537</v>
      </c>
      <c r="F1688" s="37">
        <v>2540</v>
      </c>
      <c r="G1688" s="37" t="s">
        <v>9493</v>
      </c>
      <c r="H1688" s="37" t="s">
        <v>9289</v>
      </c>
      <c r="I1688" s="37"/>
      <c r="J1688" s="37"/>
      <c r="K1688" s="37"/>
      <c r="L1688" s="37"/>
      <c r="M1688" s="38"/>
      <c r="N1688" s="37"/>
      <c r="O1688" s="38"/>
      <c r="P1688" s="39"/>
      <c r="Q1688" s="37" t="s">
        <v>9496</v>
      </c>
      <c r="R1688" s="37" t="s">
        <v>2516</v>
      </c>
      <c r="S1688" s="37" t="s">
        <v>25</v>
      </c>
      <c r="T1688" s="37">
        <v>1</v>
      </c>
      <c r="U1688" s="37" t="s">
        <v>2517</v>
      </c>
      <c r="V1688" s="37" t="s">
        <v>9538</v>
      </c>
      <c r="W1688" s="37" t="s">
        <v>9539</v>
      </c>
      <c r="X1688" s="60">
        <v>46029.520833333343</v>
      </c>
      <c r="Y1688" s="37"/>
      <c r="Z1688" s="37">
        <v>0.3</v>
      </c>
      <c r="AA1688" s="37"/>
      <c r="AB1688" s="37" t="s">
        <v>2521</v>
      </c>
      <c r="AC1688" s="40" t="s">
        <v>9540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9484</v>
      </c>
      <c r="H1689" s="37" t="s">
        <v>9301</v>
      </c>
      <c r="I1689" s="37"/>
      <c r="J1689" s="37"/>
      <c r="K1689" s="37"/>
      <c r="L1689" s="37"/>
      <c r="M1689" s="38"/>
      <c r="N1689" s="37"/>
      <c r="O1689" s="38"/>
      <c r="P1689" s="39"/>
      <c r="Q1689" s="37" t="s">
        <v>9487</v>
      </c>
      <c r="R1689" s="37" t="s">
        <v>2516</v>
      </c>
      <c r="S1689" s="37" t="s">
        <v>549</v>
      </c>
      <c r="T1689" s="37">
        <v>1</v>
      </c>
      <c r="U1689" s="37" t="s">
        <v>2517</v>
      </c>
      <c r="V1689" s="37" t="s">
        <v>9541</v>
      </c>
      <c r="W1689" s="37" t="s">
        <v>9542</v>
      </c>
      <c r="X1689" s="60">
        <v>46029.611111111109</v>
      </c>
      <c r="Y1689" s="37"/>
      <c r="Z1689" s="37">
        <v>0.3</v>
      </c>
      <c r="AA1689" s="37"/>
      <c r="AB1689" s="37" t="s">
        <v>2521</v>
      </c>
      <c r="AC1689" s="40" t="s">
        <v>9543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9544</v>
      </c>
      <c r="E1690" s="37" t="s">
        <v>2504</v>
      </c>
      <c r="F1690" s="37" t="s">
        <v>4404</v>
      </c>
      <c r="G1690" s="37" t="s">
        <v>9545</v>
      </c>
      <c r="H1690" s="37" t="s">
        <v>2609</v>
      </c>
      <c r="I1690" s="37" t="s">
        <v>9546</v>
      </c>
      <c r="J1690" s="37" t="s">
        <v>2536</v>
      </c>
      <c r="K1690" s="37" t="s">
        <v>2510</v>
      </c>
      <c r="L1690" s="37" t="s">
        <v>2611</v>
      </c>
      <c r="M1690" s="38" t="s">
        <v>2612</v>
      </c>
      <c r="N1690" s="37" t="s">
        <v>3110</v>
      </c>
      <c r="O1690" s="38" t="s">
        <v>6688</v>
      </c>
      <c r="P1690" s="39" t="s">
        <v>9547</v>
      </c>
      <c r="Q1690" s="37" t="s">
        <v>4406</v>
      </c>
      <c r="R1690" s="37" t="s">
        <v>2516</v>
      </c>
      <c r="S1690" s="37" t="s">
        <v>173</v>
      </c>
      <c r="T1690" s="37">
        <v>1</v>
      </c>
      <c r="U1690" s="37" t="s">
        <v>2517</v>
      </c>
      <c r="V1690" s="37" t="s">
        <v>9548</v>
      </c>
      <c r="W1690" s="37" t="s">
        <v>9549</v>
      </c>
      <c r="X1690" s="60">
        <v>46030.451388888891</v>
      </c>
      <c r="Y1690" s="37" t="s">
        <v>9550</v>
      </c>
      <c r="Z1690" s="37">
        <v>0.6</v>
      </c>
      <c r="AA1690" s="37"/>
      <c r="AB1690" s="37" t="s">
        <v>2521</v>
      </c>
      <c r="AC1690" s="40" t="s">
        <v>9551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9144</v>
      </c>
      <c r="H1691" s="37" t="s">
        <v>2609</v>
      </c>
      <c r="I1691" s="37"/>
      <c r="J1691" s="37"/>
      <c r="K1691" s="37"/>
      <c r="L1691" s="37"/>
      <c r="M1691" s="38"/>
      <c r="N1691" s="37"/>
      <c r="O1691" s="38"/>
      <c r="P1691" s="39"/>
      <c r="Q1691" s="37" t="s">
        <v>9145</v>
      </c>
      <c r="R1691" s="37" t="s">
        <v>2516</v>
      </c>
      <c r="S1691" s="37" t="s">
        <v>173</v>
      </c>
      <c r="T1691" s="37">
        <v>1</v>
      </c>
      <c r="U1691" s="37" t="s">
        <v>2517</v>
      </c>
      <c r="V1691" s="37" t="s">
        <v>9552</v>
      </c>
      <c r="W1691" s="37" t="s">
        <v>9553</v>
      </c>
      <c r="X1691" s="60">
        <v>46030.416666666657</v>
      </c>
      <c r="Y1691" s="37"/>
      <c r="Z1691" s="37">
        <v>0.5</v>
      </c>
      <c r="AA1691" s="37"/>
      <c r="AB1691" s="37" t="s">
        <v>2521</v>
      </c>
      <c r="AC1691" s="40" t="s">
        <v>2591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4404</v>
      </c>
      <c r="G1692" s="37" t="s">
        <v>9545</v>
      </c>
      <c r="H1692" s="37" t="s">
        <v>2609</v>
      </c>
      <c r="I1692" s="37"/>
      <c r="J1692" s="37"/>
      <c r="K1692" s="37"/>
      <c r="L1692" s="37"/>
      <c r="M1692" s="38"/>
      <c r="N1692" s="37"/>
      <c r="O1692" s="38"/>
      <c r="P1692" s="39"/>
      <c r="Q1692" s="37" t="s">
        <v>4406</v>
      </c>
      <c r="R1692" s="37" t="s">
        <v>2516</v>
      </c>
      <c r="S1692" s="37" t="s">
        <v>173</v>
      </c>
      <c r="T1692" s="37">
        <v>1</v>
      </c>
      <c r="U1692" s="37" t="s">
        <v>2517</v>
      </c>
      <c r="V1692" s="37" t="s">
        <v>9554</v>
      </c>
      <c r="W1692" s="37" t="s">
        <v>9549</v>
      </c>
      <c r="X1692" s="60">
        <v>46030.451388888891</v>
      </c>
      <c r="Y1692" s="37"/>
      <c r="Z1692" s="37">
        <v>0.6</v>
      </c>
      <c r="AA1692" s="37"/>
      <c r="AB1692" s="37" t="s">
        <v>2521</v>
      </c>
      <c r="AC1692" s="40" t="s">
        <v>9555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3366</v>
      </c>
      <c r="H1693" s="37" t="s">
        <v>3148</v>
      </c>
      <c r="I1693" s="37"/>
      <c r="J1693" s="37"/>
      <c r="K1693" s="37"/>
      <c r="L1693" s="37"/>
      <c r="M1693" s="38"/>
      <c r="N1693" s="37"/>
      <c r="O1693" s="38"/>
      <c r="P1693" s="39"/>
      <c r="Q1693" s="37" t="s">
        <v>3367</v>
      </c>
      <c r="R1693" s="37" t="s">
        <v>2516</v>
      </c>
      <c r="S1693" s="37" t="s">
        <v>25</v>
      </c>
      <c r="T1693" s="37">
        <v>1</v>
      </c>
      <c r="U1693" s="37" t="s">
        <v>2517</v>
      </c>
      <c r="V1693" s="37" t="s">
        <v>9556</v>
      </c>
      <c r="W1693" s="37" t="s">
        <v>9557</v>
      </c>
      <c r="X1693" s="60">
        <v>46030.495833333327</v>
      </c>
      <c r="Y1693" s="37"/>
      <c r="Z1693" s="37">
        <v>0.9</v>
      </c>
      <c r="AA1693" s="37"/>
      <c r="AB1693" s="37" t="s">
        <v>2521</v>
      </c>
      <c r="AC1693" s="40" t="s">
        <v>9558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3147</v>
      </c>
      <c r="H1694" s="37" t="s">
        <v>3148</v>
      </c>
      <c r="I1694" s="37"/>
      <c r="J1694" s="37"/>
      <c r="K1694" s="37"/>
      <c r="L1694" s="37"/>
      <c r="M1694" s="38"/>
      <c r="N1694" s="37"/>
      <c r="O1694" s="38"/>
      <c r="P1694" s="39"/>
      <c r="Q1694" s="37" t="s">
        <v>3154</v>
      </c>
      <c r="R1694" s="37" t="s">
        <v>2516</v>
      </c>
      <c r="S1694" s="37" t="s">
        <v>25</v>
      </c>
      <c r="T1694" s="37">
        <v>1</v>
      </c>
      <c r="U1694" s="37" t="s">
        <v>2517</v>
      </c>
      <c r="V1694" s="37" t="s">
        <v>9559</v>
      </c>
      <c r="W1694" s="37" t="s">
        <v>9560</v>
      </c>
      <c r="X1694" s="60">
        <v>46030.534722222219</v>
      </c>
      <c r="Y1694" s="37"/>
      <c r="Z1694" s="37">
        <v>0.6</v>
      </c>
      <c r="AA1694" s="37"/>
      <c r="AB1694" s="37" t="s">
        <v>2521</v>
      </c>
      <c r="AC1694" s="40" t="s">
        <v>9561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3635</v>
      </c>
      <c r="H1695" s="37" t="s">
        <v>3148</v>
      </c>
      <c r="I1695" s="37"/>
      <c r="J1695" s="37"/>
      <c r="K1695" s="37"/>
      <c r="L1695" s="37"/>
      <c r="M1695" s="38"/>
      <c r="N1695" s="37"/>
      <c r="O1695" s="38"/>
      <c r="P1695" s="39"/>
      <c r="Q1695" s="37" t="s">
        <v>3636</v>
      </c>
      <c r="R1695" s="37" t="s">
        <v>2516</v>
      </c>
      <c r="S1695" s="37" t="s">
        <v>25</v>
      </c>
      <c r="T1695" s="37">
        <v>1</v>
      </c>
      <c r="U1695" s="37" t="s">
        <v>2517</v>
      </c>
      <c r="V1695" s="37" t="s">
        <v>9562</v>
      </c>
      <c r="W1695" s="37" t="s">
        <v>9563</v>
      </c>
      <c r="X1695" s="60">
        <v>46030.563888888893</v>
      </c>
      <c r="Y1695" s="37"/>
      <c r="Z1695" s="37">
        <v>0.5</v>
      </c>
      <c r="AA1695" s="37"/>
      <c r="AB1695" s="37" t="s">
        <v>2521</v>
      </c>
      <c r="AC1695" s="40" t="s">
        <v>9564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3621</v>
      </c>
      <c r="H1696" s="37" t="s">
        <v>3148</v>
      </c>
      <c r="I1696" s="37"/>
      <c r="J1696" s="37"/>
      <c r="K1696" s="37"/>
      <c r="L1696" s="37"/>
      <c r="M1696" s="38"/>
      <c r="N1696" s="37"/>
      <c r="O1696" s="38"/>
      <c r="P1696" s="39"/>
      <c r="Q1696" s="37" t="s">
        <v>3622</v>
      </c>
      <c r="R1696" s="37" t="s">
        <v>2516</v>
      </c>
      <c r="S1696" s="37" t="s">
        <v>25</v>
      </c>
      <c r="T1696" s="37">
        <v>1</v>
      </c>
      <c r="U1696" s="37" t="s">
        <v>2517</v>
      </c>
      <c r="V1696" s="37" t="s">
        <v>9565</v>
      </c>
      <c r="W1696" s="37" t="s">
        <v>9566</v>
      </c>
      <c r="X1696" s="60">
        <v>46030.582638888889</v>
      </c>
      <c r="Y1696" s="37"/>
      <c r="Z1696" s="37">
        <v>0.4</v>
      </c>
      <c r="AA1696" s="37"/>
      <c r="AB1696" s="37" t="s">
        <v>2521</v>
      </c>
      <c r="AC1696" s="40" t="s">
        <v>9567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3629</v>
      </c>
      <c r="H1697" s="37" t="s">
        <v>3148</v>
      </c>
      <c r="I1697" s="37"/>
      <c r="J1697" s="37"/>
      <c r="K1697" s="37"/>
      <c r="L1697" s="37"/>
      <c r="M1697" s="38"/>
      <c r="N1697" s="37"/>
      <c r="O1697" s="38"/>
      <c r="P1697" s="39"/>
      <c r="Q1697" s="37" t="s">
        <v>3630</v>
      </c>
      <c r="R1697" s="37" t="s">
        <v>2516</v>
      </c>
      <c r="S1697" s="37" t="s">
        <v>25</v>
      </c>
      <c r="T1697" s="37">
        <v>1</v>
      </c>
      <c r="U1697" s="37" t="s">
        <v>2517</v>
      </c>
      <c r="V1697" s="37" t="s">
        <v>9568</v>
      </c>
      <c r="W1697" s="37" t="s">
        <v>9569</v>
      </c>
      <c r="X1697" s="60">
        <v>46030.597222222219</v>
      </c>
      <c r="Y1697" s="37"/>
      <c r="Z1697" s="37">
        <v>0.3</v>
      </c>
      <c r="AA1697" s="37"/>
      <c r="AB1697" s="37" t="s">
        <v>2521</v>
      </c>
      <c r="AC1697" s="40" t="s">
        <v>9570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4062</v>
      </c>
      <c r="G1698" s="37" t="s">
        <v>4063</v>
      </c>
      <c r="H1698" s="37" t="s">
        <v>3148</v>
      </c>
      <c r="I1698" s="37"/>
      <c r="J1698" s="37"/>
      <c r="K1698" s="37"/>
      <c r="L1698" s="37"/>
      <c r="M1698" s="38"/>
      <c r="N1698" s="37"/>
      <c r="O1698" s="38"/>
      <c r="P1698" s="39"/>
      <c r="Q1698" s="37" t="s">
        <v>4064</v>
      </c>
      <c r="R1698" s="37" t="s">
        <v>2516</v>
      </c>
      <c r="S1698" s="37" t="s">
        <v>25</v>
      </c>
      <c r="T1698" s="37">
        <v>1</v>
      </c>
      <c r="U1698" s="37" t="s">
        <v>2517</v>
      </c>
      <c r="V1698" s="37" t="s">
        <v>9571</v>
      </c>
      <c r="W1698" s="37" t="s">
        <v>9572</v>
      </c>
      <c r="X1698" s="60">
        <v>46030.614583333343</v>
      </c>
      <c r="Y1698" s="37"/>
      <c r="Z1698" s="37">
        <v>0.2</v>
      </c>
      <c r="AA1698" s="37"/>
      <c r="AB1698" s="37" t="s">
        <v>2521</v>
      </c>
      <c r="AC1698" s="40" t="s">
        <v>2591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9573</v>
      </c>
      <c r="E1699" s="37" t="s">
        <v>2504</v>
      </c>
      <c r="F1699" s="37">
        <v>4196</v>
      </c>
      <c r="G1699" s="37" t="s">
        <v>3689</v>
      </c>
      <c r="H1699" s="37" t="s">
        <v>2507</v>
      </c>
      <c r="I1699" s="37" t="s">
        <v>9574</v>
      </c>
      <c r="J1699" s="37" t="s">
        <v>2835</v>
      </c>
      <c r="K1699" s="37" t="s">
        <v>2568</v>
      </c>
      <c r="L1699" s="37" t="s">
        <v>2511</v>
      </c>
      <c r="M1699" s="38" t="s">
        <v>2512</v>
      </c>
      <c r="N1699" s="37">
        <v>2307</v>
      </c>
      <c r="O1699" s="38" t="s">
        <v>2678</v>
      </c>
      <c r="P1699" s="39" t="s">
        <v>9575</v>
      </c>
      <c r="Q1699" s="37" t="s">
        <v>3690</v>
      </c>
      <c r="R1699" s="37" t="s">
        <v>2516</v>
      </c>
      <c r="S1699" s="37" t="s">
        <v>549</v>
      </c>
      <c r="T1699" s="37">
        <v>1</v>
      </c>
      <c r="U1699" s="37" t="s">
        <v>2517</v>
      </c>
      <c r="V1699" s="37" t="s">
        <v>9576</v>
      </c>
      <c r="W1699" s="37" t="s">
        <v>9577</v>
      </c>
      <c r="X1699" s="60">
        <v>46031.541666666657</v>
      </c>
      <c r="Y1699" s="37" t="s">
        <v>9578</v>
      </c>
      <c r="Z1699" s="37">
        <v>2</v>
      </c>
      <c r="AA1699" s="37"/>
      <c r="AB1699" s="37" t="s">
        <v>2521</v>
      </c>
      <c r="AC1699" s="40" t="s">
        <v>9579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9580</v>
      </c>
      <c r="E1700" s="37" t="s">
        <v>2504</v>
      </c>
      <c r="F1700" s="37">
        <v>4191</v>
      </c>
      <c r="G1700" s="37" t="s">
        <v>2593</v>
      </c>
      <c r="H1700" s="37" t="s">
        <v>2507</v>
      </c>
      <c r="I1700" s="37" t="s">
        <v>9581</v>
      </c>
      <c r="J1700" s="37" t="s">
        <v>2835</v>
      </c>
      <c r="K1700" s="37" t="s">
        <v>2510</v>
      </c>
      <c r="L1700" s="37" t="s">
        <v>2569</v>
      </c>
      <c r="M1700" s="38" t="s">
        <v>2570</v>
      </c>
      <c r="N1700" s="37">
        <v>2501</v>
      </c>
      <c r="O1700" s="38" t="s">
        <v>2571</v>
      </c>
      <c r="P1700" s="39" t="s">
        <v>9582</v>
      </c>
      <c r="Q1700" s="37" t="s">
        <v>2600</v>
      </c>
      <c r="R1700" s="37" t="s">
        <v>2516</v>
      </c>
      <c r="S1700" s="37" t="s">
        <v>549</v>
      </c>
      <c r="T1700" s="37">
        <v>1</v>
      </c>
      <c r="U1700" s="37" t="s">
        <v>2517</v>
      </c>
      <c r="V1700" s="37" t="s">
        <v>9583</v>
      </c>
      <c r="W1700" s="37" t="s">
        <v>9584</v>
      </c>
      <c r="X1700" s="60">
        <v>46031.645833333343</v>
      </c>
      <c r="Y1700" s="37" t="s">
        <v>9585</v>
      </c>
      <c r="Z1700" s="37">
        <v>0.3</v>
      </c>
      <c r="AA1700" s="37"/>
      <c r="AB1700" s="37" t="s">
        <v>2521</v>
      </c>
      <c r="AC1700" s="40" t="s">
        <v>9586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4070</v>
      </c>
      <c r="G1701" s="37" t="s">
        <v>4071</v>
      </c>
      <c r="H1701" s="37" t="s">
        <v>3148</v>
      </c>
      <c r="I1701" s="37"/>
      <c r="J1701" s="37"/>
      <c r="K1701" s="37"/>
      <c r="L1701" s="37"/>
      <c r="M1701" s="38"/>
      <c r="N1701" s="37"/>
      <c r="O1701" s="38"/>
      <c r="P1701" s="39"/>
      <c r="Q1701" s="37" t="s">
        <v>4072</v>
      </c>
      <c r="R1701" s="37" t="s">
        <v>2516</v>
      </c>
      <c r="S1701" s="37" t="s">
        <v>25</v>
      </c>
      <c r="T1701" s="37">
        <v>1</v>
      </c>
      <c r="U1701" s="37" t="s">
        <v>2517</v>
      </c>
      <c r="V1701" s="37" t="s">
        <v>9587</v>
      </c>
      <c r="W1701" s="37" t="s">
        <v>9588</v>
      </c>
      <c r="X1701" s="60">
        <v>46030.634027777778</v>
      </c>
      <c r="Y1701" s="37"/>
      <c r="Z1701" s="37">
        <v>0.2</v>
      </c>
      <c r="AA1701" s="37"/>
      <c r="AB1701" s="37" t="s">
        <v>2521</v>
      </c>
      <c r="AC1701" s="40" t="s">
        <v>2591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3362</v>
      </c>
      <c r="H1702" s="37" t="s">
        <v>3148</v>
      </c>
      <c r="I1702" s="37"/>
      <c r="J1702" s="37"/>
      <c r="K1702" s="37"/>
      <c r="L1702" s="37"/>
      <c r="M1702" s="38"/>
      <c r="N1702" s="37"/>
      <c r="O1702" s="38"/>
      <c r="P1702" s="39"/>
      <c r="Q1702" s="37" t="s">
        <v>3363</v>
      </c>
      <c r="R1702" s="37" t="s">
        <v>2516</v>
      </c>
      <c r="S1702" s="37" t="s">
        <v>25</v>
      </c>
      <c r="T1702" s="37">
        <v>1</v>
      </c>
      <c r="U1702" s="37" t="s">
        <v>2517</v>
      </c>
      <c r="V1702" s="37" t="s">
        <v>9589</v>
      </c>
      <c r="W1702" s="37" t="s">
        <v>9590</v>
      </c>
      <c r="X1702" s="60">
        <v>46030.661111111112</v>
      </c>
      <c r="Y1702" s="37"/>
      <c r="Z1702" s="37">
        <v>0.4</v>
      </c>
      <c r="AA1702" s="37"/>
      <c r="AB1702" s="37" t="s">
        <v>2521</v>
      </c>
      <c r="AC1702" s="40" t="s">
        <v>9591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6202</v>
      </c>
      <c r="H1703" s="37" t="s">
        <v>2659</v>
      </c>
      <c r="I1703" s="37"/>
      <c r="J1703" s="37"/>
      <c r="K1703" s="37"/>
      <c r="L1703" s="37"/>
      <c r="M1703" s="38"/>
      <c r="N1703" s="37"/>
      <c r="O1703" s="38"/>
      <c r="P1703" s="39"/>
      <c r="Q1703" s="37" t="s">
        <v>3395</v>
      </c>
      <c r="R1703" s="37" t="s">
        <v>2516</v>
      </c>
      <c r="S1703" s="37" t="s">
        <v>185</v>
      </c>
      <c r="T1703" s="37">
        <v>1</v>
      </c>
      <c r="U1703" s="37" t="s">
        <v>2517</v>
      </c>
      <c r="V1703" s="37" t="s">
        <v>9592</v>
      </c>
      <c r="W1703" s="37" t="s">
        <v>9588</v>
      </c>
      <c r="X1703" s="60">
        <v>46030.645833333343</v>
      </c>
      <c r="Y1703" s="37"/>
      <c r="Z1703" s="37">
        <v>0.5</v>
      </c>
      <c r="AA1703" s="37"/>
      <c r="AB1703" s="37" t="s">
        <v>2521</v>
      </c>
      <c r="AC1703" s="40" t="s">
        <v>9593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6202</v>
      </c>
      <c r="H1704" s="37" t="s">
        <v>2659</v>
      </c>
      <c r="I1704" s="37"/>
      <c r="J1704" s="37"/>
      <c r="K1704" s="37"/>
      <c r="L1704" s="37"/>
      <c r="M1704" s="38"/>
      <c r="N1704" s="37"/>
      <c r="O1704" s="38"/>
      <c r="P1704" s="39"/>
      <c r="Q1704" s="37" t="s">
        <v>3395</v>
      </c>
      <c r="R1704" s="37" t="s">
        <v>2516</v>
      </c>
      <c r="S1704" s="37" t="s">
        <v>549</v>
      </c>
      <c r="T1704" s="37">
        <v>1</v>
      </c>
      <c r="U1704" s="37" t="s">
        <v>2517</v>
      </c>
      <c r="V1704" s="37" t="s">
        <v>9594</v>
      </c>
      <c r="W1704" s="37" t="s">
        <v>9588</v>
      </c>
      <c r="X1704" s="60">
        <v>46030.645833333343</v>
      </c>
      <c r="Y1704" s="37"/>
      <c r="Z1704" s="37">
        <v>0.5</v>
      </c>
      <c r="AA1704" s="37"/>
      <c r="AB1704" s="37" t="s">
        <v>2521</v>
      </c>
      <c r="AC1704" s="40" t="s">
        <v>8711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3142</v>
      </c>
      <c r="H1705" s="37" t="s">
        <v>3138</v>
      </c>
      <c r="I1705" s="37"/>
      <c r="J1705" s="37"/>
      <c r="K1705" s="37"/>
      <c r="L1705" s="37"/>
      <c r="M1705" s="38"/>
      <c r="N1705" s="37"/>
      <c r="O1705" s="38"/>
      <c r="P1705" s="39"/>
      <c r="Q1705" s="37" t="s">
        <v>3143</v>
      </c>
      <c r="R1705" s="37" t="s">
        <v>2516</v>
      </c>
      <c r="S1705" s="37" t="s">
        <v>25</v>
      </c>
      <c r="T1705" s="37">
        <v>1</v>
      </c>
      <c r="U1705" s="37" t="s">
        <v>2517</v>
      </c>
      <c r="V1705" s="37" t="s">
        <v>9595</v>
      </c>
      <c r="W1705" s="37" t="s">
        <v>9596</v>
      </c>
      <c r="X1705" s="60">
        <v>46031.4375</v>
      </c>
      <c r="Y1705" s="37"/>
      <c r="Z1705" s="37">
        <v>1</v>
      </c>
      <c r="AA1705" s="37"/>
      <c r="AB1705" s="37" t="s">
        <v>2521</v>
      </c>
      <c r="AC1705" s="40" t="s">
        <v>9597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3137</v>
      </c>
      <c r="H1706" s="37" t="s">
        <v>3138</v>
      </c>
      <c r="I1706" s="37"/>
      <c r="J1706" s="37"/>
      <c r="K1706" s="37"/>
      <c r="L1706" s="37"/>
      <c r="M1706" s="38"/>
      <c r="N1706" s="37"/>
      <c r="O1706" s="38"/>
      <c r="P1706" s="39"/>
      <c r="Q1706" s="37" t="s">
        <v>3139</v>
      </c>
      <c r="R1706" s="37" t="s">
        <v>2516</v>
      </c>
      <c r="S1706" s="37" t="s">
        <v>25</v>
      </c>
      <c r="T1706" s="37">
        <v>1</v>
      </c>
      <c r="U1706" s="37" t="s">
        <v>2517</v>
      </c>
      <c r="V1706" s="37" t="s">
        <v>9598</v>
      </c>
      <c r="W1706" s="37" t="s">
        <v>9577</v>
      </c>
      <c r="X1706" s="60">
        <v>46031.478472222218</v>
      </c>
      <c r="Y1706" s="37"/>
      <c r="Z1706" s="37">
        <v>0.5</v>
      </c>
      <c r="AA1706" s="37"/>
      <c r="AB1706" s="37" t="s">
        <v>2521</v>
      </c>
      <c r="AC1706" s="40" t="s">
        <v>9599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9600</v>
      </c>
      <c r="E1707" s="37" t="s">
        <v>2504</v>
      </c>
      <c r="F1707" s="37">
        <v>4196</v>
      </c>
      <c r="G1707" s="37" t="s">
        <v>3689</v>
      </c>
      <c r="H1707" s="37" t="s">
        <v>2507</v>
      </c>
      <c r="I1707" s="37" t="s">
        <v>9601</v>
      </c>
      <c r="J1707" s="37" t="s">
        <v>2567</v>
      </c>
      <c r="K1707" s="37" t="s">
        <v>2510</v>
      </c>
      <c r="L1707" s="37" t="s">
        <v>2511</v>
      </c>
      <c r="M1707" s="38" t="s">
        <v>2512</v>
      </c>
      <c r="N1707" s="37">
        <v>2307</v>
      </c>
      <c r="O1707" s="38" t="s">
        <v>2678</v>
      </c>
      <c r="P1707" s="39" t="s">
        <v>9602</v>
      </c>
      <c r="Q1707" s="37" t="s">
        <v>3690</v>
      </c>
      <c r="R1707" s="37" t="s">
        <v>2516</v>
      </c>
      <c r="S1707" s="37" t="s">
        <v>549</v>
      </c>
      <c r="T1707" s="37">
        <v>1</v>
      </c>
      <c r="U1707" s="37" t="s">
        <v>2517</v>
      </c>
      <c r="V1707" s="37" t="s">
        <v>9603</v>
      </c>
      <c r="W1707" s="37" t="s">
        <v>9604</v>
      </c>
      <c r="X1707" s="60">
        <v>46031.625</v>
      </c>
      <c r="Y1707" s="37" t="s">
        <v>9605</v>
      </c>
      <c r="Z1707" s="37">
        <v>2</v>
      </c>
      <c r="AA1707" s="37"/>
      <c r="AB1707" s="37" t="s">
        <v>2521</v>
      </c>
      <c r="AC1707" s="40" t="s">
        <v>9606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3689</v>
      </c>
      <c r="H1708" s="37" t="s">
        <v>2507</v>
      </c>
      <c r="I1708" s="37"/>
      <c r="J1708" s="37"/>
      <c r="K1708" s="37"/>
      <c r="L1708" s="37"/>
      <c r="M1708" s="38"/>
      <c r="N1708" s="37"/>
      <c r="O1708" s="38"/>
      <c r="P1708" s="39"/>
      <c r="Q1708" s="37" t="s">
        <v>3690</v>
      </c>
      <c r="R1708" s="37" t="s">
        <v>2516</v>
      </c>
      <c r="S1708" s="37" t="s">
        <v>185</v>
      </c>
      <c r="T1708" s="37">
        <v>1</v>
      </c>
      <c r="U1708" s="37" t="s">
        <v>2517</v>
      </c>
      <c r="V1708" s="37" t="s">
        <v>9607</v>
      </c>
      <c r="W1708" s="37" t="s">
        <v>9577</v>
      </c>
      <c r="X1708" s="60">
        <v>46031.541666666657</v>
      </c>
      <c r="Y1708" s="37"/>
      <c r="Z1708" s="37">
        <v>2</v>
      </c>
      <c r="AA1708" s="37"/>
      <c r="AB1708" s="37" t="s">
        <v>2521</v>
      </c>
      <c r="AC1708" s="40" t="s">
        <v>9608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3689</v>
      </c>
      <c r="H1709" s="37" t="s">
        <v>2507</v>
      </c>
      <c r="I1709" s="37"/>
      <c r="J1709" s="37"/>
      <c r="K1709" s="37"/>
      <c r="L1709" s="37"/>
      <c r="M1709" s="38"/>
      <c r="N1709" s="37"/>
      <c r="O1709" s="38"/>
      <c r="P1709" s="39"/>
      <c r="Q1709" s="37" t="s">
        <v>3690</v>
      </c>
      <c r="R1709" s="37" t="s">
        <v>2516</v>
      </c>
      <c r="S1709" s="37" t="s">
        <v>549</v>
      </c>
      <c r="T1709" s="37">
        <v>1</v>
      </c>
      <c r="U1709" s="37" t="s">
        <v>2517</v>
      </c>
      <c r="V1709" s="37" t="s">
        <v>9609</v>
      </c>
      <c r="W1709" s="37" t="s">
        <v>9610</v>
      </c>
      <c r="X1709" s="60">
        <v>46031.625</v>
      </c>
      <c r="Y1709" s="37"/>
      <c r="Z1709" s="37">
        <v>0.3</v>
      </c>
      <c r="AA1709" s="37"/>
      <c r="AB1709" s="37" t="s">
        <v>2521</v>
      </c>
      <c r="AC1709" s="40" t="s">
        <v>9611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2593</v>
      </c>
      <c r="H1710" s="37" t="s">
        <v>2507</v>
      </c>
      <c r="I1710" s="37"/>
      <c r="J1710" s="37"/>
      <c r="K1710" s="37"/>
      <c r="L1710" s="37"/>
      <c r="M1710" s="38"/>
      <c r="N1710" s="37"/>
      <c r="O1710" s="38"/>
      <c r="P1710" s="39"/>
      <c r="Q1710" s="37" t="s">
        <v>2600</v>
      </c>
      <c r="R1710" s="37" t="s">
        <v>2516</v>
      </c>
      <c r="S1710" s="37" t="s">
        <v>549</v>
      </c>
      <c r="T1710" s="37">
        <v>1</v>
      </c>
      <c r="U1710" s="37" t="s">
        <v>2517</v>
      </c>
      <c r="V1710" s="37" t="s">
        <v>9612</v>
      </c>
      <c r="W1710" s="37" t="s">
        <v>9613</v>
      </c>
      <c r="X1710" s="60">
        <v>46031.652777777781</v>
      </c>
      <c r="Y1710" s="37"/>
      <c r="Z1710" s="37">
        <v>0.3</v>
      </c>
      <c r="AA1710" s="37"/>
      <c r="AB1710" s="37" t="s">
        <v>2521</v>
      </c>
      <c r="AC1710" s="40" t="s">
        <v>9614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2593</v>
      </c>
      <c r="H1711" s="37" t="s">
        <v>2507</v>
      </c>
      <c r="I1711" s="37"/>
      <c r="J1711" s="37"/>
      <c r="K1711" s="37"/>
      <c r="L1711" s="37"/>
      <c r="M1711" s="38"/>
      <c r="N1711" s="37"/>
      <c r="O1711" s="38"/>
      <c r="P1711" s="39"/>
      <c r="Q1711" s="37" t="s">
        <v>2600</v>
      </c>
      <c r="R1711" s="37" t="s">
        <v>2516</v>
      </c>
      <c r="S1711" s="37" t="s">
        <v>549</v>
      </c>
      <c r="T1711" s="37">
        <v>1</v>
      </c>
      <c r="U1711" s="37" t="s">
        <v>2517</v>
      </c>
      <c r="V1711" s="37" t="s">
        <v>9615</v>
      </c>
      <c r="W1711" s="37" t="s">
        <v>9613</v>
      </c>
      <c r="X1711" s="60">
        <v>46031.652777777781</v>
      </c>
      <c r="Y1711" s="37"/>
      <c r="Z1711" s="37">
        <v>0.3</v>
      </c>
      <c r="AA1711" s="37"/>
      <c r="AB1711" s="37" t="s">
        <v>2521</v>
      </c>
      <c r="AC1711" s="40" t="s">
        <v>9614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9616</v>
      </c>
      <c r="E1712" s="37" t="s">
        <v>2504</v>
      </c>
      <c r="F1712" s="37">
        <v>3017</v>
      </c>
      <c r="G1712" s="37" t="s">
        <v>9408</v>
      </c>
      <c r="H1712" s="37" t="s">
        <v>9409</v>
      </c>
      <c r="I1712" s="37" t="s">
        <v>9617</v>
      </c>
      <c r="J1712" s="37" t="s">
        <v>2567</v>
      </c>
      <c r="K1712" s="37" t="s">
        <v>2568</v>
      </c>
      <c r="L1712" s="37" t="s">
        <v>2611</v>
      </c>
      <c r="M1712" s="38" t="s">
        <v>2612</v>
      </c>
      <c r="N1712" s="37" t="s">
        <v>3110</v>
      </c>
      <c r="O1712" s="38" t="s">
        <v>6688</v>
      </c>
      <c r="P1712" s="39" t="s">
        <v>9618</v>
      </c>
      <c r="Q1712" s="37" t="s">
        <v>9412</v>
      </c>
      <c r="R1712" s="37" t="s">
        <v>2516</v>
      </c>
      <c r="S1712" s="37" t="s">
        <v>25</v>
      </c>
      <c r="T1712" s="37">
        <v>1</v>
      </c>
      <c r="U1712" s="37" t="s">
        <v>2517</v>
      </c>
      <c r="V1712" s="37" t="s">
        <v>9619</v>
      </c>
      <c r="W1712" s="37" t="s">
        <v>9620</v>
      </c>
      <c r="X1712" s="60">
        <v>46034.4375</v>
      </c>
      <c r="Y1712" s="37" t="s">
        <v>9621</v>
      </c>
      <c r="Z1712" s="37">
        <v>0.5</v>
      </c>
      <c r="AA1712" s="37"/>
      <c r="AB1712" s="37" t="s">
        <v>2521</v>
      </c>
      <c r="AC1712" s="40" t="s">
        <v>9622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9623</v>
      </c>
      <c r="H1713" s="37" t="s">
        <v>9409</v>
      </c>
      <c r="I1713" s="37"/>
      <c r="J1713" s="37"/>
      <c r="K1713" s="37"/>
      <c r="L1713" s="37"/>
      <c r="M1713" s="38"/>
      <c r="N1713" s="37"/>
      <c r="O1713" s="38"/>
      <c r="P1713" s="39"/>
      <c r="Q1713" s="37" t="s">
        <v>9624</v>
      </c>
      <c r="R1713" s="37" t="s">
        <v>2516</v>
      </c>
      <c r="S1713" s="37" t="s">
        <v>25</v>
      </c>
      <c r="T1713" s="37">
        <v>1</v>
      </c>
      <c r="U1713" s="37" t="s">
        <v>2517</v>
      </c>
      <c r="V1713" s="37" t="s">
        <v>9625</v>
      </c>
      <c r="W1713" s="37" t="s">
        <v>9626</v>
      </c>
      <c r="X1713" s="60">
        <v>46031.768750000003</v>
      </c>
      <c r="Y1713" s="37"/>
      <c r="Z1713" s="37">
        <v>4.5</v>
      </c>
      <c r="AA1713" s="37"/>
      <c r="AB1713" s="37" t="s">
        <v>2521</v>
      </c>
      <c r="AC1713" s="40" t="s">
        <v>9627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9628</v>
      </c>
      <c r="E1714" s="37" t="s">
        <v>2504</v>
      </c>
      <c r="F1714" s="37">
        <v>4210</v>
      </c>
      <c r="G1714" s="37" t="s">
        <v>3693</v>
      </c>
      <c r="H1714" s="37" t="s">
        <v>2507</v>
      </c>
      <c r="I1714" s="37" t="s">
        <v>9629</v>
      </c>
      <c r="J1714" s="37" t="s">
        <v>2930</v>
      </c>
      <c r="K1714" s="37" t="s">
        <v>2568</v>
      </c>
      <c r="L1714" s="37" t="s">
        <v>2611</v>
      </c>
      <c r="M1714" s="38" t="s">
        <v>2612</v>
      </c>
      <c r="N1714" s="37" t="s">
        <v>3110</v>
      </c>
      <c r="O1714" s="38" t="s">
        <v>6688</v>
      </c>
      <c r="P1714" s="39" t="s">
        <v>9630</v>
      </c>
      <c r="Q1714" s="37" t="s">
        <v>3694</v>
      </c>
      <c r="R1714" s="37" t="s">
        <v>2516</v>
      </c>
      <c r="S1714" s="37" t="s">
        <v>549</v>
      </c>
      <c r="T1714" s="37">
        <v>1</v>
      </c>
      <c r="U1714" s="37" t="s">
        <v>2517</v>
      </c>
      <c r="V1714" s="37" t="s">
        <v>9631</v>
      </c>
      <c r="W1714" s="37" t="s">
        <v>9632</v>
      </c>
      <c r="X1714" s="60">
        <v>46034.5625</v>
      </c>
      <c r="Y1714" s="37" t="s">
        <v>9633</v>
      </c>
      <c r="Z1714" s="37">
        <v>0.5</v>
      </c>
      <c r="AA1714" s="37"/>
      <c r="AB1714" s="37" t="s">
        <v>2521</v>
      </c>
      <c r="AC1714" s="40" t="s">
        <v>9634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9635</v>
      </c>
      <c r="E1715" s="37" t="s">
        <v>2504</v>
      </c>
      <c r="F1715" s="37">
        <v>2375</v>
      </c>
      <c r="G1715" s="37" t="s">
        <v>9442</v>
      </c>
      <c r="H1715" s="37" t="s">
        <v>9409</v>
      </c>
      <c r="I1715" s="37" t="s">
        <v>9636</v>
      </c>
      <c r="J1715" s="37" t="s">
        <v>2567</v>
      </c>
      <c r="K1715" s="37" t="s">
        <v>2717</v>
      </c>
      <c r="L1715" s="37" t="s">
        <v>2537</v>
      </c>
      <c r="M1715" s="38" t="s">
        <v>2538</v>
      </c>
      <c r="N1715" s="37" t="s">
        <v>2539</v>
      </c>
      <c r="O1715" s="38" t="s">
        <v>2540</v>
      </c>
      <c r="P1715" s="39" t="s">
        <v>9637</v>
      </c>
      <c r="Q1715" s="37" t="s">
        <v>9443</v>
      </c>
      <c r="R1715" s="37" t="s">
        <v>2516</v>
      </c>
      <c r="S1715" s="37" t="s">
        <v>25</v>
      </c>
      <c r="T1715" s="37">
        <v>1</v>
      </c>
      <c r="U1715" s="37" t="s">
        <v>2517</v>
      </c>
      <c r="V1715" s="37" t="s">
        <v>9638</v>
      </c>
      <c r="W1715" s="37" t="s">
        <v>9639</v>
      </c>
      <c r="X1715" s="60">
        <v>46034.673611111109</v>
      </c>
      <c r="Y1715" s="37" t="s">
        <v>9633</v>
      </c>
      <c r="Z1715" s="37">
        <v>2.2000000000000002</v>
      </c>
      <c r="AA1715" s="37"/>
      <c r="AB1715" s="37" t="s">
        <v>2521</v>
      </c>
      <c r="AC1715" s="40" t="s">
        <v>9640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9641</v>
      </c>
      <c r="E1716" s="37" t="s">
        <v>2504</v>
      </c>
      <c r="F1716" s="37">
        <v>2375</v>
      </c>
      <c r="G1716" s="37" t="s">
        <v>9442</v>
      </c>
      <c r="H1716" s="37" t="s">
        <v>9409</v>
      </c>
      <c r="I1716" s="37" t="s">
        <v>9642</v>
      </c>
      <c r="J1716" s="37" t="s">
        <v>2930</v>
      </c>
      <c r="K1716" s="37" t="s">
        <v>2568</v>
      </c>
      <c r="L1716" s="37" t="s">
        <v>2537</v>
      </c>
      <c r="M1716" s="38" t="s">
        <v>2538</v>
      </c>
      <c r="N1716" s="37" t="s">
        <v>2539</v>
      </c>
      <c r="O1716" s="38" t="s">
        <v>2540</v>
      </c>
      <c r="P1716" s="39" t="s">
        <v>9643</v>
      </c>
      <c r="Q1716" s="37" t="s">
        <v>9443</v>
      </c>
      <c r="R1716" s="37" t="s">
        <v>2516</v>
      </c>
      <c r="S1716" s="37" t="s">
        <v>25</v>
      </c>
      <c r="T1716" s="37">
        <v>1</v>
      </c>
      <c r="U1716" s="37" t="s">
        <v>2517</v>
      </c>
      <c r="V1716" s="37" t="s">
        <v>9644</v>
      </c>
      <c r="W1716" s="37" t="s">
        <v>9639</v>
      </c>
      <c r="X1716" s="60">
        <v>46034.673611111109</v>
      </c>
      <c r="Y1716" s="37" t="s">
        <v>9633</v>
      </c>
      <c r="Z1716" s="37">
        <v>2.2000000000000002</v>
      </c>
      <c r="AA1716" s="37"/>
      <c r="AB1716" s="37" t="s">
        <v>2521</v>
      </c>
      <c r="AC1716" s="40" t="s">
        <v>9645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9646</v>
      </c>
      <c r="E1717" s="37" t="s">
        <v>2504</v>
      </c>
      <c r="F1717" s="37">
        <v>2375</v>
      </c>
      <c r="G1717" s="37" t="s">
        <v>9442</v>
      </c>
      <c r="H1717" s="37" t="s">
        <v>9409</v>
      </c>
      <c r="I1717" s="37" t="s">
        <v>9647</v>
      </c>
      <c r="J1717" s="37" t="s">
        <v>2930</v>
      </c>
      <c r="K1717" s="37" t="s">
        <v>2568</v>
      </c>
      <c r="L1717" s="37" t="s">
        <v>2511</v>
      </c>
      <c r="M1717" s="38" t="s">
        <v>2512</v>
      </c>
      <c r="N1717" s="37">
        <v>2304</v>
      </c>
      <c r="O1717" s="38" t="s">
        <v>2513</v>
      </c>
      <c r="P1717" s="39" t="s">
        <v>9648</v>
      </c>
      <c r="Q1717" s="37" t="s">
        <v>9443</v>
      </c>
      <c r="R1717" s="37" t="s">
        <v>2516</v>
      </c>
      <c r="S1717" s="37" t="s">
        <v>25</v>
      </c>
      <c r="T1717" s="37">
        <v>1</v>
      </c>
      <c r="U1717" s="37" t="s">
        <v>2517</v>
      </c>
      <c r="V1717" s="37" t="s">
        <v>9649</v>
      </c>
      <c r="W1717" s="37" t="s">
        <v>9639</v>
      </c>
      <c r="X1717" s="60">
        <v>46034.673611111109</v>
      </c>
      <c r="Y1717" s="37" t="s">
        <v>9633</v>
      </c>
      <c r="Z1717" s="37">
        <v>2.2000000000000002</v>
      </c>
      <c r="AA1717" s="37"/>
      <c r="AB1717" s="37" t="s">
        <v>2521</v>
      </c>
      <c r="AC1717" s="40" t="s">
        <v>9650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9651</v>
      </c>
      <c r="E1718" s="37" t="s">
        <v>2504</v>
      </c>
      <c r="F1718" s="37">
        <v>2375</v>
      </c>
      <c r="G1718" s="37" t="s">
        <v>9442</v>
      </c>
      <c r="H1718" s="37" t="s">
        <v>9409</v>
      </c>
      <c r="I1718" s="37" t="s">
        <v>9652</v>
      </c>
      <c r="J1718" s="37" t="s">
        <v>2930</v>
      </c>
      <c r="K1718" s="37" t="s">
        <v>2568</v>
      </c>
      <c r="L1718" s="37" t="s">
        <v>2511</v>
      </c>
      <c r="M1718" s="38" t="s">
        <v>2512</v>
      </c>
      <c r="N1718" s="37">
        <v>2304</v>
      </c>
      <c r="O1718" s="38" t="s">
        <v>2513</v>
      </c>
      <c r="P1718" s="39" t="s">
        <v>9653</v>
      </c>
      <c r="Q1718" s="37" t="s">
        <v>9443</v>
      </c>
      <c r="R1718" s="37" t="s">
        <v>2516</v>
      </c>
      <c r="S1718" s="37" t="s">
        <v>25</v>
      </c>
      <c r="T1718" s="37">
        <v>1</v>
      </c>
      <c r="U1718" s="37" t="s">
        <v>2517</v>
      </c>
      <c r="V1718" s="37" t="s">
        <v>9654</v>
      </c>
      <c r="W1718" s="37" t="s">
        <v>9639</v>
      </c>
      <c r="X1718" s="60">
        <v>46034.673611111109</v>
      </c>
      <c r="Y1718" s="37" t="s">
        <v>9633</v>
      </c>
      <c r="Z1718" s="37">
        <v>2.2000000000000002</v>
      </c>
      <c r="AA1718" s="37"/>
      <c r="AB1718" s="37" t="s">
        <v>2521</v>
      </c>
      <c r="AC1718" s="40" t="s">
        <v>9655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9656</v>
      </c>
      <c r="E1719" s="37" t="s">
        <v>2504</v>
      </c>
      <c r="F1719" s="37">
        <v>3770</v>
      </c>
      <c r="G1719" s="37" t="s">
        <v>3014</v>
      </c>
      <c r="H1719" s="37" t="s">
        <v>2996</v>
      </c>
      <c r="I1719" s="37" t="s">
        <v>9657</v>
      </c>
      <c r="J1719" s="37" t="s">
        <v>2930</v>
      </c>
      <c r="K1719" s="37" t="s">
        <v>2510</v>
      </c>
      <c r="L1719" s="37" t="s">
        <v>2511</v>
      </c>
      <c r="M1719" s="38" t="s">
        <v>2512</v>
      </c>
      <c r="N1719" s="37">
        <v>2307</v>
      </c>
      <c r="O1719" s="38" t="s">
        <v>2678</v>
      </c>
      <c r="P1719" s="39" t="s">
        <v>9658</v>
      </c>
      <c r="Q1719" s="37" t="s">
        <v>3015</v>
      </c>
      <c r="R1719" s="37" t="s">
        <v>2516</v>
      </c>
      <c r="S1719" s="37" t="s">
        <v>185</v>
      </c>
      <c r="T1719" s="37">
        <v>1</v>
      </c>
      <c r="U1719" s="37" t="s">
        <v>2517</v>
      </c>
      <c r="V1719" s="37" t="s">
        <v>9659</v>
      </c>
      <c r="W1719" s="37" t="s">
        <v>9660</v>
      </c>
      <c r="X1719" s="60">
        <v>46034.479166666657</v>
      </c>
      <c r="Y1719" s="37" t="s">
        <v>9633</v>
      </c>
      <c r="Z1719" s="37">
        <v>0.5</v>
      </c>
      <c r="AA1719" s="37"/>
      <c r="AB1719" s="37" t="s">
        <v>2521</v>
      </c>
      <c r="AC1719" s="40" t="s">
        <v>9661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9662</v>
      </c>
      <c r="E1720" s="37" t="s">
        <v>2504</v>
      </c>
      <c r="F1720" s="37">
        <v>3052</v>
      </c>
      <c r="G1720" s="37" t="s">
        <v>9663</v>
      </c>
      <c r="H1720" s="37" t="s">
        <v>2659</v>
      </c>
      <c r="I1720" s="37" t="s">
        <v>9664</v>
      </c>
      <c r="J1720" s="37" t="s">
        <v>2930</v>
      </c>
      <c r="K1720" s="37" t="s">
        <v>2510</v>
      </c>
      <c r="L1720" s="37" t="s">
        <v>2569</v>
      </c>
      <c r="M1720" s="38" t="s">
        <v>2570</v>
      </c>
      <c r="N1720" s="37">
        <v>2503</v>
      </c>
      <c r="O1720" s="38" t="s">
        <v>7458</v>
      </c>
      <c r="P1720" s="39" t="s">
        <v>9665</v>
      </c>
      <c r="Q1720" s="37" t="s">
        <v>2693</v>
      </c>
      <c r="R1720" s="37" t="s">
        <v>2516</v>
      </c>
      <c r="S1720" s="37" t="s">
        <v>185</v>
      </c>
      <c r="T1720" s="37">
        <v>1</v>
      </c>
      <c r="U1720" s="37" t="s">
        <v>2517</v>
      </c>
      <c r="V1720" s="37" t="s">
        <v>9666</v>
      </c>
      <c r="W1720" s="37" t="s">
        <v>9667</v>
      </c>
      <c r="X1720" s="60">
        <v>46034.416666666657</v>
      </c>
      <c r="Y1720" s="37" t="s">
        <v>9633</v>
      </c>
      <c r="Z1720" s="37">
        <v>0.5</v>
      </c>
      <c r="AA1720" s="37"/>
      <c r="AB1720" s="37" t="s">
        <v>2521</v>
      </c>
      <c r="AC1720" s="40" t="s">
        <v>9668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9669</v>
      </c>
      <c r="E1721" s="37" t="s">
        <v>2843</v>
      </c>
      <c r="F1721" s="37">
        <v>2201</v>
      </c>
      <c r="G1721" s="37" t="s">
        <v>9670</v>
      </c>
      <c r="H1721" s="37" t="s">
        <v>9289</v>
      </c>
      <c r="I1721" s="37" t="s">
        <v>9671</v>
      </c>
      <c r="J1721" s="37" t="s">
        <v>2643</v>
      </c>
      <c r="K1721" s="37" t="s">
        <v>2568</v>
      </c>
      <c r="L1721" s="37" t="s">
        <v>2846</v>
      </c>
      <c r="M1721" s="38" t="s">
        <v>2847</v>
      </c>
      <c r="N1721" s="37">
        <v>2401</v>
      </c>
      <c r="O1721" s="38" t="s">
        <v>2848</v>
      </c>
      <c r="P1721" s="39" t="s">
        <v>9672</v>
      </c>
      <c r="Q1721" s="37" t="s">
        <v>9673</v>
      </c>
      <c r="R1721" s="37" t="s">
        <v>2516</v>
      </c>
      <c r="S1721" s="37" t="s">
        <v>25</v>
      </c>
      <c r="T1721" s="37">
        <v>1</v>
      </c>
      <c r="U1721" s="37" t="s">
        <v>2517</v>
      </c>
      <c r="V1721" s="37" t="s">
        <v>9674</v>
      </c>
      <c r="W1721" s="37" t="s">
        <v>9675</v>
      </c>
      <c r="X1721" s="60">
        <v>46033.628472222219</v>
      </c>
      <c r="Y1721" s="37" t="s">
        <v>9676</v>
      </c>
      <c r="Z1721" s="37">
        <v>2.1</v>
      </c>
      <c r="AA1721" s="37"/>
      <c r="AB1721" s="37" t="s">
        <v>2521</v>
      </c>
      <c r="AC1721" s="40" t="s">
        <v>9677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9623</v>
      </c>
      <c r="H1722" s="37" t="s">
        <v>9409</v>
      </c>
      <c r="I1722" s="37"/>
      <c r="J1722" s="37"/>
      <c r="K1722" s="37"/>
      <c r="L1722" s="37"/>
      <c r="M1722" s="38"/>
      <c r="N1722" s="37"/>
      <c r="O1722" s="38"/>
      <c r="P1722" s="39"/>
      <c r="Q1722" s="37" t="s">
        <v>9624</v>
      </c>
      <c r="R1722" s="37" t="s">
        <v>2516</v>
      </c>
      <c r="S1722" s="37" t="s">
        <v>185</v>
      </c>
      <c r="T1722" s="37">
        <v>1</v>
      </c>
      <c r="U1722" s="37" t="s">
        <v>2517</v>
      </c>
      <c r="V1722" s="37" t="s">
        <v>9678</v>
      </c>
      <c r="W1722" s="37" t="s">
        <v>9679</v>
      </c>
      <c r="X1722" s="60">
        <v>46033.791666666657</v>
      </c>
      <c r="Y1722" s="37"/>
      <c r="Z1722" s="37">
        <v>1</v>
      </c>
      <c r="AA1722" s="37"/>
      <c r="AB1722" s="37" t="s">
        <v>2521</v>
      </c>
      <c r="AC1722" s="40" t="s">
        <v>2563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9623</v>
      </c>
      <c r="H1723" s="37" t="s">
        <v>9409</v>
      </c>
      <c r="I1723" s="37"/>
      <c r="J1723" s="37"/>
      <c r="K1723" s="37"/>
      <c r="L1723" s="37"/>
      <c r="M1723" s="38"/>
      <c r="N1723" s="37"/>
      <c r="O1723" s="38"/>
      <c r="P1723" s="39"/>
      <c r="Q1723" s="37" t="s">
        <v>9624</v>
      </c>
      <c r="R1723" s="37" t="s">
        <v>2516</v>
      </c>
      <c r="S1723" s="37" t="s">
        <v>25</v>
      </c>
      <c r="T1723" s="37">
        <v>1</v>
      </c>
      <c r="U1723" s="37" t="s">
        <v>2517</v>
      </c>
      <c r="V1723" s="37" t="s">
        <v>9680</v>
      </c>
      <c r="W1723" s="37" t="s">
        <v>9679</v>
      </c>
      <c r="X1723" s="60">
        <v>46033.79583333333</v>
      </c>
      <c r="Y1723" s="37"/>
      <c r="Z1723" s="37">
        <v>1.1000000000000001</v>
      </c>
      <c r="AA1723" s="37"/>
      <c r="AB1723" s="37" t="s">
        <v>2521</v>
      </c>
      <c r="AC1723" s="40" t="s">
        <v>9681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9682</v>
      </c>
      <c r="E1724" s="37" t="s">
        <v>2504</v>
      </c>
      <c r="F1724" s="37" t="s">
        <v>2657</v>
      </c>
      <c r="G1724" s="37" t="s">
        <v>2658</v>
      </c>
      <c r="H1724" s="37" t="s">
        <v>2659</v>
      </c>
      <c r="I1724" s="37" t="s">
        <v>9683</v>
      </c>
      <c r="J1724" s="37" t="s">
        <v>2661</v>
      </c>
      <c r="K1724" s="37" t="s">
        <v>2568</v>
      </c>
      <c r="L1724" s="37" t="s">
        <v>2611</v>
      </c>
      <c r="M1724" s="38" t="s">
        <v>2612</v>
      </c>
      <c r="N1724" s="37" t="s">
        <v>3110</v>
      </c>
      <c r="O1724" s="38" t="s">
        <v>6688</v>
      </c>
      <c r="P1724" s="39" t="s">
        <v>9684</v>
      </c>
      <c r="Q1724" s="37" t="s">
        <v>2666</v>
      </c>
      <c r="R1724" s="37" t="s">
        <v>2516</v>
      </c>
      <c r="S1724" s="37" t="s">
        <v>185</v>
      </c>
      <c r="T1724" s="37">
        <v>1</v>
      </c>
      <c r="U1724" s="37" t="s">
        <v>2517</v>
      </c>
      <c r="V1724" s="37" t="s">
        <v>9685</v>
      </c>
      <c r="W1724" s="37" t="s">
        <v>9686</v>
      </c>
      <c r="X1724" s="60">
        <v>46034.645833333343</v>
      </c>
      <c r="Y1724" s="37" t="s">
        <v>9687</v>
      </c>
      <c r="Z1724" s="37">
        <v>0.5</v>
      </c>
      <c r="AA1724" s="37"/>
      <c r="AB1724" s="37" t="s">
        <v>2521</v>
      </c>
      <c r="AC1724" s="40" t="s">
        <v>9323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9663</v>
      </c>
      <c r="H1725" s="37" t="s">
        <v>2659</v>
      </c>
      <c r="I1725" s="37"/>
      <c r="J1725" s="37"/>
      <c r="K1725" s="37"/>
      <c r="L1725" s="37"/>
      <c r="M1725" s="38"/>
      <c r="N1725" s="37"/>
      <c r="O1725" s="38"/>
      <c r="P1725" s="39"/>
      <c r="Q1725" s="37" t="s">
        <v>2693</v>
      </c>
      <c r="R1725" s="37" t="s">
        <v>2516</v>
      </c>
      <c r="S1725" s="37" t="s">
        <v>185</v>
      </c>
      <c r="T1725" s="37">
        <v>1</v>
      </c>
      <c r="U1725" s="37" t="s">
        <v>2517</v>
      </c>
      <c r="V1725" s="37" t="s">
        <v>9688</v>
      </c>
      <c r="W1725" s="37" t="s">
        <v>9620</v>
      </c>
      <c r="X1725" s="60">
        <v>46034.4375</v>
      </c>
      <c r="Y1725" s="37"/>
      <c r="Z1725" s="37">
        <v>0.5</v>
      </c>
      <c r="AA1725" s="37"/>
      <c r="AB1725" s="37" t="s">
        <v>2521</v>
      </c>
      <c r="AC1725" s="40" t="s">
        <v>9689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3014</v>
      </c>
      <c r="H1726" s="37" t="s">
        <v>2996</v>
      </c>
      <c r="I1726" s="37"/>
      <c r="J1726" s="37"/>
      <c r="K1726" s="37"/>
      <c r="L1726" s="37"/>
      <c r="M1726" s="38"/>
      <c r="N1726" s="37"/>
      <c r="O1726" s="38"/>
      <c r="P1726" s="39"/>
      <c r="Q1726" s="37" t="s">
        <v>3015</v>
      </c>
      <c r="R1726" s="37" t="s">
        <v>2516</v>
      </c>
      <c r="S1726" s="37" t="s">
        <v>185</v>
      </c>
      <c r="T1726" s="37">
        <v>1</v>
      </c>
      <c r="U1726" s="37" t="s">
        <v>2517</v>
      </c>
      <c r="V1726" s="37" t="s">
        <v>9690</v>
      </c>
      <c r="W1726" s="37" t="s">
        <v>9691</v>
      </c>
      <c r="X1726" s="60">
        <v>46034.5</v>
      </c>
      <c r="Y1726" s="37"/>
      <c r="Z1726" s="37">
        <v>0.5</v>
      </c>
      <c r="AA1726" s="37"/>
      <c r="AB1726" s="37" t="s">
        <v>2521</v>
      </c>
      <c r="AC1726" s="40" t="s">
        <v>9692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9693</v>
      </c>
      <c r="E1727" s="37" t="s">
        <v>2504</v>
      </c>
      <c r="F1727" s="37" t="s">
        <v>2817</v>
      </c>
      <c r="G1727" s="37" t="s">
        <v>6396</v>
      </c>
      <c r="H1727" s="37" t="s">
        <v>2507</v>
      </c>
      <c r="I1727" s="37" t="s">
        <v>9694</v>
      </c>
      <c r="J1727" s="37" t="s">
        <v>2661</v>
      </c>
      <c r="K1727" s="37" t="s">
        <v>2510</v>
      </c>
      <c r="L1727" s="37" t="s">
        <v>2611</v>
      </c>
      <c r="M1727" s="38" t="s">
        <v>2612</v>
      </c>
      <c r="N1727" s="37" t="s">
        <v>3110</v>
      </c>
      <c r="O1727" s="38" t="s">
        <v>6688</v>
      </c>
      <c r="P1727" s="39" t="s">
        <v>9695</v>
      </c>
      <c r="Q1727" s="37" t="s">
        <v>2819</v>
      </c>
      <c r="R1727" s="37" t="s">
        <v>2516</v>
      </c>
      <c r="S1727" s="37" t="s">
        <v>549</v>
      </c>
      <c r="T1727" s="37">
        <v>1</v>
      </c>
      <c r="U1727" s="37" t="s">
        <v>2517</v>
      </c>
      <c r="V1727" s="37" t="s">
        <v>9696</v>
      </c>
      <c r="W1727" s="37" t="s">
        <v>9697</v>
      </c>
      <c r="X1727" s="60">
        <v>46034.611111111109</v>
      </c>
      <c r="Y1727" s="37" t="s">
        <v>9698</v>
      </c>
      <c r="Z1727" s="37">
        <v>0.6</v>
      </c>
      <c r="AA1727" s="37"/>
      <c r="AB1727" s="37" t="s">
        <v>2521</v>
      </c>
      <c r="AC1727" s="40" t="s">
        <v>9699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3693</v>
      </c>
      <c r="H1728" s="37" t="s">
        <v>2507</v>
      </c>
      <c r="I1728" s="37"/>
      <c r="J1728" s="37"/>
      <c r="K1728" s="37"/>
      <c r="L1728" s="37"/>
      <c r="M1728" s="38"/>
      <c r="N1728" s="37"/>
      <c r="O1728" s="38"/>
      <c r="P1728" s="39"/>
      <c r="Q1728" s="37" t="s">
        <v>3694</v>
      </c>
      <c r="R1728" s="37" t="s">
        <v>2516</v>
      </c>
      <c r="S1728" s="37" t="s">
        <v>549</v>
      </c>
      <c r="T1728" s="37">
        <v>1</v>
      </c>
      <c r="U1728" s="37" t="s">
        <v>2517</v>
      </c>
      <c r="V1728" s="37" t="s">
        <v>9700</v>
      </c>
      <c r="W1728" s="37" t="s">
        <v>9701</v>
      </c>
      <c r="X1728" s="60">
        <v>46034.576388888891</v>
      </c>
      <c r="Y1728" s="37"/>
      <c r="Z1728" s="37">
        <v>0.3</v>
      </c>
      <c r="AA1728" s="37"/>
      <c r="AB1728" s="37" t="s">
        <v>2521</v>
      </c>
      <c r="AC1728" s="40" t="s">
        <v>9702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2817</v>
      </c>
      <c r="G1729" s="37" t="s">
        <v>6396</v>
      </c>
      <c r="H1729" s="37" t="s">
        <v>2507</v>
      </c>
      <c r="I1729" s="37"/>
      <c r="J1729" s="37"/>
      <c r="K1729" s="37"/>
      <c r="L1729" s="37"/>
      <c r="M1729" s="38"/>
      <c r="N1729" s="37"/>
      <c r="O1729" s="38"/>
      <c r="P1729" s="39"/>
      <c r="Q1729" s="37" t="s">
        <v>2819</v>
      </c>
      <c r="R1729" s="37" t="s">
        <v>2516</v>
      </c>
      <c r="S1729" s="37" t="s">
        <v>549</v>
      </c>
      <c r="T1729" s="37">
        <v>1</v>
      </c>
      <c r="U1729" s="37" t="s">
        <v>2517</v>
      </c>
      <c r="V1729" s="37" t="s">
        <v>9703</v>
      </c>
      <c r="W1729" s="37" t="s">
        <v>9704</v>
      </c>
      <c r="X1729" s="60">
        <v>46034.614583333343</v>
      </c>
      <c r="Y1729" s="37"/>
      <c r="Z1729" s="37">
        <v>0.3</v>
      </c>
      <c r="AA1729" s="37"/>
      <c r="AB1729" s="37" t="s">
        <v>2521</v>
      </c>
      <c r="AC1729" s="40" t="s">
        <v>9705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2657</v>
      </c>
      <c r="G1730" s="37" t="s">
        <v>2658</v>
      </c>
      <c r="H1730" s="37" t="s">
        <v>2659</v>
      </c>
      <c r="I1730" s="37"/>
      <c r="J1730" s="37"/>
      <c r="K1730" s="37"/>
      <c r="L1730" s="37"/>
      <c r="M1730" s="38"/>
      <c r="N1730" s="37"/>
      <c r="O1730" s="38"/>
      <c r="P1730" s="39"/>
      <c r="Q1730" s="37" t="s">
        <v>2666</v>
      </c>
      <c r="R1730" s="37" t="s">
        <v>2516</v>
      </c>
      <c r="S1730" s="37" t="s">
        <v>185</v>
      </c>
      <c r="T1730" s="37">
        <v>1</v>
      </c>
      <c r="U1730" s="37" t="s">
        <v>2517</v>
      </c>
      <c r="V1730" s="37" t="s">
        <v>9706</v>
      </c>
      <c r="W1730" s="37" t="s">
        <v>9707</v>
      </c>
      <c r="X1730" s="60">
        <v>46034.666666666657</v>
      </c>
      <c r="Y1730" s="37"/>
      <c r="Z1730" s="37">
        <v>0.5</v>
      </c>
      <c r="AA1730" s="37"/>
      <c r="AB1730" s="37" t="s">
        <v>2521</v>
      </c>
      <c r="AC1730" s="40" t="s">
        <v>9708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9709</v>
      </c>
      <c r="E1731" s="37" t="s">
        <v>2504</v>
      </c>
      <c r="F1731" s="37">
        <v>4191</v>
      </c>
      <c r="G1731" s="37" t="s">
        <v>2593</v>
      </c>
      <c r="H1731" s="37" t="s">
        <v>2507</v>
      </c>
      <c r="I1731" s="37" t="s">
        <v>9710</v>
      </c>
      <c r="J1731" s="37" t="s">
        <v>2661</v>
      </c>
      <c r="K1731" s="37" t="s">
        <v>2510</v>
      </c>
      <c r="L1731" s="37" t="s">
        <v>2537</v>
      </c>
      <c r="M1731" s="38" t="s">
        <v>2538</v>
      </c>
      <c r="N1731" s="37" t="s">
        <v>2539</v>
      </c>
      <c r="O1731" s="38" t="s">
        <v>2540</v>
      </c>
      <c r="P1731" s="39" t="s">
        <v>9711</v>
      </c>
      <c r="Q1731" s="37" t="s">
        <v>2600</v>
      </c>
      <c r="R1731" s="37" t="s">
        <v>2516</v>
      </c>
      <c r="S1731" s="37" t="s">
        <v>549</v>
      </c>
      <c r="T1731" s="37">
        <v>1</v>
      </c>
      <c r="U1731" s="37" t="s">
        <v>2517</v>
      </c>
      <c r="V1731" s="37" t="s">
        <v>9712</v>
      </c>
      <c r="W1731" s="37" t="s">
        <v>9713</v>
      </c>
      <c r="X1731" s="60">
        <v>46035.649305555547</v>
      </c>
      <c r="Y1731" s="37" t="s">
        <v>9714</v>
      </c>
      <c r="Z1731" s="37">
        <v>0.3</v>
      </c>
      <c r="AA1731" s="37"/>
      <c r="AB1731" s="37" t="s">
        <v>2521</v>
      </c>
      <c r="AC1731" s="40" t="s">
        <v>9715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9716</v>
      </c>
      <c r="E1732" s="37" t="s">
        <v>2843</v>
      </c>
      <c r="F1732" s="37">
        <v>4155</v>
      </c>
      <c r="G1732" s="37" t="s">
        <v>2737</v>
      </c>
      <c r="H1732" s="37" t="s">
        <v>2507</v>
      </c>
      <c r="I1732" s="37" t="s">
        <v>9717</v>
      </c>
      <c r="J1732" s="37" t="s">
        <v>2509</v>
      </c>
      <c r="K1732" s="37" t="s">
        <v>2568</v>
      </c>
      <c r="L1732" s="37" t="s">
        <v>2846</v>
      </c>
      <c r="M1732" s="38" t="s">
        <v>2847</v>
      </c>
      <c r="N1732" s="37">
        <v>2401</v>
      </c>
      <c r="O1732" s="38" t="s">
        <v>2848</v>
      </c>
      <c r="P1732" s="39" t="s">
        <v>9718</v>
      </c>
      <c r="Q1732" s="37" t="s">
        <v>2738</v>
      </c>
      <c r="R1732" s="37" t="s">
        <v>2516</v>
      </c>
      <c r="S1732" s="37" t="s">
        <v>185</v>
      </c>
      <c r="T1732" s="37">
        <v>1</v>
      </c>
      <c r="U1732" s="37" t="s">
        <v>2517</v>
      </c>
      <c r="V1732" s="37" t="s">
        <v>9719</v>
      </c>
      <c r="W1732" s="37" t="s">
        <v>9720</v>
      </c>
      <c r="X1732" s="60">
        <v>46035.479166666657</v>
      </c>
      <c r="Y1732" s="37" t="s">
        <v>9721</v>
      </c>
      <c r="Z1732" s="37">
        <v>1.5</v>
      </c>
      <c r="AA1732" s="37"/>
      <c r="AB1732" s="37" t="s">
        <v>2521</v>
      </c>
      <c r="AC1732" s="40" t="s">
        <v>9722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3314</v>
      </c>
      <c r="H1733" s="37" t="s">
        <v>1604</v>
      </c>
      <c r="I1733" s="37"/>
      <c r="J1733" s="37"/>
      <c r="K1733" s="37"/>
      <c r="L1733" s="37"/>
      <c r="M1733" s="38"/>
      <c r="N1733" s="37"/>
      <c r="O1733" s="38"/>
      <c r="P1733" s="39"/>
      <c r="Q1733" s="37" t="s">
        <v>3315</v>
      </c>
      <c r="R1733" s="37" t="s">
        <v>2516</v>
      </c>
      <c r="S1733" s="37" t="s">
        <v>25</v>
      </c>
      <c r="T1733" s="37">
        <v>1</v>
      </c>
      <c r="U1733" s="37" t="s">
        <v>2517</v>
      </c>
      <c r="V1733" s="37" t="s">
        <v>9723</v>
      </c>
      <c r="W1733" s="37" t="s">
        <v>9720</v>
      </c>
      <c r="X1733" s="60">
        <v>46035.46597222222</v>
      </c>
      <c r="Y1733" s="37"/>
      <c r="Z1733" s="37">
        <v>1.2</v>
      </c>
      <c r="AA1733" s="37"/>
      <c r="AB1733" s="37" t="s">
        <v>2521</v>
      </c>
      <c r="AC1733" s="40" t="s">
        <v>9724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9725</v>
      </c>
      <c r="E1734" s="37" t="s">
        <v>2504</v>
      </c>
      <c r="F1734" s="37">
        <v>4609</v>
      </c>
      <c r="G1734" s="37" t="s">
        <v>3724</v>
      </c>
      <c r="H1734" s="37" t="s">
        <v>2641</v>
      </c>
      <c r="I1734" s="37" t="s">
        <v>9726</v>
      </c>
      <c r="J1734" s="37" t="s">
        <v>2509</v>
      </c>
      <c r="K1734" s="37" t="s">
        <v>2510</v>
      </c>
      <c r="L1734" s="37" t="s">
        <v>2525</v>
      </c>
      <c r="M1734" s="38" t="s">
        <v>2526</v>
      </c>
      <c r="N1734" s="37">
        <v>5804</v>
      </c>
      <c r="O1734" s="38" t="s">
        <v>2582</v>
      </c>
      <c r="P1734" s="39" t="s">
        <v>9727</v>
      </c>
      <c r="Q1734" s="37" t="s">
        <v>3725</v>
      </c>
      <c r="R1734" s="37" t="s">
        <v>2516</v>
      </c>
      <c r="S1734" s="37" t="s">
        <v>185</v>
      </c>
      <c r="T1734" s="37">
        <v>1</v>
      </c>
      <c r="U1734" s="37" t="s">
        <v>2517</v>
      </c>
      <c r="V1734" s="37" t="s">
        <v>9728</v>
      </c>
      <c r="W1734" s="37" t="s">
        <v>9633</v>
      </c>
      <c r="X1734" s="60">
        <v>46035.583333333343</v>
      </c>
      <c r="Y1734" s="37" t="s">
        <v>9729</v>
      </c>
      <c r="Z1734" s="37">
        <v>1</v>
      </c>
      <c r="AA1734" s="37"/>
      <c r="AB1734" s="37" t="s">
        <v>2521</v>
      </c>
      <c r="AC1734" s="40" t="s">
        <v>9730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3724</v>
      </c>
      <c r="H1735" s="37" t="s">
        <v>2641</v>
      </c>
      <c r="I1735" s="37"/>
      <c r="J1735" s="37"/>
      <c r="K1735" s="37"/>
      <c r="L1735" s="37"/>
      <c r="M1735" s="38"/>
      <c r="N1735" s="37"/>
      <c r="O1735" s="38"/>
      <c r="P1735" s="39"/>
      <c r="Q1735" s="37" t="s">
        <v>3725</v>
      </c>
      <c r="R1735" s="37" t="s">
        <v>2516</v>
      </c>
      <c r="S1735" s="37" t="s">
        <v>185</v>
      </c>
      <c r="T1735" s="37">
        <v>1</v>
      </c>
      <c r="U1735" s="37" t="s">
        <v>2517</v>
      </c>
      <c r="V1735" s="37" t="s">
        <v>9731</v>
      </c>
      <c r="W1735" s="37" t="s">
        <v>9732</v>
      </c>
      <c r="X1735" s="60">
        <v>46035.604166666657</v>
      </c>
      <c r="Y1735" s="37"/>
      <c r="Z1735" s="37">
        <v>0.5</v>
      </c>
      <c r="AA1735" s="37"/>
      <c r="AB1735" s="37" t="s">
        <v>2521</v>
      </c>
      <c r="AC1735" s="40" t="s">
        <v>9733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3370</v>
      </c>
      <c r="H1736" s="37" t="s">
        <v>3148</v>
      </c>
      <c r="I1736" s="37"/>
      <c r="J1736" s="37"/>
      <c r="K1736" s="37"/>
      <c r="L1736" s="37"/>
      <c r="M1736" s="38"/>
      <c r="N1736" s="37"/>
      <c r="O1736" s="38"/>
      <c r="P1736" s="39"/>
      <c r="Q1736" s="37" t="s">
        <v>3371</v>
      </c>
      <c r="R1736" s="37" t="s">
        <v>2516</v>
      </c>
      <c r="S1736" s="37" t="s">
        <v>25</v>
      </c>
      <c r="T1736" s="37">
        <v>1</v>
      </c>
      <c r="U1736" s="37" t="s">
        <v>2517</v>
      </c>
      <c r="V1736" s="37" t="s">
        <v>9734</v>
      </c>
      <c r="W1736" s="37" t="s">
        <v>9735</v>
      </c>
      <c r="X1736" s="60">
        <v>46035.646527777782</v>
      </c>
      <c r="Y1736" s="37"/>
      <c r="Z1736" s="37">
        <v>0.5</v>
      </c>
      <c r="AA1736" s="37"/>
      <c r="AB1736" s="37" t="s">
        <v>2521</v>
      </c>
      <c r="AC1736" s="40" t="s">
        <v>9736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5700</v>
      </c>
      <c r="H1737" s="37" t="s">
        <v>3148</v>
      </c>
      <c r="I1737" s="37"/>
      <c r="J1737" s="37"/>
      <c r="K1737" s="37"/>
      <c r="L1737" s="37"/>
      <c r="M1737" s="38"/>
      <c r="N1737" s="37"/>
      <c r="O1737" s="38"/>
      <c r="P1737" s="39"/>
      <c r="Q1737" s="37" t="s">
        <v>5701</v>
      </c>
      <c r="R1737" s="37" t="s">
        <v>2516</v>
      </c>
      <c r="S1737" s="37" t="s">
        <v>25</v>
      </c>
      <c r="T1737" s="37">
        <v>1</v>
      </c>
      <c r="U1737" s="37" t="s">
        <v>2517</v>
      </c>
      <c r="V1737" s="37" t="s">
        <v>9737</v>
      </c>
      <c r="W1737" s="37" t="s">
        <v>9738</v>
      </c>
      <c r="X1737" s="60">
        <v>46035.666666666657</v>
      </c>
      <c r="Y1737" s="37"/>
      <c r="Z1737" s="37">
        <v>0.3</v>
      </c>
      <c r="AA1737" s="37"/>
      <c r="AB1737" s="37" t="s">
        <v>2521</v>
      </c>
      <c r="AC1737" s="40" t="s">
        <v>9739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4075</v>
      </c>
      <c r="H1738" s="37" t="s">
        <v>3148</v>
      </c>
      <c r="I1738" s="37"/>
      <c r="J1738" s="37"/>
      <c r="K1738" s="37"/>
      <c r="L1738" s="37"/>
      <c r="M1738" s="38"/>
      <c r="N1738" s="37"/>
      <c r="O1738" s="38"/>
      <c r="P1738" s="39"/>
      <c r="Q1738" s="37" t="s">
        <v>4076</v>
      </c>
      <c r="R1738" s="37" t="s">
        <v>2516</v>
      </c>
      <c r="S1738" s="37" t="s">
        <v>25</v>
      </c>
      <c r="T1738" s="37">
        <v>1</v>
      </c>
      <c r="U1738" s="37" t="s">
        <v>2517</v>
      </c>
      <c r="V1738" s="37" t="s">
        <v>9740</v>
      </c>
      <c r="W1738" s="37" t="s">
        <v>9741</v>
      </c>
      <c r="X1738" s="60">
        <v>46035.6875</v>
      </c>
      <c r="Y1738" s="37"/>
      <c r="Z1738" s="37">
        <v>0.5</v>
      </c>
      <c r="AA1738" s="37"/>
      <c r="AB1738" s="37" t="s">
        <v>2521</v>
      </c>
      <c r="AC1738" s="40" t="s">
        <v>9742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9743</v>
      </c>
      <c r="E1739" s="37" t="s">
        <v>2504</v>
      </c>
      <c r="F1739" s="37">
        <v>5428</v>
      </c>
      <c r="G1739" s="37" t="s">
        <v>8596</v>
      </c>
      <c r="H1739" s="37" t="s">
        <v>2507</v>
      </c>
      <c r="I1739" s="37" t="s">
        <v>9744</v>
      </c>
      <c r="J1739" s="37" t="s">
        <v>2509</v>
      </c>
      <c r="K1739" s="37" t="s">
        <v>2510</v>
      </c>
      <c r="L1739" s="37" t="s">
        <v>2611</v>
      </c>
      <c r="M1739" s="38" t="s">
        <v>2612</v>
      </c>
      <c r="N1739" s="37" t="s">
        <v>3110</v>
      </c>
      <c r="O1739" s="38" t="s">
        <v>6688</v>
      </c>
      <c r="P1739" s="39" t="s">
        <v>9745</v>
      </c>
      <c r="Q1739" s="37" t="s">
        <v>8597</v>
      </c>
      <c r="R1739" s="37" t="s">
        <v>2516</v>
      </c>
      <c r="S1739" s="37" t="s">
        <v>549</v>
      </c>
      <c r="T1739" s="37">
        <v>1</v>
      </c>
      <c r="U1739" s="37" t="s">
        <v>2517</v>
      </c>
      <c r="V1739" s="37" t="s">
        <v>9746</v>
      </c>
      <c r="W1739" s="37" t="s">
        <v>9747</v>
      </c>
      <c r="X1739" s="60">
        <v>46035.791666666657</v>
      </c>
      <c r="Y1739" s="37" t="s">
        <v>9748</v>
      </c>
      <c r="Z1739" s="37">
        <v>0.5</v>
      </c>
      <c r="AA1739" s="37"/>
      <c r="AB1739" s="37" t="s">
        <v>2521</v>
      </c>
      <c r="AC1739" s="40" t="s">
        <v>9749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9750</v>
      </c>
      <c r="E1740" s="37" t="s">
        <v>2843</v>
      </c>
      <c r="F1740" s="37">
        <v>5428</v>
      </c>
      <c r="G1740" s="37" t="s">
        <v>8596</v>
      </c>
      <c r="H1740" s="37" t="s">
        <v>2507</v>
      </c>
      <c r="I1740" s="37" t="s">
        <v>9751</v>
      </c>
      <c r="J1740" s="37" t="s">
        <v>2509</v>
      </c>
      <c r="K1740" s="37" t="s">
        <v>2510</v>
      </c>
      <c r="L1740" s="37" t="s">
        <v>2846</v>
      </c>
      <c r="M1740" s="38" t="s">
        <v>2847</v>
      </c>
      <c r="N1740" s="37">
        <v>2405</v>
      </c>
      <c r="O1740" s="38" t="s">
        <v>2963</v>
      </c>
      <c r="P1740" s="39" t="s">
        <v>9752</v>
      </c>
      <c r="Q1740" s="37" t="s">
        <v>8597</v>
      </c>
      <c r="R1740" s="37" t="s">
        <v>2516</v>
      </c>
      <c r="S1740" s="37" t="s">
        <v>549</v>
      </c>
      <c r="T1740" s="37">
        <v>1</v>
      </c>
      <c r="U1740" s="37" t="s">
        <v>2517</v>
      </c>
      <c r="V1740" s="37" t="s">
        <v>9753</v>
      </c>
      <c r="W1740" s="37" t="s">
        <v>9754</v>
      </c>
      <c r="X1740" s="60">
        <v>46035.770833333343</v>
      </c>
      <c r="Y1740" s="37" t="s">
        <v>9755</v>
      </c>
      <c r="Z1740" s="37">
        <v>2</v>
      </c>
      <c r="AA1740" s="37"/>
      <c r="AB1740" s="37" t="s">
        <v>2521</v>
      </c>
      <c r="AC1740" s="40" t="s">
        <v>9756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9757</v>
      </c>
      <c r="E1741" s="37" t="s">
        <v>2504</v>
      </c>
      <c r="F1741" s="37">
        <v>4514</v>
      </c>
      <c r="G1741" s="37" t="s">
        <v>3370</v>
      </c>
      <c r="H1741" s="37" t="s">
        <v>3148</v>
      </c>
      <c r="I1741" s="37" t="s">
        <v>9758</v>
      </c>
      <c r="J1741" s="37" t="s">
        <v>2509</v>
      </c>
      <c r="K1741" s="37" t="s">
        <v>2510</v>
      </c>
      <c r="L1741" s="37" t="s">
        <v>3150</v>
      </c>
      <c r="M1741" s="38" t="s">
        <v>3151</v>
      </c>
      <c r="N1741" s="37">
        <v>5903</v>
      </c>
      <c r="O1741" s="38" t="s">
        <v>3152</v>
      </c>
      <c r="P1741" s="39" t="s">
        <v>9759</v>
      </c>
      <c r="Q1741" s="37" t="s">
        <v>3371</v>
      </c>
      <c r="R1741" s="37" t="s">
        <v>2516</v>
      </c>
      <c r="S1741" s="37" t="s">
        <v>25</v>
      </c>
      <c r="T1741" s="37">
        <v>1</v>
      </c>
      <c r="U1741" s="37" t="s">
        <v>2517</v>
      </c>
      <c r="V1741" s="37" t="s">
        <v>9760</v>
      </c>
      <c r="W1741" s="37" t="s">
        <v>9761</v>
      </c>
      <c r="X1741" s="60">
        <v>46036.565972222219</v>
      </c>
      <c r="Y1741" s="37" t="s">
        <v>9762</v>
      </c>
      <c r="Z1741" s="37">
        <v>0.5</v>
      </c>
      <c r="AA1741" s="37"/>
      <c r="AB1741" s="37" t="s">
        <v>2521</v>
      </c>
      <c r="AC1741" s="40" t="s">
        <v>9763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8596</v>
      </c>
      <c r="H1742" s="37" t="s">
        <v>2507</v>
      </c>
      <c r="I1742" s="37"/>
      <c r="J1742" s="37"/>
      <c r="K1742" s="37"/>
      <c r="L1742" s="37"/>
      <c r="M1742" s="38"/>
      <c r="N1742" s="37"/>
      <c r="O1742" s="38"/>
      <c r="P1742" s="39"/>
      <c r="Q1742" s="37" t="s">
        <v>8597</v>
      </c>
      <c r="R1742" s="37" t="s">
        <v>2516</v>
      </c>
      <c r="S1742" s="37" t="s">
        <v>549</v>
      </c>
      <c r="T1742" s="37">
        <v>1</v>
      </c>
      <c r="U1742" s="37" t="s">
        <v>2517</v>
      </c>
      <c r="V1742" s="37" t="s">
        <v>9764</v>
      </c>
      <c r="W1742" s="37" t="s">
        <v>9765</v>
      </c>
      <c r="X1742" s="60">
        <v>46035.6875</v>
      </c>
      <c r="Y1742" s="37"/>
      <c r="Z1742" s="37">
        <v>0.3</v>
      </c>
      <c r="AA1742" s="37"/>
      <c r="AB1742" s="37" t="s">
        <v>2521</v>
      </c>
      <c r="AC1742" s="40" t="s">
        <v>2591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9766</v>
      </c>
      <c r="E1743" s="37" t="s">
        <v>2504</v>
      </c>
      <c r="F1743" s="37">
        <v>3358</v>
      </c>
      <c r="G1743" s="37" t="s">
        <v>4301</v>
      </c>
      <c r="H1743" s="37" t="s">
        <v>2659</v>
      </c>
      <c r="I1743" s="37" t="s">
        <v>9767</v>
      </c>
      <c r="J1743" s="37" t="s">
        <v>2536</v>
      </c>
      <c r="K1743" s="37" t="s">
        <v>2765</v>
      </c>
      <c r="L1743" s="37" t="s">
        <v>2511</v>
      </c>
      <c r="M1743" s="38" t="s">
        <v>2512</v>
      </c>
      <c r="N1743" s="37">
        <v>2304</v>
      </c>
      <c r="O1743" s="38" t="s">
        <v>2513</v>
      </c>
      <c r="P1743" s="39" t="s">
        <v>9768</v>
      </c>
      <c r="Q1743" s="37" t="s">
        <v>4302</v>
      </c>
      <c r="R1743" s="37" t="s">
        <v>2516</v>
      </c>
      <c r="S1743" s="37" t="s">
        <v>185</v>
      </c>
      <c r="T1743" s="37">
        <v>1</v>
      </c>
      <c r="U1743" s="37" t="s">
        <v>2517</v>
      </c>
      <c r="V1743" s="37" t="s">
        <v>9769</v>
      </c>
      <c r="W1743" s="37" t="s">
        <v>9770</v>
      </c>
      <c r="X1743" s="60">
        <v>46036.479166666657</v>
      </c>
      <c r="Y1743" s="37" t="s">
        <v>9771</v>
      </c>
      <c r="Z1743" s="37">
        <v>0.5</v>
      </c>
      <c r="AA1743" s="37"/>
      <c r="AB1743" s="37" t="s">
        <v>2521</v>
      </c>
      <c r="AC1743" s="40" t="s">
        <v>9772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9773</v>
      </c>
      <c r="E1744" s="37" t="s">
        <v>2504</v>
      </c>
      <c r="F1744" s="37">
        <v>3358</v>
      </c>
      <c r="G1744" s="37" t="s">
        <v>4301</v>
      </c>
      <c r="H1744" s="37" t="s">
        <v>2659</v>
      </c>
      <c r="I1744" s="37" t="s">
        <v>9774</v>
      </c>
      <c r="J1744" s="37" t="s">
        <v>2536</v>
      </c>
      <c r="K1744" s="37" t="s">
        <v>2568</v>
      </c>
      <c r="L1744" s="37" t="s">
        <v>2511</v>
      </c>
      <c r="M1744" s="38" t="s">
        <v>2512</v>
      </c>
      <c r="N1744" s="37">
        <v>2307</v>
      </c>
      <c r="O1744" s="38" t="s">
        <v>2678</v>
      </c>
      <c r="P1744" s="39" t="s">
        <v>9775</v>
      </c>
      <c r="Q1744" s="37" t="s">
        <v>4302</v>
      </c>
      <c r="R1744" s="37" t="s">
        <v>2516</v>
      </c>
      <c r="S1744" s="37" t="s">
        <v>185</v>
      </c>
      <c r="T1744" s="37">
        <v>1</v>
      </c>
      <c r="U1744" s="37" t="s">
        <v>2517</v>
      </c>
      <c r="V1744" s="37" t="s">
        <v>9776</v>
      </c>
      <c r="W1744" s="37" t="s">
        <v>9777</v>
      </c>
      <c r="X1744" s="60">
        <v>46036.458333333343</v>
      </c>
      <c r="Y1744" s="37" t="s">
        <v>9778</v>
      </c>
      <c r="Z1744" s="37">
        <v>0.5</v>
      </c>
      <c r="AA1744" s="37"/>
      <c r="AB1744" s="37" t="s">
        <v>2521</v>
      </c>
      <c r="AC1744" s="40" t="s">
        <v>9779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9780</v>
      </c>
      <c r="E1745" s="37" t="s">
        <v>2504</v>
      </c>
      <c r="F1745" s="37">
        <v>4312</v>
      </c>
      <c r="G1745" s="37" t="s">
        <v>2917</v>
      </c>
      <c r="H1745" s="37" t="s">
        <v>2507</v>
      </c>
      <c r="I1745" s="37" t="s">
        <v>9781</v>
      </c>
      <c r="J1745" s="37" t="s">
        <v>2536</v>
      </c>
      <c r="K1745" s="37" t="s">
        <v>2568</v>
      </c>
      <c r="L1745" s="37" t="s">
        <v>2511</v>
      </c>
      <c r="M1745" s="38" t="s">
        <v>2512</v>
      </c>
      <c r="N1745" s="37">
        <v>2304</v>
      </c>
      <c r="O1745" s="38" t="s">
        <v>2513</v>
      </c>
      <c r="P1745" s="39" t="s">
        <v>9782</v>
      </c>
      <c r="Q1745" s="37" t="s">
        <v>2918</v>
      </c>
      <c r="R1745" s="37" t="s">
        <v>2516</v>
      </c>
      <c r="S1745" s="37" t="s">
        <v>549</v>
      </c>
      <c r="T1745" s="37">
        <v>1</v>
      </c>
      <c r="U1745" s="37" t="s">
        <v>2517</v>
      </c>
      <c r="V1745" s="37" t="s">
        <v>9783</v>
      </c>
      <c r="W1745" s="37" t="s">
        <v>9784</v>
      </c>
      <c r="X1745" s="60">
        <v>46036.451388888891</v>
      </c>
      <c r="Y1745" s="37" t="s">
        <v>9785</v>
      </c>
      <c r="Z1745" s="37">
        <v>0.3</v>
      </c>
      <c r="AA1745" s="37"/>
      <c r="AB1745" s="37" t="s">
        <v>2521</v>
      </c>
      <c r="AC1745" s="40" t="s">
        <v>9786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2917</v>
      </c>
      <c r="H1746" s="37" t="s">
        <v>2507</v>
      </c>
      <c r="I1746" s="37"/>
      <c r="J1746" s="37"/>
      <c r="K1746" s="37"/>
      <c r="L1746" s="37"/>
      <c r="M1746" s="38"/>
      <c r="N1746" s="37"/>
      <c r="O1746" s="38"/>
      <c r="P1746" s="39"/>
      <c r="Q1746" s="37" t="s">
        <v>2918</v>
      </c>
      <c r="R1746" s="37" t="s">
        <v>2516</v>
      </c>
      <c r="S1746" s="37" t="s">
        <v>549</v>
      </c>
      <c r="T1746" s="37">
        <v>1</v>
      </c>
      <c r="U1746" s="37" t="s">
        <v>2517</v>
      </c>
      <c r="V1746" s="37" t="s">
        <v>9787</v>
      </c>
      <c r="W1746" s="37" t="s">
        <v>9788</v>
      </c>
      <c r="X1746" s="60">
        <v>46036.458333333343</v>
      </c>
      <c r="Y1746" s="37"/>
      <c r="Z1746" s="37">
        <v>0.3</v>
      </c>
      <c r="AA1746" s="37"/>
      <c r="AB1746" s="37" t="s">
        <v>2521</v>
      </c>
      <c r="AC1746" s="40" t="s">
        <v>9789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9790</v>
      </c>
      <c r="E1747" s="37" t="s">
        <v>2504</v>
      </c>
      <c r="F1747" s="37">
        <v>5457</v>
      </c>
      <c r="G1747" s="37" t="s">
        <v>8194</v>
      </c>
      <c r="H1747" s="37" t="s">
        <v>2507</v>
      </c>
      <c r="I1747" s="37" t="s">
        <v>9791</v>
      </c>
      <c r="J1747" s="37" t="s">
        <v>2536</v>
      </c>
      <c r="K1747" s="37" t="s">
        <v>2568</v>
      </c>
      <c r="L1747" s="37" t="s">
        <v>2611</v>
      </c>
      <c r="M1747" s="38" t="s">
        <v>2612</v>
      </c>
      <c r="N1747" s="37" t="s">
        <v>3110</v>
      </c>
      <c r="O1747" s="38" t="s">
        <v>6688</v>
      </c>
      <c r="P1747" s="39" t="s">
        <v>9792</v>
      </c>
      <c r="Q1747" s="37" t="s">
        <v>8195</v>
      </c>
      <c r="R1747" s="37" t="s">
        <v>2516</v>
      </c>
      <c r="S1747" s="37" t="s">
        <v>549</v>
      </c>
      <c r="T1747" s="37">
        <v>1</v>
      </c>
      <c r="U1747" s="37" t="s">
        <v>2517</v>
      </c>
      <c r="V1747" s="37" t="s">
        <v>9793</v>
      </c>
      <c r="W1747" s="37" t="s">
        <v>9794</v>
      </c>
      <c r="X1747" s="60">
        <v>46036.791666666657</v>
      </c>
      <c r="Y1747" s="37" t="s">
        <v>9795</v>
      </c>
      <c r="Z1747" s="37">
        <v>0.3</v>
      </c>
      <c r="AA1747" s="37"/>
      <c r="AB1747" s="37" t="s">
        <v>2521</v>
      </c>
      <c r="AC1747" s="40" t="s">
        <v>9796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4301</v>
      </c>
      <c r="H1748" s="37" t="s">
        <v>2659</v>
      </c>
      <c r="I1748" s="37"/>
      <c r="J1748" s="37"/>
      <c r="K1748" s="37"/>
      <c r="L1748" s="37"/>
      <c r="M1748" s="38"/>
      <c r="N1748" s="37"/>
      <c r="O1748" s="38"/>
      <c r="P1748" s="39"/>
      <c r="Q1748" s="37" t="s">
        <v>4302</v>
      </c>
      <c r="R1748" s="37" t="s">
        <v>2516</v>
      </c>
      <c r="S1748" s="37" t="s">
        <v>185</v>
      </c>
      <c r="T1748" s="37">
        <v>1</v>
      </c>
      <c r="U1748" s="37" t="s">
        <v>2517</v>
      </c>
      <c r="V1748" s="37" t="s">
        <v>9797</v>
      </c>
      <c r="W1748" s="37" t="s">
        <v>9798</v>
      </c>
      <c r="X1748" s="60">
        <v>46036.5</v>
      </c>
      <c r="Y1748" s="37"/>
      <c r="Z1748" s="37">
        <v>0.5</v>
      </c>
      <c r="AA1748" s="37"/>
      <c r="AB1748" s="37" t="s">
        <v>2521</v>
      </c>
      <c r="AC1748" s="40" t="s">
        <v>9799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9800</v>
      </c>
      <c r="E1749" s="37" t="s">
        <v>2504</v>
      </c>
      <c r="F1749" s="37">
        <v>2442</v>
      </c>
      <c r="G1749" s="37" t="s">
        <v>3059</v>
      </c>
      <c r="H1749" s="37" t="s">
        <v>2987</v>
      </c>
      <c r="I1749" s="37" t="s">
        <v>9801</v>
      </c>
      <c r="J1749" s="37" t="s">
        <v>2536</v>
      </c>
      <c r="K1749" s="37" t="s">
        <v>2568</v>
      </c>
      <c r="L1749" s="37" t="s">
        <v>3483</v>
      </c>
      <c r="M1749" s="38" t="s">
        <v>3484</v>
      </c>
      <c r="N1749" s="37">
        <v>6004</v>
      </c>
      <c r="O1749" s="38" t="s">
        <v>2893</v>
      </c>
      <c r="P1749" s="39" t="s">
        <v>9802</v>
      </c>
      <c r="Q1749" s="37" t="s">
        <v>3060</v>
      </c>
      <c r="R1749" s="37" t="s">
        <v>2516</v>
      </c>
      <c r="S1749" s="37" t="s">
        <v>25</v>
      </c>
      <c r="T1749" s="37">
        <v>1</v>
      </c>
      <c r="U1749" s="37" t="s">
        <v>2517</v>
      </c>
      <c r="V1749" s="37" t="s">
        <v>9803</v>
      </c>
      <c r="W1749" s="37" t="s">
        <v>9804</v>
      </c>
      <c r="X1749" s="60">
        <v>46036.693055555559</v>
      </c>
      <c r="Y1749" s="37" t="s">
        <v>9805</v>
      </c>
      <c r="Z1749" s="37">
        <v>0.6</v>
      </c>
      <c r="AA1749" s="37"/>
      <c r="AB1749" s="37" t="s">
        <v>2521</v>
      </c>
      <c r="AC1749" s="40" t="s">
        <v>9806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3625</v>
      </c>
      <c r="H1750" s="37" t="s">
        <v>3148</v>
      </c>
      <c r="I1750" s="37"/>
      <c r="J1750" s="37"/>
      <c r="K1750" s="37"/>
      <c r="L1750" s="37"/>
      <c r="M1750" s="38"/>
      <c r="N1750" s="37"/>
      <c r="O1750" s="38"/>
      <c r="P1750" s="39"/>
      <c r="Q1750" s="37" t="s">
        <v>3626</v>
      </c>
      <c r="R1750" s="37" t="s">
        <v>2516</v>
      </c>
      <c r="S1750" s="37" t="s">
        <v>25</v>
      </c>
      <c r="T1750" s="37">
        <v>1</v>
      </c>
      <c r="U1750" s="37" t="s">
        <v>2517</v>
      </c>
      <c r="V1750" s="37" t="s">
        <v>9807</v>
      </c>
      <c r="W1750" s="37" t="s">
        <v>9808</v>
      </c>
      <c r="X1750" s="60">
        <v>46036.604861111111</v>
      </c>
      <c r="Y1750" s="37"/>
      <c r="Z1750" s="37">
        <v>0.4</v>
      </c>
      <c r="AA1750" s="37"/>
      <c r="AB1750" s="37" t="s">
        <v>2521</v>
      </c>
      <c r="AC1750" s="40" t="s">
        <v>9809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9810</v>
      </c>
      <c r="E1751" s="37" t="s">
        <v>2504</v>
      </c>
      <c r="F1751" s="37">
        <v>4316</v>
      </c>
      <c r="G1751" s="37" t="s">
        <v>3338</v>
      </c>
      <c r="H1751" s="37" t="s">
        <v>2996</v>
      </c>
      <c r="I1751" s="37" t="s">
        <v>9811</v>
      </c>
      <c r="J1751" s="37" t="s">
        <v>2536</v>
      </c>
      <c r="K1751" s="37" t="s">
        <v>2510</v>
      </c>
      <c r="L1751" s="37" t="s">
        <v>2569</v>
      </c>
      <c r="M1751" s="38" t="s">
        <v>2570</v>
      </c>
      <c r="N1751" s="37">
        <v>2501</v>
      </c>
      <c r="O1751" s="38" t="s">
        <v>2571</v>
      </c>
      <c r="P1751" s="39" t="s">
        <v>9812</v>
      </c>
      <c r="Q1751" s="37" t="s">
        <v>3339</v>
      </c>
      <c r="R1751" s="37" t="s">
        <v>2516</v>
      </c>
      <c r="S1751" s="37" t="s">
        <v>185</v>
      </c>
      <c r="T1751" s="37">
        <v>1</v>
      </c>
      <c r="U1751" s="37" t="s">
        <v>2517</v>
      </c>
      <c r="V1751" s="37" t="s">
        <v>9813</v>
      </c>
      <c r="W1751" s="37" t="s">
        <v>9814</v>
      </c>
      <c r="X1751" s="60">
        <v>46037.6875</v>
      </c>
      <c r="Y1751" s="37" t="s">
        <v>9815</v>
      </c>
      <c r="Z1751" s="37">
        <v>0.5</v>
      </c>
      <c r="AA1751" s="37"/>
      <c r="AB1751" s="37" t="s">
        <v>2521</v>
      </c>
      <c r="AC1751" s="40" t="s">
        <v>9816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9817</v>
      </c>
      <c r="E1752" s="37" t="s">
        <v>2504</v>
      </c>
      <c r="F1752" s="37">
        <v>4210</v>
      </c>
      <c r="G1752" s="37" t="s">
        <v>3693</v>
      </c>
      <c r="H1752" s="37" t="s">
        <v>2507</v>
      </c>
      <c r="I1752" s="37" t="s">
        <v>9818</v>
      </c>
      <c r="J1752" s="37" t="s">
        <v>2536</v>
      </c>
      <c r="K1752" s="37" t="s">
        <v>2510</v>
      </c>
      <c r="L1752" s="37" t="s">
        <v>9371</v>
      </c>
      <c r="M1752" s="38" t="s">
        <v>9372</v>
      </c>
      <c r="N1752" s="37" t="s">
        <v>9373</v>
      </c>
      <c r="O1752" s="38" t="s">
        <v>9374</v>
      </c>
      <c r="P1752" s="39" t="s">
        <v>9819</v>
      </c>
      <c r="Q1752" s="37" t="s">
        <v>3694</v>
      </c>
      <c r="R1752" s="37" t="s">
        <v>2516</v>
      </c>
      <c r="S1752" s="37" t="s">
        <v>173</v>
      </c>
      <c r="T1752" s="37">
        <v>1</v>
      </c>
      <c r="U1752" s="37" t="s">
        <v>2517</v>
      </c>
      <c r="V1752" s="37" t="s">
        <v>9820</v>
      </c>
      <c r="W1752" s="37" t="s">
        <v>9821</v>
      </c>
      <c r="X1752" s="60">
        <v>46037.712500000001</v>
      </c>
      <c r="Y1752" s="37" t="s">
        <v>9822</v>
      </c>
      <c r="Z1752" s="37">
        <v>1.4</v>
      </c>
      <c r="AA1752" s="37"/>
      <c r="AB1752" s="37" t="s">
        <v>2521</v>
      </c>
      <c r="AC1752" s="40" t="s">
        <v>9823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8194</v>
      </c>
      <c r="H1753" s="37" t="s">
        <v>2507</v>
      </c>
      <c r="I1753" s="37"/>
      <c r="J1753" s="37"/>
      <c r="K1753" s="37"/>
      <c r="L1753" s="37"/>
      <c r="M1753" s="38"/>
      <c r="N1753" s="37"/>
      <c r="O1753" s="38"/>
      <c r="P1753" s="39"/>
      <c r="Q1753" s="37" t="s">
        <v>8195</v>
      </c>
      <c r="R1753" s="37" t="s">
        <v>2516</v>
      </c>
      <c r="S1753" s="37" t="s">
        <v>549</v>
      </c>
      <c r="T1753" s="37">
        <v>1</v>
      </c>
      <c r="U1753" s="37" t="s">
        <v>2517</v>
      </c>
      <c r="V1753" s="37" t="s">
        <v>9824</v>
      </c>
      <c r="W1753" s="37" t="s">
        <v>9825</v>
      </c>
      <c r="X1753" s="60">
        <v>46036.805555555547</v>
      </c>
      <c r="Y1753" s="37"/>
      <c r="Z1753" s="37">
        <v>0.4</v>
      </c>
      <c r="AA1753" s="37"/>
      <c r="AB1753" s="37" t="s">
        <v>2521</v>
      </c>
      <c r="AC1753" s="40" t="s">
        <v>2591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9826</v>
      </c>
      <c r="H1754" s="37" t="s">
        <v>2507</v>
      </c>
      <c r="I1754" s="37"/>
      <c r="J1754" s="37"/>
      <c r="K1754" s="37"/>
      <c r="L1754" s="37"/>
      <c r="M1754" s="38"/>
      <c r="N1754" s="37"/>
      <c r="O1754" s="38"/>
      <c r="P1754" s="39"/>
      <c r="Q1754" s="37" t="s">
        <v>9827</v>
      </c>
      <c r="R1754" s="37" t="s">
        <v>2516</v>
      </c>
      <c r="S1754" s="37" t="s">
        <v>185</v>
      </c>
      <c r="T1754" s="37">
        <v>1</v>
      </c>
      <c r="U1754" s="37" t="s">
        <v>2517</v>
      </c>
      <c r="V1754" s="37" t="s">
        <v>9828</v>
      </c>
      <c r="W1754" s="37" t="s">
        <v>9829</v>
      </c>
      <c r="X1754" s="60">
        <v>46037.645833333343</v>
      </c>
      <c r="Y1754" s="37"/>
      <c r="Z1754" s="37">
        <v>4.5</v>
      </c>
      <c r="AA1754" s="37"/>
      <c r="AB1754" s="37" t="s">
        <v>2521</v>
      </c>
      <c r="AC1754" s="40" t="s">
        <v>9830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9826</v>
      </c>
      <c r="H1755" s="37" t="s">
        <v>2507</v>
      </c>
      <c r="I1755" s="37"/>
      <c r="J1755" s="37"/>
      <c r="K1755" s="37"/>
      <c r="L1755" s="37"/>
      <c r="M1755" s="38"/>
      <c r="N1755" s="37"/>
      <c r="O1755" s="38"/>
      <c r="P1755" s="39"/>
      <c r="Q1755" s="37" t="s">
        <v>9827</v>
      </c>
      <c r="R1755" s="37" t="s">
        <v>2516</v>
      </c>
      <c r="S1755" s="37" t="s">
        <v>549</v>
      </c>
      <c r="T1755" s="37">
        <v>1</v>
      </c>
      <c r="U1755" s="37" t="s">
        <v>2517</v>
      </c>
      <c r="V1755" s="37" t="s">
        <v>9831</v>
      </c>
      <c r="W1755" s="37" t="s">
        <v>9829</v>
      </c>
      <c r="X1755" s="60">
        <v>46037.645833333343</v>
      </c>
      <c r="Y1755" s="37"/>
      <c r="Z1755" s="37">
        <v>4.5</v>
      </c>
      <c r="AA1755" s="37"/>
      <c r="AB1755" s="37" t="s">
        <v>2521</v>
      </c>
      <c r="AC1755" s="40" t="s">
        <v>9832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9833</v>
      </c>
      <c r="E1756" s="37" t="s">
        <v>2504</v>
      </c>
      <c r="F1756" s="37">
        <v>2303</v>
      </c>
      <c r="G1756" s="37" t="s">
        <v>3880</v>
      </c>
      <c r="H1756" s="37" t="s">
        <v>2507</v>
      </c>
      <c r="I1756" s="37" t="s">
        <v>9834</v>
      </c>
      <c r="J1756" s="37" t="s">
        <v>2835</v>
      </c>
      <c r="K1756" s="37" t="s">
        <v>2510</v>
      </c>
      <c r="L1756" s="37" t="s">
        <v>2511</v>
      </c>
      <c r="M1756" s="38" t="s">
        <v>2512</v>
      </c>
      <c r="N1756" s="37">
        <v>2305</v>
      </c>
      <c r="O1756" s="38" t="s">
        <v>3035</v>
      </c>
      <c r="P1756" s="39" t="s">
        <v>9835</v>
      </c>
      <c r="Q1756" s="37" t="s">
        <v>3881</v>
      </c>
      <c r="R1756" s="37" t="s">
        <v>2516</v>
      </c>
      <c r="S1756" s="37" t="s">
        <v>549</v>
      </c>
      <c r="T1756" s="37">
        <v>1</v>
      </c>
      <c r="U1756" s="37" t="s">
        <v>2517</v>
      </c>
      <c r="V1756" s="37" t="s">
        <v>9836</v>
      </c>
      <c r="W1756" s="37" t="s">
        <v>9837</v>
      </c>
      <c r="X1756" s="60">
        <v>46038.649305555547</v>
      </c>
      <c r="Y1756" s="37" t="s">
        <v>9838</v>
      </c>
      <c r="Z1756" s="37">
        <v>0.2</v>
      </c>
      <c r="AA1756" s="37"/>
      <c r="AB1756" s="37" t="s">
        <v>2521</v>
      </c>
      <c r="AC1756" s="40" t="s">
        <v>9839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9840</v>
      </c>
      <c r="E1757" s="37" t="s">
        <v>2504</v>
      </c>
      <c r="F1757" s="37">
        <v>4153</v>
      </c>
      <c r="G1757" s="37" t="s">
        <v>4147</v>
      </c>
      <c r="H1757" s="37" t="s">
        <v>1604</v>
      </c>
      <c r="I1757" s="37" t="s">
        <v>9841</v>
      </c>
      <c r="J1757" s="37" t="s">
        <v>2567</v>
      </c>
      <c r="K1757" s="37" t="s">
        <v>2765</v>
      </c>
      <c r="L1757" s="37" t="s">
        <v>2511</v>
      </c>
      <c r="M1757" s="38" t="s">
        <v>2512</v>
      </c>
      <c r="N1757" s="37">
        <v>2305</v>
      </c>
      <c r="O1757" s="38" t="s">
        <v>3035</v>
      </c>
      <c r="P1757" s="39" t="s">
        <v>9842</v>
      </c>
      <c r="Q1757" s="37" t="s">
        <v>4148</v>
      </c>
      <c r="R1757" s="37" t="s">
        <v>2516</v>
      </c>
      <c r="S1757" s="37" t="s">
        <v>185</v>
      </c>
      <c r="T1757" s="37">
        <v>1</v>
      </c>
      <c r="U1757" s="37" t="s">
        <v>2517</v>
      </c>
      <c r="V1757" s="37" t="s">
        <v>9843</v>
      </c>
      <c r="W1757" s="37" t="s">
        <v>9844</v>
      </c>
      <c r="X1757" s="60">
        <v>46038.638888888891</v>
      </c>
      <c r="Y1757" s="37" t="s">
        <v>9845</v>
      </c>
      <c r="Z1757" s="37">
        <v>0.8</v>
      </c>
      <c r="AA1757" s="37"/>
      <c r="AB1757" s="37" t="s">
        <v>2521</v>
      </c>
      <c r="AC1757" s="40" t="s">
        <v>9846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9847</v>
      </c>
      <c r="E1758" s="37" t="s">
        <v>2843</v>
      </c>
      <c r="F1758" s="37">
        <v>5428</v>
      </c>
      <c r="G1758" s="37" t="s">
        <v>8596</v>
      </c>
      <c r="H1758" s="37" t="s">
        <v>2507</v>
      </c>
      <c r="I1758" s="37" t="s">
        <v>9848</v>
      </c>
      <c r="J1758" s="37" t="s">
        <v>2567</v>
      </c>
      <c r="K1758" s="37" t="s">
        <v>2568</v>
      </c>
      <c r="L1758" s="37" t="s">
        <v>2846</v>
      </c>
      <c r="M1758" s="38" t="s">
        <v>2847</v>
      </c>
      <c r="N1758" s="37">
        <v>2405</v>
      </c>
      <c r="O1758" s="38" t="s">
        <v>2963</v>
      </c>
      <c r="P1758" s="39" t="s">
        <v>9849</v>
      </c>
      <c r="Q1758" s="37" t="s">
        <v>8597</v>
      </c>
      <c r="R1758" s="37" t="s">
        <v>2516</v>
      </c>
      <c r="S1758" s="37" t="s">
        <v>549</v>
      </c>
      <c r="T1758" s="37">
        <v>1</v>
      </c>
      <c r="U1758" s="37" t="s">
        <v>2517</v>
      </c>
      <c r="V1758" s="37" t="s">
        <v>9850</v>
      </c>
      <c r="W1758" s="37" t="s">
        <v>9851</v>
      </c>
      <c r="X1758" s="60">
        <v>46038.631944444453</v>
      </c>
      <c r="Y1758" s="37" t="s">
        <v>9852</v>
      </c>
      <c r="Z1758" s="37">
        <v>2.2000000000000002</v>
      </c>
      <c r="AA1758" s="37"/>
      <c r="AB1758" s="37" t="s">
        <v>2521</v>
      </c>
      <c r="AC1758" s="40" t="s">
        <v>9853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2812</v>
      </c>
      <c r="G1759" s="37" t="s">
        <v>2813</v>
      </c>
      <c r="H1759" s="37" t="s">
        <v>2659</v>
      </c>
      <c r="I1759" s="37"/>
      <c r="J1759" s="37"/>
      <c r="K1759" s="37"/>
      <c r="L1759" s="37"/>
      <c r="M1759" s="38"/>
      <c r="N1759" s="37"/>
      <c r="O1759" s="38"/>
      <c r="P1759" s="39"/>
      <c r="Q1759" s="37" t="s">
        <v>2814</v>
      </c>
      <c r="R1759" s="37" t="s">
        <v>2516</v>
      </c>
      <c r="S1759" s="37" t="s">
        <v>549</v>
      </c>
      <c r="T1759" s="37">
        <v>1</v>
      </c>
      <c r="U1759" s="37" t="s">
        <v>2517</v>
      </c>
      <c r="V1759" s="37" t="s">
        <v>9854</v>
      </c>
      <c r="W1759" s="37" t="s">
        <v>9855</v>
      </c>
      <c r="X1759" s="60">
        <v>46038.4375</v>
      </c>
      <c r="Y1759" s="37"/>
      <c r="Z1759" s="37">
        <v>0.5</v>
      </c>
      <c r="AA1759" s="37"/>
      <c r="AB1759" s="37" t="s">
        <v>2521</v>
      </c>
      <c r="AC1759" s="40" t="s">
        <v>9856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2812</v>
      </c>
      <c r="G1760" s="37" t="s">
        <v>2813</v>
      </c>
      <c r="H1760" s="37" t="s">
        <v>2659</v>
      </c>
      <c r="I1760" s="37"/>
      <c r="J1760" s="37"/>
      <c r="K1760" s="37"/>
      <c r="L1760" s="37"/>
      <c r="M1760" s="38"/>
      <c r="N1760" s="37"/>
      <c r="O1760" s="38"/>
      <c r="P1760" s="39"/>
      <c r="Q1760" s="37" t="s">
        <v>2814</v>
      </c>
      <c r="R1760" s="37" t="s">
        <v>2516</v>
      </c>
      <c r="S1760" s="37" t="s">
        <v>185</v>
      </c>
      <c r="T1760" s="37">
        <v>1</v>
      </c>
      <c r="U1760" s="37" t="s">
        <v>2517</v>
      </c>
      <c r="V1760" s="37" t="s">
        <v>9857</v>
      </c>
      <c r="W1760" s="37" t="s">
        <v>9855</v>
      </c>
      <c r="X1760" s="60">
        <v>46038.4375</v>
      </c>
      <c r="Y1760" s="37"/>
      <c r="Z1760" s="37">
        <v>0.5</v>
      </c>
      <c r="AA1760" s="37"/>
      <c r="AB1760" s="37" t="s">
        <v>2521</v>
      </c>
      <c r="AC1760" s="40" t="s">
        <v>9858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3880</v>
      </c>
      <c r="H1761" s="37" t="s">
        <v>2507</v>
      </c>
      <c r="I1761" s="37"/>
      <c r="J1761" s="37"/>
      <c r="K1761" s="37"/>
      <c r="L1761" s="37"/>
      <c r="M1761" s="38"/>
      <c r="N1761" s="37"/>
      <c r="O1761" s="38"/>
      <c r="P1761" s="39"/>
      <c r="Q1761" s="37" t="s">
        <v>3881</v>
      </c>
      <c r="R1761" s="37" t="s">
        <v>2516</v>
      </c>
      <c r="S1761" s="37" t="s">
        <v>549</v>
      </c>
      <c r="T1761" s="37">
        <v>1</v>
      </c>
      <c r="U1761" s="37" t="s">
        <v>2517</v>
      </c>
      <c r="V1761" s="37" t="s">
        <v>9859</v>
      </c>
      <c r="W1761" s="37" t="s">
        <v>9860</v>
      </c>
      <c r="X1761" s="60">
        <v>46038.663194444453</v>
      </c>
      <c r="Y1761" s="37"/>
      <c r="Z1761" s="37">
        <v>0.3</v>
      </c>
      <c r="AA1761" s="37"/>
      <c r="AB1761" s="37" t="s">
        <v>2521</v>
      </c>
      <c r="AC1761" s="40" t="s">
        <v>9861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9862</v>
      </c>
      <c r="E1762" s="37" t="s">
        <v>2504</v>
      </c>
      <c r="F1762" s="37" t="s">
        <v>2817</v>
      </c>
      <c r="G1762" s="37" t="s">
        <v>6396</v>
      </c>
      <c r="H1762" s="37" t="s">
        <v>2507</v>
      </c>
      <c r="I1762" s="37" t="s">
        <v>9863</v>
      </c>
      <c r="J1762" s="37" t="s">
        <v>2567</v>
      </c>
      <c r="K1762" s="37" t="s">
        <v>2510</v>
      </c>
      <c r="L1762" s="37" t="s">
        <v>3497</v>
      </c>
      <c r="M1762" s="38" t="s">
        <v>3498</v>
      </c>
      <c r="N1762" s="37">
        <v>3402</v>
      </c>
      <c r="O1762" s="38" t="s">
        <v>7401</v>
      </c>
      <c r="P1762" s="39" t="s">
        <v>9864</v>
      </c>
      <c r="Q1762" s="37" t="s">
        <v>2819</v>
      </c>
      <c r="R1762" s="37" t="s">
        <v>2516</v>
      </c>
      <c r="S1762" s="37" t="s">
        <v>549</v>
      </c>
      <c r="T1762" s="37">
        <v>1</v>
      </c>
      <c r="U1762" s="37" t="s">
        <v>2517</v>
      </c>
      <c r="V1762" s="37" t="s">
        <v>9865</v>
      </c>
      <c r="W1762" s="37" t="s">
        <v>9866</v>
      </c>
      <c r="X1762" s="60">
        <v>46041.694444444453</v>
      </c>
      <c r="Y1762" s="37" t="s">
        <v>9867</v>
      </c>
      <c r="Z1762" s="37">
        <v>0.7</v>
      </c>
      <c r="AA1762" s="37"/>
      <c r="AB1762" s="37" t="s">
        <v>2521</v>
      </c>
      <c r="AC1762" s="40" t="s">
        <v>9868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9869</v>
      </c>
      <c r="E1763" s="37" t="s">
        <v>2504</v>
      </c>
      <c r="F1763" s="37">
        <v>4153</v>
      </c>
      <c r="G1763" s="37" t="s">
        <v>4147</v>
      </c>
      <c r="H1763" s="37" t="s">
        <v>1604</v>
      </c>
      <c r="I1763" s="37" t="s">
        <v>9870</v>
      </c>
      <c r="J1763" s="37" t="s">
        <v>2930</v>
      </c>
      <c r="K1763" s="37" t="s">
        <v>2568</v>
      </c>
      <c r="L1763" s="37" t="s">
        <v>2511</v>
      </c>
      <c r="M1763" s="38" t="s">
        <v>2512</v>
      </c>
      <c r="N1763" s="37">
        <v>2305</v>
      </c>
      <c r="O1763" s="38" t="s">
        <v>3035</v>
      </c>
      <c r="P1763" s="39" t="s">
        <v>9871</v>
      </c>
      <c r="Q1763" s="37" t="s">
        <v>4148</v>
      </c>
      <c r="R1763" s="37" t="s">
        <v>2516</v>
      </c>
      <c r="S1763" s="37" t="s">
        <v>25</v>
      </c>
      <c r="T1763" s="37">
        <v>1</v>
      </c>
      <c r="U1763" s="37" t="s">
        <v>2517</v>
      </c>
      <c r="V1763" s="37" t="s">
        <v>9872</v>
      </c>
      <c r="W1763" s="37" t="s">
        <v>9873</v>
      </c>
      <c r="X1763" s="60">
        <v>46041.521527777782</v>
      </c>
      <c r="Y1763" s="37" t="s">
        <v>9874</v>
      </c>
      <c r="Z1763" s="37">
        <v>0.5</v>
      </c>
      <c r="AA1763" s="37"/>
      <c r="AB1763" s="37" t="s">
        <v>2521</v>
      </c>
      <c r="AC1763" s="40" t="s">
        <v>9875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9876</v>
      </c>
      <c r="E1764" s="37" t="s">
        <v>2504</v>
      </c>
      <c r="F1764" s="37">
        <v>5074</v>
      </c>
      <c r="G1764" s="37" t="s">
        <v>3051</v>
      </c>
      <c r="H1764" s="37" t="s">
        <v>2987</v>
      </c>
      <c r="I1764" s="37" t="s">
        <v>9877</v>
      </c>
      <c r="J1764" s="37" t="s">
        <v>2643</v>
      </c>
      <c r="K1764" s="37" t="s">
        <v>2510</v>
      </c>
      <c r="L1764" s="37" t="s">
        <v>2537</v>
      </c>
      <c r="M1764" s="38" t="s">
        <v>2538</v>
      </c>
      <c r="N1764" s="37" t="s">
        <v>2539</v>
      </c>
      <c r="O1764" s="38" t="s">
        <v>2540</v>
      </c>
      <c r="P1764" s="39" t="s">
        <v>9878</v>
      </c>
      <c r="Q1764" s="37" t="s">
        <v>3052</v>
      </c>
      <c r="R1764" s="37" t="s">
        <v>2516</v>
      </c>
      <c r="S1764" s="37" t="s">
        <v>25</v>
      </c>
      <c r="T1764" s="37">
        <v>1</v>
      </c>
      <c r="U1764" s="37" t="s">
        <v>2517</v>
      </c>
      <c r="V1764" s="37" t="s">
        <v>9879</v>
      </c>
      <c r="W1764" s="37" t="s">
        <v>9880</v>
      </c>
      <c r="X1764" s="60">
        <v>46041.458333333343</v>
      </c>
      <c r="Y1764" s="37" t="s">
        <v>9874</v>
      </c>
      <c r="Z1764" s="37">
        <v>1</v>
      </c>
      <c r="AA1764" s="37"/>
      <c r="AB1764" s="37" t="s">
        <v>2521</v>
      </c>
      <c r="AC1764" s="40" t="s">
        <v>9881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9882</v>
      </c>
      <c r="H1765" s="37" t="s">
        <v>9301</v>
      </c>
      <c r="I1765" s="37"/>
      <c r="J1765" s="37"/>
      <c r="K1765" s="37"/>
      <c r="L1765" s="37"/>
      <c r="M1765" s="38"/>
      <c r="N1765" s="37"/>
      <c r="O1765" s="38"/>
      <c r="P1765" s="39"/>
      <c r="Q1765" s="37" t="s">
        <v>9883</v>
      </c>
      <c r="R1765" s="37" t="s">
        <v>2516</v>
      </c>
      <c r="S1765" s="37" t="s">
        <v>549</v>
      </c>
      <c r="T1765" s="37">
        <v>1</v>
      </c>
      <c r="U1765" s="37" t="s">
        <v>2517</v>
      </c>
      <c r="V1765" s="37" t="s">
        <v>9884</v>
      </c>
      <c r="W1765" s="37" t="s">
        <v>9885</v>
      </c>
      <c r="X1765" s="60">
        <v>46041.399305555547</v>
      </c>
      <c r="Y1765" s="37"/>
      <c r="Z1765" s="37">
        <v>0.3</v>
      </c>
      <c r="AA1765" s="37"/>
      <c r="AB1765" s="37" t="s">
        <v>2521</v>
      </c>
      <c r="AC1765" s="40" t="s">
        <v>9886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9887</v>
      </c>
      <c r="H1766" s="37" t="s">
        <v>9301</v>
      </c>
      <c r="I1766" s="37"/>
      <c r="J1766" s="37"/>
      <c r="K1766" s="37"/>
      <c r="L1766" s="37"/>
      <c r="M1766" s="38"/>
      <c r="N1766" s="37"/>
      <c r="O1766" s="38"/>
      <c r="P1766" s="39"/>
      <c r="Q1766" s="37" t="s">
        <v>9888</v>
      </c>
      <c r="R1766" s="37" t="s">
        <v>2516</v>
      </c>
      <c r="S1766" s="37" t="s">
        <v>549</v>
      </c>
      <c r="T1766" s="37">
        <v>1</v>
      </c>
      <c r="U1766" s="37" t="s">
        <v>2517</v>
      </c>
      <c r="V1766" s="37" t="s">
        <v>9889</v>
      </c>
      <c r="W1766" s="37" t="s">
        <v>9890</v>
      </c>
      <c r="X1766" s="60">
        <v>46041.418749999997</v>
      </c>
      <c r="Y1766" s="37"/>
      <c r="Z1766" s="37">
        <v>0.3</v>
      </c>
      <c r="AA1766" s="37"/>
      <c r="AB1766" s="37" t="s">
        <v>2521</v>
      </c>
      <c r="AC1766" s="40" t="s">
        <v>9891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9892</v>
      </c>
      <c r="H1767" s="37" t="s">
        <v>9301</v>
      </c>
      <c r="I1767" s="37"/>
      <c r="J1767" s="37"/>
      <c r="K1767" s="37"/>
      <c r="L1767" s="37"/>
      <c r="M1767" s="38"/>
      <c r="N1767" s="37"/>
      <c r="O1767" s="38"/>
      <c r="P1767" s="39"/>
      <c r="Q1767" s="37" t="s">
        <v>9893</v>
      </c>
      <c r="R1767" s="37" t="s">
        <v>2516</v>
      </c>
      <c r="S1767" s="37" t="s">
        <v>549</v>
      </c>
      <c r="T1767" s="37">
        <v>1</v>
      </c>
      <c r="U1767" s="37" t="s">
        <v>2517</v>
      </c>
      <c r="V1767" s="37" t="s">
        <v>9894</v>
      </c>
      <c r="W1767" s="37" t="s">
        <v>9895</v>
      </c>
      <c r="X1767" s="60">
        <v>46041.442361111112</v>
      </c>
      <c r="Y1767" s="37"/>
      <c r="Z1767" s="37">
        <v>0.4</v>
      </c>
      <c r="AA1767" s="37"/>
      <c r="AB1767" s="37" t="s">
        <v>2521</v>
      </c>
      <c r="AC1767" s="40" t="s">
        <v>9896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9897</v>
      </c>
      <c r="E1768" s="37" t="s">
        <v>2504</v>
      </c>
      <c r="F1768" s="37">
        <v>2303</v>
      </c>
      <c r="G1768" s="37" t="s">
        <v>3880</v>
      </c>
      <c r="H1768" s="37" t="s">
        <v>2507</v>
      </c>
      <c r="I1768" s="37" t="s">
        <v>9898</v>
      </c>
      <c r="J1768" s="37" t="s">
        <v>2661</v>
      </c>
      <c r="K1768" s="37" t="s">
        <v>2568</v>
      </c>
      <c r="L1768" s="37" t="s">
        <v>2511</v>
      </c>
      <c r="M1768" s="38" t="s">
        <v>2512</v>
      </c>
      <c r="N1768" s="37">
        <v>2305</v>
      </c>
      <c r="O1768" s="38" t="s">
        <v>3035</v>
      </c>
      <c r="P1768" s="39" t="s">
        <v>9899</v>
      </c>
      <c r="Q1768" s="37" t="s">
        <v>3881</v>
      </c>
      <c r="R1768" s="37" t="s">
        <v>2516</v>
      </c>
      <c r="S1768" s="37" t="s">
        <v>549</v>
      </c>
      <c r="T1768" s="37">
        <v>1</v>
      </c>
      <c r="U1768" s="37" t="s">
        <v>2517</v>
      </c>
      <c r="V1768" s="37" t="s">
        <v>9900</v>
      </c>
      <c r="W1768" s="37" t="s">
        <v>9901</v>
      </c>
      <c r="X1768" s="60">
        <v>46041.642361111109</v>
      </c>
      <c r="Y1768" s="37" t="s">
        <v>9902</v>
      </c>
      <c r="Z1768" s="37">
        <v>0.4</v>
      </c>
      <c r="AA1768" s="37"/>
      <c r="AB1768" s="37" t="s">
        <v>2521</v>
      </c>
      <c r="AC1768" s="40" t="s">
        <v>9903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9904</v>
      </c>
      <c r="G1769" s="37" t="s">
        <v>9905</v>
      </c>
      <c r="H1769" s="37" t="s">
        <v>9301</v>
      </c>
      <c r="I1769" s="37"/>
      <c r="J1769" s="37"/>
      <c r="K1769" s="37"/>
      <c r="L1769" s="37"/>
      <c r="M1769" s="38"/>
      <c r="N1769" s="37"/>
      <c r="O1769" s="38"/>
      <c r="P1769" s="39"/>
      <c r="Q1769" s="37" t="s">
        <v>9906</v>
      </c>
      <c r="R1769" s="37" t="s">
        <v>2516</v>
      </c>
      <c r="S1769" s="37" t="s">
        <v>549</v>
      </c>
      <c r="T1769" s="37">
        <v>1</v>
      </c>
      <c r="U1769" s="37" t="s">
        <v>2517</v>
      </c>
      <c r="V1769" s="37" t="s">
        <v>9907</v>
      </c>
      <c r="W1769" s="37" t="s">
        <v>9908</v>
      </c>
      <c r="X1769" s="60">
        <v>46041.465277777781</v>
      </c>
      <c r="Y1769" s="37"/>
      <c r="Z1769" s="37">
        <v>0.4</v>
      </c>
      <c r="AA1769" s="37"/>
      <c r="AB1769" s="37" t="s">
        <v>2521</v>
      </c>
      <c r="AC1769" s="40" t="s">
        <v>9909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9910</v>
      </c>
      <c r="H1770" s="37" t="s">
        <v>9301</v>
      </c>
      <c r="I1770" s="37"/>
      <c r="J1770" s="37"/>
      <c r="K1770" s="37"/>
      <c r="L1770" s="37"/>
      <c r="M1770" s="38"/>
      <c r="N1770" s="37"/>
      <c r="O1770" s="38"/>
      <c r="P1770" s="39"/>
      <c r="Q1770" s="37" t="s">
        <v>9911</v>
      </c>
      <c r="R1770" s="37" t="s">
        <v>2516</v>
      </c>
      <c r="S1770" s="37" t="s">
        <v>549</v>
      </c>
      <c r="T1770" s="37">
        <v>1</v>
      </c>
      <c r="U1770" s="37" t="s">
        <v>2517</v>
      </c>
      <c r="V1770" s="37" t="s">
        <v>9912</v>
      </c>
      <c r="W1770" s="37" t="s">
        <v>9913</v>
      </c>
      <c r="X1770" s="60">
        <v>46041.486805555563</v>
      </c>
      <c r="Y1770" s="37"/>
      <c r="Z1770" s="37">
        <v>0.3</v>
      </c>
      <c r="AA1770" s="37"/>
      <c r="AB1770" s="37" t="s">
        <v>2521</v>
      </c>
      <c r="AC1770" s="40" t="s">
        <v>9914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9915</v>
      </c>
      <c r="H1771" s="37" t="s">
        <v>9301</v>
      </c>
      <c r="I1771" s="37"/>
      <c r="J1771" s="37"/>
      <c r="K1771" s="37"/>
      <c r="L1771" s="37"/>
      <c r="M1771" s="38"/>
      <c r="N1771" s="37"/>
      <c r="O1771" s="38"/>
      <c r="P1771" s="39"/>
      <c r="Q1771" s="37" t="s">
        <v>9916</v>
      </c>
      <c r="R1771" s="37" t="s">
        <v>2516</v>
      </c>
      <c r="S1771" s="37" t="s">
        <v>549</v>
      </c>
      <c r="T1771" s="37">
        <v>1</v>
      </c>
      <c r="U1771" s="37" t="s">
        <v>2517</v>
      </c>
      <c r="V1771" s="37" t="s">
        <v>9917</v>
      </c>
      <c r="W1771" s="37" t="s">
        <v>9918</v>
      </c>
      <c r="X1771" s="60">
        <v>46041.51458333333</v>
      </c>
      <c r="Y1771" s="37"/>
      <c r="Z1771" s="37">
        <v>0.4</v>
      </c>
      <c r="AA1771" s="37"/>
      <c r="AB1771" s="37" t="s">
        <v>2521</v>
      </c>
      <c r="AC1771" s="40" t="s">
        <v>2591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4147</v>
      </c>
      <c r="H1772" s="37" t="s">
        <v>1604</v>
      </c>
      <c r="I1772" s="37"/>
      <c r="J1772" s="37"/>
      <c r="K1772" s="37"/>
      <c r="L1772" s="37"/>
      <c r="M1772" s="38"/>
      <c r="N1772" s="37"/>
      <c r="O1772" s="38"/>
      <c r="P1772" s="39"/>
      <c r="Q1772" s="37" t="s">
        <v>4148</v>
      </c>
      <c r="R1772" s="37" t="s">
        <v>2516</v>
      </c>
      <c r="S1772" s="37" t="s">
        <v>25</v>
      </c>
      <c r="T1772" s="37">
        <v>1</v>
      </c>
      <c r="U1772" s="37" t="s">
        <v>2517</v>
      </c>
      <c r="V1772" s="37" t="s">
        <v>9919</v>
      </c>
      <c r="W1772" s="37" t="s">
        <v>9920</v>
      </c>
      <c r="X1772" s="60">
        <v>46041.541666666657</v>
      </c>
      <c r="Y1772" s="37"/>
      <c r="Z1772" s="37">
        <v>0.3</v>
      </c>
      <c r="AA1772" s="37"/>
      <c r="AB1772" s="37" t="s">
        <v>2521</v>
      </c>
      <c r="AC1772" s="40" t="s">
        <v>9921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3310</v>
      </c>
      <c r="H1773" s="37" t="s">
        <v>1604</v>
      </c>
      <c r="I1773" s="37"/>
      <c r="J1773" s="37"/>
      <c r="K1773" s="37"/>
      <c r="L1773" s="37"/>
      <c r="M1773" s="38"/>
      <c r="N1773" s="37"/>
      <c r="O1773" s="38"/>
      <c r="P1773" s="39"/>
      <c r="Q1773" s="37" t="s">
        <v>3311</v>
      </c>
      <c r="R1773" s="37" t="s">
        <v>2516</v>
      </c>
      <c r="S1773" s="37" t="s">
        <v>25</v>
      </c>
      <c r="T1773" s="37">
        <v>1</v>
      </c>
      <c r="U1773" s="37" t="s">
        <v>2517</v>
      </c>
      <c r="V1773" s="37" t="s">
        <v>9922</v>
      </c>
      <c r="W1773" s="37" t="s">
        <v>9923</v>
      </c>
      <c r="X1773" s="60">
        <v>46041.590277777781</v>
      </c>
      <c r="Y1773" s="37"/>
      <c r="Z1773" s="37">
        <v>0.7</v>
      </c>
      <c r="AA1773" s="37"/>
      <c r="AB1773" s="37" t="s">
        <v>2521</v>
      </c>
      <c r="AC1773" s="40" t="s">
        <v>9924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7280</v>
      </c>
      <c r="H1774" s="37" t="s">
        <v>3248</v>
      </c>
      <c r="I1774" s="37"/>
      <c r="J1774" s="37"/>
      <c r="K1774" s="37"/>
      <c r="L1774" s="37"/>
      <c r="M1774" s="38"/>
      <c r="N1774" s="37"/>
      <c r="O1774" s="38"/>
      <c r="P1774" s="39"/>
      <c r="Q1774" s="37" t="s">
        <v>3331</v>
      </c>
      <c r="R1774" s="37" t="s">
        <v>2516</v>
      </c>
      <c r="S1774" s="37" t="s">
        <v>25</v>
      </c>
      <c r="T1774" s="37">
        <v>1</v>
      </c>
      <c r="U1774" s="37" t="s">
        <v>2517</v>
      </c>
      <c r="V1774" s="37" t="s">
        <v>9925</v>
      </c>
      <c r="W1774" s="37" t="s">
        <v>9926</v>
      </c>
      <c r="X1774" s="60">
        <v>46041.611111111109</v>
      </c>
      <c r="Y1774" s="37"/>
      <c r="Z1774" s="37">
        <v>0.3</v>
      </c>
      <c r="AA1774" s="37"/>
      <c r="AB1774" s="37" t="s">
        <v>2521</v>
      </c>
      <c r="AC1774" s="40" t="s">
        <v>9927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3342</v>
      </c>
      <c r="H1775" s="37" t="s">
        <v>3248</v>
      </c>
      <c r="I1775" s="37"/>
      <c r="J1775" s="37"/>
      <c r="K1775" s="37"/>
      <c r="L1775" s="37"/>
      <c r="M1775" s="38"/>
      <c r="N1775" s="37"/>
      <c r="O1775" s="38"/>
      <c r="P1775" s="39"/>
      <c r="Q1775" s="37" t="s">
        <v>3343</v>
      </c>
      <c r="R1775" s="37" t="s">
        <v>2516</v>
      </c>
      <c r="S1775" s="37" t="s">
        <v>25</v>
      </c>
      <c r="T1775" s="37">
        <v>1</v>
      </c>
      <c r="U1775" s="37" t="s">
        <v>2517</v>
      </c>
      <c r="V1775" s="37" t="s">
        <v>9928</v>
      </c>
      <c r="W1775" s="37" t="s">
        <v>9929</v>
      </c>
      <c r="X1775" s="60">
        <v>46041.645833333343</v>
      </c>
      <c r="Y1775" s="37"/>
      <c r="Z1775" s="37">
        <v>0.3</v>
      </c>
      <c r="AA1775" s="37"/>
      <c r="AB1775" s="37" t="s">
        <v>2521</v>
      </c>
      <c r="AC1775" s="40" t="s">
        <v>9930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3247</v>
      </c>
      <c r="H1776" s="37" t="s">
        <v>3248</v>
      </c>
      <c r="I1776" s="37"/>
      <c r="J1776" s="37"/>
      <c r="K1776" s="37"/>
      <c r="L1776" s="37"/>
      <c r="M1776" s="38"/>
      <c r="N1776" s="37"/>
      <c r="O1776" s="38"/>
      <c r="P1776" s="39"/>
      <c r="Q1776" s="37" t="s">
        <v>3251</v>
      </c>
      <c r="R1776" s="37" t="s">
        <v>2516</v>
      </c>
      <c r="S1776" s="37" t="s">
        <v>25</v>
      </c>
      <c r="T1776" s="37">
        <v>1</v>
      </c>
      <c r="U1776" s="37" t="s">
        <v>2517</v>
      </c>
      <c r="V1776" s="37" t="s">
        <v>9931</v>
      </c>
      <c r="W1776" s="37" t="s">
        <v>9866</v>
      </c>
      <c r="X1776" s="60">
        <v>46041.680555555547</v>
      </c>
      <c r="Y1776" s="37"/>
      <c r="Z1776" s="37">
        <v>0.3</v>
      </c>
      <c r="AA1776" s="37"/>
      <c r="AB1776" s="37" t="s">
        <v>2521</v>
      </c>
      <c r="AC1776" s="40" t="s">
        <v>9932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4045</v>
      </c>
      <c r="H1777" s="37" t="s">
        <v>1604</v>
      </c>
      <c r="I1777" s="37"/>
      <c r="J1777" s="37"/>
      <c r="K1777" s="37"/>
      <c r="L1777" s="37"/>
      <c r="M1777" s="38"/>
      <c r="N1777" s="37"/>
      <c r="O1777" s="38"/>
      <c r="P1777" s="39"/>
      <c r="Q1777" s="37" t="s">
        <v>4048</v>
      </c>
      <c r="R1777" s="37" t="s">
        <v>2516</v>
      </c>
      <c r="S1777" s="37" t="s">
        <v>25</v>
      </c>
      <c r="T1777" s="37">
        <v>1</v>
      </c>
      <c r="U1777" s="37" t="s">
        <v>2517</v>
      </c>
      <c r="V1777" s="37" t="s">
        <v>9933</v>
      </c>
      <c r="W1777" s="37" t="s">
        <v>9934</v>
      </c>
      <c r="X1777" s="60">
        <v>46041.702777777777</v>
      </c>
      <c r="Y1777" s="37"/>
      <c r="Z1777" s="37">
        <v>0.4</v>
      </c>
      <c r="AA1777" s="37"/>
      <c r="AB1777" s="37" t="s">
        <v>2521</v>
      </c>
      <c r="AC1777" s="40" t="s">
        <v>9935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9936</v>
      </c>
      <c r="E1778" s="37" t="s">
        <v>2504</v>
      </c>
      <c r="F1778" s="37" t="s">
        <v>3684</v>
      </c>
      <c r="G1778" s="37" t="s">
        <v>3685</v>
      </c>
      <c r="H1778" s="37" t="s">
        <v>2507</v>
      </c>
      <c r="I1778" s="37" t="s">
        <v>9937</v>
      </c>
      <c r="J1778" s="37" t="s">
        <v>2661</v>
      </c>
      <c r="K1778" s="37" t="s">
        <v>2510</v>
      </c>
      <c r="L1778" s="37" t="s">
        <v>3150</v>
      </c>
      <c r="M1778" s="38" t="s">
        <v>3151</v>
      </c>
      <c r="N1778" s="37">
        <v>5901</v>
      </c>
      <c r="O1778" s="38" t="s">
        <v>2598</v>
      </c>
      <c r="P1778" s="39" t="s">
        <v>9938</v>
      </c>
      <c r="Q1778" s="37" t="s">
        <v>3686</v>
      </c>
      <c r="R1778" s="37" t="s">
        <v>2516</v>
      </c>
      <c r="S1778" s="37" t="s">
        <v>549</v>
      </c>
      <c r="T1778" s="37">
        <v>1</v>
      </c>
      <c r="U1778" s="37" t="s">
        <v>2517</v>
      </c>
      <c r="V1778" s="37" t="s">
        <v>9939</v>
      </c>
      <c r="W1778" s="37" t="s">
        <v>9940</v>
      </c>
      <c r="X1778" s="60">
        <v>46042.59375</v>
      </c>
      <c r="Y1778" s="37" t="s">
        <v>9941</v>
      </c>
      <c r="Z1778" s="37">
        <v>0.3</v>
      </c>
      <c r="AA1778" s="37"/>
      <c r="AB1778" s="37" t="s">
        <v>2521</v>
      </c>
      <c r="AC1778" s="40" t="s">
        <v>9942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9943</v>
      </c>
      <c r="E1779" s="37" t="s">
        <v>2504</v>
      </c>
      <c r="F1779" s="37">
        <v>2209</v>
      </c>
      <c r="G1779" s="37" t="s">
        <v>5697</v>
      </c>
      <c r="H1779" s="37" t="s">
        <v>2507</v>
      </c>
      <c r="I1779" s="37" t="s">
        <v>9944</v>
      </c>
      <c r="J1779" s="37" t="s">
        <v>2509</v>
      </c>
      <c r="K1779" s="37" t="s">
        <v>2568</v>
      </c>
      <c r="L1779" s="37" t="s">
        <v>2537</v>
      </c>
      <c r="M1779" s="38" t="s">
        <v>2538</v>
      </c>
      <c r="N1779" s="37" t="s">
        <v>2539</v>
      </c>
      <c r="O1779" s="38" t="s">
        <v>2540</v>
      </c>
      <c r="P1779" s="39" t="s">
        <v>9945</v>
      </c>
      <c r="Q1779" s="37" t="s">
        <v>2856</v>
      </c>
      <c r="R1779" s="37" t="s">
        <v>2516</v>
      </c>
      <c r="S1779" s="37" t="s">
        <v>549</v>
      </c>
      <c r="T1779" s="37">
        <v>1</v>
      </c>
      <c r="U1779" s="37" t="s">
        <v>2517</v>
      </c>
      <c r="V1779" s="37" t="s">
        <v>9946</v>
      </c>
      <c r="W1779" s="37" t="s">
        <v>9947</v>
      </c>
      <c r="X1779" s="60">
        <v>46042.635416666657</v>
      </c>
      <c r="Y1779" s="37" t="s">
        <v>9948</v>
      </c>
      <c r="Z1779" s="37">
        <v>0.1</v>
      </c>
      <c r="AA1779" s="37"/>
      <c r="AB1779" s="37" t="s">
        <v>2521</v>
      </c>
      <c r="AC1779" s="40" t="s">
        <v>9949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9950</v>
      </c>
      <c r="E1780" s="37" t="s">
        <v>2843</v>
      </c>
      <c r="F1780" s="37">
        <v>2014</v>
      </c>
      <c r="G1780" s="37" t="s">
        <v>6223</v>
      </c>
      <c r="H1780" s="37" t="s">
        <v>2507</v>
      </c>
      <c r="I1780" s="37" t="s">
        <v>9951</v>
      </c>
      <c r="J1780" s="37" t="s">
        <v>2509</v>
      </c>
      <c r="K1780" s="37" t="s">
        <v>2568</v>
      </c>
      <c r="L1780" s="37" t="s">
        <v>2846</v>
      </c>
      <c r="M1780" s="38" t="s">
        <v>2847</v>
      </c>
      <c r="N1780" s="37">
        <v>2401</v>
      </c>
      <c r="O1780" s="38" t="s">
        <v>2848</v>
      </c>
      <c r="P1780" s="39" t="s">
        <v>9952</v>
      </c>
      <c r="Q1780" s="37" t="s">
        <v>2759</v>
      </c>
      <c r="R1780" s="37" t="s">
        <v>2516</v>
      </c>
      <c r="S1780" s="37" t="s">
        <v>549</v>
      </c>
      <c r="T1780" s="37">
        <v>1</v>
      </c>
      <c r="U1780" s="37" t="s">
        <v>2517</v>
      </c>
      <c r="V1780" s="37" t="s">
        <v>9953</v>
      </c>
      <c r="W1780" s="37" t="s">
        <v>9954</v>
      </c>
      <c r="X1780" s="60">
        <v>46042.513888888891</v>
      </c>
      <c r="Y1780" s="37" t="s">
        <v>9955</v>
      </c>
      <c r="Z1780" s="37">
        <v>0.3</v>
      </c>
      <c r="AA1780" s="37"/>
      <c r="AB1780" s="37" t="s">
        <v>2521</v>
      </c>
      <c r="AC1780" s="40" t="s">
        <v>9956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6223</v>
      </c>
      <c r="H1781" s="37" t="s">
        <v>2507</v>
      </c>
      <c r="I1781" s="37"/>
      <c r="J1781" s="37"/>
      <c r="K1781" s="37"/>
      <c r="L1781" s="37"/>
      <c r="M1781" s="38"/>
      <c r="N1781" s="37"/>
      <c r="O1781" s="38"/>
      <c r="P1781" s="39"/>
      <c r="Q1781" s="37" t="s">
        <v>2759</v>
      </c>
      <c r="R1781" s="37" t="s">
        <v>2516</v>
      </c>
      <c r="S1781" s="37" t="s">
        <v>549</v>
      </c>
      <c r="T1781" s="37">
        <v>1</v>
      </c>
      <c r="U1781" s="37" t="s">
        <v>2517</v>
      </c>
      <c r="V1781" s="37" t="s">
        <v>9957</v>
      </c>
      <c r="W1781" s="37" t="s">
        <v>9958</v>
      </c>
      <c r="X1781" s="60">
        <v>46042.525000000001</v>
      </c>
      <c r="Y1781" s="37"/>
      <c r="Z1781" s="37">
        <v>0.4</v>
      </c>
      <c r="AA1781" s="37"/>
      <c r="AB1781" s="37" t="s">
        <v>2521</v>
      </c>
      <c r="AC1781" s="40" t="s">
        <v>9959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9960</v>
      </c>
      <c r="E1782" s="37" t="s">
        <v>2843</v>
      </c>
      <c r="F1782" s="37">
        <v>5457</v>
      </c>
      <c r="G1782" s="37" t="s">
        <v>8194</v>
      </c>
      <c r="H1782" s="37" t="s">
        <v>2507</v>
      </c>
      <c r="I1782" s="37" t="s">
        <v>9961</v>
      </c>
      <c r="J1782" s="37" t="s">
        <v>2509</v>
      </c>
      <c r="K1782" s="37" t="s">
        <v>2510</v>
      </c>
      <c r="L1782" s="37" t="s">
        <v>2846</v>
      </c>
      <c r="M1782" s="38" t="s">
        <v>2847</v>
      </c>
      <c r="N1782" s="37">
        <v>2401</v>
      </c>
      <c r="O1782" s="38" t="s">
        <v>2848</v>
      </c>
      <c r="P1782" s="39" t="s">
        <v>9962</v>
      </c>
      <c r="Q1782" s="37" t="s">
        <v>8195</v>
      </c>
      <c r="R1782" s="37" t="s">
        <v>2516</v>
      </c>
      <c r="S1782" s="37" t="s">
        <v>185</v>
      </c>
      <c r="T1782" s="37">
        <v>1</v>
      </c>
      <c r="U1782" s="37" t="s">
        <v>2517</v>
      </c>
      <c r="V1782" s="37" t="s">
        <v>9963</v>
      </c>
      <c r="W1782" s="37" t="s">
        <v>9964</v>
      </c>
      <c r="X1782" s="60">
        <v>46042.576388888891</v>
      </c>
      <c r="Y1782" s="37" t="s">
        <v>9965</v>
      </c>
      <c r="Z1782" s="37">
        <v>0.5</v>
      </c>
      <c r="AA1782" s="37"/>
      <c r="AB1782" s="37" t="s">
        <v>2521</v>
      </c>
      <c r="AC1782" s="40" t="s">
        <v>9966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3684</v>
      </c>
      <c r="G1783" s="37" t="s">
        <v>3685</v>
      </c>
      <c r="H1783" s="37" t="s">
        <v>2507</v>
      </c>
      <c r="I1783" s="37"/>
      <c r="J1783" s="37"/>
      <c r="K1783" s="37"/>
      <c r="L1783" s="37"/>
      <c r="M1783" s="38"/>
      <c r="N1783" s="37"/>
      <c r="O1783" s="38"/>
      <c r="P1783" s="39"/>
      <c r="Q1783" s="37" t="s">
        <v>3686</v>
      </c>
      <c r="R1783" s="37" t="s">
        <v>2516</v>
      </c>
      <c r="S1783" s="37" t="s">
        <v>549</v>
      </c>
      <c r="T1783" s="37">
        <v>1</v>
      </c>
      <c r="U1783" s="37" t="s">
        <v>2517</v>
      </c>
      <c r="V1783" s="37" t="s">
        <v>9967</v>
      </c>
      <c r="W1783" s="37" t="s">
        <v>9968</v>
      </c>
      <c r="X1783" s="60">
        <v>46042.607638888891</v>
      </c>
      <c r="Y1783" s="37"/>
      <c r="Z1783" s="37">
        <v>0.3</v>
      </c>
      <c r="AA1783" s="37"/>
      <c r="AB1783" s="37" t="s">
        <v>2521</v>
      </c>
      <c r="AC1783" s="40" t="s">
        <v>9969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5697</v>
      </c>
      <c r="H1784" s="37" t="s">
        <v>2507</v>
      </c>
      <c r="I1784" s="37"/>
      <c r="J1784" s="37"/>
      <c r="K1784" s="37"/>
      <c r="L1784" s="37"/>
      <c r="M1784" s="38"/>
      <c r="N1784" s="37"/>
      <c r="O1784" s="38"/>
      <c r="P1784" s="39"/>
      <c r="Q1784" s="37" t="s">
        <v>2856</v>
      </c>
      <c r="R1784" s="37" t="s">
        <v>2516</v>
      </c>
      <c r="S1784" s="37" t="s">
        <v>549</v>
      </c>
      <c r="T1784" s="37">
        <v>1</v>
      </c>
      <c r="U1784" s="37" t="s">
        <v>2517</v>
      </c>
      <c r="V1784" s="37" t="s">
        <v>9970</v>
      </c>
      <c r="W1784" s="37" t="s">
        <v>9971</v>
      </c>
      <c r="X1784" s="60">
        <v>46042.628472222219</v>
      </c>
      <c r="Y1784" s="37"/>
      <c r="Z1784" s="37">
        <v>0.3</v>
      </c>
      <c r="AA1784" s="37"/>
      <c r="AB1784" s="37" t="s">
        <v>2521</v>
      </c>
      <c r="AC1784" s="40" t="s">
        <v>9972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9973</v>
      </c>
      <c r="H1785" s="37" t="s">
        <v>9399</v>
      </c>
      <c r="I1785" s="37"/>
      <c r="J1785" s="37"/>
      <c r="K1785" s="37"/>
      <c r="L1785" s="37"/>
      <c r="M1785" s="38"/>
      <c r="N1785" s="37"/>
      <c r="O1785" s="38"/>
      <c r="P1785" s="39"/>
      <c r="Q1785" s="37" t="s">
        <v>9974</v>
      </c>
      <c r="R1785" s="37" t="s">
        <v>2516</v>
      </c>
      <c r="S1785" s="37" t="s">
        <v>549</v>
      </c>
      <c r="T1785" s="37">
        <v>1</v>
      </c>
      <c r="U1785" s="37" t="s">
        <v>2517</v>
      </c>
      <c r="V1785" s="37" t="s">
        <v>9975</v>
      </c>
      <c r="W1785" s="37" t="s">
        <v>9976</v>
      </c>
      <c r="X1785" s="60">
        <v>46042.659722222219</v>
      </c>
      <c r="Y1785" s="37"/>
      <c r="Z1785" s="37">
        <v>0.3</v>
      </c>
      <c r="AA1785" s="37"/>
      <c r="AB1785" s="37" t="s">
        <v>2521</v>
      </c>
      <c r="AC1785" s="40" t="s">
        <v>9977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9978</v>
      </c>
      <c r="H1786" s="37" t="s">
        <v>9399</v>
      </c>
      <c r="I1786" s="37"/>
      <c r="J1786" s="37"/>
      <c r="K1786" s="37"/>
      <c r="L1786" s="37"/>
      <c r="M1786" s="38"/>
      <c r="N1786" s="37"/>
      <c r="O1786" s="38"/>
      <c r="P1786" s="39"/>
      <c r="Q1786" s="37" t="s">
        <v>9979</v>
      </c>
      <c r="R1786" s="37" t="s">
        <v>2516</v>
      </c>
      <c r="S1786" s="37" t="s">
        <v>549</v>
      </c>
      <c r="T1786" s="37">
        <v>1</v>
      </c>
      <c r="U1786" s="37" t="s">
        <v>2517</v>
      </c>
      <c r="V1786" s="37" t="s">
        <v>9980</v>
      </c>
      <c r="W1786" s="37" t="s">
        <v>9981</v>
      </c>
      <c r="X1786" s="60">
        <v>46042.675000000003</v>
      </c>
      <c r="Y1786" s="37"/>
      <c r="Z1786" s="37">
        <v>0.3</v>
      </c>
      <c r="AA1786" s="37"/>
      <c r="AB1786" s="37" t="s">
        <v>2521</v>
      </c>
      <c r="AC1786" s="40" t="s">
        <v>9982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9983</v>
      </c>
      <c r="H1787" s="37" t="s">
        <v>9399</v>
      </c>
      <c r="I1787" s="37"/>
      <c r="J1787" s="37"/>
      <c r="K1787" s="37"/>
      <c r="L1787" s="37"/>
      <c r="M1787" s="38"/>
      <c r="N1787" s="37"/>
      <c r="O1787" s="38"/>
      <c r="P1787" s="39"/>
      <c r="Q1787" s="37" t="s">
        <v>9984</v>
      </c>
      <c r="R1787" s="37" t="s">
        <v>2516</v>
      </c>
      <c r="S1787" s="37" t="s">
        <v>549</v>
      </c>
      <c r="T1787" s="37">
        <v>1</v>
      </c>
      <c r="U1787" s="37" t="s">
        <v>2517</v>
      </c>
      <c r="V1787" s="37" t="s">
        <v>9985</v>
      </c>
      <c r="W1787" s="37" t="s">
        <v>9986</v>
      </c>
      <c r="X1787" s="60">
        <v>46042.694444444453</v>
      </c>
      <c r="Y1787" s="37"/>
      <c r="Z1787" s="37">
        <v>0.3</v>
      </c>
      <c r="AA1787" s="37"/>
      <c r="AB1787" s="37" t="s">
        <v>2521</v>
      </c>
      <c r="AC1787" s="40" t="s">
        <v>9987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9988</v>
      </c>
      <c r="H1788" s="37" t="s">
        <v>9399</v>
      </c>
      <c r="I1788" s="37"/>
      <c r="J1788" s="37"/>
      <c r="K1788" s="37"/>
      <c r="L1788" s="37"/>
      <c r="M1788" s="38"/>
      <c r="N1788" s="37"/>
      <c r="O1788" s="38"/>
      <c r="P1788" s="39"/>
      <c r="Q1788" s="37" t="s">
        <v>9989</v>
      </c>
      <c r="R1788" s="37" t="s">
        <v>2516</v>
      </c>
      <c r="S1788" s="37" t="s">
        <v>549</v>
      </c>
      <c r="T1788" s="37">
        <v>1</v>
      </c>
      <c r="U1788" s="37" t="s">
        <v>2517</v>
      </c>
      <c r="V1788" s="37" t="s">
        <v>9990</v>
      </c>
      <c r="W1788" s="37" t="s">
        <v>9991</v>
      </c>
      <c r="X1788" s="60">
        <v>46042.715277777781</v>
      </c>
      <c r="Y1788" s="37"/>
      <c r="Z1788" s="37">
        <v>0.3</v>
      </c>
      <c r="AA1788" s="37"/>
      <c r="AB1788" s="37" t="s">
        <v>2521</v>
      </c>
      <c r="AC1788" s="40" t="s">
        <v>9992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9993</v>
      </c>
      <c r="H1789" s="37" t="s">
        <v>9301</v>
      </c>
      <c r="I1789" s="37"/>
      <c r="J1789" s="37"/>
      <c r="K1789" s="37"/>
      <c r="L1789" s="37"/>
      <c r="M1789" s="38"/>
      <c r="N1789" s="37"/>
      <c r="O1789" s="38"/>
      <c r="P1789" s="39"/>
      <c r="Q1789" s="37" t="s">
        <v>9994</v>
      </c>
      <c r="R1789" s="37" t="s">
        <v>2516</v>
      </c>
      <c r="S1789" s="37" t="s">
        <v>549</v>
      </c>
      <c r="T1789" s="37">
        <v>1</v>
      </c>
      <c r="U1789" s="37" t="s">
        <v>2517</v>
      </c>
      <c r="V1789" s="37" t="s">
        <v>9995</v>
      </c>
      <c r="W1789" s="37" t="s">
        <v>9996</v>
      </c>
      <c r="X1789" s="60">
        <v>46042.739583333343</v>
      </c>
      <c r="Y1789" s="37"/>
      <c r="Z1789" s="37">
        <v>0.4</v>
      </c>
      <c r="AA1789" s="37"/>
      <c r="AB1789" s="37" t="s">
        <v>2521</v>
      </c>
      <c r="AC1789" s="40" t="s">
        <v>9997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9998</v>
      </c>
      <c r="H1790" s="37" t="s">
        <v>9289</v>
      </c>
      <c r="I1790" s="37"/>
      <c r="J1790" s="37"/>
      <c r="K1790" s="37"/>
      <c r="L1790" s="37"/>
      <c r="M1790" s="38"/>
      <c r="N1790" s="37"/>
      <c r="O1790" s="38"/>
      <c r="P1790" s="39"/>
      <c r="Q1790" s="37" t="s">
        <v>9999</v>
      </c>
      <c r="R1790" s="37" t="s">
        <v>2516</v>
      </c>
      <c r="S1790" s="37" t="s">
        <v>25</v>
      </c>
      <c r="T1790" s="37">
        <v>1</v>
      </c>
      <c r="U1790" s="37" t="s">
        <v>2517</v>
      </c>
      <c r="V1790" s="37" t="s">
        <v>10000</v>
      </c>
      <c r="W1790" s="37" t="s">
        <v>10001</v>
      </c>
      <c r="X1790" s="60">
        <v>46043.576388888891</v>
      </c>
      <c r="Y1790" s="37"/>
      <c r="Z1790" s="37">
        <v>0.3</v>
      </c>
      <c r="AA1790" s="37"/>
      <c r="AB1790" s="37" t="s">
        <v>2521</v>
      </c>
      <c r="AC1790" s="40" t="s">
        <v>10002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10003</v>
      </c>
      <c r="E1791" s="37" t="s">
        <v>2504</v>
      </c>
      <c r="F1791" s="37">
        <v>4191</v>
      </c>
      <c r="G1791" s="37" t="s">
        <v>2593</v>
      </c>
      <c r="H1791" s="37" t="s">
        <v>2507</v>
      </c>
      <c r="I1791" s="37" t="s">
        <v>10004</v>
      </c>
      <c r="J1791" s="37" t="s">
        <v>2509</v>
      </c>
      <c r="K1791" s="37" t="s">
        <v>2717</v>
      </c>
      <c r="L1791" s="37" t="s">
        <v>4123</v>
      </c>
      <c r="M1791" s="38" t="s">
        <v>4124</v>
      </c>
      <c r="N1791" s="37">
        <v>2901</v>
      </c>
      <c r="O1791" s="38" t="s">
        <v>2540</v>
      </c>
      <c r="P1791" s="39" t="s">
        <v>10005</v>
      </c>
      <c r="Q1791" s="37" t="s">
        <v>2600</v>
      </c>
      <c r="R1791" s="37" t="s">
        <v>2516</v>
      </c>
      <c r="S1791" s="37" t="s">
        <v>549</v>
      </c>
      <c r="T1791" s="37">
        <v>1</v>
      </c>
      <c r="U1791" s="37" t="s">
        <v>2517</v>
      </c>
      <c r="V1791" s="37" t="s">
        <v>10006</v>
      </c>
      <c r="W1791" s="37" t="s">
        <v>10007</v>
      </c>
      <c r="X1791" s="60">
        <v>46043.663194444453</v>
      </c>
      <c r="Y1791" s="37" t="s">
        <v>10008</v>
      </c>
      <c r="Z1791" s="37">
        <v>0.3</v>
      </c>
      <c r="AA1791" s="37"/>
      <c r="AB1791" s="37" t="s">
        <v>2521</v>
      </c>
      <c r="AC1791" s="40" t="s">
        <v>10009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10010</v>
      </c>
      <c r="E1792" s="37" t="s">
        <v>2504</v>
      </c>
      <c r="F1792" s="37">
        <v>4191</v>
      </c>
      <c r="G1792" s="37" t="s">
        <v>2593</v>
      </c>
      <c r="H1792" s="37" t="s">
        <v>2507</v>
      </c>
      <c r="I1792" s="37" t="s">
        <v>10011</v>
      </c>
      <c r="J1792" s="37" t="s">
        <v>2509</v>
      </c>
      <c r="K1792" s="37" t="s">
        <v>2717</v>
      </c>
      <c r="L1792" s="37" t="s">
        <v>2846</v>
      </c>
      <c r="M1792" s="38" t="s">
        <v>2847</v>
      </c>
      <c r="N1792" s="37">
        <v>2402</v>
      </c>
      <c r="O1792" s="38" t="s">
        <v>3741</v>
      </c>
      <c r="P1792" s="39" t="s">
        <v>10012</v>
      </c>
      <c r="Q1792" s="37" t="s">
        <v>2600</v>
      </c>
      <c r="R1792" s="37" t="s">
        <v>2516</v>
      </c>
      <c r="S1792" s="37" t="s">
        <v>549</v>
      </c>
      <c r="T1792" s="37">
        <v>1</v>
      </c>
      <c r="U1792" s="37" t="s">
        <v>2517</v>
      </c>
      <c r="V1792" s="37" t="s">
        <v>10013</v>
      </c>
      <c r="W1792" s="37" t="s">
        <v>10014</v>
      </c>
      <c r="X1792" s="60">
        <v>46043.677777777782</v>
      </c>
      <c r="Y1792" s="37" t="s">
        <v>10015</v>
      </c>
      <c r="Z1792" s="37">
        <v>0.4</v>
      </c>
      <c r="AA1792" s="37"/>
      <c r="AB1792" s="37" t="s">
        <v>2521</v>
      </c>
      <c r="AC1792" s="40" t="s">
        <v>5430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10016</v>
      </c>
      <c r="G1793" s="37" t="s">
        <v>10017</v>
      </c>
      <c r="H1793" s="37" t="s">
        <v>9289</v>
      </c>
      <c r="I1793" s="37"/>
      <c r="J1793" s="37"/>
      <c r="K1793" s="37"/>
      <c r="L1793" s="37"/>
      <c r="M1793" s="38"/>
      <c r="N1793" s="37"/>
      <c r="O1793" s="38"/>
      <c r="P1793" s="39"/>
      <c r="Q1793" s="37" t="s">
        <v>10018</v>
      </c>
      <c r="R1793" s="37" t="s">
        <v>2516</v>
      </c>
      <c r="S1793" s="37" t="s">
        <v>25</v>
      </c>
      <c r="T1793" s="37">
        <v>1</v>
      </c>
      <c r="U1793" s="37" t="s">
        <v>2517</v>
      </c>
      <c r="V1793" s="37" t="s">
        <v>10019</v>
      </c>
      <c r="W1793" s="37" t="s">
        <v>10020</v>
      </c>
      <c r="X1793" s="60">
        <v>46043.631944444453</v>
      </c>
      <c r="Y1793" s="37"/>
      <c r="Z1793" s="37">
        <v>0.2</v>
      </c>
      <c r="AA1793" s="37"/>
      <c r="AB1793" s="37" t="s">
        <v>2521</v>
      </c>
      <c r="AC1793" s="40" t="s">
        <v>2591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3827</v>
      </c>
      <c r="H1794" s="37" t="s">
        <v>2507</v>
      </c>
      <c r="I1794" s="37"/>
      <c r="J1794" s="37"/>
      <c r="K1794" s="37"/>
      <c r="L1794" s="37"/>
      <c r="M1794" s="38"/>
      <c r="N1794" s="37"/>
      <c r="O1794" s="38"/>
      <c r="P1794" s="39"/>
      <c r="Q1794" s="37" t="s">
        <v>3828</v>
      </c>
      <c r="R1794" s="37" t="s">
        <v>2516</v>
      </c>
      <c r="S1794" s="37" t="s">
        <v>549</v>
      </c>
      <c r="T1794" s="37">
        <v>1</v>
      </c>
      <c r="U1794" s="37" t="s">
        <v>2517</v>
      </c>
      <c r="V1794" s="37" t="s">
        <v>10021</v>
      </c>
      <c r="W1794" s="37" t="s">
        <v>10022</v>
      </c>
      <c r="X1794" s="60">
        <v>46043.645833333343</v>
      </c>
      <c r="Y1794" s="37"/>
      <c r="Z1794" s="37">
        <v>4.5</v>
      </c>
      <c r="AA1794" s="37"/>
      <c r="AB1794" s="37" t="s">
        <v>2521</v>
      </c>
      <c r="AC1794" s="40" t="s">
        <v>10023</v>
      </c>
      <c r="AD1794" s="37"/>
      <c r="AE1794" s="37" t="s">
        <v>861</v>
      </c>
      <c r="AF1794" s="37"/>
      <c r="AG1794" s="37"/>
      <c r="AH1794" s="37"/>
      <c r="AI1794" s="37"/>
      <c r="AJ1794" s="37"/>
      <c r="AK1794" s="37" t="s">
        <v>861</v>
      </c>
      <c r="AL1794" s="41" t="e">
        <f t="shared" ref="AL1794:AL1839" si="56">DATEVALUE(TEXT(I1794, "yyyy/mm/dd"))</f>
        <v>#VALUE!</v>
      </c>
      <c r="AM1794" s="42">
        <f t="shared" ref="AM1794:AM1839" si="57">DATEVALUE(TEXT(X1794, "yyyy/mm/dd"))</f>
        <v>46043</v>
      </c>
    </row>
    <row r="1795" spans="1:39" ht="21.6" customHeight="1" x14ac:dyDescent="0.3">
      <c r="A1795" s="37">
        <v>167</v>
      </c>
      <c r="B1795" s="37" t="s">
        <v>860</v>
      </c>
      <c r="C1795" s="37">
        <v>2026012916</v>
      </c>
      <c r="D1795" s="37"/>
      <c r="E1795" s="37"/>
      <c r="F1795" s="37">
        <v>2222</v>
      </c>
      <c r="G1795" s="37" t="s">
        <v>3827</v>
      </c>
      <c r="H1795" s="37" t="s">
        <v>2507</v>
      </c>
      <c r="I1795" s="37"/>
      <c r="J1795" s="37"/>
      <c r="K1795" s="37"/>
      <c r="L1795" s="37"/>
      <c r="M1795" s="38"/>
      <c r="N1795" s="37"/>
      <c r="O1795" s="38"/>
      <c r="P1795" s="39"/>
      <c r="Q1795" s="37" t="s">
        <v>3828</v>
      </c>
      <c r="R1795" s="37" t="s">
        <v>2516</v>
      </c>
      <c r="S1795" s="37" t="s">
        <v>185</v>
      </c>
      <c r="T1795" s="37">
        <v>1</v>
      </c>
      <c r="U1795" s="37" t="s">
        <v>2517</v>
      </c>
      <c r="V1795" s="37" t="s">
        <v>10024</v>
      </c>
      <c r="W1795" s="37" t="s">
        <v>10022</v>
      </c>
      <c r="X1795" s="60">
        <v>46043.645833333343</v>
      </c>
      <c r="Y1795" s="37"/>
      <c r="Z1795" s="37">
        <v>4.5</v>
      </c>
      <c r="AA1795" s="37"/>
      <c r="AB1795" s="37" t="s">
        <v>2521</v>
      </c>
      <c r="AC1795" s="40" t="s">
        <v>10025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10026</v>
      </c>
      <c r="H1796" s="37" t="s">
        <v>9289</v>
      </c>
      <c r="I1796" s="37"/>
      <c r="J1796" s="37"/>
      <c r="K1796" s="37"/>
      <c r="L1796" s="37"/>
      <c r="M1796" s="38"/>
      <c r="N1796" s="37"/>
      <c r="O1796" s="38"/>
      <c r="P1796" s="39"/>
      <c r="Q1796" s="37" t="s">
        <v>10027</v>
      </c>
      <c r="R1796" s="37" t="s">
        <v>2516</v>
      </c>
      <c r="S1796" s="37" t="s">
        <v>25</v>
      </c>
      <c r="T1796" s="37">
        <v>1</v>
      </c>
      <c r="U1796" s="37" t="s">
        <v>2517</v>
      </c>
      <c r="V1796" s="37" t="s">
        <v>10028</v>
      </c>
      <c r="W1796" s="37" t="s">
        <v>10029</v>
      </c>
      <c r="X1796" s="60">
        <v>46043.659722222219</v>
      </c>
      <c r="Y1796" s="37"/>
      <c r="Z1796" s="37">
        <v>0.3</v>
      </c>
      <c r="AA1796" s="37"/>
      <c r="AB1796" s="37" t="s">
        <v>2521</v>
      </c>
      <c r="AC1796" s="40" t="s">
        <v>2591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10030</v>
      </c>
      <c r="G1797" s="37" t="s">
        <v>10031</v>
      </c>
      <c r="H1797" s="37" t="s">
        <v>9289</v>
      </c>
      <c r="I1797" s="37"/>
      <c r="J1797" s="37"/>
      <c r="K1797" s="37"/>
      <c r="L1797" s="37"/>
      <c r="M1797" s="38"/>
      <c r="N1797" s="37"/>
      <c r="O1797" s="38"/>
      <c r="P1797" s="39"/>
      <c r="Q1797" s="37" t="s">
        <v>10032</v>
      </c>
      <c r="R1797" s="37" t="s">
        <v>2516</v>
      </c>
      <c r="S1797" s="37" t="s">
        <v>25</v>
      </c>
      <c r="T1797" s="37">
        <v>1</v>
      </c>
      <c r="U1797" s="37" t="s">
        <v>2517</v>
      </c>
      <c r="V1797" s="37" t="s">
        <v>10033</v>
      </c>
      <c r="W1797" s="37" t="s">
        <v>10034</v>
      </c>
      <c r="X1797" s="60">
        <v>46043.680555555547</v>
      </c>
      <c r="Y1797" s="37"/>
      <c r="Z1797" s="37">
        <v>0.3</v>
      </c>
      <c r="AA1797" s="37"/>
      <c r="AB1797" s="37" t="s">
        <v>2521</v>
      </c>
      <c r="AC1797" s="40" t="s">
        <v>2591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10035</v>
      </c>
      <c r="E1798" s="37" t="s">
        <v>2504</v>
      </c>
      <c r="F1798" s="37" t="s">
        <v>2778</v>
      </c>
      <c r="G1798" s="37" t="s">
        <v>2779</v>
      </c>
      <c r="H1798" s="37" t="s">
        <v>2507</v>
      </c>
      <c r="I1798" s="37" t="s">
        <v>10036</v>
      </c>
      <c r="J1798" s="37" t="s">
        <v>2536</v>
      </c>
      <c r="K1798" s="37" t="s">
        <v>2510</v>
      </c>
      <c r="L1798" s="37" t="s">
        <v>2511</v>
      </c>
      <c r="M1798" s="38" t="s">
        <v>2512</v>
      </c>
      <c r="N1798" s="37">
        <v>2308</v>
      </c>
      <c r="O1798" s="38" t="s">
        <v>2963</v>
      </c>
      <c r="P1798" s="39" t="s">
        <v>10037</v>
      </c>
      <c r="Q1798" s="37" t="s">
        <v>2780</v>
      </c>
      <c r="R1798" s="37" t="s">
        <v>2516</v>
      </c>
      <c r="S1798" s="37" t="s">
        <v>549</v>
      </c>
      <c r="T1798" s="37">
        <v>1</v>
      </c>
      <c r="U1798" s="37" t="s">
        <v>2517</v>
      </c>
      <c r="V1798" s="37" t="s">
        <v>10038</v>
      </c>
      <c r="W1798" s="37" t="s">
        <v>10039</v>
      </c>
      <c r="X1798" s="60">
        <v>46044.444444444453</v>
      </c>
      <c r="Y1798" s="37" t="s">
        <v>10040</v>
      </c>
      <c r="Z1798" s="37">
        <v>0.7</v>
      </c>
      <c r="AA1798" s="37"/>
      <c r="AB1798" s="37" t="s">
        <v>2521</v>
      </c>
      <c r="AC1798" s="40" t="s">
        <v>10041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10042</v>
      </c>
      <c r="E1799" s="37" t="s">
        <v>2504</v>
      </c>
      <c r="F1799" s="37" t="s">
        <v>3684</v>
      </c>
      <c r="G1799" s="37" t="s">
        <v>3685</v>
      </c>
      <c r="H1799" s="37" t="s">
        <v>2507</v>
      </c>
      <c r="I1799" s="37" t="s">
        <v>10043</v>
      </c>
      <c r="J1799" s="37" t="s">
        <v>2536</v>
      </c>
      <c r="K1799" s="37" t="s">
        <v>2510</v>
      </c>
      <c r="L1799" s="37" t="s">
        <v>2511</v>
      </c>
      <c r="M1799" s="38" t="s">
        <v>2512</v>
      </c>
      <c r="N1799" s="37">
        <v>2308</v>
      </c>
      <c r="O1799" s="38" t="s">
        <v>2963</v>
      </c>
      <c r="P1799" s="39" t="s">
        <v>10037</v>
      </c>
      <c r="Q1799" s="37" t="s">
        <v>3686</v>
      </c>
      <c r="R1799" s="37" t="s">
        <v>2516</v>
      </c>
      <c r="S1799" s="37" t="s">
        <v>549</v>
      </c>
      <c r="T1799" s="37">
        <v>1</v>
      </c>
      <c r="U1799" s="37" t="s">
        <v>2517</v>
      </c>
      <c r="V1799" s="37" t="s">
        <v>10044</v>
      </c>
      <c r="W1799" s="37" t="s">
        <v>10045</v>
      </c>
      <c r="X1799" s="60">
        <v>46044.51666666667</v>
      </c>
      <c r="Y1799" s="37" t="s">
        <v>10046</v>
      </c>
      <c r="Z1799" s="37">
        <v>0.7</v>
      </c>
      <c r="AA1799" s="37"/>
      <c r="AB1799" s="37" t="s">
        <v>2521</v>
      </c>
      <c r="AC1799" s="40" t="s">
        <v>10047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10048</v>
      </c>
      <c r="E1800" s="37" t="s">
        <v>2504</v>
      </c>
      <c r="F1800" s="37">
        <v>4352</v>
      </c>
      <c r="G1800" s="37" t="s">
        <v>3647</v>
      </c>
      <c r="H1800" s="37" t="s">
        <v>2507</v>
      </c>
      <c r="I1800" s="37" t="s">
        <v>10049</v>
      </c>
      <c r="J1800" s="37" t="s">
        <v>2835</v>
      </c>
      <c r="K1800" s="37" t="s">
        <v>2568</v>
      </c>
      <c r="L1800" s="37" t="s">
        <v>2511</v>
      </c>
      <c r="M1800" s="38" t="s">
        <v>2512</v>
      </c>
      <c r="N1800" s="37">
        <v>2308</v>
      </c>
      <c r="O1800" s="38" t="s">
        <v>2963</v>
      </c>
      <c r="P1800" s="39" t="s">
        <v>10050</v>
      </c>
      <c r="Q1800" s="37" t="s">
        <v>3650</v>
      </c>
      <c r="R1800" s="37" t="s">
        <v>2516</v>
      </c>
      <c r="S1800" s="37" t="s">
        <v>549</v>
      </c>
      <c r="T1800" s="37">
        <v>1</v>
      </c>
      <c r="U1800" s="37" t="s">
        <v>2517</v>
      </c>
      <c r="V1800" s="37" t="s">
        <v>10051</v>
      </c>
      <c r="W1800" s="37" t="s">
        <v>10052</v>
      </c>
      <c r="X1800" s="60">
        <v>46044.61041666667</v>
      </c>
      <c r="Y1800" s="37" t="s">
        <v>10053</v>
      </c>
      <c r="Z1800" s="37">
        <v>0.7</v>
      </c>
      <c r="AA1800" s="37"/>
      <c r="AB1800" s="37" t="s">
        <v>2521</v>
      </c>
      <c r="AC1800" s="40" t="s">
        <v>10054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10055</v>
      </c>
      <c r="E1801" s="37" t="s">
        <v>2504</v>
      </c>
      <c r="F1801" s="37">
        <v>4241</v>
      </c>
      <c r="G1801" s="37" t="s">
        <v>3033</v>
      </c>
      <c r="H1801" s="37" t="s">
        <v>2507</v>
      </c>
      <c r="I1801" s="37" t="s">
        <v>10056</v>
      </c>
      <c r="J1801" s="37" t="s">
        <v>2835</v>
      </c>
      <c r="K1801" s="37" t="s">
        <v>2765</v>
      </c>
      <c r="L1801" s="37" t="s">
        <v>2537</v>
      </c>
      <c r="M1801" s="38" t="s">
        <v>2538</v>
      </c>
      <c r="N1801" s="37" t="s">
        <v>2539</v>
      </c>
      <c r="O1801" s="38" t="s">
        <v>2540</v>
      </c>
      <c r="P1801" s="39" t="s">
        <v>10057</v>
      </c>
      <c r="Q1801" s="37" t="s">
        <v>3037</v>
      </c>
      <c r="R1801" s="37" t="s">
        <v>2516</v>
      </c>
      <c r="S1801" s="37" t="s">
        <v>549</v>
      </c>
      <c r="T1801" s="37">
        <v>1</v>
      </c>
      <c r="U1801" s="37" t="s">
        <v>2517</v>
      </c>
      <c r="V1801" s="37" t="s">
        <v>10058</v>
      </c>
      <c r="W1801" s="37" t="s">
        <v>10059</v>
      </c>
      <c r="X1801" s="60">
        <v>46044.5625</v>
      </c>
      <c r="Y1801" s="37" t="s">
        <v>10060</v>
      </c>
      <c r="Z1801" s="37">
        <v>0.3</v>
      </c>
      <c r="AA1801" s="37"/>
      <c r="AB1801" s="37" t="s">
        <v>2521</v>
      </c>
      <c r="AC1801" s="40" t="s">
        <v>10061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10062</v>
      </c>
      <c r="E1802" s="37" t="s">
        <v>2504</v>
      </c>
      <c r="F1802" s="37">
        <v>4241</v>
      </c>
      <c r="G1802" s="37" t="s">
        <v>3033</v>
      </c>
      <c r="H1802" s="37" t="s">
        <v>2507</v>
      </c>
      <c r="I1802" s="37" t="s">
        <v>10063</v>
      </c>
      <c r="J1802" s="37" t="s">
        <v>2835</v>
      </c>
      <c r="K1802" s="37" t="s">
        <v>2568</v>
      </c>
      <c r="L1802" s="37" t="s">
        <v>2537</v>
      </c>
      <c r="M1802" s="38" t="s">
        <v>2538</v>
      </c>
      <c r="N1802" s="37" t="s">
        <v>2539</v>
      </c>
      <c r="O1802" s="38" t="s">
        <v>2540</v>
      </c>
      <c r="P1802" s="39" t="s">
        <v>10064</v>
      </c>
      <c r="Q1802" s="37" t="s">
        <v>3037</v>
      </c>
      <c r="R1802" s="37" t="s">
        <v>2516</v>
      </c>
      <c r="S1802" s="37" t="s">
        <v>549</v>
      </c>
      <c r="T1802" s="37">
        <v>1</v>
      </c>
      <c r="U1802" s="37" t="s">
        <v>2517</v>
      </c>
      <c r="V1802" s="37" t="s">
        <v>10065</v>
      </c>
      <c r="W1802" s="37" t="s">
        <v>10066</v>
      </c>
      <c r="X1802" s="60">
        <v>46044.569444444453</v>
      </c>
      <c r="Y1802" s="37" t="s">
        <v>10060</v>
      </c>
      <c r="Z1802" s="37">
        <v>0.3</v>
      </c>
      <c r="AA1802" s="37"/>
      <c r="AB1802" s="37" t="s">
        <v>2521</v>
      </c>
      <c r="AC1802" s="40" t="s">
        <v>10067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10068</v>
      </c>
      <c r="E1803" s="37" t="s">
        <v>2504</v>
      </c>
      <c r="F1803" s="37">
        <v>5245</v>
      </c>
      <c r="G1803" s="37" t="s">
        <v>2565</v>
      </c>
      <c r="H1803" s="37" t="s">
        <v>2507</v>
      </c>
      <c r="I1803" s="37" t="s">
        <v>10069</v>
      </c>
      <c r="J1803" s="37" t="s">
        <v>2835</v>
      </c>
      <c r="K1803" s="37" t="s">
        <v>2568</v>
      </c>
      <c r="L1803" s="37" t="s">
        <v>2569</v>
      </c>
      <c r="M1803" s="38" t="s">
        <v>2570</v>
      </c>
      <c r="N1803" s="37">
        <v>2501</v>
      </c>
      <c r="O1803" s="38" t="s">
        <v>2571</v>
      </c>
      <c r="P1803" s="39" t="s">
        <v>10070</v>
      </c>
      <c r="Q1803" s="37" t="s">
        <v>2573</v>
      </c>
      <c r="R1803" s="37" t="s">
        <v>2516</v>
      </c>
      <c r="S1803" s="37" t="s">
        <v>549</v>
      </c>
      <c r="T1803" s="37">
        <v>1</v>
      </c>
      <c r="U1803" s="37" t="s">
        <v>2517</v>
      </c>
      <c r="V1803" s="37" t="s">
        <v>10071</v>
      </c>
      <c r="W1803" s="37" t="s">
        <v>10072</v>
      </c>
      <c r="X1803" s="60">
        <v>46044.663194444453</v>
      </c>
      <c r="Y1803" s="37" t="s">
        <v>10073</v>
      </c>
      <c r="Z1803" s="37">
        <v>0.3</v>
      </c>
      <c r="AA1803" s="37"/>
      <c r="AB1803" s="37" t="s">
        <v>2521</v>
      </c>
      <c r="AC1803" s="40" t="s">
        <v>10074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10075</v>
      </c>
      <c r="E1804" s="37" t="s">
        <v>2504</v>
      </c>
      <c r="F1804" s="37">
        <v>2390</v>
      </c>
      <c r="G1804" s="37" t="s">
        <v>3000</v>
      </c>
      <c r="H1804" s="37" t="s">
        <v>2996</v>
      </c>
      <c r="I1804" s="37" t="s">
        <v>10076</v>
      </c>
      <c r="J1804" s="37" t="s">
        <v>2835</v>
      </c>
      <c r="K1804" s="37" t="s">
        <v>2568</v>
      </c>
      <c r="L1804" s="37" t="s">
        <v>2569</v>
      </c>
      <c r="M1804" s="38" t="s">
        <v>2570</v>
      </c>
      <c r="N1804" s="37">
        <v>2501</v>
      </c>
      <c r="O1804" s="38" t="s">
        <v>2571</v>
      </c>
      <c r="P1804" s="39" t="s">
        <v>10077</v>
      </c>
      <c r="Q1804" s="37" t="s">
        <v>3001</v>
      </c>
      <c r="R1804" s="37" t="s">
        <v>2516</v>
      </c>
      <c r="S1804" s="37" t="s">
        <v>185</v>
      </c>
      <c r="T1804" s="37">
        <v>1</v>
      </c>
      <c r="U1804" s="37" t="s">
        <v>2517</v>
      </c>
      <c r="V1804" s="37" t="s">
        <v>10078</v>
      </c>
      <c r="W1804" s="37" t="s">
        <v>10079</v>
      </c>
      <c r="X1804" s="60">
        <v>46044.479166666657</v>
      </c>
      <c r="Y1804" s="37" t="s">
        <v>10080</v>
      </c>
      <c r="Z1804" s="37">
        <v>0.5</v>
      </c>
      <c r="AA1804" s="37"/>
      <c r="AB1804" s="37" t="s">
        <v>2521</v>
      </c>
      <c r="AC1804" s="40" t="s">
        <v>10081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2778</v>
      </c>
      <c r="G1805" s="37" t="s">
        <v>2779</v>
      </c>
      <c r="H1805" s="37" t="s">
        <v>2507</v>
      </c>
      <c r="I1805" s="37"/>
      <c r="J1805" s="37"/>
      <c r="K1805" s="37"/>
      <c r="L1805" s="37"/>
      <c r="M1805" s="38"/>
      <c r="N1805" s="37"/>
      <c r="O1805" s="38"/>
      <c r="P1805" s="39"/>
      <c r="Q1805" s="37" t="s">
        <v>2780</v>
      </c>
      <c r="R1805" s="37" t="s">
        <v>2516</v>
      </c>
      <c r="S1805" s="37" t="s">
        <v>549</v>
      </c>
      <c r="T1805" s="37">
        <v>1</v>
      </c>
      <c r="U1805" s="37" t="s">
        <v>2517</v>
      </c>
      <c r="V1805" s="37" t="s">
        <v>10082</v>
      </c>
      <c r="W1805" s="37" t="s">
        <v>10083</v>
      </c>
      <c r="X1805" s="60">
        <v>46044.416666666657</v>
      </c>
      <c r="Y1805" s="37"/>
      <c r="Z1805" s="37">
        <v>0.3</v>
      </c>
      <c r="AA1805" s="37"/>
      <c r="AB1805" s="37" t="s">
        <v>2521</v>
      </c>
      <c r="AC1805" s="40" t="s">
        <v>10084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3000</v>
      </c>
      <c r="H1806" s="37" t="s">
        <v>2996</v>
      </c>
      <c r="I1806" s="37"/>
      <c r="J1806" s="37"/>
      <c r="K1806" s="37"/>
      <c r="L1806" s="37"/>
      <c r="M1806" s="38"/>
      <c r="N1806" s="37"/>
      <c r="O1806" s="38"/>
      <c r="P1806" s="39"/>
      <c r="Q1806" s="37" t="s">
        <v>3001</v>
      </c>
      <c r="R1806" s="37" t="s">
        <v>2516</v>
      </c>
      <c r="S1806" s="37" t="s">
        <v>185</v>
      </c>
      <c r="T1806" s="37">
        <v>1</v>
      </c>
      <c r="U1806" s="37" t="s">
        <v>2517</v>
      </c>
      <c r="V1806" s="37" t="s">
        <v>10085</v>
      </c>
      <c r="W1806" s="37" t="s">
        <v>10086</v>
      </c>
      <c r="X1806" s="60">
        <v>46044.5</v>
      </c>
      <c r="Y1806" s="37"/>
      <c r="Z1806" s="37">
        <v>0.5</v>
      </c>
      <c r="AA1806" s="37"/>
      <c r="AB1806" s="37" t="s">
        <v>2521</v>
      </c>
      <c r="AC1806" s="40" t="s">
        <v>10087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10088</v>
      </c>
      <c r="H1807" s="37" t="s">
        <v>9409</v>
      </c>
      <c r="I1807" s="37"/>
      <c r="J1807" s="37"/>
      <c r="K1807" s="37"/>
      <c r="L1807" s="37"/>
      <c r="M1807" s="38"/>
      <c r="N1807" s="37"/>
      <c r="O1807" s="38"/>
      <c r="P1807" s="39"/>
      <c r="Q1807" s="37" t="s">
        <v>10089</v>
      </c>
      <c r="R1807" s="37" t="s">
        <v>2516</v>
      </c>
      <c r="S1807" s="37" t="s">
        <v>25</v>
      </c>
      <c r="T1807" s="37">
        <v>1</v>
      </c>
      <c r="U1807" s="37" t="s">
        <v>2517</v>
      </c>
      <c r="V1807" s="37" t="s">
        <v>10090</v>
      </c>
      <c r="W1807" s="37" t="s">
        <v>10091</v>
      </c>
      <c r="X1807" s="60">
        <v>46044.529166666667</v>
      </c>
      <c r="Y1807" s="37"/>
      <c r="Z1807" s="37">
        <v>0.7</v>
      </c>
      <c r="AA1807" s="37"/>
      <c r="AB1807" s="37" t="s">
        <v>2521</v>
      </c>
      <c r="AC1807" s="40" t="s">
        <v>10092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10093</v>
      </c>
      <c r="H1808" s="37" t="s">
        <v>9409</v>
      </c>
      <c r="I1808" s="37"/>
      <c r="J1808" s="37"/>
      <c r="K1808" s="37"/>
      <c r="L1808" s="37"/>
      <c r="M1808" s="38"/>
      <c r="N1808" s="37"/>
      <c r="O1808" s="38"/>
      <c r="P1808" s="39"/>
      <c r="Q1808" s="37" t="s">
        <v>10094</v>
      </c>
      <c r="R1808" s="37" t="s">
        <v>2516</v>
      </c>
      <c r="S1808" s="37" t="s">
        <v>25</v>
      </c>
      <c r="T1808" s="37">
        <v>1</v>
      </c>
      <c r="U1808" s="37" t="s">
        <v>2517</v>
      </c>
      <c r="V1808" s="37" t="s">
        <v>10095</v>
      </c>
      <c r="W1808" s="37" t="s">
        <v>10096</v>
      </c>
      <c r="X1808" s="60">
        <v>46044.576388888891</v>
      </c>
      <c r="Y1808" s="37"/>
      <c r="Z1808" s="37">
        <v>0.3</v>
      </c>
      <c r="AA1808" s="37"/>
      <c r="AB1808" s="37" t="s">
        <v>2521</v>
      </c>
      <c r="AC1808" s="40" t="s">
        <v>10097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3033</v>
      </c>
      <c r="H1809" s="37" t="s">
        <v>2507</v>
      </c>
      <c r="I1809" s="37"/>
      <c r="J1809" s="37"/>
      <c r="K1809" s="37"/>
      <c r="L1809" s="37"/>
      <c r="M1809" s="38"/>
      <c r="N1809" s="37"/>
      <c r="O1809" s="38"/>
      <c r="P1809" s="39"/>
      <c r="Q1809" s="37" t="s">
        <v>3037</v>
      </c>
      <c r="R1809" s="37" t="s">
        <v>2516</v>
      </c>
      <c r="S1809" s="37" t="s">
        <v>549</v>
      </c>
      <c r="T1809" s="37">
        <v>1</v>
      </c>
      <c r="U1809" s="37" t="s">
        <v>2517</v>
      </c>
      <c r="V1809" s="37" t="s">
        <v>10098</v>
      </c>
      <c r="W1809" s="37" t="s">
        <v>10099</v>
      </c>
      <c r="X1809" s="60">
        <v>46044.548611111109</v>
      </c>
      <c r="Y1809" s="37"/>
      <c r="Z1809" s="37">
        <v>0.3</v>
      </c>
      <c r="AA1809" s="37"/>
      <c r="AB1809" s="37" t="s">
        <v>2521</v>
      </c>
      <c r="AC1809" s="40" t="s">
        <v>10100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10101</v>
      </c>
      <c r="H1810" s="37" t="s">
        <v>9409</v>
      </c>
      <c r="I1810" s="37"/>
      <c r="J1810" s="37"/>
      <c r="K1810" s="37"/>
      <c r="L1810" s="37"/>
      <c r="M1810" s="38"/>
      <c r="N1810" s="37"/>
      <c r="O1810" s="38"/>
      <c r="P1810" s="39"/>
      <c r="Q1810" s="37" t="s">
        <v>10102</v>
      </c>
      <c r="R1810" s="37" t="s">
        <v>2516</v>
      </c>
      <c r="S1810" s="37" t="s">
        <v>25</v>
      </c>
      <c r="T1810" s="37">
        <v>1</v>
      </c>
      <c r="U1810" s="37" t="s">
        <v>2517</v>
      </c>
      <c r="V1810" s="37" t="s">
        <v>10103</v>
      </c>
      <c r="W1810" s="37" t="s">
        <v>10104</v>
      </c>
      <c r="X1810" s="60">
        <v>46044.604166666657</v>
      </c>
      <c r="Y1810" s="37"/>
      <c r="Z1810" s="37">
        <v>0.3</v>
      </c>
      <c r="AA1810" s="37"/>
      <c r="AB1810" s="37" t="s">
        <v>2521</v>
      </c>
      <c r="AC1810" s="40" t="s">
        <v>10105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3647</v>
      </c>
      <c r="H1811" s="37" t="s">
        <v>2507</v>
      </c>
      <c r="I1811" s="37"/>
      <c r="J1811" s="37"/>
      <c r="K1811" s="37"/>
      <c r="L1811" s="37"/>
      <c r="M1811" s="38"/>
      <c r="N1811" s="37"/>
      <c r="O1811" s="38"/>
      <c r="P1811" s="39"/>
      <c r="Q1811" s="37" t="s">
        <v>3650</v>
      </c>
      <c r="R1811" s="37" t="s">
        <v>2516</v>
      </c>
      <c r="S1811" s="37" t="s">
        <v>549</v>
      </c>
      <c r="T1811" s="37">
        <v>1</v>
      </c>
      <c r="U1811" s="37" t="s">
        <v>2517</v>
      </c>
      <c r="V1811" s="37" t="s">
        <v>10106</v>
      </c>
      <c r="W1811" s="37" t="s">
        <v>10107</v>
      </c>
      <c r="X1811" s="60">
        <v>46044.625694444447</v>
      </c>
      <c r="Y1811" s="37"/>
      <c r="Z1811" s="37">
        <v>0.4</v>
      </c>
      <c r="AA1811" s="37"/>
      <c r="AB1811" s="37" t="s">
        <v>2521</v>
      </c>
      <c r="AC1811" s="40" t="s">
        <v>10108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10109</v>
      </c>
      <c r="H1812" s="37" t="s">
        <v>9409</v>
      </c>
      <c r="I1812" s="37"/>
      <c r="J1812" s="37"/>
      <c r="K1812" s="37"/>
      <c r="L1812" s="37"/>
      <c r="M1812" s="38"/>
      <c r="N1812" s="37"/>
      <c r="O1812" s="38"/>
      <c r="P1812" s="39"/>
      <c r="Q1812" s="37" t="s">
        <v>10110</v>
      </c>
      <c r="R1812" s="37" t="s">
        <v>2516</v>
      </c>
      <c r="S1812" s="37" t="s">
        <v>25</v>
      </c>
      <c r="T1812" s="37">
        <v>1</v>
      </c>
      <c r="U1812" s="37" t="s">
        <v>2517</v>
      </c>
      <c r="V1812" s="37" t="s">
        <v>10111</v>
      </c>
      <c r="W1812" s="37" t="s">
        <v>10112</v>
      </c>
      <c r="X1812" s="60">
        <v>46044.660416666673</v>
      </c>
      <c r="Y1812" s="37"/>
      <c r="Z1812" s="37">
        <v>0.4</v>
      </c>
      <c r="AA1812" s="37"/>
      <c r="AB1812" s="37" t="s">
        <v>2521</v>
      </c>
      <c r="AC1812" s="40" t="s">
        <v>10113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10114</v>
      </c>
      <c r="H1813" s="37" t="s">
        <v>9409</v>
      </c>
      <c r="I1813" s="37"/>
      <c r="J1813" s="37"/>
      <c r="K1813" s="37"/>
      <c r="L1813" s="37"/>
      <c r="M1813" s="38"/>
      <c r="N1813" s="37"/>
      <c r="O1813" s="38"/>
      <c r="P1813" s="39"/>
      <c r="Q1813" s="37" t="s">
        <v>10115</v>
      </c>
      <c r="R1813" s="37" t="s">
        <v>2516</v>
      </c>
      <c r="S1813" s="37" t="s">
        <v>25</v>
      </c>
      <c r="T1813" s="37">
        <v>1</v>
      </c>
      <c r="U1813" s="37" t="s">
        <v>2517</v>
      </c>
      <c r="V1813" s="37" t="s">
        <v>10116</v>
      </c>
      <c r="W1813" s="37" t="s">
        <v>10107</v>
      </c>
      <c r="X1813" s="60">
        <v>46044.625</v>
      </c>
      <c r="Y1813" s="37"/>
      <c r="Z1813" s="37">
        <v>0.3</v>
      </c>
      <c r="AA1813" s="37"/>
      <c r="AB1813" s="37" t="s">
        <v>2521</v>
      </c>
      <c r="AC1813" s="40" t="s">
        <v>9280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2565</v>
      </c>
      <c r="H1814" s="37" t="s">
        <v>2507</v>
      </c>
      <c r="I1814" s="37"/>
      <c r="J1814" s="37"/>
      <c r="K1814" s="37"/>
      <c r="L1814" s="37"/>
      <c r="M1814" s="38"/>
      <c r="N1814" s="37"/>
      <c r="O1814" s="38"/>
      <c r="P1814" s="39"/>
      <c r="Q1814" s="37" t="s">
        <v>2573</v>
      </c>
      <c r="R1814" s="37" t="s">
        <v>2516</v>
      </c>
      <c r="S1814" s="37" t="s">
        <v>549</v>
      </c>
      <c r="T1814" s="37">
        <v>1</v>
      </c>
      <c r="U1814" s="37" t="s">
        <v>2517</v>
      </c>
      <c r="V1814" s="37" t="s">
        <v>10117</v>
      </c>
      <c r="W1814" s="37" t="s">
        <v>10118</v>
      </c>
      <c r="X1814" s="60">
        <v>46044.651388888888</v>
      </c>
      <c r="Y1814" s="37"/>
      <c r="Z1814" s="37">
        <v>0.3</v>
      </c>
      <c r="AA1814" s="37"/>
      <c r="AB1814" s="37" t="s">
        <v>2521</v>
      </c>
      <c r="AC1814" s="40" t="s">
        <v>10119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10120</v>
      </c>
      <c r="H1815" s="37" t="s">
        <v>9409</v>
      </c>
      <c r="I1815" s="37"/>
      <c r="J1815" s="37"/>
      <c r="K1815" s="37"/>
      <c r="L1815" s="37"/>
      <c r="M1815" s="38"/>
      <c r="N1815" s="37"/>
      <c r="O1815" s="38"/>
      <c r="P1815" s="39"/>
      <c r="Q1815" s="37" t="s">
        <v>10121</v>
      </c>
      <c r="R1815" s="37" t="s">
        <v>2516</v>
      </c>
      <c r="S1815" s="37" t="s">
        <v>25</v>
      </c>
      <c r="T1815" s="37">
        <v>1</v>
      </c>
      <c r="U1815" s="37" t="s">
        <v>2517</v>
      </c>
      <c r="V1815" s="37" t="s">
        <v>10122</v>
      </c>
      <c r="W1815" s="37" t="s">
        <v>10123</v>
      </c>
      <c r="X1815" s="60">
        <v>46044.680555555547</v>
      </c>
      <c r="Y1815" s="37"/>
      <c r="Z1815" s="37">
        <v>0.3</v>
      </c>
      <c r="AA1815" s="37"/>
      <c r="AB1815" s="37" t="s">
        <v>2521</v>
      </c>
      <c r="AC1815" s="40" t="s">
        <v>10124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3827</v>
      </c>
      <c r="H1816" s="37" t="s">
        <v>2507</v>
      </c>
      <c r="I1816" s="37"/>
      <c r="J1816" s="37"/>
      <c r="K1816" s="37"/>
      <c r="L1816" s="37"/>
      <c r="M1816" s="38"/>
      <c r="N1816" s="37"/>
      <c r="O1816" s="38"/>
      <c r="P1816" s="39"/>
      <c r="Q1816" s="37" t="s">
        <v>3828</v>
      </c>
      <c r="R1816" s="37" t="s">
        <v>2516</v>
      </c>
      <c r="S1816" s="37" t="s">
        <v>549</v>
      </c>
      <c r="T1816" s="37">
        <v>1</v>
      </c>
      <c r="U1816" s="37" t="s">
        <v>2517</v>
      </c>
      <c r="V1816" s="37" t="s">
        <v>10125</v>
      </c>
      <c r="W1816" s="37" t="s">
        <v>10123</v>
      </c>
      <c r="X1816" s="60">
        <v>46044.677083333343</v>
      </c>
      <c r="Y1816" s="37"/>
      <c r="Z1816" s="37">
        <v>0.3</v>
      </c>
      <c r="AA1816" s="37"/>
      <c r="AB1816" s="37" t="s">
        <v>2521</v>
      </c>
      <c r="AC1816" s="40" t="s">
        <v>10126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4379</v>
      </c>
      <c r="H1817" s="37" t="s">
        <v>2659</v>
      </c>
      <c r="I1817" s="37"/>
      <c r="J1817" s="37"/>
      <c r="K1817" s="37"/>
      <c r="L1817" s="37"/>
      <c r="M1817" s="38"/>
      <c r="N1817" s="37"/>
      <c r="O1817" s="38"/>
      <c r="P1817" s="39"/>
      <c r="Q1817" s="37" t="s">
        <v>4380</v>
      </c>
      <c r="R1817" s="37" t="s">
        <v>2516</v>
      </c>
      <c r="S1817" s="37" t="s">
        <v>185</v>
      </c>
      <c r="T1817" s="37">
        <v>1</v>
      </c>
      <c r="U1817" s="37" t="s">
        <v>2517</v>
      </c>
      <c r="V1817" s="37" t="s">
        <v>10127</v>
      </c>
      <c r="W1817" s="37" t="s">
        <v>10128</v>
      </c>
      <c r="X1817" s="60">
        <v>46045.479166666657</v>
      </c>
      <c r="Y1817" s="37"/>
      <c r="Z1817" s="37">
        <v>0.5</v>
      </c>
      <c r="AA1817" s="37"/>
      <c r="AB1817" s="37" t="s">
        <v>2521</v>
      </c>
      <c r="AC1817" s="40" t="s">
        <v>9858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10129</v>
      </c>
      <c r="E1818" s="37" t="s">
        <v>2504</v>
      </c>
      <c r="F1818" s="37">
        <v>2062</v>
      </c>
      <c r="G1818" s="37" t="s">
        <v>10130</v>
      </c>
      <c r="H1818" s="37" t="s">
        <v>9301</v>
      </c>
      <c r="I1818" s="37" t="s">
        <v>10131</v>
      </c>
      <c r="J1818" s="37" t="s">
        <v>2835</v>
      </c>
      <c r="K1818" s="37" t="s">
        <v>2510</v>
      </c>
      <c r="L1818" s="37" t="s">
        <v>2611</v>
      </c>
      <c r="M1818" s="38" t="s">
        <v>2612</v>
      </c>
      <c r="N1818" s="37" t="s">
        <v>2613</v>
      </c>
      <c r="O1818" s="38" t="s">
        <v>2614</v>
      </c>
      <c r="P1818" s="39" t="s">
        <v>10132</v>
      </c>
      <c r="Q1818" s="37" t="s">
        <v>10133</v>
      </c>
      <c r="R1818" s="37" t="s">
        <v>2516</v>
      </c>
      <c r="S1818" s="37" t="s">
        <v>549</v>
      </c>
      <c r="T1818" s="37">
        <v>1</v>
      </c>
      <c r="U1818" s="37" t="s">
        <v>2517</v>
      </c>
      <c r="V1818" s="37" t="s">
        <v>10134</v>
      </c>
      <c r="W1818" s="37" t="s">
        <v>10135</v>
      </c>
      <c r="X1818" s="60">
        <v>46045.673611111109</v>
      </c>
      <c r="Y1818" s="37" t="s">
        <v>10136</v>
      </c>
      <c r="Z1818" s="37">
        <v>0.3</v>
      </c>
      <c r="AA1818" s="37"/>
      <c r="AB1818" s="37" t="s">
        <v>2521</v>
      </c>
      <c r="AC1818" s="40" t="s">
        <v>10137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10138</v>
      </c>
      <c r="E1819" s="37" t="s">
        <v>2504</v>
      </c>
      <c r="F1819" s="37">
        <v>4125</v>
      </c>
      <c r="G1819" s="37" t="s">
        <v>3713</v>
      </c>
      <c r="H1819" s="37" t="s">
        <v>2641</v>
      </c>
      <c r="I1819" s="37" t="s">
        <v>10139</v>
      </c>
      <c r="J1819" s="37" t="s">
        <v>2567</v>
      </c>
      <c r="K1819" s="37" t="s">
        <v>2510</v>
      </c>
      <c r="L1819" s="37" t="s">
        <v>2511</v>
      </c>
      <c r="M1819" s="38" t="s">
        <v>2512</v>
      </c>
      <c r="N1819" s="37">
        <v>2308</v>
      </c>
      <c r="O1819" s="38" t="s">
        <v>2963</v>
      </c>
      <c r="P1819" s="39" t="s">
        <v>10140</v>
      </c>
      <c r="Q1819" s="37" t="s">
        <v>3714</v>
      </c>
      <c r="R1819" s="37" t="s">
        <v>2516</v>
      </c>
      <c r="S1819" s="37" t="s">
        <v>185</v>
      </c>
      <c r="T1819" s="37">
        <v>1</v>
      </c>
      <c r="U1819" s="37" t="s">
        <v>2517</v>
      </c>
      <c r="V1819" s="37" t="s">
        <v>10141</v>
      </c>
      <c r="W1819" s="37" t="s">
        <v>10142</v>
      </c>
      <c r="X1819" s="60">
        <v>46045.6875</v>
      </c>
      <c r="Y1819" s="37" t="s">
        <v>10143</v>
      </c>
      <c r="Z1819" s="37">
        <v>0.5</v>
      </c>
      <c r="AA1819" s="37"/>
      <c r="AB1819" s="37" t="s">
        <v>2521</v>
      </c>
      <c r="AC1819" s="40" t="s">
        <v>10144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10145</v>
      </c>
      <c r="E1820" s="37" t="s">
        <v>2504</v>
      </c>
      <c r="F1820" s="37">
        <v>4701</v>
      </c>
      <c r="G1820" s="37" t="s">
        <v>3748</v>
      </c>
      <c r="H1820" s="37" t="s">
        <v>2659</v>
      </c>
      <c r="I1820" s="37" t="s">
        <v>10146</v>
      </c>
      <c r="J1820" s="37" t="s">
        <v>2567</v>
      </c>
      <c r="K1820" s="37" t="s">
        <v>2510</v>
      </c>
      <c r="L1820" s="37" t="s">
        <v>3483</v>
      </c>
      <c r="M1820" s="38" t="s">
        <v>3484</v>
      </c>
      <c r="N1820" s="37">
        <v>6001</v>
      </c>
      <c r="O1820" s="38" t="s">
        <v>2598</v>
      </c>
      <c r="P1820" s="39" t="s">
        <v>10147</v>
      </c>
      <c r="Q1820" s="37" t="s">
        <v>3751</v>
      </c>
      <c r="R1820" s="37" t="s">
        <v>2516</v>
      </c>
      <c r="S1820" s="37" t="s">
        <v>185</v>
      </c>
      <c r="T1820" s="37">
        <v>1</v>
      </c>
      <c r="U1820" s="37" t="s">
        <v>2517</v>
      </c>
      <c r="V1820" s="37" t="s">
        <v>10148</v>
      </c>
      <c r="W1820" s="37" t="s">
        <v>10149</v>
      </c>
      <c r="X1820" s="60">
        <v>46045.722222222219</v>
      </c>
      <c r="Y1820" s="37" t="s">
        <v>10150</v>
      </c>
      <c r="Z1820" s="37">
        <v>0.3</v>
      </c>
      <c r="AA1820" s="37"/>
      <c r="AB1820" s="37" t="s">
        <v>2521</v>
      </c>
      <c r="AC1820" s="40" t="s">
        <v>10151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10130</v>
      </c>
      <c r="H1821" s="37" t="s">
        <v>9301</v>
      </c>
      <c r="I1821" s="37"/>
      <c r="J1821" s="37"/>
      <c r="K1821" s="37"/>
      <c r="L1821" s="37"/>
      <c r="M1821" s="38"/>
      <c r="N1821" s="37"/>
      <c r="O1821" s="38"/>
      <c r="P1821" s="39"/>
      <c r="Q1821" s="37" t="s">
        <v>10133</v>
      </c>
      <c r="R1821" s="37" t="s">
        <v>2516</v>
      </c>
      <c r="S1821" s="37" t="s">
        <v>549</v>
      </c>
      <c r="T1821" s="37">
        <v>1</v>
      </c>
      <c r="U1821" s="37" t="s">
        <v>2517</v>
      </c>
      <c r="V1821" s="37" t="s">
        <v>10152</v>
      </c>
      <c r="W1821" s="37" t="s">
        <v>10153</v>
      </c>
      <c r="X1821" s="60">
        <v>46045.684027777781</v>
      </c>
      <c r="Y1821" s="37"/>
      <c r="Z1821" s="37">
        <v>0.3</v>
      </c>
      <c r="AA1821" s="37"/>
      <c r="AB1821" s="37" t="s">
        <v>2521</v>
      </c>
      <c r="AC1821" s="40" t="s">
        <v>10154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10130</v>
      </c>
      <c r="H1822" s="37" t="s">
        <v>9301</v>
      </c>
      <c r="I1822" s="37"/>
      <c r="J1822" s="37"/>
      <c r="K1822" s="37"/>
      <c r="L1822" s="37"/>
      <c r="M1822" s="38"/>
      <c r="N1822" s="37"/>
      <c r="O1822" s="38"/>
      <c r="P1822" s="39"/>
      <c r="Q1822" s="37" t="s">
        <v>10133</v>
      </c>
      <c r="R1822" s="37" t="s">
        <v>2516</v>
      </c>
      <c r="S1822" s="37" t="s">
        <v>549</v>
      </c>
      <c r="T1822" s="37">
        <v>1</v>
      </c>
      <c r="U1822" s="37" t="s">
        <v>2517</v>
      </c>
      <c r="V1822" s="37" t="s">
        <v>10155</v>
      </c>
      <c r="W1822" s="37" t="s">
        <v>10153</v>
      </c>
      <c r="X1822" s="60">
        <v>46045.684027777781</v>
      </c>
      <c r="Y1822" s="37"/>
      <c r="Z1822" s="37">
        <v>0.3</v>
      </c>
      <c r="AA1822" s="37"/>
      <c r="AB1822" s="37" t="s">
        <v>2521</v>
      </c>
      <c r="AC1822" s="40" t="s">
        <v>10154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3713</v>
      </c>
      <c r="H1823" s="37" t="s">
        <v>2641</v>
      </c>
      <c r="I1823" s="37"/>
      <c r="J1823" s="37"/>
      <c r="K1823" s="37"/>
      <c r="L1823" s="37"/>
      <c r="M1823" s="38"/>
      <c r="N1823" s="37"/>
      <c r="O1823" s="38"/>
      <c r="P1823" s="39"/>
      <c r="Q1823" s="37" t="s">
        <v>3714</v>
      </c>
      <c r="R1823" s="37" t="s">
        <v>2516</v>
      </c>
      <c r="S1823" s="37" t="s">
        <v>185</v>
      </c>
      <c r="T1823" s="37">
        <v>1</v>
      </c>
      <c r="U1823" s="37" t="s">
        <v>2517</v>
      </c>
      <c r="V1823" s="37" t="s">
        <v>10156</v>
      </c>
      <c r="W1823" s="37" t="s">
        <v>10157</v>
      </c>
      <c r="X1823" s="60">
        <v>46045.701388888891</v>
      </c>
      <c r="Y1823" s="37"/>
      <c r="Z1823" s="37">
        <v>0.3</v>
      </c>
      <c r="AA1823" s="37"/>
      <c r="AB1823" s="37" t="s">
        <v>2521</v>
      </c>
      <c r="AC1823" s="40" t="s">
        <v>10158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10159</v>
      </c>
      <c r="E1824" s="37" t="s">
        <v>2504</v>
      </c>
      <c r="F1824" s="37" t="s">
        <v>10160</v>
      </c>
      <c r="G1824" s="37" t="s">
        <v>10161</v>
      </c>
      <c r="H1824" s="37" t="s">
        <v>9301</v>
      </c>
      <c r="I1824" s="37" t="s">
        <v>10162</v>
      </c>
      <c r="J1824" s="37" t="s">
        <v>2567</v>
      </c>
      <c r="K1824" s="37" t="s">
        <v>2510</v>
      </c>
      <c r="L1824" s="37" t="s">
        <v>3150</v>
      </c>
      <c r="M1824" s="38" t="s">
        <v>3151</v>
      </c>
      <c r="N1824" s="37">
        <v>5902</v>
      </c>
      <c r="O1824" s="38" t="s">
        <v>3508</v>
      </c>
      <c r="P1824" s="39" t="s">
        <v>10163</v>
      </c>
      <c r="Q1824" s="37" t="s">
        <v>10164</v>
      </c>
      <c r="R1824" s="37" t="s">
        <v>2516</v>
      </c>
      <c r="S1824" s="37" t="s">
        <v>549</v>
      </c>
      <c r="T1824" s="37">
        <v>1</v>
      </c>
      <c r="U1824" s="37" t="s">
        <v>2517</v>
      </c>
      <c r="V1824" s="37" t="s">
        <v>10165</v>
      </c>
      <c r="W1824" s="37" t="s">
        <v>10166</v>
      </c>
      <c r="X1824" s="60">
        <v>46045.731249999997</v>
      </c>
      <c r="Y1824" s="37" t="s">
        <v>10167</v>
      </c>
      <c r="Z1824" s="37">
        <v>0.2</v>
      </c>
      <c r="AA1824" s="37"/>
      <c r="AB1824" s="37" t="s">
        <v>2521</v>
      </c>
      <c r="AC1824" s="40" t="s">
        <v>10168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3748</v>
      </c>
      <c r="H1825" s="37" t="s">
        <v>2659</v>
      </c>
      <c r="I1825" s="37"/>
      <c r="J1825" s="37"/>
      <c r="K1825" s="37"/>
      <c r="L1825" s="37"/>
      <c r="M1825" s="38"/>
      <c r="N1825" s="37"/>
      <c r="O1825" s="38"/>
      <c r="P1825" s="39"/>
      <c r="Q1825" s="37" t="s">
        <v>3751</v>
      </c>
      <c r="R1825" s="37" t="s">
        <v>2516</v>
      </c>
      <c r="S1825" s="37" t="s">
        <v>185</v>
      </c>
      <c r="T1825" s="37">
        <v>1</v>
      </c>
      <c r="U1825" s="37" t="s">
        <v>2517</v>
      </c>
      <c r="V1825" s="37" t="s">
        <v>10169</v>
      </c>
      <c r="W1825" s="37" t="s">
        <v>10166</v>
      </c>
      <c r="X1825" s="60">
        <v>46045.736111111109</v>
      </c>
      <c r="Y1825" s="37"/>
      <c r="Z1825" s="37">
        <v>0.3</v>
      </c>
      <c r="AA1825" s="37"/>
      <c r="AB1825" s="37" t="s">
        <v>2521</v>
      </c>
      <c r="AC1825" s="40" t="s">
        <v>10170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10160</v>
      </c>
      <c r="G1826" s="37" t="s">
        <v>10161</v>
      </c>
      <c r="H1826" s="37" t="s">
        <v>9301</v>
      </c>
      <c r="I1826" s="37"/>
      <c r="J1826" s="37"/>
      <c r="K1826" s="37"/>
      <c r="L1826" s="37"/>
      <c r="M1826" s="38"/>
      <c r="N1826" s="37"/>
      <c r="O1826" s="38"/>
      <c r="P1826" s="39"/>
      <c r="Q1826" s="37" t="s">
        <v>10164</v>
      </c>
      <c r="R1826" s="37" t="s">
        <v>2516</v>
      </c>
      <c r="S1826" s="37" t="s">
        <v>549</v>
      </c>
      <c r="T1826" s="37">
        <v>1</v>
      </c>
      <c r="U1826" s="37" t="s">
        <v>2517</v>
      </c>
      <c r="V1826" s="37" t="s">
        <v>10171</v>
      </c>
      <c r="W1826" s="37" t="s">
        <v>10149</v>
      </c>
      <c r="X1826" s="60">
        <v>46045.722222222219</v>
      </c>
      <c r="Y1826" s="37"/>
      <c r="Z1826" s="37">
        <v>0.3</v>
      </c>
      <c r="AA1826" s="37"/>
      <c r="AB1826" s="37" t="s">
        <v>2521</v>
      </c>
      <c r="AC1826" s="40" t="s">
        <v>10172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10173</v>
      </c>
      <c r="E1827" s="37" t="s">
        <v>2843</v>
      </c>
      <c r="F1827" s="37">
        <v>3569</v>
      </c>
      <c r="G1827" s="37" t="s">
        <v>10174</v>
      </c>
      <c r="H1827" s="37" t="s">
        <v>9301</v>
      </c>
      <c r="I1827" s="37" t="s">
        <v>10175</v>
      </c>
      <c r="J1827" s="37" t="s">
        <v>2930</v>
      </c>
      <c r="K1827" s="37" t="s">
        <v>2568</v>
      </c>
      <c r="L1827" s="37" t="s">
        <v>2611</v>
      </c>
      <c r="M1827" s="38" t="s">
        <v>2612</v>
      </c>
      <c r="N1827" s="37" t="s">
        <v>5131</v>
      </c>
      <c r="O1827" s="38" t="s">
        <v>5132</v>
      </c>
      <c r="P1827" s="39" t="s">
        <v>10176</v>
      </c>
      <c r="Q1827" s="37" t="s">
        <v>10177</v>
      </c>
      <c r="R1827" s="37" t="s">
        <v>2516</v>
      </c>
      <c r="S1827" s="37" t="s">
        <v>549</v>
      </c>
      <c r="T1827" s="37">
        <v>1</v>
      </c>
      <c r="U1827" s="37" t="s">
        <v>2517</v>
      </c>
      <c r="V1827" s="37" t="s">
        <v>10178</v>
      </c>
      <c r="W1827" s="37" t="s">
        <v>10179</v>
      </c>
      <c r="X1827" s="60">
        <v>46046.477777777778</v>
      </c>
      <c r="Y1827" s="37" t="s">
        <v>10180</v>
      </c>
      <c r="Z1827" s="37">
        <v>0.3</v>
      </c>
      <c r="AA1827" s="37"/>
      <c r="AB1827" s="37" t="s">
        <v>2521</v>
      </c>
      <c r="AC1827" s="40" t="s">
        <v>10181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10174</v>
      </c>
      <c r="H1828" s="37" t="s">
        <v>9301</v>
      </c>
      <c r="I1828" s="37"/>
      <c r="J1828" s="37"/>
      <c r="K1828" s="37"/>
      <c r="L1828" s="37"/>
      <c r="M1828" s="38"/>
      <c r="N1828" s="37"/>
      <c r="O1828" s="38"/>
      <c r="P1828" s="39"/>
      <c r="Q1828" s="37" t="s">
        <v>10177</v>
      </c>
      <c r="R1828" s="37" t="s">
        <v>2516</v>
      </c>
      <c r="S1828" s="37" t="s">
        <v>549</v>
      </c>
      <c r="T1828" s="37">
        <v>1</v>
      </c>
      <c r="U1828" s="37" t="s">
        <v>2517</v>
      </c>
      <c r="V1828" s="37" t="s">
        <v>10182</v>
      </c>
      <c r="W1828" s="37" t="s">
        <v>10183</v>
      </c>
      <c r="X1828" s="60">
        <v>46046.475694444453</v>
      </c>
      <c r="Y1828" s="37"/>
      <c r="Z1828" s="37">
        <v>0.3</v>
      </c>
      <c r="AA1828" s="37"/>
      <c r="AB1828" s="37" t="s">
        <v>2521</v>
      </c>
      <c r="AC1828" s="40" t="s">
        <v>10184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10185</v>
      </c>
      <c r="E1829" s="37" t="s">
        <v>2843</v>
      </c>
      <c r="F1829" s="37">
        <v>4208</v>
      </c>
      <c r="G1829" s="37" t="s">
        <v>3400</v>
      </c>
      <c r="H1829" s="37" t="s">
        <v>2659</v>
      </c>
      <c r="I1829" s="37" t="s">
        <v>10186</v>
      </c>
      <c r="J1829" s="37" t="s">
        <v>2930</v>
      </c>
      <c r="K1829" s="37" t="s">
        <v>2568</v>
      </c>
      <c r="L1829" s="37" t="s">
        <v>2846</v>
      </c>
      <c r="M1829" s="38" t="s">
        <v>2847</v>
      </c>
      <c r="N1829" s="37">
        <v>2405</v>
      </c>
      <c r="O1829" s="38" t="s">
        <v>2963</v>
      </c>
      <c r="P1829" s="39" t="s">
        <v>10187</v>
      </c>
      <c r="Q1829" s="37" t="s">
        <v>3401</v>
      </c>
      <c r="R1829" s="37" t="s">
        <v>2516</v>
      </c>
      <c r="S1829" s="37" t="s">
        <v>185</v>
      </c>
      <c r="T1829" s="37">
        <v>1</v>
      </c>
      <c r="U1829" s="37" t="s">
        <v>2517</v>
      </c>
      <c r="V1829" s="37" t="s">
        <v>10188</v>
      </c>
      <c r="W1829" s="37" t="s">
        <v>10189</v>
      </c>
      <c r="X1829" s="60">
        <v>46046.659722222219</v>
      </c>
      <c r="Y1829" s="37" t="s">
        <v>10190</v>
      </c>
      <c r="Z1829" s="37">
        <v>3.3</v>
      </c>
      <c r="AA1829" s="37"/>
      <c r="AB1829" s="37" t="s">
        <v>2521</v>
      </c>
      <c r="AC1829" s="40" t="s">
        <v>10191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10192</v>
      </c>
      <c r="E1830" s="37" t="s">
        <v>2504</v>
      </c>
      <c r="F1830" s="37">
        <v>4155</v>
      </c>
      <c r="G1830" s="37" t="s">
        <v>2737</v>
      </c>
      <c r="H1830" s="37" t="s">
        <v>2507</v>
      </c>
      <c r="I1830" s="37" t="s">
        <v>10193</v>
      </c>
      <c r="J1830" s="37" t="s">
        <v>2930</v>
      </c>
      <c r="K1830" s="37" t="s">
        <v>2510</v>
      </c>
      <c r="L1830" s="37" t="s">
        <v>3483</v>
      </c>
      <c r="M1830" s="38" t="s">
        <v>3484</v>
      </c>
      <c r="N1830" s="37">
        <v>6004</v>
      </c>
      <c r="O1830" s="38" t="s">
        <v>2893</v>
      </c>
      <c r="P1830" s="39" t="s">
        <v>10194</v>
      </c>
      <c r="Q1830" s="37" t="s">
        <v>2738</v>
      </c>
      <c r="R1830" s="37" t="s">
        <v>2516</v>
      </c>
      <c r="S1830" s="37" t="s">
        <v>549</v>
      </c>
      <c r="T1830" s="37">
        <v>1</v>
      </c>
      <c r="U1830" s="37" t="s">
        <v>2517</v>
      </c>
      <c r="V1830" s="37" t="s">
        <v>10195</v>
      </c>
      <c r="W1830" s="37" t="s">
        <v>10196</v>
      </c>
      <c r="X1830" s="60">
        <v>46048.705555555563</v>
      </c>
      <c r="Y1830" s="37" t="s">
        <v>10197</v>
      </c>
      <c r="Z1830" s="37">
        <v>0.2</v>
      </c>
      <c r="AA1830" s="37"/>
      <c r="AB1830" s="37" t="s">
        <v>2521</v>
      </c>
      <c r="AC1830" s="40" t="s">
        <v>10198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2774</v>
      </c>
      <c r="H1831" s="37" t="s">
        <v>2507</v>
      </c>
      <c r="I1831" s="37"/>
      <c r="J1831" s="37"/>
      <c r="K1831" s="37"/>
      <c r="L1831" s="37"/>
      <c r="M1831" s="38"/>
      <c r="N1831" s="37"/>
      <c r="O1831" s="38"/>
      <c r="P1831" s="39"/>
      <c r="Q1831" s="37" t="s">
        <v>2775</v>
      </c>
      <c r="R1831" s="37" t="s">
        <v>2516</v>
      </c>
      <c r="S1831" s="37" t="s">
        <v>25</v>
      </c>
      <c r="T1831" s="37">
        <v>1</v>
      </c>
      <c r="U1831" s="37" t="s">
        <v>2517</v>
      </c>
      <c r="V1831" s="37" t="s">
        <v>10199</v>
      </c>
      <c r="W1831" s="37" t="s">
        <v>10200</v>
      </c>
      <c r="X1831" s="60">
        <v>46048.592361111107</v>
      </c>
      <c r="Y1831" s="37"/>
      <c r="Z1831" s="37">
        <v>3.2</v>
      </c>
      <c r="AA1831" s="37"/>
      <c r="AB1831" s="37" t="s">
        <v>2521</v>
      </c>
      <c r="AC1831" s="40" t="s">
        <v>7610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2774</v>
      </c>
      <c r="H1832" s="37" t="s">
        <v>2507</v>
      </c>
      <c r="I1832" s="37"/>
      <c r="J1832" s="37"/>
      <c r="K1832" s="37"/>
      <c r="L1832" s="37"/>
      <c r="M1832" s="38"/>
      <c r="N1832" s="37"/>
      <c r="O1832" s="38"/>
      <c r="P1832" s="39"/>
      <c r="Q1832" s="37" t="s">
        <v>2775</v>
      </c>
      <c r="R1832" s="37" t="s">
        <v>2516</v>
      </c>
      <c r="S1832" s="37" t="s">
        <v>549</v>
      </c>
      <c r="T1832" s="37">
        <v>1</v>
      </c>
      <c r="U1832" s="37" t="s">
        <v>2517</v>
      </c>
      <c r="V1832" s="37" t="s">
        <v>10201</v>
      </c>
      <c r="W1832" s="37" t="s">
        <v>10200</v>
      </c>
      <c r="X1832" s="60">
        <v>46048.583333333343</v>
      </c>
      <c r="Y1832" s="37"/>
      <c r="Z1832" s="37">
        <v>3</v>
      </c>
      <c r="AA1832" s="37"/>
      <c r="AB1832" s="37"/>
      <c r="AC1832" s="40" t="s">
        <v>10202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2737</v>
      </c>
      <c r="H1833" s="37" t="s">
        <v>2507</v>
      </c>
      <c r="I1833" s="37"/>
      <c r="J1833" s="37"/>
      <c r="K1833" s="37"/>
      <c r="L1833" s="37"/>
      <c r="M1833" s="38"/>
      <c r="N1833" s="37"/>
      <c r="O1833" s="38"/>
      <c r="P1833" s="39"/>
      <c r="Q1833" s="37" t="s">
        <v>2738</v>
      </c>
      <c r="R1833" s="37" t="s">
        <v>2516</v>
      </c>
      <c r="S1833" s="37" t="s">
        <v>549</v>
      </c>
      <c r="T1833" s="37">
        <v>1</v>
      </c>
      <c r="U1833" s="37" t="s">
        <v>2517</v>
      </c>
      <c r="V1833" s="37" t="s">
        <v>10203</v>
      </c>
      <c r="W1833" s="37" t="s">
        <v>10204</v>
      </c>
      <c r="X1833" s="60">
        <v>46048.704861111109</v>
      </c>
      <c r="Y1833" s="37"/>
      <c r="Z1833" s="37">
        <v>0.3</v>
      </c>
      <c r="AA1833" s="37"/>
      <c r="AB1833" s="37" t="s">
        <v>2521</v>
      </c>
      <c r="AC1833" s="40" t="s">
        <v>10205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10206</v>
      </c>
      <c r="E1834" s="37" t="s">
        <v>2504</v>
      </c>
      <c r="F1834" s="37">
        <v>3785</v>
      </c>
      <c r="G1834" s="37" t="s">
        <v>3413</v>
      </c>
      <c r="H1834" s="37" t="s">
        <v>2659</v>
      </c>
      <c r="I1834" s="37" t="s">
        <v>10207</v>
      </c>
      <c r="J1834" s="37" t="s">
        <v>2661</v>
      </c>
      <c r="K1834" s="37" t="s">
        <v>2568</v>
      </c>
      <c r="L1834" s="37" t="s">
        <v>2511</v>
      </c>
      <c r="M1834" s="38" t="s">
        <v>2512</v>
      </c>
      <c r="N1834" s="37">
        <v>2304</v>
      </c>
      <c r="O1834" s="38" t="s">
        <v>2513</v>
      </c>
      <c r="P1834" s="39" t="s">
        <v>10208</v>
      </c>
      <c r="Q1834" s="37" t="s">
        <v>3414</v>
      </c>
      <c r="R1834" s="37" t="s">
        <v>2516</v>
      </c>
      <c r="S1834" s="37" t="s">
        <v>185</v>
      </c>
      <c r="T1834" s="37">
        <v>1</v>
      </c>
      <c r="U1834" s="37" t="s">
        <v>2517</v>
      </c>
      <c r="V1834" s="37" t="s">
        <v>10209</v>
      </c>
      <c r="W1834" s="37" t="s">
        <v>10210</v>
      </c>
      <c r="X1834" s="60">
        <v>46049.416666666657</v>
      </c>
      <c r="Y1834" s="37" t="s">
        <v>10211</v>
      </c>
      <c r="Z1834" s="37">
        <v>1</v>
      </c>
      <c r="AA1834" s="37"/>
      <c r="AB1834" s="37" t="s">
        <v>2521</v>
      </c>
      <c r="AC1834" s="40" t="s">
        <v>10212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10213</v>
      </c>
      <c r="E1835" s="37" t="s">
        <v>2504</v>
      </c>
      <c r="F1835" s="37">
        <v>2201</v>
      </c>
      <c r="G1835" s="37" t="s">
        <v>9670</v>
      </c>
      <c r="H1835" s="37" t="s">
        <v>9289</v>
      </c>
      <c r="I1835" s="37" t="s">
        <v>10214</v>
      </c>
      <c r="J1835" s="37" t="s">
        <v>2661</v>
      </c>
      <c r="K1835" s="37" t="s">
        <v>2568</v>
      </c>
      <c r="L1835" s="37" t="s">
        <v>2537</v>
      </c>
      <c r="M1835" s="38" t="s">
        <v>2538</v>
      </c>
      <c r="N1835" s="37" t="s">
        <v>2539</v>
      </c>
      <c r="O1835" s="38" t="s">
        <v>2540</v>
      </c>
      <c r="P1835" s="39" t="s">
        <v>10215</v>
      </c>
      <c r="Q1835" s="37" t="s">
        <v>9673</v>
      </c>
      <c r="R1835" s="37" t="s">
        <v>2516</v>
      </c>
      <c r="S1835" s="37" t="s">
        <v>25</v>
      </c>
      <c r="T1835" s="37">
        <v>1</v>
      </c>
      <c r="U1835" s="37" t="s">
        <v>7895</v>
      </c>
      <c r="V1835" s="37" t="s">
        <v>10216</v>
      </c>
      <c r="W1835" s="37" t="s">
        <v>10217</v>
      </c>
      <c r="X1835" s="61">
        <v>46049.625</v>
      </c>
      <c r="Y1835" s="37" t="s">
        <v>10218</v>
      </c>
      <c r="Z1835" s="37">
        <v>0.5</v>
      </c>
      <c r="AA1835" s="37"/>
      <c r="AB1835" s="37" t="s">
        <v>2521</v>
      </c>
      <c r="AC1835" s="40" t="s">
        <v>10219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10220</v>
      </c>
      <c r="E1836" s="37" t="s">
        <v>2843</v>
      </c>
      <c r="F1836" s="37" t="s">
        <v>10221</v>
      </c>
      <c r="G1836" s="37" t="s">
        <v>10222</v>
      </c>
      <c r="H1836" s="37" t="s">
        <v>9289</v>
      </c>
      <c r="I1836" s="37" t="s">
        <v>10223</v>
      </c>
      <c r="J1836" s="37" t="s">
        <v>2509</v>
      </c>
      <c r="K1836" s="37" t="s">
        <v>2568</v>
      </c>
      <c r="L1836" s="37" t="s">
        <v>2846</v>
      </c>
      <c r="M1836" s="38" t="s">
        <v>2847</v>
      </c>
      <c r="N1836" s="37">
        <v>2405</v>
      </c>
      <c r="O1836" s="38" t="s">
        <v>2963</v>
      </c>
      <c r="P1836" s="39" t="s">
        <v>10224</v>
      </c>
      <c r="Q1836" s="37" t="s">
        <v>10225</v>
      </c>
      <c r="R1836" s="37" t="s">
        <v>2516</v>
      </c>
      <c r="S1836" s="37" t="s">
        <v>25</v>
      </c>
      <c r="T1836" s="37">
        <v>1</v>
      </c>
      <c r="U1836" s="37" t="s">
        <v>2517</v>
      </c>
      <c r="V1836" s="37" t="s">
        <v>10226</v>
      </c>
      <c r="W1836" s="37" t="s">
        <v>10227</v>
      </c>
      <c r="X1836" s="61">
        <v>46049.541666666657</v>
      </c>
      <c r="Y1836" s="37" t="s">
        <v>10228</v>
      </c>
      <c r="Z1836" s="37">
        <v>2</v>
      </c>
      <c r="AA1836" s="37"/>
      <c r="AB1836" s="37" t="s">
        <v>2521</v>
      </c>
      <c r="AC1836" s="40" t="s">
        <v>10229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10230</v>
      </c>
      <c r="E1837" s="37" t="s">
        <v>2504</v>
      </c>
      <c r="F1837" s="37">
        <v>4748</v>
      </c>
      <c r="G1837" s="37" t="s">
        <v>10231</v>
      </c>
      <c r="H1837" s="37" t="s">
        <v>9301</v>
      </c>
      <c r="I1837" s="37" t="s">
        <v>10232</v>
      </c>
      <c r="J1837" s="37" t="s">
        <v>2509</v>
      </c>
      <c r="K1837" s="37" t="s">
        <v>2568</v>
      </c>
      <c r="L1837" s="37" t="s">
        <v>2511</v>
      </c>
      <c r="M1837" s="38" t="s">
        <v>2512</v>
      </c>
      <c r="N1837" s="37">
        <v>2305</v>
      </c>
      <c r="O1837" s="38" t="s">
        <v>3035</v>
      </c>
      <c r="P1837" s="39" t="s">
        <v>10233</v>
      </c>
      <c r="Q1837" s="37" t="s">
        <v>10234</v>
      </c>
      <c r="R1837" s="37" t="s">
        <v>2516</v>
      </c>
      <c r="S1837" s="37" t="s">
        <v>549</v>
      </c>
      <c r="T1837" s="37">
        <v>1</v>
      </c>
      <c r="U1837" s="37" t="s">
        <v>2517</v>
      </c>
      <c r="V1837" s="37" t="s">
        <v>10235</v>
      </c>
      <c r="W1837" s="37" t="s">
        <v>10236</v>
      </c>
      <c r="X1837" s="61">
        <v>46049.645833333343</v>
      </c>
      <c r="Y1837" s="37" t="s">
        <v>10237</v>
      </c>
      <c r="Z1837" s="37">
        <v>0.2</v>
      </c>
      <c r="AA1837" s="37"/>
      <c r="AB1837" s="37" t="s">
        <v>2521</v>
      </c>
      <c r="AC1837" s="40" t="s">
        <v>10238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10221</v>
      </c>
      <c r="G1838" s="37" t="s">
        <v>10222</v>
      </c>
      <c r="H1838" s="37" t="s">
        <v>9289</v>
      </c>
      <c r="I1838" s="37"/>
      <c r="J1838" s="37"/>
      <c r="K1838" s="37"/>
      <c r="L1838" s="37"/>
      <c r="M1838" s="38"/>
      <c r="N1838" s="37"/>
      <c r="O1838" s="38"/>
      <c r="P1838" s="39"/>
      <c r="Q1838" s="37" t="s">
        <v>10225</v>
      </c>
      <c r="R1838" s="37" t="s">
        <v>2516</v>
      </c>
      <c r="S1838" s="37" t="s">
        <v>25</v>
      </c>
      <c r="T1838" s="37">
        <v>1</v>
      </c>
      <c r="U1838" s="37" t="s">
        <v>2517</v>
      </c>
      <c r="V1838" s="37" t="s">
        <v>10239</v>
      </c>
      <c r="W1838" s="37" t="s">
        <v>10197</v>
      </c>
      <c r="X1838" s="61">
        <v>46049.570138888892</v>
      </c>
      <c r="Y1838" s="37"/>
      <c r="Z1838" s="37">
        <v>0.7</v>
      </c>
      <c r="AA1838" s="37"/>
      <c r="AB1838" s="37" t="s">
        <v>2521</v>
      </c>
      <c r="AC1838" s="40" t="s">
        <v>10240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10231</v>
      </c>
      <c r="H1839" s="37" t="s">
        <v>9301</v>
      </c>
      <c r="I1839" s="37"/>
      <c r="J1839" s="37"/>
      <c r="K1839" s="37"/>
      <c r="L1839" s="37"/>
      <c r="M1839" s="38"/>
      <c r="N1839" s="37"/>
      <c r="O1839" s="38"/>
      <c r="P1839" s="39"/>
      <c r="Q1839" s="37" t="s">
        <v>10234</v>
      </c>
      <c r="R1839" s="37" t="s">
        <v>2516</v>
      </c>
      <c r="S1839" s="37" t="s">
        <v>549</v>
      </c>
      <c r="T1839" s="37">
        <v>1</v>
      </c>
      <c r="U1839" s="37" t="s">
        <v>2517</v>
      </c>
      <c r="V1839" s="37" t="s">
        <v>10241</v>
      </c>
      <c r="W1839" s="37" t="s">
        <v>10242</v>
      </c>
      <c r="X1839" s="61">
        <v>46049.659722222219</v>
      </c>
      <c r="Y1839" s="37"/>
      <c r="Z1839" s="37">
        <v>0.3</v>
      </c>
      <c r="AA1839" s="37"/>
      <c r="AB1839" s="37" t="s">
        <v>2521</v>
      </c>
      <c r="AC1839" s="40" t="s">
        <v>10243</v>
      </c>
      <c r="AD1839" s="37" t="s">
        <v>861</v>
      </c>
      <c r="AE1839" s="37"/>
      <c r="AF1839" s="37"/>
      <c r="AG1839" s="37"/>
      <c r="AH1839" s="37"/>
      <c r="AI1839" s="37"/>
      <c r="AJ1839" s="37" t="s">
        <v>861</v>
      </c>
      <c r="AK1839" s="37" t="s">
        <v>861</v>
      </c>
      <c r="AL1839" s="41" t="e">
        <f t="shared" si="56"/>
        <v>#VALUE!</v>
      </c>
      <c r="AM1839" s="42">
        <f t="shared" si="57"/>
        <v>46049</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2026-01-27T10:01:56Z</dcterms:modified>
</cp:coreProperties>
</file>