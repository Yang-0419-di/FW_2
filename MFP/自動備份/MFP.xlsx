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883931F-7AFA-48B9-AF14-827E8776E204}"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4" i="8" l="1"/>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B3" i="6" s="1"/>
  <c r="G3" i="6"/>
  <c r="F3" i="6"/>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B4" i="4" s="1"/>
  <c r="C4" i="4"/>
  <c r="R3" i="4"/>
  <c r="Q3" i="4"/>
  <c r="P3" i="4"/>
  <c r="O3" i="4"/>
  <c r="N3" i="4"/>
  <c r="M3" i="4"/>
  <c r="L3" i="4"/>
  <c r="K3" i="4"/>
  <c r="J3" i="4"/>
  <c r="I3" i="4"/>
  <c r="H3" i="4"/>
  <c r="G3" i="4"/>
  <c r="F3" i="4"/>
  <c r="E3" i="4"/>
  <c r="B3" i="4" s="1"/>
  <c r="D3" i="4"/>
  <c r="C3" i="4"/>
  <c r="R2" i="4"/>
  <c r="Q2" i="4"/>
  <c r="P2" i="4"/>
  <c r="O2" i="4"/>
  <c r="N2" i="4"/>
  <c r="M2" i="4"/>
  <c r="L2" i="4"/>
  <c r="K2" i="4"/>
  <c r="J2" i="4"/>
  <c r="I2" i="4"/>
  <c r="H2" i="4"/>
  <c r="G2" i="4"/>
  <c r="F2" i="4"/>
  <c r="E2" i="4"/>
  <c r="D2" i="4"/>
  <c r="C2" i="4"/>
  <c r="B2" i="4" s="1"/>
  <c r="P27" i="3"/>
  <c r="N21" i="3"/>
  <c r="H17" i="3"/>
  <c r="G17" i="3"/>
  <c r="H16" i="3"/>
  <c r="G16" i="3"/>
  <c r="E16" i="3"/>
  <c r="H15" i="3"/>
  <c r="G15" i="3"/>
  <c r="E13" i="3"/>
  <c r="D13" i="3"/>
  <c r="B13" i="3"/>
  <c r="C13" i="3" s="1"/>
  <c r="F13" i="3" s="1"/>
  <c r="E12" i="3"/>
  <c r="F12" i="3" s="1"/>
  <c r="D12" i="3"/>
  <c r="C12" i="3"/>
  <c r="B12" i="3"/>
  <c r="D11" i="3"/>
  <c r="E11" i="3" s="1"/>
  <c r="F11" i="3" s="1"/>
  <c r="C11" i="3"/>
  <c r="B11" i="3"/>
  <c r="E8" i="3"/>
  <c r="C17" i="3" s="1"/>
  <c r="C8" i="3"/>
  <c r="F8" i="3" s="1"/>
  <c r="H7" i="3"/>
  <c r="G7" i="3"/>
  <c r="F7" i="3"/>
  <c r="E7" i="3"/>
  <c r="C16" i="3" s="1"/>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7" i="3" l="1"/>
  <c r="G13" i="3"/>
  <c r="H13" i="3" s="1"/>
  <c r="B11" i="6"/>
  <c r="D16" i="3"/>
  <c r="G12" i="3"/>
  <c r="H12" i="3" s="1"/>
  <c r="F16" i="3" s="1"/>
  <c r="E15" i="3"/>
  <c r="G6" i="3"/>
  <c r="H6" i="3" s="1"/>
  <c r="F15" i="3" s="1"/>
  <c r="G8" i="3"/>
  <c r="H8" i="3" s="1"/>
  <c r="F17" i="3" s="1"/>
  <c r="E17" i="3"/>
  <c r="D15" i="3"/>
  <c r="G11" i="3"/>
  <c r="H11" i="3" s="1"/>
  <c r="B11" i="4"/>
  <c r="B11" i="5"/>
  <c r="B15" i="3"/>
  <c r="B7" i="2"/>
  <c r="B12" i="2" s="1"/>
  <c r="B16" i="3"/>
  <c r="B17" i="3"/>
  <c r="I17" i="3" l="1"/>
  <c r="J17" i="3" s="1"/>
  <c r="K17" i="3" s="1"/>
  <c r="I15" i="3"/>
  <c r="J15" i="3" s="1"/>
  <c r="K15" i="3" s="1"/>
  <c r="I16" i="3"/>
  <c r="J16" i="3" s="1"/>
  <c r="K16" i="3" s="1"/>
</calcChain>
</file>

<file path=xl/sharedStrings.xml><?xml version="1.0" encoding="utf-8"?>
<sst xmlns="http://schemas.openxmlformats.org/spreadsheetml/2006/main" count="60000" uniqueCount="10325">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</sst>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6" width="8.88671875" style="53" customWidth="1"/>
    <col min="3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4" width="8.88671875" style="7" customWidth="1"/>
    <col min="4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2" width="8.88671875" style="9" customWidth="1"/>
    <col min="5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195</v>
      </c>
      <c r="C11" s="12">
        <f>B11/12</f>
        <v>16.25</v>
      </c>
      <c r="D11" s="9">
        <f>COUNTIFS(IM!S:S,A11,IM!B:B,"維修")</f>
        <v>191</v>
      </c>
      <c r="E11" s="12">
        <f>D11/12</f>
        <v>15.916666666666666</v>
      </c>
      <c r="F11" s="9">
        <f>C11+E11</f>
        <v>32.166666666666664</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1447.5</v>
      </c>
      <c r="E15" s="9">
        <f>ROUND(D3*F6,2)</f>
        <v>1081.7</v>
      </c>
      <c r="F15" s="9">
        <f>(H6*20)+(H11*20)+(60*20)</f>
        <v>3306</v>
      </c>
      <c r="G15" s="9">
        <f>1.5*E3</f>
        <v>360</v>
      </c>
      <c r="H15" s="9">
        <f>1.5*F3</f>
        <v>360</v>
      </c>
      <c r="I15" s="9">
        <f>ROUND(SUM(B15:H15),2)</f>
        <v>8318.6</v>
      </c>
      <c r="J15" s="9">
        <f>ROUND(I15/20,2)</f>
        <v>415.93</v>
      </c>
      <c r="K15" s="9">
        <f>ROUND(J15/60,2)</f>
        <v>6.93</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2" width="13.77734375" style="8" customWidth="1"/>
    <col min="23"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9" width="13.77734375" style="1" customWidth="1"/>
    <col min="4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7"/>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4" width="8.88671875" style="15" customWidth="1"/>
    <col min="45"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6" width="8.88671875" style="15" customWidth="1"/>
    <col min="67" max="16384" width="8.88671875" style="15"/>
  </cols>
  <sheetData>
    <row r="1" spans="1:39" ht="21.6" customHeight="1" x14ac:dyDescent="0.3">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836</v>
      </c>
      <c r="R1" s="14" t="s">
        <v>831</v>
      </c>
      <c r="S1" s="14" t="s">
        <v>832</v>
      </c>
      <c r="T1" s="14" t="s">
        <v>2513</v>
      </c>
      <c r="U1" s="14" t="s">
        <v>2514</v>
      </c>
      <c r="V1" s="14" t="s">
        <v>2515</v>
      </c>
      <c r="W1" s="14" t="s">
        <v>2516</v>
      </c>
      <c r="X1" s="19" t="s">
        <v>2517</v>
      </c>
      <c r="Y1" s="14" t="s">
        <v>2518</v>
      </c>
      <c r="Z1" s="14" t="s">
        <v>2519</v>
      </c>
      <c r="AA1" s="14" t="s">
        <v>2520</v>
      </c>
      <c r="AB1" s="14" t="s">
        <v>2521</v>
      </c>
      <c r="AC1" s="14" t="s">
        <v>2522</v>
      </c>
      <c r="AD1" s="14" t="s">
        <v>757</v>
      </c>
      <c r="AE1" s="14" t="s">
        <v>843</v>
      </c>
      <c r="AF1" s="14" t="s">
        <v>844</v>
      </c>
      <c r="AG1" s="14" t="s">
        <v>845</v>
      </c>
      <c r="AH1" s="14" t="s">
        <v>846</v>
      </c>
      <c r="AI1" s="14" t="s">
        <v>847</v>
      </c>
      <c r="AJ1" s="14" t="s">
        <v>848</v>
      </c>
      <c r="AK1" s="14" t="s">
        <v>850</v>
      </c>
      <c r="AL1" s="20" t="s">
        <v>2523</v>
      </c>
      <c r="AM1" s="18"/>
    </row>
    <row r="2" spans="1:39" ht="21.6" customHeight="1" x14ac:dyDescent="0.3">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2577</v>
      </c>
      <c r="H6" s="25" t="s">
        <v>1604</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2577</v>
      </c>
      <c r="H7" s="25" t="s">
        <v>1604</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2599</v>
      </c>
      <c r="E9" s="25" t="s">
        <v>2525</v>
      </c>
      <c r="F9" s="25" t="s">
        <v>2600</v>
      </c>
      <c r="G9" s="25" t="s">
        <v>2601</v>
      </c>
      <c r="H9" s="25" t="s">
        <v>1604</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2600</v>
      </c>
      <c r="G22" s="25" t="s">
        <v>2601</v>
      </c>
      <c r="H22" s="25" t="s">
        <v>1604</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3211</v>
      </c>
      <c r="E120" s="25" t="s">
        <v>2525</v>
      </c>
      <c r="F120" s="25">
        <v>4541</v>
      </c>
      <c r="G120" s="25" t="s">
        <v>3212</v>
      </c>
      <c r="H120" s="25" t="s">
        <v>1604</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3289</v>
      </c>
      <c r="E131" s="25" t="s">
        <v>2525</v>
      </c>
      <c r="F131" s="25">
        <v>4529</v>
      </c>
      <c r="G131" s="25" t="s">
        <v>3290</v>
      </c>
      <c r="H131" s="25" t="s">
        <v>1604</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3290</v>
      </c>
      <c r="H140" s="25" t="s">
        <v>1604</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3331</v>
      </c>
      <c r="H141" s="25" t="s">
        <v>1604</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3335</v>
      </c>
      <c r="H142" s="25" t="s">
        <v>1604</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3366</v>
      </c>
      <c r="E149" s="25" t="s">
        <v>2525</v>
      </c>
      <c r="F149" s="25">
        <v>4511</v>
      </c>
      <c r="G149" s="25" t="s">
        <v>3335</v>
      </c>
      <c r="H149" s="25" t="s">
        <v>1604</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3484</v>
      </c>
      <c r="E171" s="25" t="s">
        <v>2525</v>
      </c>
      <c r="F171" s="25">
        <v>2318</v>
      </c>
      <c r="G171" s="25" t="s">
        <v>3485</v>
      </c>
      <c r="H171" s="25" t="s">
        <v>1604</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3485</v>
      </c>
      <c r="H175" s="25" t="s">
        <v>1604</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3817</v>
      </c>
      <c r="E229" s="25" t="s">
        <v>2525</v>
      </c>
      <c r="F229" s="25">
        <v>4093</v>
      </c>
      <c r="G229" s="25" t="s">
        <v>3818</v>
      </c>
      <c r="H229" s="25" t="s">
        <v>1604</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3946</v>
      </c>
      <c r="E256" s="25" t="s">
        <v>2525</v>
      </c>
      <c r="F256" s="25" t="s">
        <v>2600</v>
      </c>
      <c r="G256" s="25" t="s">
        <v>2601</v>
      </c>
      <c r="H256" s="25" t="s">
        <v>1604</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3994</v>
      </c>
      <c r="H265" s="25" t="s">
        <v>1604</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4000</v>
      </c>
      <c r="H267" s="25" t="s">
        <v>1604</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4065</v>
      </c>
      <c r="E277" s="25" t="s">
        <v>2525</v>
      </c>
      <c r="F277" s="25">
        <v>4739</v>
      </c>
      <c r="G277" s="25" t="s">
        <v>4066</v>
      </c>
      <c r="H277" s="25" t="s">
        <v>1604</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4075</v>
      </c>
      <c r="H279" s="25" t="s">
        <v>1604</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4066</v>
      </c>
      <c r="H280" s="25" t="s">
        <v>1604</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4157</v>
      </c>
      <c r="H298" s="25" t="s">
        <v>1604</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4168</v>
      </c>
      <c r="H300" s="25" t="s">
        <v>1604</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3818</v>
      </c>
      <c r="H301" s="25" t="s">
        <v>1604</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4174</v>
      </c>
      <c r="E302" s="25" t="s">
        <v>2525</v>
      </c>
      <c r="F302" s="25">
        <v>4739</v>
      </c>
      <c r="G302" s="25" t="s">
        <v>4066</v>
      </c>
      <c r="H302" s="25" t="s">
        <v>1604</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4182</v>
      </c>
      <c r="H303" s="25" t="s">
        <v>1604</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4186</v>
      </c>
      <c r="E304" s="25" t="s">
        <v>2525</v>
      </c>
      <c r="F304" s="25">
        <v>4739</v>
      </c>
      <c r="G304" s="25" t="s">
        <v>4066</v>
      </c>
      <c r="H304" s="25" t="s">
        <v>1604</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4193</v>
      </c>
      <c r="H305" s="25" t="s">
        <v>1604</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3212</v>
      </c>
      <c r="H306" s="25" t="s">
        <v>1604</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4199</v>
      </c>
      <c r="H307" s="25" t="s">
        <v>1604</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4207</v>
      </c>
      <c r="H309" s="25" t="s">
        <v>1604</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2600</v>
      </c>
      <c r="G389" s="25" t="s">
        <v>2601</v>
      </c>
      <c r="H389" s="25" t="s">
        <v>1604</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4819</v>
      </c>
      <c r="E469" s="25" t="s">
        <v>2525</v>
      </c>
      <c r="F469" s="25">
        <v>5060</v>
      </c>
      <c r="G469" s="25" t="s">
        <v>4207</v>
      </c>
      <c r="H469" s="25" t="s">
        <v>1604</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4207</v>
      </c>
      <c r="H473" s="25" t="s">
        <v>1604</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3485</v>
      </c>
      <c r="H489" s="25" t="s">
        <v>1604</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4157</v>
      </c>
      <c r="H491" s="25" t="s">
        <v>1604</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3331</v>
      </c>
      <c r="H553" s="25" t="s">
        <v>1604</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3335</v>
      </c>
      <c r="H554" s="25" t="s">
        <v>1604</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4066</v>
      </c>
      <c r="H559" s="25" t="s">
        <v>1604</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4000</v>
      </c>
      <c r="H611" s="25" t="s">
        <v>1604</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3818</v>
      </c>
      <c r="H612" s="25" t="s">
        <v>1604</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4168</v>
      </c>
      <c r="H615" s="25" t="s">
        <v>1604</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3290</v>
      </c>
      <c r="H617" s="25" t="s">
        <v>1604</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4182</v>
      </c>
      <c r="H618" s="25" t="s">
        <v>1604</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4193</v>
      </c>
      <c r="H619" s="25" t="s">
        <v>1604</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3212</v>
      </c>
      <c r="H642" s="25" t="s">
        <v>1604</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4199</v>
      </c>
      <c r="H644" s="25" t="s">
        <v>1604</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3994</v>
      </c>
      <c r="H656" s="25" t="s">
        <v>1604</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5600</v>
      </c>
      <c r="E663" s="25" t="s">
        <v>2525</v>
      </c>
      <c r="F663" s="25">
        <v>5060</v>
      </c>
      <c r="G663" s="25" t="s">
        <v>4207</v>
      </c>
      <c r="H663" s="25" t="s">
        <v>1604</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5782</v>
      </c>
      <c r="E717" s="25" t="s">
        <v>2525</v>
      </c>
      <c r="F717" s="25">
        <v>4093</v>
      </c>
      <c r="G717" s="25" t="s">
        <v>3818</v>
      </c>
      <c r="H717" s="25" t="s">
        <v>1604</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5944</v>
      </c>
      <c r="E753" s="25" t="s">
        <v>2864</v>
      </c>
      <c r="F753" s="25">
        <v>4739</v>
      </c>
      <c r="G753" s="25" t="s">
        <v>4066</v>
      </c>
      <c r="H753" s="25" t="s">
        <v>1604</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4075</v>
      </c>
      <c r="H768" s="25" t="s">
        <v>1604</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6035</v>
      </c>
      <c r="E775" s="25" t="s">
        <v>2525</v>
      </c>
      <c r="F775" s="25">
        <v>4153</v>
      </c>
      <c r="G775" s="25" t="s">
        <v>4168</v>
      </c>
      <c r="H775" s="25" t="s">
        <v>1604</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6055</v>
      </c>
      <c r="E778" s="25" t="s">
        <v>2525</v>
      </c>
      <c r="F778" s="25">
        <v>2749</v>
      </c>
      <c r="G778" s="25" t="s">
        <v>3331</v>
      </c>
      <c r="H778" s="25" t="s">
        <v>1604</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3331</v>
      </c>
      <c r="H781" s="25" t="s">
        <v>1604</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4066</v>
      </c>
      <c r="H786" s="25" t="s">
        <v>1604</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6197</v>
      </c>
      <c r="E822" s="25" t="s">
        <v>2525</v>
      </c>
      <c r="F822" s="25">
        <v>2749</v>
      </c>
      <c r="G822" s="25" t="s">
        <v>3331</v>
      </c>
      <c r="H822" s="25" t="s">
        <v>1604</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3331</v>
      </c>
      <c r="H826" s="25" t="s">
        <v>1604</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6723</v>
      </c>
      <c r="E959" s="25" t="s">
        <v>2525</v>
      </c>
      <c r="F959" s="25">
        <v>4541</v>
      </c>
      <c r="G959" s="25" t="s">
        <v>3212</v>
      </c>
      <c r="H959" s="25" t="s">
        <v>1604</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3212</v>
      </c>
      <c r="H961" s="25" t="s">
        <v>1604</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2577</v>
      </c>
      <c r="H1038" s="25" t="s">
        <v>1604</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4207</v>
      </c>
      <c r="H1044" s="25" t="s">
        <v>1604</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2577</v>
      </c>
      <c r="H1045" s="25" t="s">
        <v>1604</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2600</v>
      </c>
      <c r="G1092" s="25" t="s">
        <v>2601</v>
      </c>
      <c r="H1092" s="25" t="s">
        <v>1604</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3335</v>
      </c>
      <c r="H1093" s="25" t="s">
        <v>1604</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4066</v>
      </c>
      <c r="H1096" s="25" t="s">
        <v>1604</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4075</v>
      </c>
      <c r="H1097" s="25" t="s">
        <v>1604</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3994</v>
      </c>
      <c r="H1098" s="25" t="s">
        <v>1604</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4193</v>
      </c>
      <c r="H1099" s="25" t="s">
        <v>1604</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4182</v>
      </c>
      <c r="H1101" s="25" t="s">
        <v>1604</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7420</v>
      </c>
      <c r="E1125" s="25" t="s">
        <v>2525</v>
      </c>
      <c r="F1125" s="25">
        <v>3751</v>
      </c>
      <c r="G1125" s="25" t="s">
        <v>4000</v>
      </c>
      <c r="H1125" s="25" t="s">
        <v>1604</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7428</v>
      </c>
      <c r="E1126" s="25" t="s">
        <v>2525</v>
      </c>
      <c r="F1126" s="25">
        <v>3751</v>
      </c>
      <c r="G1126" s="25" t="s">
        <v>4000</v>
      </c>
      <c r="H1126" s="25" t="s">
        <v>1604</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4000</v>
      </c>
      <c r="H1132" s="25" t="s">
        <v>1604</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7592</v>
      </c>
      <c r="E1152" s="25" t="s">
        <v>2525</v>
      </c>
      <c r="F1152" s="25">
        <v>3751</v>
      </c>
      <c r="G1152" s="25" t="s">
        <v>4000</v>
      </c>
      <c r="H1152" s="25" t="s">
        <v>1604</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7668</v>
      </c>
      <c r="E1171" s="25" t="s">
        <v>2864</v>
      </c>
      <c r="F1171" s="25">
        <v>4788</v>
      </c>
      <c r="G1171" s="25" t="s">
        <v>4182</v>
      </c>
      <c r="H1171" s="25" t="s">
        <v>1604</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4157</v>
      </c>
      <c r="H1180" s="25" t="s">
        <v>1604</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3485</v>
      </c>
      <c r="H1181" s="25" t="s">
        <v>1604</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4168</v>
      </c>
      <c r="H1182" s="25" t="s">
        <v>1604</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3290</v>
      </c>
      <c r="H1183" s="25" t="s">
        <v>1604</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3818</v>
      </c>
      <c r="H1184" s="25" t="s">
        <v>1604</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4199</v>
      </c>
      <c r="H1185" s="25" t="s">
        <v>1604</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7794</v>
      </c>
      <c r="E1204" s="25" t="s">
        <v>2525</v>
      </c>
      <c r="F1204" s="25">
        <v>2318</v>
      </c>
      <c r="G1204" s="25" t="s">
        <v>3485</v>
      </c>
      <c r="H1204" s="25" t="s">
        <v>1604</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7991</v>
      </c>
      <c r="E1264" s="25" t="s">
        <v>2525</v>
      </c>
      <c r="F1264" s="25">
        <v>4802</v>
      </c>
      <c r="G1264" s="25" t="s">
        <v>4199</v>
      </c>
      <c r="H1264" s="25" t="s">
        <v>1604</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4199</v>
      </c>
      <c r="H1266" s="25" t="s">
        <v>1604</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8012</v>
      </c>
      <c r="E1268" s="25" t="s">
        <v>2864</v>
      </c>
      <c r="F1268" s="25">
        <v>4153</v>
      </c>
      <c r="G1268" s="25" t="s">
        <v>4168</v>
      </c>
      <c r="H1268" s="25" t="s">
        <v>1604</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8276</v>
      </c>
      <c r="E1331" s="37" t="s">
        <v>2525</v>
      </c>
      <c r="F1331" s="37">
        <v>4541</v>
      </c>
      <c r="G1331" s="37" t="s">
        <v>3212</v>
      </c>
      <c r="H1331" s="37" t="s">
        <v>1604</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3212</v>
      </c>
      <c r="H1336" s="37" t="s">
        <v>1604</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4075</v>
      </c>
      <c r="H1406" s="37" t="s">
        <v>1604</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2600</v>
      </c>
      <c r="G1411" s="37" t="s">
        <v>2601</v>
      </c>
      <c r="H1411" s="37" t="s">
        <v>1604</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3331</v>
      </c>
      <c r="H1412" s="37" t="s">
        <v>1604</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3335</v>
      </c>
      <c r="H1414" s="37" t="s">
        <v>1604</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4066</v>
      </c>
      <c r="H1418" s="37" t="s">
        <v>1604</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3485</v>
      </c>
      <c r="H1473" s="37" t="s">
        <v>1604</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4157</v>
      </c>
      <c r="H1474" s="37" t="s">
        <v>1604</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3994</v>
      </c>
      <c r="H1521" s="37" t="s">
        <v>1604</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4000</v>
      </c>
      <c r="H1522" s="37" t="s">
        <v>1604</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4199</v>
      </c>
      <c r="H1523" s="37" t="s">
        <v>1604</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3818</v>
      </c>
      <c r="H1524" s="37" t="s">
        <v>1604</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4168</v>
      </c>
      <c r="H1525" s="37" t="s">
        <v>1604</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4182</v>
      </c>
      <c r="H1526" s="37" t="s">
        <v>1604</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4193</v>
      </c>
      <c r="H1529" s="37" t="s">
        <v>1604</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3290</v>
      </c>
      <c r="H1532" s="37" t="s">
        <v>1604</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9060</v>
      </c>
      <c r="E1569" s="37" t="s">
        <v>2525</v>
      </c>
      <c r="F1569" s="37">
        <v>2318</v>
      </c>
      <c r="G1569" s="37" t="s">
        <v>3485</v>
      </c>
      <c r="H1569" s="37" t="s">
        <v>1604</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9067</v>
      </c>
      <c r="E1570" s="37" t="s">
        <v>2525</v>
      </c>
      <c r="F1570" s="37" t="s">
        <v>2600</v>
      </c>
      <c r="G1570" s="37" t="s">
        <v>2601</v>
      </c>
      <c r="H1570" s="37" t="s">
        <v>1604</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9179</v>
      </c>
      <c r="E1604" s="37" t="s">
        <v>2525</v>
      </c>
      <c r="F1604" s="37" t="s">
        <v>2600</v>
      </c>
      <c r="G1604" s="37" t="s">
        <v>2601</v>
      </c>
      <c r="H1604" s="37" t="s">
        <v>1604</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4207</v>
      </c>
      <c r="H1627" s="37" t="s">
        <v>1604</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2577</v>
      </c>
      <c r="H1628" s="37" t="s">
        <v>1604</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2577</v>
      </c>
      <c r="H1629" s="37" t="s">
        <v>1604</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9338</v>
      </c>
      <c r="E1641" s="37" t="s">
        <v>2525</v>
      </c>
      <c r="F1641" s="37">
        <v>4788</v>
      </c>
      <c r="G1641" s="37" t="s">
        <v>4182</v>
      </c>
      <c r="H1641" s="37" t="s">
        <v>1604</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9345</v>
      </c>
      <c r="E1642" s="37" t="s">
        <v>2525</v>
      </c>
      <c r="F1642" s="37">
        <v>4788</v>
      </c>
      <c r="G1642" s="37" t="s">
        <v>4182</v>
      </c>
      <c r="H1642" s="37" t="s">
        <v>1604</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2577</v>
      </c>
      <c r="H1644" s="37" t="s">
        <v>1604</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4182</v>
      </c>
      <c r="H1645" s="37" t="s">
        <v>1604</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3335</v>
      </c>
      <c r="H1733" s="37" t="s">
        <v>1604</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9861</v>
      </c>
      <c r="E1757" s="37" t="s">
        <v>2525</v>
      </c>
      <c r="F1757" s="37">
        <v>4153</v>
      </c>
      <c r="G1757" s="37" t="s">
        <v>4168</v>
      </c>
      <c r="H1757" s="37" t="s">
        <v>1604</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9890</v>
      </c>
      <c r="E1763" s="37" t="s">
        <v>2525</v>
      </c>
      <c r="F1763" s="37">
        <v>4153</v>
      </c>
      <c r="G1763" s="37" t="s">
        <v>4168</v>
      </c>
      <c r="H1763" s="37" t="s">
        <v>1604</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4168</v>
      </c>
      <c r="H1772" s="37" t="s">
        <v>1604</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3331</v>
      </c>
      <c r="H1773" s="37" t="s">
        <v>1604</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4066</v>
      </c>
      <c r="H1777" s="37" t="s">
        <v>1604</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861</v>
      </c>
      <c r="AF1794" s="37"/>
      <c r="AG1794" s="37"/>
      <c r="AH1794" s="37"/>
      <c r="AI1794" s="37"/>
      <c r="AJ1794" s="37"/>
      <c r="AK1794" s="37" t="s">
        <v>861</v>
      </c>
      <c r="AL1794" s="41" t="e">
        <f t="shared" ref="AL1794:AL1854" si="56">DATEVALUE(TEXT(I1794, "yyyy/mm/dd"))</f>
        <v>#VALUE!</v>
      </c>
      <c r="AM1794" s="42">
        <f t="shared" ref="AM1794:AM1854" si="57">DATEVALUE(TEXT(X1794, "yyyy/mm/dd"))</f>
        <v>46043</v>
      </c>
    </row>
    <row r="1795" spans="1:39" ht="21.6" customHeight="1" x14ac:dyDescent="0.3">
      <c r="A1795" s="37">
        <v>167</v>
      </c>
      <c r="B1795" s="37" t="s">
        <v>860</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1">
        <v>46051.663194444453</v>
      </c>
      <c r="Y1851" s="37" t="s">
        <v>10314</v>
      </c>
      <c r="Z1851" s="37">
        <v>0.5</v>
      </c>
      <c r="AA1851" s="37"/>
      <c r="AB1851" s="37" t="s">
        <v>2542</v>
      </c>
      <c r="AC1851" s="40" t="s">
        <v>10315</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1">
        <v>46051.583333333343</v>
      </c>
      <c r="Y1852" s="37"/>
      <c r="Z1852" s="37">
        <v>0.5</v>
      </c>
      <c r="AA1852" s="37"/>
      <c r="AB1852" s="37" t="s">
        <v>2542</v>
      </c>
      <c r="AC1852" s="40" t="s">
        <v>10318</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1">
        <v>46051.666666666657</v>
      </c>
      <c r="Y1853" s="37"/>
      <c r="Z1853" s="37">
        <v>0.3</v>
      </c>
      <c r="AA1853" s="37"/>
      <c r="AB1853" s="37" t="s">
        <v>2542</v>
      </c>
      <c r="AC1853" s="40" t="s">
        <v>10321</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1">
        <v>46051.6875</v>
      </c>
      <c r="Y1854" s="37"/>
      <c r="Z1854" s="37">
        <v>0.3</v>
      </c>
      <c r="AA1854" s="37"/>
      <c r="AB1854" s="37" t="s">
        <v>2542</v>
      </c>
      <c r="AC1854" s="40" t="s">
        <v>10324</v>
      </c>
      <c r="AD1854" s="37" t="s">
        <v>861</v>
      </c>
      <c r="AE1854" s="37"/>
      <c r="AF1854" s="37"/>
      <c r="AG1854" s="37"/>
      <c r="AH1854" s="37"/>
      <c r="AI1854" s="37"/>
      <c r="AJ1854" s="37" t="s">
        <v>861</v>
      </c>
      <c r="AK1854" s="37" t="s">
        <v>861</v>
      </c>
      <c r="AL1854" s="41" t="e">
        <f t="shared" si="56"/>
        <v>#VALUE!</v>
      </c>
      <c r="AM1854"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2026-01-29T11:25:52Z</dcterms:modified>
</cp:coreProperties>
</file>