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1295C46-A6BA-48AF-9FF4-3449FB487D98}"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97" i="10" l="1"/>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E17" i="5"/>
  <c r="B17" i="5"/>
  <c r="G16" i="5"/>
  <c r="B16" i="5"/>
  <c r="G15" i="5"/>
  <c r="C15" i="5"/>
  <c r="B15" i="5"/>
  <c r="E13" i="5"/>
  <c r="D13" i="5"/>
  <c r="C13" i="5"/>
  <c r="F13" i="5" s="1"/>
  <c r="B13" i="5"/>
  <c r="D12" i="5"/>
  <c r="E12" i="5" s="1"/>
  <c r="B12" i="5"/>
  <c r="C12" i="5" s="1"/>
  <c r="F11" i="5"/>
  <c r="D15" i="5" s="1"/>
  <c r="E11" i="5"/>
  <c r="D11" i="5"/>
  <c r="C11" i="5"/>
  <c r="B11" i="5"/>
  <c r="H8" i="5"/>
  <c r="I8" i="5" s="1"/>
  <c r="J8" i="5" s="1"/>
  <c r="G8" i="5"/>
  <c r="F8" i="5"/>
  <c r="C17" i="5" s="1"/>
  <c r="E8" i="5"/>
  <c r="C8" i="5"/>
  <c r="H7" i="5"/>
  <c r="I7" i="5" s="1"/>
  <c r="J7" i="5" s="1"/>
  <c r="G7" i="5"/>
  <c r="F7" i="5"/>
  <c r="C16" i="5" s="1"/>
  <c r="E7" i="5"/>
  <c r="C7" i="5"/>
  <c r="H6" i="5"/>
  <c r="E15" i="5" s="1"/>
  <c r="G6" i="5"/>
  <c r="F6" i="5"/>
  <c r="E6" i="5"/>
  <c r="C6" i="5"/>
  <c r="S2" i="4"/>
  <c r="A2" i="4" s="1"/>
  <c r="T11" i="2"/>
  <c r="S11" i="2"/>
  <c r="S12" i="2" s="1"/>
  <c r="R11" i="2"/>
  <c r="Q11" i="2"/>
  <c r="P11" i="2"/>
  <c r="O11" i="2"/>
  <c r="N11" i="2"/>
  <c r="M11" i="2"/>
  <c r="L11" i="2"/>
  <c r="K11" i="2"/>
  <c r="K12" i="2" s="1"/>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Q12" i="2" s="1"/>
  <c r="P8" i="2"/>
  <c r="O8" i="2"/>
  <c r="N8" i="2"/>
  <c r="M8" i="2"/>
  <c r="L8" i="2"/>
  <c r="K8" i="2"/>
  <c r="J8" i="2"/>
  <c r="I8" i="2"/>
  <c r="I12" i="2" s="1"/>
  <c r="H8" i="2"/>
  <c r="G8" i="2"/>
  <c r="F8" i="2"/>
  <c r="E8" i="2"/>
  <c r="D8" i="2"/>
  <c r="C8" i="2"/>
  <c r="C12" i="2" s="1"/>
  <c r="T7" i="2"/>
  <c r="T12" i="2" s="1"/>
  <c r="S7" i="2"/>
  <c r="R7" i="2"/>
  <c r="R12" i="2" s="1"/>
  <c r="Q7" i="2"/>
  <c r="P7" i="2"/>
  <c r="P12" i="2" s="1"/>
  <c r="O7" i="2"/>
  <c r="O12" i="2" s="1"/>
  <c r="N7" i="2"/>
  <c r="N12" i="2" s="1"/>
  <c r="M7" i="2"/>
  <c r="M12" i="2" s="1"/>
  <c r="L7" i="2"/>
  <c r="L12" i="2" s="1"/>
  <c r="K7" i="2"/>
  <c r="J7" i="2"/>
  <c r="J12" i="2" s="1"/>
  <c r="I7" i="2"/>
  <c r="H7" i="2"/>
  <c r="H12" i="2" s="1"/>
  <c r="G7" i="2"/>
  <c r="G12" i="2" s="1"/>
  <c r="F7" i="2"/>
  <c r="F12" i="2" s="1"/>
  <c r="E7" i="2"/>
  <c r="E12" i="2" s="1"/>
  <c r="D7" i="2"/>
  <c r="D12" i="2" s="1"/>
  <c r="C7" i="2"/>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C2" i="2"/>
  <c r="B2" i="2" s="1"/>
  <c r="B11" i="7" l="1"/>
  <c r="F12" i="4" a="1"/>
  <c r="F12" i="4" s="1"/>
  <c r="B12" i="4" a="1"/>
  <c r="B12" i="4" s="1"/>
  <c r="D7" i="4" a="1"/>
  <c r="D7" i="4" s="1"/>
  <c r="O5" i="4" a="1"/>
  <c r="O5" i="4" s="1"/>
  <c r="N13" i="4" a="1"/>
  <c r="N13" i="4" s="1"/>
  <c r="J13" i="4" a="1"/>
  <c r="J13" i="4" s="1"/>
  <c r="F13" i="4" a="1"/>
  <c r="F13" i="4" s="1"/>
  <c r="B13" i="4" a="1"/>
  <c r="B13" i="4" s="1"/>
  <c r="M11" i="4" a="1"/>
  <c r="M11" i="4" s="1"/>
  <c r="P8" i="4" a="1"/>
  <c r="P8" i="4" s="1"/>
  <c r="L8" i="4" a="1"/>
  <c r="L8" i="4" s="1"/>
  <c r="H8" i="4" a="1"/>
  <c r="H8" i="4" s="1"/>
  <c r="D8" i="4" a="1"/>
  <c r="D8" i="4" s="1"/>
  <c r="O6" i="4" a="1"/>
  <c r="O6" i="4" s="1"/>
  <c r="K6" i="4" a="1"/>
  <c r="K6" i="4" s="1"/>
  <c r="G6" i="4" a="1"/>
  <c r="G6" i="4" s="1"/>
  <c r="D17" i="5"/>
  <c r="G13" i="5"/>
  <c r="H13" i="5" s="1"/>
  <c r="F17" i="5" s="1"/>
  <c r="I17" i="5" s="1"/>
  <c r="J17" i="5" s="1"/>
  <c r="K17" i="5" s="1"/>
  <c r="L17" i="5" s="1"/>
  <c r="I15" i="5"/>
  <c r="J15" i="5" s="1"/>
  <c r="K15" i="5" s="1"/>
  <c r="L15" i="5" s="1"/>
  <c r="F12" i="5"/>
  <c r="B8" i="2"/>
  <c r="B2" i="4"/>
  <c r="D10" i="4" s="1" a="1"/>
  <c r="D10" i="4" s="1"/>
  <c r="E16" i="5"/>
  <c r="G11" i="5"/>
  <c r="H11" i="5" s="1"/>
  <c r="I6" i="5"/>
  <c r="J6" i="5" s="1"/>
  <c r="F15" i="5" s="1"/>
  <c r="B7" i="2"/>
  <c r="B12" i="2" s="1"/>
  <c r="E8" i="4" l="1" a="1"/>
  <c r="E8" i="4" s="1"/>
  <c r="G13" i="4" a="1"/>
  <c r="G13" i="4" s="1"/>
  <c r="I7" i="4" a="1"/>
  <c r="I7" i="4" s="1"/>
  <c r="K12" i="4" a="1"/>
  <c r="K12" i="4" s="1"/>
  <c r="N8" i="4" a="1"/>
  <c r="N8" i="4" s="1"/>
  <c r="N18" i="4" s="1"/>
  <c r="P13" i="4" a="1"/>
  <c r="P13" i="4" s="1"/>
  <c r="O10" i="4" a="1"/>
  <c r="O10" i="4" s="1"/>
  <c r="B6" i="4" a="1"/>
  <c r="B6" i="4" s="1"/>
  <c r="D11" i="4" a="1"/>
  <c r="D11" i="4" s="1"/>
  <c r="F5" i="4" a="1"/>
  <c r="F5" i="4" s="1"/>
  <c r="H10" i="4" a="1"/>
  <c r="H10" i="4" s="1"/>
  <c r="I8" i="4" a="1"/>
  <c r="I8" i="4" s="1"/>
  <c r="K13" i="4" a="1"/>
  <c r="K13" i="4" s="1"/>
  <c r="M7" i="4" a="1"/>
  <c r="M7" i="4" s="1"/>
  <c r="O12" i="4" a="1"/>
  <c r="O12" i="4" s="1"/>
  <c r="C11" i="4" a="1"/>
  <c r="C11" i="4" s="1"/>
  <c r="I5" i="4" a="1"/>
  <c r="I5" i="4" s="1"/>
  <c r="D12" i="4" a="1"/>
  <c r="D12" i="4" s="1"/>
  <c r="D17" i="4" s="1"/>
  <c r="F6" i="4" a="1"/>
  <c r="F6" i="4" s="1"/>
  <c r="H11" i="4" a="1"/>
  <c r="H11" i="4" s="1"/>
  <c r="J5" i="4" a="1"/>
  <c r="J5" i="4" s="1"/>
  <c r="L10" i="4" a="1"/>
  <c r="L10" i="4" s="1"/>
  <c r="H7" i="4" a="1"/>
  <c r="H7" i="4" s="1"/>
  <c r="J12" i="4" a="1"/>
  <c r="J12" i="4" s="1"/>
  <c r="M8" i="4" a="1"/>
  <c r="M8" i="4" s="1"/>
  <c r="O13" i="4" a="1"/>
  <c r="O13" i="4" s="1"/>
  <c r="B10" i="4" a="1"/>
  <c r="B10" i="4" s="1"/>
  <c r="E6" i="4" a="1"/>
  <c r="E6" i="4" s="1"/>
  <c r="G11" i="4" a="1"/>
  <c r="G11" i="4" s="1"/>
  <c r="B7" i="4" a="1"/>
  <c r="B7" i="4" s="1"/>
  <c r="H12" i="4" a="1"/>
  <c r="H12" i="4" s="1"/>
  <c r="J6" i="4" a="1"/>
  <c r="J6" i="4" s="1"/>
  <c r="L11" i="4" a="1"/>
  <c r="L11" i="4" s="1"/>
  <c r="N5" i="4" a="1"/>
  <c r="N5" i="4" s="1"/>
  <c r="N15" i="4" s="1"/>
  <c r="P10" i="4" a="1"/>
  <c r="P10" i="4" s="1"/>
  <c r="L7" i="4" a="1"/>
  <c r="L7" i="4" s="1"/>
  <c r="N12" i="4" a="1"/>
  <c r="N12" i="4" s="1"/>
  <c r="B11" i="4" a="1"/>
  <c r="B11" i="4" s="1"/>
  <c r="D5" i="4" a="1"/>
  <c r="D5" i="4" s="1"/>
  <c r="D15" i="4" s="1"/>
  <c r="F10" i="4" a="1"/>
  <c r="F10" i="4" s="1"/>
  <c r="I6" i="4" a="1"/>
  <c r="I6" i="4" s="1"/>
  <c r="K11" i="4" a="1"/>
  <c r="K11" i="4" s="1"/>
  <c r="J7" i="4" a="1"/>
  <c r="J7" i="4" s="1"/>
  <c r="L12" i="4" a="1"/>
  <c r="L12" i="4" s="1"/>
  <c r="N6" i="4" a="1"/>
  <c r="N6" i="4" s="1"/>
  <c r="P11" i="4" a="1"/>
  <c r="P11" i="4" s="1"/>
  <c r="C7" i="4" a="1"/>
  <c r="C7" i="4" s="1"/>
  <c r="E12" i="4" a="1"/>
  <c r="E12" i="4" s="1"/>
  <c r="P7" i="4" a="1"/>
  <c r="P7" i="4" s="1"/>
  <c r="D6" i="4" a="1"/>
  <c r="D6" i="4" s="1"/>
  <c r="D16" i="4" s="1"/>
  <c r="F11" i="4" a="1"/>
  <c r="F11" i="4" s="1"/>
  <c r="H5" i="4" a="1"/>
  <c r="H5" i="4" s="1"/>
  <c r="H15" i="4" s="1"/>
  <c r="J10" i="4" a="1"/>
  <c r="J10" i="4" s="1"/>
  <c r="M6" i="4" a="1"/>
  <c r="M6" i="4" s="1"/>
  <c r="M16" i="4" s="1"/>
  <c r="O11" i="4" a="1"/>
  <c r="O11" i="4" s="1"/>
  <c r="O16" i="4" s="1"/>
  <c r="N7" i="4" a="1"/>
  <c r="N7" i="4" s="1"/>
  <c r="N17" i="4" s="1"/>
  <c r="P12" i="4" a="1"/>
  <c r="P12" i="4" s="1"/>
  <c r="C8" i="4" a="1"/>
  <c r="C8" i="4" s="1"/>
  <c r="E13" i="4" a="1"/>
  <c r="E13" i="4" s="1"/>
  <c r="G7" i="4" a="1"/>
  <c r="G7" i="4" s="1"/>
  <c r="I12" i="4" a="1"/>
  <c r="I12" i="4" s="1"/>
  <c r="P18" i="4"/>
  <c r="C5" i="4" a="1"/>
  <c r="C5" i="4" s="1"/>
  <c r="E10" i="4" a="1"/>
  <c r="E10" i="4" s="1"/>
  <c r="H6" i="4" a="1"/>
  <c r="H6" i="4" s="1"/>
  <c r="H16" i="4" s="1"/>
  <c r="J11" i="4" a="1"/>
  <c r="J11" i="4" s="1"/>
  <c r="L5" i="4" a="1"/>
  <c r="L5" i="4" s="1"/>
  <c r="L15" i="4" s="1"/>
  <c r="N10" i="4" a="1"/>
  <c r="N10" i="4" s="1"/>
  <c r="B8" i="4" a="1"/>
  <c r="B8" i="4" s="1"/>
  <c r="D13" i="4" a="1"/>
  <c r="D13" i="4" s="1"/>
  <c r="Q13" i="4" s="1"/>
  <c r="C10" i="4" a="1"/>
  <c r="C10" i="4" s="1"/>
  <c r="E5" i="4" a="1"/>
  <c r="E5" i="4" s="1"/>
  <c r="E15" i="4" s="1"/>
  <c r="G8" i="4" a="1"/>
  <c r="G8" i="4" s="1"/>
  <c r="G18" i="4" s="1"/>
  <c r="I13" i="4" a="1"/>
  <c r="I13" i="4" s="1"/>
  <c r="K7" i="4" a="1"/>
  <c r="K7" i="4" s="1"/>
  <c r="K17" i="4" s="1"/>
  <c r="M12" i="4" a="1"/>
  <c r="M12" i="4" s="1"/>
  <c r="K16" i="4"/>
  <c r="O15" i="4"/>
  <c r="C6" i="4" a="1"/>
  <c r="C6" i="4" s="1"/>
  <c r="C16" i="4" s="1"/>
  <c r="E11" i="4" a="1"/>
  <c r="E11" i="4" s="1"/>
  <c r="G5" i="4" a="1"/>
  <c r="G5" i="4" s="1"/>
  <c r="I10" i="4" a="1"/>
  <c r="I10" i="4" s="1"/>
  <c r="L6" i="4" a="1"/>
  <c r="L6" i="4" s="1"/>
  <c r="L16" i="4" s="1"/>
  <c r="N11" i="4" a="1"/>
  <c r="N11" i="4" s="1"/>
  <c r="P5" i="4" a="1"/>
  <c r="P5" i="4" s="1"/>
  <c r="P15" i="4" s="1"/>
  <c r="C12" i="4" a="1"/>
  <c r="C12" i="4" s="1"/>
  <c r="Q12" i="4" s="1"/>
  <c r="F8" i="4" a="1"/>
  <c r="F8" i="4" s="1"/>
  <c r="F18" i="4" s="1"/>
  <c r="H13" i="4" a="1"/>
  <c r="H13" i="4" s="1"/>
  <c r="H18" i="4" s="1"/>
  <c r="G10" i="4" a="1"/>
  <c r="G10" i="4" s="1"/>
  <c r="M5" i="4" a="1"/>
  <c r="M5" i="4" s="1"/>
  <c r="M15" i="4" s="1"/>
  <c r="K8" i="4" a="1"/>
  <c r="K8" i="4" s="1"/>
  <c r="K18" i="4" s="1"/>
  <c r="M13" i="4" a="1"/>
  <c r="M13" i="4" s="1"/>
  <c r="O7" i="4" a="1"/>
  <c r="O7" i="4" s="1"/>
  <c r="O17" i="4" s="1"/>
  <c r="D16" i="5"/>
  <c r="G12" i="5"/>
  <c r="H12" i="5" s="1"/>
  <c r="F16" i="5" s="1"/>
  <c r="G16" i="4"/>
  <c r="I11" i="4" a="1"/>
  <c r="I11" i="4" s="1"/>
  <c r="K5" i="4" a="1"/>
  <c r="K5" i="4" s="1"/>
  <c r="K15" i="4" s="1"/>
  <c r="M10" i="4" a="1"/>
  <c r="M10" i="4" s="1"/>
  <c r="P6" i="4" a="1"/>
  <c r="P6" i="4" s="1"/>
  <c r="P16" i="4" s="1"/>
  <c r="C13" i="4" a="1"/>
  <c r="C13" i="4" s="1"/>
  <c r="E7" i="4" a="1"/>
  <c r="E7" i="4" s="1"/>
  <c r="E17" i="4" s="1"/>
  <c r="G12" i="4" a="1"/>
  <c r="G12" i="4" s="1"/>
  <c r="J8" i="4" a="1"/>
  <c r="J8" i="4" s="1"/>
  <c r="J18" i="4" s="1"/>
  <c r="L13" i="4" a="1"/>
  <c r="L13" i="4" s="1"/>
  <c r="L18" i="4" s="1"/>
  <c r="K10" i="4" a="1"/>
  <c r="K10" i="4" s="1"/>
  <c r="F7" i="4" a="1"/>
  <c r="F7" i="4" s="1"/>
  <c r="F17" i="4" s="1"/>
  <c r="O8" i="4" a="1"/>
  <c r="O8" i="4" s="1"/>
  <c r="O18" i="4" s="1"/>
  <c r="B5" i="4" a="1"/>
  <c r="B5" i="4" s="1"/>
  <c r="B18" i="4" l="1"/>
  <c r="Q8" i="4"/>
  <c r="F2" i="4" s="1"/>
  <c r="D18" i="4"/>
  <c r="C17" i="4"/>
  <c r="H17" i="4"/>
  <c r="Q11" i="4"/>
  <c r="B17" i="4"/>
  <c r="Q17" i="4" s="1"/>
  <c r="Q7" i="4"/>
  <c r="E2" i="4" s="1"/>
  <c r="M17" i="4"/>
  <c r="N16" i="4"/>
  <c r="J15" i="4"/>
  <c r="G17" i="4"/>
  <c r="L17" i="4"/>
  <c r="E16" i="4"/>
  <c r="I18" i="4"/>
  <c r="B15" i="4"/>
  <c r="Q15" i="4" s="1"/>
  <c r="Q5" i="4"/>
  <c r="J17" i="4"/>
  <c r="Q10" i="4"/>
  <c r="F16" i="4"/>
  <c r="I17" i="4"/>
  <c r="C18" i="4"/>
  <c r="F15" i="4"/>
  <c r="G15" i="4"/>
  <c r="I16" i="5"/>
  <c r="J16" i="5" s="1"/>
  <c r="K16" i="5" s="1"/>
  <c r="L16" i="5" s="1"/>
  <c r="C15" i="4"/>
  <c r="P17" i="4"/>
  <c r="I16" i="4"/>
  <c r="M18" i="4"/>
  <c r="I15" i="4"/>
  <c r="E18" i="4"/>
  <c r="J16" i="4"/>
  <c r="B16" i="4"/>
  <c r="Q6" i="4"/>
  <c r="D2" i="4" l="1"/>
  <c r="Q16" i="4"/>
  <c r="C2" i="4"/>
  <c r="Q18" i="4"/>
</calcChain>
</file>

<file path=xl/sharedStrings.xml><?xml version="1.0" encoding="utf-8"?>
<sst xmlns="http://schemas.openxmlformats.org/spreadsheetml/2006/main" count="35672" uniqueCount="7003">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</sst>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A99-4460-9476-4EDF35B062C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DA99-4460-9476-4EDF35B062C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A99-4460-9476-4EDF35B062C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DA99-4460-9476-4EDF35B062C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3" width="12.6640625" style="88" customWidth="1"/>
    <col min="3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4" width="8.88671875" style="7" customWidth="1"/>
    <col min="13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6" width="8.88671875" style="27" customWidth="1"/>
    <col min="12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7" width="8.88671875" style="51" customWidth="1"/>
    <col min="49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16</v>
      </c>
      <c r="F2" s="53">
        <f ca="1">Q8+Q13</f>
        <v>21</v>
      </c>
      <c r="G2" s="54"/>
      <c r="S2" s="54">
        <f ca="1">TODAY()</f>
        <v>46240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1</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16</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1</v>
      </c>
      <c r="J18" s="53">
        <f t="shared" ca="1" si="3"/>
        <v>2</v>
      </c>
      <c r="K18" s="53">
        <f t="shared" ca="1" si="3"/>
        <v>0</v>
      </c>
      <c r="L18" s="53">
        <f t="shared" ca="1" si="3"/>
        <v>0</v>
      </c>
      <c r="M18" s="53">
        <f t="shared" ca="1" si="3"/>
        <v>0</v>
      </c>
      <c r="N18" s="53">
        <f t="shared" ca="1" si="3"/>
        <v>0</v>
      </c>
      <c r="O18" s="53">
        <f t="shared" ca="1" si="3"/>
        <v>0</v>
      </c>
      <c r="P18" s="53">
        <f t="shared" ca="1" si="3"/>
        <v>0</v>
      </c>
      <c r="Q18" s="53">
        <f ca="1">SUM(B18:P18)</f>
        <v>21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2" width="8.88671875" style="9" customWidth="1"/>
    <col min="14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115</v>
      </c>
      <c r="E12" s="10">
        <f ca="1">ROUND(D12/MONTH(TODAY()),2)</f>
        <v>14.38</v>
      </c>
      <c r="F12" s="9">
        <f ca="1">C12+E12</f>
        <v>14.510000000000002</v>
      </c>
      <c r="G12" s="9">
        <f ca="1">ROUND(F12/21,2)</f>
        <v>0.69</v>
      </c>
      <c r="H12" s="9">
        <f ca="1">ROUND((G12*15),2)</f>
        <v>10.35</v>
      </c>
      <c r="I12" s="10"/>
      <c r="J12" s="10"/>
      <c r="L12" s="10"/>
    </row>
    <row r="13" spans="1:16" ht="21.6" customHeight="1">
      <c r="A13" s="32" t="s">
        <v>543</v>
      </c>
      <c r="B13" s="10">
        <f>COUNTIFS(MFP!E:E,A8,MFP!O:O,"維修")</f>
        <v>4</v>
      </c>
      <c r="C13" s="10">
        <f ca="1">ROUND(B13/MONTH(TODAY()),2)</f>
        <v>0.5</v>
      </c>
      <c r="D13" s="9">
        <f>COUNTIFS(IM!S:S,A13,IM!B:B,"維修")</f>
        <v>155</v>
      </c>
      <c r="E13" s="10">
        <f ca="1">ROUND(D13/MONTH(TODAY()),2)</f>
        <v>19.38</v>
      </c>
      <c r="F13" s="9">
        <f ca="1">C13+E13</f>
        <v>19.88</v>
      </c>
      <c r="G13" s="9">
        <f ca="1">ROUND(F13/21,2)</f>
        <v>0.95</v>
      </c>
      <c r="H13" s="9">
        <f ca="1">ROUND((G13*15),2)</f>
        <v>14.25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652.95000000000005</v>
      </c>
      <c r="E16" s="9">
        <f ca="1">ROUND(D3*H7,2)</f>
        <v>252.75</v>
      </c>
      <c r="F16" s="9">
        <f ca="1">(J7*20)+(H12*20)+(60*20)</f>
        <v>2130</v>
      </c>
      <c r="G16" s="9">
        <f>COUNTIFS(IM!S:S,A7,IM!AE:AE,"o")*$E$3</f>
        <v>5940</v>
      </c>
      <c r="I16" s="9">
        <f ca="1">ROUND(SUM(B16:H16),2)</f>
        <v>9225.1</v>
      </c>
      <c r="J16" s="9">
        <f ca="1">ROUND(I16/20,2)</f>
        <v>461.26</v>
      </c>
      <c r="K16" s="9">
        <f ca="1">ROUND(J16/60,2)</f>
        <v>7.69</v>
      </c>
      <c r="L16" s="9">
        <f ca="1">8-K16</f>
        <v>0.30999999999999961</v>
      </c>
      <c r="O16" s="9" t="s">
        <v>1093</v>
      </c>
      <c r="P16" s="9">
        <v>60</v>
      </c>
    </row>
    <row r="17" spans="1:16" ht="21.6" customHeight="1">
      <c r="A17" s="32" t="s">
        <v>543</v>
      </c>
      <c r="B17" s="9">
        <f ca="1">ROUND($A$3*E8,2)</f>
        <v>35.65</v>
      </c>
      <c r="C17" s="9">
        <f ca="1">ROUND($B$3*F8,2)</f>
        <v>558.75</v>
      </c>
      <c r="D17" s="9">
        <f ca="1">F13*C3</f>
        <v>894.59999999999991</v>
      </c>
      <c r="E17" s="9">
        <f ca="1">ROUND(D3*H8,2)</f>
        <v>398.55</v>
      </c>
      <c r="F17" s="9">
        <f ca="1">(J8*20)+(H13*20)+(30*20)</f>
        <v>2025</v>
      </c>
      <c r="G17" s="9">
        <f>COUNTIFS(IM!S:S,A8,IM!AE:AE,"o")*$E$3</f>
        <v>4320</v>
      </c>
      <c r="I17" s="9">
        <f ca="1">ROUND(SUM(B17:H17),2)</f>
        <v>8232.5499999999993</v>
      </c>
      <c r="J17" s="9">
        <f ca="1">ROUND(I17/20,2)</f>
        <v>411.63</v>
      </c>
      <c r="K17" s="9">
        <f ca="1">ROUND(J17/60,2)</f>
        <v>6.86</v>
      </c>
      <c r="L17" s="9">
        <f ca="1">8-K17</f>
        <v>1.1399999999999997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2" width="13.77734375" style="8" customWidth="1"/>
    <col min="11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9" width="13.77734375" style="1" customWidth="1"/>
    <col min="13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4" width="8.88671875" style="13" customWidth="1"/>
    <col min="13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6" width="8.88671875" style="13" customWidth="1"/>
    <col min="157"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3">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3">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3">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3">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3">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3">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3">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3">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3">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3">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3">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3">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3">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097" si="34">DATEVALUE(TEXT(I1090, "yyyy/mm/dd"))</f>
        <v>46239</v>
      </c>
      <c r="AM1090">
        <f t="shared" ref="AM1090:AM1097"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3">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3">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3">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3">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3">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3">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3">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7001</v>
      </c>
    </row>
    <row r="2" spans="1:10" ht="31.2" customHeight="1">
      <c r="A2" s="33" t="s">
        <v>7001</v>
      </c>
      <c r="B2" s="34" t="s">
        <v>1</v>
      </c>
      <c r="C2" s="34" t="s">
        <v>7002</v>
      </c>
      <c r="D2" s="34" t="s">
        <v>2</v>
      </c>
      <c r="E2" s="34" t="s">
        <v>0</v>
      </c>
      <c r="F2" s="34" t="s">
        <v>7002</v>
      </c>
      <c r="I2" s="26" t="s">
        <v>798</v>
      </c>
      <c r="J2" s="34" t="s">
        <v>1</v>
      </c>
    </row>
    <row r="3" spans="1:10" ht="15.6" customHeight="1">
      <c r="I3" s="26" t="s">
        <v>1113</v>
      </c>
      <c r="J3" s="34" t="s">
        <v>7002</v>
      </c>
    </row>
    <row r="4" spans="1:10" ht="31.2" customHeight="1">
      <c r="I4" s="26" t="s">
        <v>793</v>
      </c>
      <c r="J4" s="34" t="s">
        <v>2</v>
      </c>
    </row>
    <row r="5" spans="1:10" ht="31.2" customHeight="1">
      <c r="I5" s="26" t="s">
        <v>792</v>
      </c>
      <c r="J5" s="34" t="s">
        <v>0</v>
      </c>
    </row>
    <row r="6" spans="1:10" ht="31.2" customHeight="1">
      <c r="I6" s="26" t="s">
        <v>1114</v>
      </c>
      <c r="J6" s="34" t="s">
        <v>7002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2026-08-06T07:52:46Z</dcterms:modified>
</cp:coreProperties>
</file>