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DE556DD-DB04-4CE3-B3B6-0F09BA0C5119}"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38" i="9" l="1"/>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B9" i="7" s="1"/>
  <c r="H9" i="7"/>
  <c r="G9" i="7"/>
  <c r="F9" i="7"/>
  <c r="E9" i="7"/>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B2" i="7" s="1"/>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B9" i="5" s="1"/>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G7" i="4" s="1"/>
  <c r="C2" i="5"/>
  <c r="B2" i="5" s="1"/>
  <c r="P27" i="4"/>
  <c r="N21" i="4"/>
  <c r="G17" i="4"/>
  <c r="C17" i="4"/>
  <c r="B17" i="4"/>
  <c r="G16" i="4"/>
  <c r="G15" i="4"/>
  <c r="D13" i="4"/>
  <c r="E13" i="4" s="1"/>
  <c r="C13" i="4"/>
  <c r="B13" i="4"/>
  <c r="D12" i="4"/>
  <c r="E12" i="4" s="1"/>
  <c r="B12" i="4"/>
  <c r="C12" i="4" s="1"/>
  <c r="E11" i="4"/>
  <c r="D11" i="4"/>
  <c r="B11" i="4"/>
  <c r="C11" i="4" s="1"/>
  <c r="F11" i="4" s="1"/>
  <c r="G8" i="4"/>
  <c r="H8" i="4" s="1"/>
  <c r="F8" i="4"/>
  <c r="E8" i="4"/>
  <c r="C8" i="4"/>
  <c r="F7" i="4"/>
  <c r="C16" i="4" s="1"/>
  <c r="E7" i="4"/>
  <c r="B16" i="4" s="1"/>
  <c r="C7" i="4"/>
  <c r="H6" i="4"/>
  <c r="E15" i="4" s="1"/>
  <c r="G6" i="4"/>
  <c r="F6" i="4"/>
  <c r="C15" i="4" s="1"/>
  <c r="E6" i="4"/>
  <c r="B15" i="4" s="1"/>
  <c r="C6" i="4"/>
  <c r="S2" i="3"/>
  <c r="B2" i="3"/>
  <c r="F10" i="3" s="1" a="1"/>
  <c r="F10" i="3" s="1"/>
  <c r="A2" i="3"/>
  <c r="O12" i="3" s="1" a="1"/>
  <c r="O12" i="3" s="1"/>
  <c r="T11" i="1"/>
  <c r="S11" i="1"/>
  <c r="R11" i="1"/>
  <c r="Q11" i="1"/>
  <c r="P11" i="1"/>
  <c r="O11" i="1"/>
  <c r="N11" i="1"/>
  <c r="M11" i="1"/>
  <c r="L11" i="1"/>
  <c r="K11" i="1"/>
  <c r="J11" i="1"/>
  <c r="I11" i="1"/>
  <c r="H11" i="1"/>
  <c r="G11" i="1"/>
  <c r="F11" i="1"/>
  <c r="E11" i="1"/>
  <c r="D11" i="1"/>
  <c r="C11" i="1"/>
  <c r="B11" i="1" s="1"/>
  <c r="T10" i="1"/>
  <c r="S10" i="1"/>
  <c r="R10" i="1"/>
  <c r="Q10" i="1"/>
  <c r="P10" i="1"/>
  <c r="O10" i="1"/>
  <c r="N10" i="1"/>
  <c r="N12" i="1" s="1"/>
  <c r="M10" i="1"/>
  <c r="L10" i="1"/>
  <c r="K10" i="1"/>
  <c r="J10" i="1"/>
  <c r="I10" i="1"/>
  <c r="H10" i="1"/>
  <c r="G10" i="1"/>
  <c r="F10" i="1"/>
  <c r="F12" i="1" s="1"/>
  <c r="E10" i="1"/>
  <c r="D10" i="1"/>
  <c r="C10" i="1"/>
  <c r="B10" i="1" s="1"/>
  <c r="T9" i="1"/>
  <c r="S9" i="1"/>
  <c r="R9" i="1"/>
  <c r="Q9" i="1"/>
  <c r="Q12" i="1" s="1"/>
  <c r="P9" i="1"/>
  <c r="O9" i="1"/>
  <c r="N9" i="1"/>
  <c r="M9" i="1"/>
  <c r="L9" i="1"/>
  <c r="K9" i="1"/>
  <c r="J9" i="1"/>
  <c r="I9" i="1"/>
  <c r="H9" i="1"/>
  <c r="G9" i="1"/>
  <c r="B9" i="1" s="1"/>
  <c r="F9" i="1"/>
  <c r="E9" i="1"/>
  <c r="D9" i="1"/>
  <c r="C9" i="1"/>
  <c r="T8" i="1"/>
  <c r="S8" i="1"/>
  <c r="R8" i="1"/>
  <c r="Q8" i="1"/>
  <c r="P8" i="1"/>
  <c r="O8" i="1"/>
  <c r="N8" i="1"/>
  <c r="M8" i="1"/>
  <c r="L8" i="1"/>
  <c r="K8" i="1"/>
  <c r="J8" i="1"/>
  <c r="I8" i="1"/>
  <c r="I12" i="1" s="1"/>
  <c r="H8" i="1"/>
  <c r="G8" i="1"/>
  <c r="F8" i="1"/>
  <c r="E8" i="1"/>
  <c r="D8" i="1"/>
  <c r="B8" i="1" s="1"/>
  <c r="C8" i="1"/>
  <c r="T7" i="1"/>
  <c r="T12" i="1" s="1"/>
  <c r="S7" i="1"/>
  <c r="S12" i="1" s="1"/>
  <c r="R7" i="1"/>
  <c r="R12" i="1" s="1"/>
  <c r="Q7" i="1"/>
  <c r="P7" i="1"/>
  <c r="P12" i="1" s="1"/>
  <c r="O7" i="1"/>
  <c r="O12" i="1" s="1"/>
  <c r="N7" i="1"/>
  <c r="M7" i="1"/>
  <c r="M12" i="1" s="1"/>
  <c r="L7" i="1"/>
  <c r="L12" i="1" s="1"/>
  <c r="K7" i="1"/>
  <c r="K12" i="1" s="1"/>
  <c r="J7" i="1"/>
  <c r="J12" i="1" s="1"/>
  <c r="I7" i="1"/>
  <c r="H7" i="1"/>
  <c r="H12" i="1" s="1"/>
  <c r="G7" i="1"/>
  <c r="G12" i="1" s="1"/>
  <c r="F7" i="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E2" i="1"/>
  <c r="B2" i="1" s="1"/>
  <c r="D2" i="1"/>
  <c r="C2" i="1"/>
  <c r="F13" i="4" l="1"/>
  <c r="I8" i="4"/>
  <c r="J8" i="4" s="1"/>
  <c r="E17" i="4"/>
  <c r="B11" i="5"/>
  <c r="B11" i="6"/>
  <c r="H7" i="4"/>
  <c r="D15" i="4"/>
  <c r="I15" i="4" s="1"/>
  <c r="J15" i="4" s="1"/>
  <c r="K15" i="4" s="1"/>
  <c r="G11" i="4"/>
  <c r="H11" i="4" s="1"/>
  <c r="F12" i="4"/>
  <c r="E6" i="3" a="1"/>
  <c r="E6" i="3" s="1"/>
  <c r="I6" i="3" a="1"/>
  <c r="I6" i="3" s="1"/>
  <c r="M6" i="3" a="1"/>
  <c r="M6" i="3" s="1"/>
  <c r="B8" i="3" a="1"/>
  <c r="B8" i="3" s="1"/>
  <c r="F8" i="3" a="1"/>
  <c r="F8" i="3" s="1"/>
  <c r="J8" i="3" a="1"/>
  <c r="J8" i="3" s="1"/>
  <c r="N8" i="3" a="1"/>
  <c r="N8" i="3" s="1"/>
  <c r="C11" i="3" a="1"/>
  <c r="C11" i="3" s="1"/>
  <c r="G11" i="3" a="1"/>
  <c r="G11" i="3" s="1"/>
  <c r="K11" i="3" a="1"/>
  <c r="K11" i="3" s="1"/>
  <c r="O11" i="3" a="1"/>
  <c r="O11" i="3" s="1"/>
  <c r="D13" i="3" a="1"/>
  <c r="D13" i="3" s="1"/>
  <c r="H13" i="3" a="1"/>
  <c r="H13" i="3" s="1"/>
  <c r="L13" i="3" a="1"/>
  <c r="L13" i="3" s="1"/>
  <c r="P13" i="3" a="1"/>
  <c r="P13" i="3" s="1"/>
  <c r="B7" i="1"/>
  <c r="B12" i="1" s="1"/>
  <c r="E5" i="3" a="1"/>
  <c r="E5" i="3" s="1"/>
  <c r="I5" i="3" a="1"/>
  <c r="I5" i="3" s="1"/>
  <c r="M5" i="3" a="1"/>
  <c r="M5" i="3" s="1"/>
  <c r="B7" i="3" a="1"/>
  <c r="B7" i="3" s="1"/>
  <c r="F7" i="3" a="1"/>
  <c r="F7" i="3" s="1"/>
  <c r="J7" i="3" a="1"/>
  <c r="J7" i="3" s="1"/>
  <c r="N7" i="3" a="1"/>
  <c r="N7" i="3" s="1"/>
  <c r="C10" i="3" a="1"/>
  <c r="C10" i="3" s="1"/>
  <c r="G10" i="3" a="1"/>
  <c r="G10" i="3" s="1"/>
  <c r="K10" i="3" a="1"/>
  <c r="K10" i="3" s="1"/>
  <c r="O10" i="3" a="1"/>
  <c r="O10" i="3" s="1"/>
  <c r="D12" i="3" a="1"/>
  <c r="D12" i="3" s="1"/>
  <c r="H12" i="3" a="1"/>
  <c r="H12" i="3" s="1"/>
  <c r="L12" i="3" a="1"/>
  <c r="L12" i="3" s="1"/>
  <c r="P12" i="3" a="1"/>
  <c r="P12" i="3" s="1"/>
  <c r="B6" i="3" a="1"/>
  <c r="B6" i="3" s="1"/>
  <c r="F6" i="3" a="1"/>
  <c r="F6" i="3" s="1"/>
  <c r="J6" i="3" a="1"/>
  <c r="J6" i="3" s="1"/>
  <c r="N6" i="3" a="1"/>
  <c r="N6" i="3" s="1"/>
  <c r="C8" i="3" a="1"/>
  <c r="C8" i="3" s="1"/>
  <c r="G8" i="3" a="1"/>
  <c r="G8" i="3" s="1"/>
  <c r="K8" i="3" a="1"/>
  <c r="K8" i="3" s="1"/>
  <c r="O8" i="3" a="1"/>
  <c r="O8" i="3" s="1"/>
  <c r="D11" i="3" a="1"/>
  <c r="D11" i="3" s="1"/>
  <c r="H11" i="3" a="1"/>
  <c r="H11" i="3" s="1"/>
  <c r="L11" i="3" a="1"/>
  <c r="L11" i="3" s="1"/>
  <c r="P11" i="3" a="1"/>
  <c r="P11" i="3" s="1"/>
  <c r="E13" i="3" a="1"/>
  <c r="E13" i="3" s="1"/>
  <c r="I13" i="3" a="1"/>
  <c r="I13" i="3" s="1"/>
  <c r="M13" i="3" a="1"/>
  <c r="M13" i="3" s="1"/>
  <c r="B5" i="3" a="1"/>
  <c r="B5" i="3" s="1"/>
  <c r="F5" i="3" a="1"/>
  <c r="F5" i="3" s="1"/>
  <c r="F15" i="3" s="1"/>
  <c r="J5" i="3" a="1"/>
  <c r="J5" i="3" s="1"/>
  <c r="N5" i="3" a="1"/>
  <c r="N5" i="3" s="1"/>
  <c r="C7" i="3" a="1"/>
  <c r="C7" i="3" s="1"/>
  <c r="G7" i="3" a="1"/>
  <c r="G7" i="3" s="1"/>
  <c r="K7" i="3" a="1"/>
  <c r="K7" i="3" s="1"/>
  <c r="O7" i="3" a="1"/>
  <c r="O7" i="3" s="1"/>
  <c r="O17" i="3" s="1"/>
  <c r="D10" i="3" a="1"/>
  <c r="D10" i="3" s="1"/>
  <c r="H10" i="3" a="1"/>
  <c r="H10" i="3" s="1"/>
  <c r="L10" i="3" a="1"/>
  <c r="L10" i="3" s="1"/>
  <c r="P10" i="3" a="1"/>
  <c r="P10" i="3" s="1"/>
  <c r="E12" i="3" a="1"/>
  <c r="E12" i="3" s="1"/>
  <c r="I12" i="3" a="1"/>
  <c r="I12" i="3" s="1"/>
  <c r="M12" i="3" a="1"/>
  <c r="M12" i="3" s="1"/>
  <c r="C6" i="3" a="1"/>
  <c r="C6" i="3" s="1"/>
  <c r="C16" i="3" s="1"/>
  <c r="G6" i="3" a="1"/>
  <c r="G6" i="3" s="1"/>
  <c r="G16" i="3" s="1"/>
  <c r="K6" i="3" a="1"/>
  <c r="K6" i="3" s="1"/>
  <c r="K16" i="3" s="1"/>
  <c r="O6" i="3" a="1"/>
  <c r="O6" i="3" s="1"/>
  <c r="O16" i="3" s="1"/>
  <c r="D8" i="3" a="1"/>
  <c r="D8" i="3" s="1"/>
  <c r="H8" i="3" a="1"/>
  <c r="H8" i="3" s="1"/>
  <c r="H18" i="3" s="1"/>
  <c r="L8" i="3" a="1"/>
  <c r="L8" i="3" s="1"/>
  <c r="L18" i="3" s="1"/>
  <c r="P8" i="3" a="1"/>
  <c r="P8" i="3" s="1"/>
  <c r="P18" i="3" s="1"/>
  <c r="E11" i="3" a="1"/>
  <c r="E11" i="3" s="1"/>
  <c r="I11" i="3" a="1"/>
  <c r="I11" i="3" s="1"/>
  <c r="M11" i="3" a="1"/>
  <c r="M11" i="3" s="1"/>
  <c r="B13" i="3" a="1"/>
  <c r="B13" i="3" s="1"/>
  <c r="F13" i="3" a="1"/>
  <c r="F13" i="3" s="1"/>
  <c r="J13" i="3" a="1"/>
  <c r="J13" i="3" s="1"/>
  <c r="N13" i="3" a="1"/>
  <c r="N13" i="3" s="1"/>
  <c r="C5" i="3" a="1"/>
  <c r="C5" i="3" s="1"/>
  <c r="C15" i="3" s="1"/>
  <c r="G5" i="3" a="1"/>
  <c r="G5" i="3" s="1"/>
  <c r="G15" i="3" s="1"/>
  <c r="K5" i="3" a="1"/>
  <c r="K5" i="3" s="1"/>
  <c r="K15" i="3" s="1"/>
  <c r="O5" i="3" a="1"/>
  <c r="O5" i="3" s="1"/>
  <c r="O15" i="3" s="1"/>
  <c r="D7" i="3" a="1"/>
  <c r="D7" i="3" s="1"/>
  <c r="H7" i="3" a="1"/>
  <c r="H7" i="3" s="1"/>
  <c r="L7" i="3" a="1"/>
  <c r="L7" i="3" s="1"/>
  <c r="L17" i="3" s="1"/>
  <c r="P7" i="3" a="1"/>
  <c r="P7" i="3" s="1"/>
  <c r="P17" i="3" s="1"/>
  <c r="E10" i="3" a="1"/>
  <c r="E10" i="3" s="1"/>
  <c r="I10" i="3" a="1"/>
  <c r="I10" i="3" s="1"/>
  <c r="M10" i="3" a="1"/>
  <c r="M10" i="3" s="1"/>
  <c r="B12" i="3" a="1"/>
  <c r="B12" i="3" s="1"/>
  <c r="F12" i="3" a="1"/>
  <c r="F12" i="3" s="1"/>
  <c r="J12" i="3" a="1"/>
  <c r="J12" i="3" s="1"/>
  <c r="N12" i="3" a="1"/>
  <c r="N12" i="3" s="1"/>
  <c r="D6" i="3" a="1"/>
  <c r="D6" i="3" s="1"/>
  <c r="D16" i="3" s="1"/>
  <c r="H6" i="3" a="1"/>
  <c r="H6" i="3" s="1"/>
  <c r="H16" i="3" s="1"/>
  <c r="L6" i="3" a="1"/>
  <c r="L6" i="3" s="1"/>
  <c r="L16" i="3" s="1"/>
  <c r="P6" i="3" a="1"/>
  <c r="P6" i="3" s="1"/>
  <c r="P16" i="3" s="1"/>
  <c r="E8" i="3" a="1"/>
  <c r="E8" i="3" s="1"/>
  <c r="I8" i="3" a="1"/>
  <c r="I8" i="3" s="1"/>
  <c r="M8" i="3" a="1"/>
  <c r="M8" i="3" s="1"/>
  <c r="B11" i="3" a="1"/>
  <c r="B11" i="3" s="1"/>
  <c r="F11" i="3" a="1"/>
  <c r="F11" i="3" s="1"/>
  <c r="J11" i="3" a="1"/>
  <c r="J11" i="3" s="1"/>
  <c r="N11" i="3" a="1"/>
  <c r="N11" i="3" s="1"/>
  <c r="C13" i="3" a="1"/>
  <c r="C13" i="3" s="1"/>
  <c r="G13" i="3" a="1"/>
  <c r="G13" i="3" s="1"/>
  <c r="K13" i="3" a="1"/>
  <c r="K13" i="3" s="1"/>
  <c r="O13" i="3" a="1"/>
  <c r="O13" i="3" s="1"/>
  <c r="D5" i="3" a="1"/>
  <c r="D5" i="3" s="1"/>
  <c r="D15" i="3" s="1"/>
  <c r="H5" i="3" a="1"/>
  <c r="H5" i="3" s="1"/>
  <c r="H15" i="3" s="1"/>
  <c r="L5" i="3" a="1"/>
  <c r="L5" i="3" s="1"/>
  <c r="L15" i="3" s="1"/>
  <c r="P5" i="3" a="1"/>
  <c r="P5" i="3" s="1"/>
  <c r="P15" i="3" s="1"/>
  <c r="E7" i="3" a="1"/>
  <c r="E7" i="3" s="1"/>
  <c r="E17" i="3" s="1"/>
  <c r="I7" i="3" a="1"/>
  <c r="I7" i="3" s="1"/>
  <c r="M7" i="3" a="1"/>
  <c r="M7" i="3" s="1"/>
  <c r="B10" i="3" a="1"/>
  <c r="B10" i="3" s="1"/>
  <c r="J10" i="3" a="1"/>
  <c r="J10" i="3" s="1"/>
  <c r="N10" i="3" a="1"/>
  <c r="N10" i="3" s="1"/>
  <c r="C12" i="3" a="1"/>
  <c r="C12" i="3" s="1"/>
  <c r="G12" i="3" a="1"/>
  <c r="G12" i="3" s="1"/>
  <c r="K12" i="3" a="1"/>
  <c r="K12" i="3" s="1"/>
  <c r="I6" i="4"/>
  <c r="J6" i="4" s="1"/>
  <c r="F15" i="4" s="1"/>
  <c r="C18" i="3" l="1"/>
  <c r="Q7" i="3"/>
  <c r="B17" i="3"/>
  <c r="Q8" i="3"/>
  <c r="B18" i="3"/>
  <c r="C17" i="3"/>
  <c r="N16" i="3"/>
  <c r="M15" i="3"/>
  <c r="M16" i="3"/>
  <c r="M18" i="3"/>
  <c r="H17" i="3"/>
  <c r="D18" i="3"/>
  <c r="N15" i="3"/>
  <c r="J16" i="3"/>
  <c r="I15" i="3"/>
  <c r="I16" i="3"/>
  <c r="I7" i="4"/>
  <c r="J7" i="4" s="1"/>
  <c r="E16" i="4"/>
  <c r="I18" i="3"/>
  <c r="D17" i="3"/>
  <c r="Q13" i="3"/>
  <c r="J15" i="3"/>
  <c r="F16" i="3"/>
  <c r="E15" i="3"/>
  <c r="E16" i="3"/>
  <c r="G17" i="3"/>
  <c r="Q11" i="3"/>
  <c r="Q10" i="3"/>
  <c r="M17" i="3"/>
  <c r="I17" i="3"/>
  <c r="E18" i="3"/>
  <c r="Q12" i="3"/>
  <c r="Q6" i="3"/>
  <c r="B16" i="3"/>
  <c r="D16" i="4"/>
  <c r="G12" i="4"/>
  <c r="H12" i="4" s="1"/>
  <c r="B15" i="3"/>
  <c r="Q5" i="3"/>
  <c r="O18" i="3"/>
  <c r="N17" i="3"/>
  <c r="N18" i="3"/>
  <c r="K18" i="3"/>
  <c r="J17" i="3"/>
  <c r="J18" i="3"/>
  <c r="F17" i="4"/>
  <c r="K17" i="3"/>
  <c r="G18" i="3"/>
  <c r="F17" i="3"/>
  <c r="F18" i="3"/>
  <c r="G13" i="4"/>
  <c r="H13" i="4" s="1"/>
  <c r="D17" i="4"/>
  <c r="I17" i="4" s="1"/>
  <c r="J17" i="4" s="1"/>
  <c r="K17" i="4" s="1"/>
  <c r="C2" i="3" l="1"/>
  <c r="Q15" i="3"/>
  <c r="Q18" i="3"/>
  <c r="F2" i="3"/>
  <c r="I16" i="4"/>
  <c r="J16" i="4" s="1"/>
  <c r="K16" i="4" s="1"/>
  <c r="Q17" i="3"/>
  <c r="Q16" i="3"/>
  <c r="E2" i="3"/>
  <c r="D2" i="3"/>
  <c r="F16" i="4"/>
</calcChain>
</file>

<file path=xl/sharedStrings.xml><?xml version="1.0" encoding="utf-8"?>
<sst xmlns="http://schemas.openxmlformats.org/spreadsheetml/2006/main" count="27805" uniqueCount="5826">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</sst>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0ED4-4544-9A4C-BE61E1A04D1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13</c:v>
                </c:pt>
                <c:pt idx="3">
                  <c:v>9</c:v>
                </c:pt>
                <c:pt idx="4">
                  <c:v>10</c:v>
                </c:pt>
                <c:pt idx="5">
                  <c:v>10</c:v>
                </c:pt>
                <c:pt idx="6">
                  <c:v>7</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ED4-4544-9A4C-BE61E1A04D1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8</c:v>
                </c:pt>
                <c:pt idx="4">
                  <c:v>12</c:v>
                </c:pt>
                <c:pt idx="5">
                  <c:v>12</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ED4-4544-9A4C-BE61E1A04D1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9</c:v>
                </c:pt>
                <c:pt idx="7">
                  <c:v>9</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0ED4-4544-9A4C-BE61E1A04D1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4" width="8.88671875" style="7" customWidth="1"/>
    <col min="10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6" width="8.88671875" style="27" customWidth="1"/>
    <col min="9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7" width="8.88671875" style="52" customWidth="1"/>
    <col min="468"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86</v>
      </c>
      <c r="E2" s="54">
        <f ca="1">Q7+Q12</f>
        <v>74</v>
      </c>
      <c r="F2" s="54">
        <f ca="1">Q8+Q13</f>
        <v>78</v>
      </c>
      <c r="G2" s="55"/>
      <c r="S2" s="55">
        <f ca="1">TODAY()</f>
        <v>46198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3</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49</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5</v>
      </c>
      <c r="C16" s="54">
        <f t="shared" ca="1" si="1"/>
        <v>14</v>
      </c>
      <c r="D16" s="54">
        <f t="shared" ca="1" si="1"/>
        <v>13</v>
      </c>
      <c r="E16" s="54">
        <f t="shared" ca="1" si="1"/>
        <v>9</v>
      </c>
      <c r="F16" s="54">
        <f t="shared" ca="1" si="1"/>
        <v>10</v>
      </c>
      <c r="G16" s="54">
        <f t="shared" ca="1" si="1"/>
        <v>10</v>
      </c>
      <c r="H16" s="54">
        <f t="shared" ca="1" si="1"/>
        <v>7</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86</v>
      </c>
      <c r="S16" s="63" t="s">
        <v>10</v>
      </c>
      <c r="U16" s="54"/>
      <c r="V16" s="64"/>
    </row>
    <row r="17" spans="1:22" ht="14.4" customHeight="1">
      <c r="A17" s="67" t="s">
        <v>52</v>
      </c>
      <c r="B17" s="54">
        <f t="shared" ref="B17:P17" ca="1" si="2">B7+B12</f>
        <v>0</v>
      </c>
      <c r="C17" s="54">
        <f t="shared" ca="1" si="2"/>
        <v>9</v>
      </c>
      <c r="D17" s="54">
        <f t="shared" ca="1" si="2"/>
        <v>6</v>
      </c>
      <c r="E17" s="54">
        <f t="shared" ca="1" si="2"/>
        <v>8</v>
      </c>
      <c r="F17" s="54">
        <f t="shared" ca="1" si="2"/>
        <v>12</v>
      </c>
      <c r="G17" s="54">
        <f t="shared" ca="1" si="2"/>
        <v>12</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74</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9</v>
      </c>
      <c r="I18" s="54">
        <f t="shared" ca="1" si="3"/>
        <v>9</v>
      </c>
      <c r="J18" s="54">
        <f t="shared" ca="1" si="3"/>
        <v>3</v>
      </c>
      <c r="K18" s="54">
        <f t="shared" ca="1" si="3"/>
        <v>4</v>
      </c>
      <c r="L18" s="54">
        <f t="shared" ca="1" si="3"/>
        <v>0</v>
      </c>
      <c r="M18" s="54">
        <f t="shared" ca="1" si="3"/>
        <v>0</v>
      </c>
      <c r="N18" s="54">
        <f t="shared" ca="1" si="3"/>
        <v>0</v>
      </c>
      <c r="O18" s="54">
        <f t="shared" ca="1" si="3"/>
        <v>0</v>
      </c>
      <c r="P18" s="54">
        <f t="shared" ca="1" si="3"/>
        <v>0</v>
      </c>
      <c r="Q18" s="54">
        <f ca="1">SUM(B18:P18)</f>
        <v>78</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2" width="8.88671875" style="9" customWidth="1"/>
    <col min="11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68</v>
      </c>
      <c r="E11" s="10">
        <f ca="1">ROUND(D11/MONTH(TODAY()),2)</f>
        <v>11.33</v>
      </c>
      <c r="F11" s="9">
        <f ca="1">C11+E11</f>
        <v>16.5</v>
      </c>
      <c r="G11" s="9">
        <f ca="1">ROUND(F11/21,2)</f>
        <v>0.79</v>
      </c>
      <c r="H11" s="9">
        <f ca="1">ROUND((G11*15),2)</f>
        <v>11.85</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742.5</v>
      </c>
      <c r="E15" s="9">
        <f>ROUND(D3*H6,2)</f>
        <v>540.85</v>
      </c>
      <c r="F15" s="9">
        <f ca="1">(J6*20)+(H11*20)+(60*20)</f>
        <v>2982</v>
      </c>
      <c r="G15" s="9">
        <f>COUNTIFS(IM!S:S,A6,IM!AE:AE,"o")*$E$3</f>
        <v>4140</v>
      </c>
      <c r="H15" s="9">
        <v>240</v>
      </c>
      <c r="I15" s="9">
        <f ca="1">ROUND(SUM(B15:H15),2)</f>
        <v>9278.75</v>
      </c>
      <c r="J15" s="9">
        <f ca="1">ROUND(I15/20,2)</f>
        <v>463.94</v>
      </c>
      <c r="K15" s="9">
        <f ca="1">ROUND(J15/60,2)</f>
        <v>7.73</v>
      </c>
      <c r="O15" s="9" t="s">
        <v>825</v>
      </c>
      <c r="P15" s="9">
        <v>15</v>
      </c>
    </row>
    <row r="16" spans="1:16" ht="21.6" customHeight="1">
      <c r="A16" s="9" t="s">
        <v>52</v>
      </c>
      <c r="B16" s="9">
        <f ca="1">ROUND($A$3*E7,2)</f>
        <v>12.5</v>
      </c>
      <c r="C16" s="9">
        <f ca="1">ROUND($B$3*F7,2)</f>
        <v>237.45</v>
      </c>
      <c r="D16" s="9">
        <f ca="1">F12*C3</f>
        <v>630</v>
      </c>
      <c r="E16" s="9">
        <f>ROUND(D3*H7,2)</f>
        <v>300.85000000000002</v>
      </c>
      <c r="F16" s="9">
        <f ca="1">(J7*20)+(H12*20)+(120*20)</f>
        <v>3462</v>
      </c>
      <c r="G16" s="9">
        <f>COUNTIFS(IM!S:S,A7,IM!AE:AE,"o")*$E$3</f>
        <v>4140</v>
      </c>
      <c r="H16" s="9">
        <v>240</v>
      </c>
      <c r="I16" s="9">
        <f ca="1">ROUND(SUM(B16:H16),2)</f>
        <v>9022.7999999999993</v>
      </c>
      <c r="J16" s="9">
        <f ca="1">ROUND(I16/20,2)</f>
        <v>451.14</v>
      </c>
      <c r="K16" s="9">
        <f ca="1">ROUND(J16/60,2)</f>
        <v>7.52</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2" width="13.77734375" style="8" customWidth="1"/>
    <col min="8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9" width="13.77734375" style="1" customWidth="1"/>
    <col min="10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4" width="8.88671875" style="13" customWidth="1"/>
    <col min="105"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38"/>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6" width="8.88671875" style="13" customWidth="1"/>
    <col min="127"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8" si="24">DATEVALUE(TEXT(I770, "yyyy/mm/dd"))</f>
        <v>46187</v>
      </c>
      <c r="AM770">
        <f t="shared" ref="AM770:AM838"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3">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3">
        <v>46198.583333333343</v>
      </c>
      <c r="Y834" s="17"/>
      <c r="Z834" s="17">
        <v>3</v>
      </c>
      <c r="AA834" s="17"/>
      <c r="AB834" s="17" t="s">
        <v>1813</v>
      </c>
      <c r="AC834" s="20" t="s">
        <v>4088</v>
      </c>
      <c r="AD834" s="17"/>
      <c r="AE834" s="17" t="s">
        <v>881</v>
      </c>
      <c r="AF834" s="17"/>
      <c r="AG834" s="17"/>
      <c r="AH834" s="17"/>
      <c r="AI834" s="17"/>
      <c r="AJ834" s="17"/>
      <c r="AK834" s="17" t="s">
        <v>881</v>
      </c>
      <c r="AL834" t="e">
        <f t="shared" si="24"/>
        <v>#VALUE!</v>
      </c>
      <c r="AM834">
        <f t="shared" si="25"/>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3">
        <v>46198.618055555547</v>
      </c>
      <c r="Y835" s="17"/>
      <c r="Z835" s="17">
        <v>0.5</v>
      </c>
      <c r="AA835" s="17"/>
      <c r="AB835" s="17" t="s">
        <v>1813</v>
      </c>
      <c r="AC835" s="20" t="s">
        <v>3664</v>
      </c>
      <c r="AD835" s="17" t="s">
        <v>881</v>
      </c>
      <c r="AE835" s="17"/>
      <c r="AF835" s="17"/>
      <c r="AG835" s="17"/>
      <c r="AH835" s="17"/>
      <c r="AI835" s="17"/>
      <c r="AJ835" s="17"/>
      <c r="AK835" s="17" t="s">
        <v>881</v>
      </c>
      <c r="AL835" t="e">
        <f t="shared" si="24"/>
        <v>#VALUE!</v>
      </c>
      <c r="AM835">
        <f t="shared" si="25"/>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3">
        <v>46198.583333333343</v>
      </c>
      <c r="Y836" s="17"/>
      <c r="Z836" s="17">
        <v>3</v>
      </c>
      <c r="AA836" s="17"/>
      <c r="AB836" s="17" t="s">
        <v>1813</v>
      </c>
      <c r="AC836" s="20" t="s">
        <v>5812</v>
      </c>
      <c r="AD836" s="17"/>
      <c r="AE836" s="17"/>
      <c r="AF836" s="17" t="s">
        <v>881</v>
      </c>
      <c r="AG836" s="17"/>
      <c r="AH836" s="17"/>
      <c r="AI836" s="17"/>
      <c r="AJ836" s="17"/>
      <c r="AK836" s="17" t="s">
        <v>881</v>
      </c>
      <c r="AL836" t="e">
        <f t="shared" si="24"/>
        <v>#VALUE!</v>
      </c>
      <c r="AM836">
        <f t="shared" si="25"/>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3">
        <v>46198.684027777781</v>
      </c>
      <c r="Y837" s="17"/>
      <c r="Z837" s="17">
        <v>0.3</v>
      </c>
      <c r="AA837" s="17"/>
      <c r="AB837" s="17" t="s">
        <v>1813</v>
      </c>
      <c r="AC837" s="20" t="s">
        <v>3664</v>
      </c>
      <c r="AD837" s="17" t="s">
        <v>881</v>
      </c>
      <c r="AE837" s="17"/>
      <c r="AF837" s="17"/>
      <c r="AG837" s="17"/>
      <c r="AH837" s="17"/>
      <c r="AI837" s="17"/>
      <c r="AJ837" s="17" t="s">
        <v>881</v>
      </c>
      <c r="AK837" s="17" t="s">
        <v>881</v>
      </c>
      <c r="AL837" t="e">
        <f t="shared" si="24"/>
        <v>#VALUE!</v>
      </c>
      <c r="AM837">
        <f t="shared" si="25"/>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3">
        <v>46198.625</v>
      </c>
      <c r="Y838" s="17"/>
      <c r="Z838" s="17">
        <v>1</v>
      </c>
      <c r="AA838" s="17"/>
      <c r="AB838" s="17" t="s">
        <v>1813</v>
      </c>
      <c r="AC838" s="20" t="s">
        <v>3664</v>
      </c>
      <c r="AD838" s="17" t="s">
        <v>881</v>
      </c>
      <c r="AE838" s="17"/>
      <c r="AF838" s="17"/>
      <c r="AG838" s="17"/>
      <c r="AH838" s="17"/>
      <c r="AI838" s="17"/>
      <c r="AJ838" s="17" t="s">
        <v>881</v>
      </c>
      <c r="AK838" s="17" t="s">
        <v>881</v>
      </c>
      <c r="AL838" t="e">
        <f t="shared" si="24"/>
        <v>#VALUE!</v>
      </c>
      <c r="AM838">
        <f t="shared" si="25"/>
        <v>46198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5822</v>
      </c>
    </row>
    <row r="2" spans="1:10" ht="31.2" customHeight="1">
      <c r="A2" s="33" t="s">
        <v>5822</v>
      </c>
      <c r="B2" s="34" t="s">
        <v>5823</v>
      </c>
      <c r="C2" s="34" t="s">
        <v>5824</v>
      </c>
      <c r="D2" s="34" t="s">
        <v>1015</v>
      </c>
      <c r="E2" s="34" t="s">
        <v>5825</v>
      </c>
      <c r="F2" s="34" t="s">
        <v>5824</v>
      </c>
      <c r="I2" s="26" t="s">
        <v>38</v>
      </c>
      <c r="J2" s="34" t="s">
        <v>5823</v>
      </c>
    </row>
    <row r="3" spans="1:10" ht="15.6" customHeight="1">
      <c r="I3" s="26" t="s">
        <v>846</v>
      </c>
      <c r="J3" s="34" t="s">
        <v>5824</v>
      </c>
    </row>
    <row r="4" spans="1:10" ht="31.2" customHeight="1">
      <c r="I4" s="26" t="s">
        <v>33</v>
      </c>
      <c r="J4" s="34" t="s">
        <v>1015</v>
      </c>
    </row>
    <row r="5" spans="1:10" ht="31.2" customHeight="1">
      <c r="I5" s="26" t="s">
        <v>32</v>
      </c>
      <c r="J5" s="34" t="s">
        <v>5825</v>
      </c>
    </row>
    <row r="6" spans="1:10" ht="31.2" customHeight="1">
      <c r="I6" s="26" t="s">
        <v>847</v>
      </c>
      <c r="J6" s="34" t="s">
        <v>5824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2026-06-25T09:59:58Z</dcterms:modified>
</cp:coreProperties>
</file>