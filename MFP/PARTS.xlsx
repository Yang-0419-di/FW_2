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977e41654c78631/桌面/"/>
    </mc:Choice>
  </mc:AlternateContent>
  <xr:revisionPtr revIDLastSave="0" documentId="8_{7D1C5FAC-9C1E-4B37-B6C5-011ACF99DE1B}" xr6:coauthVersionLast="47" xr6:coauthVersionMax="47" xr10:uidLastSave="{00000000-0000-0000-0000-000000000000}"/>
  <bookViews>
    <workbookView xWindow="-108" yWindow="-108" windowWidth="23256" windowHeight="12456" activeTab="3" xr2:uid="{61EF97CB-C344-4D23-9D0C-9F6316F3AC47}"/>
  </bookViews>
  <sheets>
    <sheet name="Part" sheetId="3" r:id="rId1"/>
    <sheet name="工作表1" sheetId="1" r:id="rId2"/>
    <sheet name="工作表2" sheetId="2" r:id="rId3"/>
    <sheet name="工作表4" sheetId="4" r:id="rId4"/>
    <sheet name="工作表5" sheetId="5" r:id="rId5"/>
  </sheets>
  <definedNames>
    <definedName name="_xlnm._FilterDatabase" localSheetId="0" hidden="1">Part!$A$1:$I$2771</definedName>
    <definedName name="_xlnm._FilterDatabase" localSheetId="1" hidden="1">工作表1!$A$1:$A$1</definedName>
    <definedName name="_xlnm._FilterDatabase" localSheetId="2" hidden="1">工作表2!$A$1:$A$2</definedName>
    <definedName name="_xlnm._FilterDatabase" localSheetId="3" hidden="1">工作表4!$A$1:$G$2771</definedName>
    <definedName name="_xlnm.Print_Titles" localSheetId="0">Part!$1:$1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4" l="1" a="1"/>
  <c r="B3" i="4" s="1"/>
  <c r="B4" i="4" a="1"/>
  <c r="B4" i="4" s="1"/>
  <c r="B5" i="4" a="1"/>
  <c r="B5" i="4" s="1"/>
  <c r="B6" i="4" a="1"/>
  <c r="B6" i="4" s="1"/>
  <c r="B7" i="4" a="1"/>
  <c r="B7" i="4" s="1"/>
  <c r="B8" i="4" a="1"/>
  <c r="B8" i="4" s="1"/>
  <c r="B9" i="4" a="1"/>
  <c r="B9" i="4" s="1"/>
  <c r="B10" i="4" a="1"/>
  <c r="B10" i="4" s="1"/>
  <c r="B11" i="4" a="1"/>
  <c r="B11" i="4" s="1"/>
  <c r="B12" i="4" a="1"/>
  <c r="B12" i="4" s="1"/>
  <c r="B13" i="4" a="1"/>
  <c r="B13" i="4" s="1"/>
  <c r="B14" i="4" a="1"/>
  <c r="B14" i="4" s="1"/>
  <c r="B15" i="4" a="1"/>
  <c r="B15" i="4" s="1"/>
  <c r="B16" i="4" a="1"/>
  <c r="B16" i="4" s="1"/>
  <c r="B17" i="4" a="1"/>
  <c r="B17" i="4" s="1"/>
  <c r="B18" i="4" a="1"/>
  <c r="B18" i="4" s="1"/>
  <c r="B19" i="4" a="1"/>
  <c r="B19" i="4" s="1"/>
  <c r="B20" i="4" a="1"/>
  <c r="B20" i="4" s="1"/>
  <c r="B21" i="4" a="1"/>
  <c r="B21" i="4" s="1"/>
  <c r="B22" i="4" a="1"/>
  <c r="B22" i="4" s="1"/>
  <c r="B23" i="4" a="1"/>
  <c r="B23" i="4" s="1"/>
  <c r="B24" i="4" a="1"/>
  <c r="B24" i="4" s="1"/>
  <c r="B25" i="4" a="1"/>
  <c r="B25" i="4" s="1"/>
  <c r="B26" i="4" a="1"/>
  <c r="B26" i="4" s="1"/>
  <c r="B27" i="4" a="1"/>
  <c r="B27" i="4" s="1"/>
  <c r="B28" i="4" a="1"/>
  <c r="B28" i="4" s="1"/>
  <c r="B29" i="4" a="1"/>
  <c r="B29" i="4" s="1"/>
  <c r="B30" i="4" a="1"/>
  <c r="B30" i="4" s="1"/>
  <c r="B31" i="4" a="1"/>
  <c r="B31" i="4" s="1"/>
  <c r="B32" i="4" a="1"/>
  <c r="B32" i="4" s="1"/>
  <c r="B33" i="4" a="1"/>
  <c r="B33" i="4" s="1"/>
  <c r="B34" i="4" a="1"/>
  <c r="B34" i="4" s="1"/>
  <c r="B35" i="4" a="1"/>
  <c r="B35" i="4" s="1"/>
  <c r="B36" i="4" a="1"/>
  <c r="B36" i="4" s="1"/>
  <c r="B37" i="4" a="1"/>
  <c r="B37" i="4" s="1"/>
  <c r="B38" i="4" a="1"/>
  <c r="B38" i="4" s="1"/>
  <c r="B39" i="4" a="1"/>
  <c r="B39" i="4" s="1"/>
  <c r="B40" i="4" a="1"/>
  <c r="B40" i="4" s="1"/>
  <c r="B41" i="4" a="1"/>
  <c r="B41" i="4" s="1"/>
  <c r="B42" i="4" a="1"/>
  <c r="B42" i="4" s="1"/>
  <c r="B43" i="4" a="1"/>
  <c r="B43" i="4" s="1"/>
  <c r="B44" i="4" a="1"/>
  <c r="B44" i="4" s="1"/>
  <c r="B45" i="4" a="1"/>
  <c r="B45" i="4" s="1"/>
  <c r="B46" i="4" a="1"/>
  <c r="B46" i="4" s="1"/>
  <c r="B47" i="4" a="1"/>
  <c r="B47" i="4" s="1"/>
  <c r="B48" i="4" a="1"/>
  <c r="B48" i="4" s="1"/>
  <c r="B49" i="4" a="1"/>
  <c r="B49" i="4" s="1"/>
  <c r="B50" i="4" a="1"/>
  <c r="B50" i="4" s="1"/>
  <c r="B51" i="4" a="1"/>
  <c r="B51" i="4" s="1"/>
  <c r="B52" i="4" a="1"/>
  <c r="B52" i="4" s="1"/>
  <c r="B53" i="4" a="1"/>
  <c r="B53" i="4" s="1"/>
  <c r="B54" i="4" a="1"/>
  <c r="B54" i="4" s="1"/>
  <c r="B55" i="4" a="1"/>
  <c r="B55" i="4" s="1"/>
  <c r="B56" i="4" a="1"/>
  <c r="B56" i="4" s="1"/>
  <c r="B57" i="4" a="1"/>
  <c r="B57" i="4" s="1"/>
  <c r="B58" i="4" a="1"/>
  <c r="B58" i="4" s="1"/>
  <c r="B59" i="4" a="1"/>
  <c r="B59" i="4" s="1"/>
  <c r="B60" i="4" a="1"/>
  <c r="B60" i="4" s="1"/>
  <c r="B61" i="4" a="1"/>
  <c r="B61" i="4" s="1"/>
  <c r="B62" i="4" a="1"/>
  <c r="B62" i="4" s="1"/>
  <c r="B63" i="4" a="1"/>
  <c r="B63" i="4" s="1"/>
  <c r="B64" i="4" a="1"/>
  <c r="B64" i="4" s="1"/>
  <c r="B65" i="4" a="1"/>
  <c r="B65" i="4" s="1"/>
  <c r="B66" i="4" a="1"/>
  <c r="B66" i="4" s="1"/>
  <c r="B67" i="4" a="1"/>
  <c r="B67" i="4" s="1"/>
  <c r="B68" i="4" a="1"/>
  <c r="B68" i="4" s="1"/>
  <c r="B69" i="4" a="1"/>
  <c r="B69" i="4" s="1"/>
  <c r="B70" i="4" a="1"/>
  <c r="B70" i="4" s="1"/>
  <c r="B71" i="4" a="1"/>
  <c r="B71" i="4" s="1"/>
  <c r="B72" i="4" a="1"/>
  <c r="B72" i="4" s="1"/>
  <c r="B73" i="4" a="1"/>
  <c r="B73" i="4" s="1"/>
  <c r="B74" i="4" a="1"/>
  <c r="B74" i="4" s="1"/>
  <c r="B75" i="4" a="1"/>
  <c r="B75" i="4" s="1"/>
  <c r="B76" i="4" a="1"/>
  <c r="B76" i="4" s="1"/>
  <c r="B77" i="4" a="1"/>
  <c r="B77" i="4" s="1"/>
  <c r="B78" i="4" a="1"/>
  <c r="B78" i="4" s="1"/>
  <c r="B79" i="4" a="1"/>
  <c r="B79" i="4" s="1"/>
  <c r="B80" i="4" a="1"/>
  <c r="B80" i="4" s="1"/>
  <c r="B81" i="4" a="1"/>
  <c r="B81" i="4" s="1"/>
  <c r="B82" i="4" a="1"/>
  <c r="B82" i="4" s="1"/>
  <c r="B83" i="4" a="1"/>
  <c r="B83" i="4" s="1"/>
  <c r="B84" i="4" a="1"/>
  <c r="B84" i="4" s="1"/>
  <c r="B85" i="4" a="1"/>
  <c r="B85" i="4" s="1"/>
  <c r="B86" i="4" a="1"/>
  <c r="B86" i="4" s="1"/>
  <c r="B87" i="4" a="1"/>
  <c r="B87" i="4" s="1"/>
  <c r="B88" i="4" a="1"/>
  <c r="B88" i="4" s="1"/>
  <c r="B89" i="4" a="1"/>
  <c r="B89" i="4" s="1"/>
  <c r="B90" i="4" a="1"/>
  <c r="B90" i="4" s="1"/>
  <c r="B91" i="4" a="1"/>
  <c r="B91" i="4" s="1"/>
  <c r="B92" i="4" a="1"/>
  <c r="B92" i="4" s="1"/>
  <c r="B93" i="4" a="1"/>
  <c r="B93" i="4" s="1"/>
  <c r="B94" i="4" a="1"/>
  <c r="B94" i="4" s="1"/>
  <c r="B95" i="4" a="1"/>
  <c r="B95" i="4" s="1"/>
  <c r="B96" i="4" a="1"/>
  <c r="B96" i="4" s="1"/>
  <c r="B97" i="4" a="1"/>
  <c r="B97" i="4" s="1"/>
  <c r="B98" i="4" a="1"/>
  <c r="B98" i="4" s="1"/>
  <c r="B99" i="4" a="1"/>
  <c r="B99" i="4" s="1"/>
  <c r="B100" i="4" a="1"/>
  <c r="B100" i="4" s="1"/>
  <c r="B101" i="4" a="1"/>
  <c r="B101" i="4" s="1"/>
  <c r="B102" i="4" a="1"/>
  <c r="B102" i="4" s="1"/>
  <c r="B103" i="4" a="1"/>
  <c r="B103" i="4" s="1"/>
  <c r="B104" i="4" a="1"/>
  <c r="B104" i="4" s="1"/>
  <c r="B105" i="4" a="1"/>
  <c r="B105" i="4" s="1"/>
  <c r="B106" i="4" a="1"/>
  <c r="B106" i="4" s="1"/>
  <c r="B107" i="4" a="1"/>
  <c r="B107" i="4" s="1"/>
  <c r="B108" i="4" a="1"/>
  <c r="B108" i="4" s="1"/>
  <c r="B109" i="4" a="1"/>
  <c r="B109" i="4" s="1"/>
  <c r="B110" i="4" a="1"/>
  <c r="B110" i="4" s="1"/>
  <c r="B111" i="4" a="1"/>
  <c r="B111" i="4" s="1"/>
  <c r="B112" i="4" a="1"/>
  <c r="B112" i="4" s="1"/>
  <c r="B113" i="4" a="1"/>
  <c r="B113" i="4" s="1"/>
  <c r="B114" i="4" a="1"/>
  <c r="B114" i="4" s="1"/>
  <c r="B115" i="4" a="1"/>
  <c r="B115" i="4" s="1"/>
  <c r="B116" i="4" a="1"/>
  <c r="B116" i="4" s="1"/>
  <c r="B117" i="4" a="1"/>
  <c r="B117" i="4" s="1"/>
  <c r="B118" i="4" a="1"/>
  <c r="B118" i="4" s="1"/>
  <c r="B119" i="4" a="1"/>
  <c r="B119" i="4" s="1"/>
  <c r="B120" i="4" a="1"/>
  <c r="B120" i="4" s="1"/>
  <c r="B121" i="4" a="1"/>
  <c r="B121" i="4" s="1"/>
  <c r="B122" i="4" a="1"/>
  <c r="B122" i="4" s="1"/>
  <c r="B123" i="4" a="1"/>
  <c r="B123" i="4" s="1"/>
  <c r="B124" i="4" a="1"/>
  <c r="B124" i="4" s="1"/>
  <c r="B125" i="4" a="1"/>
  <c r="B125" i="4" s="1"/>
  <c r="B126" i="4" a="1"/>
  <c r="B126" i="4" s="1"/>
  <c r="B127" i="4" a="1"/>
  <c r="B127" i="4" s="1"/>
  <c r="B128" i="4" a="1"/>
  <c r="B128" i="4" s="1"/>
  <c r="B129" i="4" a="1"/>
  <c r="B129" i="4" s="1"/>
  <c r="B130" i="4" a="1"/>
  <c r="B130" i="4" s="1"/>
  <c r="B131" i="4" a="1"/>
  <c r="B131" i="4" s="1"/>
  <c r="B132" i="4" a="1"/>
  <c r="B132" i="4" s="1"/>
  <c r="B133" i="4" a="1"/>
  <c r="B133" i="4" s="1"/>
  <c r="B134" i="4" a="1"/>
  <c r="B134" i="4" s="1"/>
  <c r="B135" i="4" a="1"/>
  <c r="B135" i="4" s="1"/>
  <c r="B136" i="4" a="1"/>
  <c r="B136" i="4" s="1"/>
  <c r="B137" i="4" a="1"/>
  <c r="B137" i="4" s="1"/>
  <c r="B138" i="4" a="1"/>
  <c r="B138" i="4" s="1"/>
  <c r="B139" i="4" a="1"/>
  <c r="B139" i="4" s="1"/>
  <c r="B140" i="4" a="1"/>
  <c r="B140" i="4" s="1"/>
  <c r="B141" i="4" a="1"/>
  <c r="B141" i="4" s="1"/>
  <c r="B142" i="4" a="1"/>
  <c r="B142" i="4" s="1"/>
  <c r="B143" i="4" a="1"/>
  <c r="B143" i="4" s="1"/>
  <c r="B144" i="4" a="1"/>
  <c r="B144" i="4" s="1"/>
  <c r="B145" i="4" a="1"/>
  <c r="B145" i="4" s="1"/>
  <c r="B146" i="4" a="1"/>
  <c r="B146" i="4" s="1"/>
  <c r="B147" i="4" a="1"/>
  <c r="B147" i="4" s="1"/>
  <c r="B148" i="4" a="1"/>
  <c r="B148" i="4" s="1"/>
  <c r="B149" i="4" a="1"/>
  <c r="B149" i="4" s="1"/>
  <c r="B150" i="4" a="1"/>
  <c r="B150" i="4" s="1"/>
  <c r="B151" i="4" a="1"/>
  <c r="B151" i="4" s="1"/>
  <c r="B152" i="4" a="1"/>
  <c r="B152" i="4" s="1"/>
  <c r="B153" i="4" a="1"/>
  <c r="B153" i="4" s="1"/>
  <c r="B154" i="4" a="1"/>
  <c r="B154" i="4" s="1"/>
  <c r="B155" i="4" a="1"/>
  <c r="B155" i="4" s="1"/>
  <c r="B156" i="4" a="1"/>
  <c r="B156" i="4" s="1"/>
  <c r="B157" i="4" a="1"/>
  <c r="B157" i="4" s="1"/>
  <c r="B158" i="4" a="1"/>
  <c r="B158" i="4" s="1"/>
  <c r="B159" i="4" a="1"/>
  <c r="B159" i="4" s="1"/>
  <c r="B160" i="4" a="1"/>
  <c r="B160" i="4" s="1"/>
  <c r="B161" i="4" a="1"/>
  <c r="B161" i="4" s="1"/>
  <c r="B162" i="4" a="1"/>
  <c r="B162" i="4" s="1"/>
  <c r="B163" i="4" a="1"/>
  <c r="B163" i="4" s="1"/>
  <c r="B164" i="4" a="1"/>
  <c r="B164" i="4" s="1"/>
  <c r="B165" i="4" a="1"/>
  <c r="B165" i="4" s="1"/>
  <c r="B166" i="4" a="1"/>
  <c r="B166" i="4" s="1"/>
  <c r="B167" i="4" a="1"/>
  <c r="B167" i="4" s="1"/>
  <c r="B168" i="4" a="1"/>
  <c r="B168" i="4" s="1"/>
  <c r="B169" i="4" a="1"/>
  <c r="B169" i="4" s="1"/>
  <c r="B170" i="4" a="1"/>
  <c r="B170" i="4" s="1"/>
  <c r="B171" i="4" a="1"/>
  <c r="B171" i="4" s="1"/>
  <c r="B172" i="4" a="1"/>
  <c r="B172" i="4" s="1"/>
  <c r="B173" i="4" a="1"/>
  <c r="B173" i="4" s="1"/>
  <c r="B174" i="4" a="1"/>
  <c r="B174" i="4" s="1"/>
  <c r="B175" i="4" a="1"/>
  <c r="B175" i="4" s="1"/>
  <c r="B176" i="4" a="1"/>
  <c r="B176" i="4" s="1"/>
  <c r="B177" i="4" a="1"/>
  <c r="B177" i="4" s="1"/>
  <c r="B178" i="4" a="1"/>
  <c r="B178" i="4" s="1"/>
  <c r="B179" i="4" a="1"/>
  <c r="B179" i="4" s="1"/>
  <c r="B180" i="4" a="1"/>
  <c r="B180" i="4" s="1"/>
  <c r="B181" i="4" a="1"/>
  <c r="B181" i="4" s="1"/>
  <c r="B182" i="4" a="1"/>
  <c r="B182" i="4" s="1"/>
  <c r="B183" i="4" a="1"/>
  <c r="B183" i="4" s="1"/>
  <c r="B184" i="4" a="1"/>
  <c r="B184" i="4" s="1"/>
  <c r="B185" i="4" a="1"/>
  <c r="B185" i="4" s="1"/>
  <c r="B186" i="4" a="1"/>
  <c r="B186" i="4" s="1"/>
  <c r="B187" i="4" a="1"/>
  <c r="B187" i="4" s="1"/>
  <c r="B188" i="4" a="1"/>
  <c r="B188" i="4"/>
  <c r="B189" i="4" a="1"/>
  <c r="B189" i="4" s="1"/>
  <c r="B190" i="4" a="1"/>
  <c r="B190" i="4" s="1"/>
  <c r="B191" i="4" a="1"/>
  <c r="B191" i="4" s="1"/>
  <c r="B192" i="4" a="1"/>
  <c r="B192" i="4" s="1"/>
  <c r="B193" i="4" a="1"/>
  <c r="B193" i="4" s="1"/>
  <c r="B194" i="4" a="1"/>
  <c r="B194" i="4" s="1"/>
  <c r="B195" i="4" a="1"/>
  <c r="B195" i="4" s="1"/>
  <c r="B196" i="4" a="1"/>
  <c r="B196" i="4" s="1"/>
  <c r="B197" i="4" a="1"/>
  <c r="B197" i="4" s="1"/>
  <c r="B198" i="4" a="1"/>
  <c r="B198" i="4" s="1"/>
  <c r="B199" i="4" a="1"/>
  <c r="B199" i="4" s="1"/>
  <c r="B200" i="4" a="1"/>
  <c r="B200" i="4" s="1"/>
  <c r="B201" i="4" a="1"/>
  <c r="B201" i="4" s="1"/>
  <c r="B202" i="4" a="1"/>
  <c r="B202" i="4" s="1"/>
  <c r="B203" i="4" a="1"/>
  <c r="B203" i="4" s="1"/>
  <c r="B204" i="4" a="1"/>
  <c r="B204" i="4" s="1"/>
  <c r="B205" i="4" a="1"/>
  <c r="B205" i="4" s="1"/>
  <c r="B206" i="4" a="1"/>
  <c r="B206" i="4" s="1"/>
  <c r="B207" i="4" a="1"/>
  <c r="B207" i="4" s="1"/>
  <c r="B208" i="4" a="1"/>
  <c r="B208" i="4" s="1"/>
  <c r="B209" i="4" a="1"/>
  <c r="B209" i="4" s="1"/>
  <c r="B210" i="4" a="1"/>
  <c r="B210" i="4" s="1"/>
  <c r="B211" i="4" a="1"/>
  <c r="B211" i="4" s="1"/>
  <c r="B212" i="4" a="1"/>
  <c r="B212" i="4" s="1"/>
  <c r="B213" i="4" a="1"/>
  <c r="B213" i="4" s="1"/>
  <c r="B214" i="4" a="1"/>
  <c r="B214" i="4" s="1"/>
  <c r="B215" i="4" a="1"/>
  <c r="B215" i="4" s="1"/>
  <c r="B216" i="4" a="1"/>
  <c r="B216" i="4" s="1"/>
  <c r="B217" i="4" a="1"/>
  <c r="B217" i="4" s="1"/>
  <c r="B218" i="4" a="1"/>
  <c r="B218" i="4" s="1"/>
  <c r="B219" i="4" a="1"/>
  <c r="B219" i="4" s="1"/>
  <c r="B220" i="4" a="1"/>
  <c r="B220" i="4" s="1"/>
  <c r="B221" i="4" a="1"/>
  <c r="B221" i="4" s="1"/>
  <c r="B222" i="4" a="1"/>
  <c r="B222" i="4" s="1"/>
  <c r="B223" i="4" a="1"/>
  <c r="B223" i="4" s="1"/>
  <c r="B224" i="4" a="1"/>
  <c r="B224" i="4" s="1"/>
  <c r="B225" i="4" a="1"/>
  <c r="B225" i="4" s="1"/>
  <c r="B226" i="4" a="1"/>
  <c r="B226" i="4" s="1"/>
  <c r="B227" i="4" a="1"/>
  <c r="B227" i="4" s="1"/>
  <c r="B228" i="4" a="1"/>
  <c r="B228" i="4" s="1"/>
  <c r="B229" i="4" a="1"/>
  <c r="B229" i="4" s="1"/>
  <c r="B230" i="4" a="1"/>
  <c r="B230" i="4" s="1"/>
  <c r="B231" i="4" a="1"/>
  <c r="B231" i="4" s="1"/>
  <c r="B232" i="4" a="1"/>
  <c r="B232" i="4" s="1"/>
  <c r="B233" i="4" a="1"/>
  <c r="B233" i="4" s="1"/>
  <c r="B234" i="4" a="1"/>
  <c r="B234" i="4" s="1"/>
  <c r="B235" i="4" a="1"/>
  <c r="B235" i="4" s="1"/>
  <c r="B236" i="4" a="1"/>
  <c r="B236" i="4" s="1"/>
  <c r="B237" i="4" a="1"/>
  <c r="B237" i="4" s="1"/>
  <c r="B238" i="4" a="1"/>
  <c r="B238" i="4" s="1"/>
  <c r="B239" i="4" a="1"/>
  <c r="B239" i="4" s="1"/>
  <c r="B240" i="4" a="1"/>
  <c r="B240" i="4" s="1"/>
  <c r="B241" i="4" a="1"/>
  <c r="B241" i="4" s="1"/>
  <c r="B242" i="4" a="1"/>
  <c r="B242" i="4" s="1"/>
  <c r="B243" i="4" a="1"/>
  <c r="B243" i="4" s="1"/>
  <c r="B244" i="4" a="1"/>
  <c r="B244" i="4" s="1"/>
  <c r="B245" i="4" a="1"/>
  <c r="B245" i="4" s="1"/>
  <c r="B246" i="4" a="1"/>
  <c r="B246" i="4" s="1"/>
  <c r="B247" i="4" a="1"/>
  <c r="B247" i="4" s="1"/>
  <c r="B248" i="4" a="1"/>
  <c r="B248" i="4" s="1"/>
  <c r="B249" i="4" a="1"/>
  <c r="B249" i="4" s="1"/>
  <c r="B250" i="4" a="1"/>
  <c r="B250" i="4" s="1"/>
  <c r="B251" i="4" a="1"/>
  <c r="B251" i="4" s="1"/>
  <c r="B252" i="4" a="1"/>
  <c r="B252" i="4"/>
  <c r="B253" i="4" a="1"/>
  <c r="B253" i="4" s="1"/>
  <c r="B254" i="4" a="1"/>
  <c r="B254" i="4" s="1"/>
  <c r="B255" i="4" a="1"/>
  <c r="B255" i="4" s="1"/>
  <c r="B256" i="4" a="1"/>
  <c r="B256" i="4" s="1"/>
  <c r="B257" i="4" a="1"/>
  <c r="B257" i="4" s="1"/>
  <c r="B258" i="4" a="1"/>
  <c r="B258" i="4" s="1"/>
  <c r="B259" i="4" a="1"/>
  <c r="B259" i="4" s="1"/>
  <c r="B260" i="4" a="1"/>
  <c r="B260" i="4" s="1"/>
  <c r="B261" i="4" a="1"/>
  <c r="B261" i="4" s="1"/>
  <c r="B262" i="4" a="1"/>
  <c r="B262" i="4" s="1"/>
  <c r="B263" i="4" a="1"/>
  <c r="B263" i="4" s="1"/>
  <c r="B264" i="4" a="1"/>
  <c r="B264" i="4" s="1"/>
  <c r="B265" i="4" a="1"/>
  <c r="B265" i="4" s="1"/>
  <c r="B266" i="4" a="1"/>
  <c r="B266" i="4" s="1"/>
  <c r="B267" i="4" a="1"/>
  <c r="B267" i="4" s="1"/>
  <c r="B268" i="4" a="1"/>
  <c r="B268" i="4" s="1"/>
  <c r="B269" i="4" a="1"/>
  <c r="B269" i="4" s="1"/>
  <c r="B270" i="4" a="1"/>
  <c r="B270" i="4" s="1"/>
  <c r="B271" i="4" a="1"/>
  <c r="B271" i="4" s="1"/>
  <c r="B272" i="4" a="1"/>
  <c r="B272" i="4" s="1"/>
  <c r="B273" i="4" a="1"/>
  <c r="B273" i="4" s="1"/>
  <c r="B274" i="4" a="1"/>
  <c r="B274" i="4" s="1"/>
  <c r="B275" i="4" a="1"/>
  <c r="B275" i="4" s="1"/>
  <c r="B276" i="4" a="1"/>
  <c r="B276" i="4" s="1"/>
  <c r="B277" i="4" a="1"/>
  <c r="B277" i="4" s="1"/>
  <c r="B278" i="4" a="1"/>
  <c r="B278" i="4" s="1"/>
  <c r="B279" i="4" a="1"/>
  <c r="B279" i="4" s="1"/>
  <c r="B280" i="4" a="1"/>
  <c r="B280" i="4" s="1"/>
  <c r="B281" i="4" a="1"/>
  <c r="B281" i="4" s="1"/>
  <c r="B282" i="4" a="1"/>
  <c r="B282" i="4" s="1"/>
  <c r="B283" i="4" a="1"/>
  <c r="B283" i="4" s="1"/>
  <c r="B284" i="4" a="1"/>
  <c r="B284" i="4" s="1"/>
  <c r="B285" i="4" a="1"/>
  <c r="B285" i="4" s="1"/>
  <c r="B286" i="4" a="1"/>
  <c r="B286" i="4" s="1"/>
  <c r="B287" i="4" a="1"/>
  <c r="B287" i="4" s="1"/>
  <c r="B288" i="4" a="1"/>
  <c r="B288" i="4" s="1"/>
  <c r="B289" i="4" a="1"/>
  <c r="B289" i="4" s="1"/>
  <c r="B290" i="4" a="1"/>
  <c r="B290" i="4" s="1"/>
  <c r="B291" i="4" a="1"/>
  <c r="B291" i="4" s="1"/>
  <c r="B292" i="4" a="1"/>
  <c r="B292" i="4" s="1"/>
  <c r="B293" i="4" a="1"/>
  <c r="B293" i="4"/>
  <c r="B294" i="4" a="1"/>
  <c r="B294" i="4" s="1"/>
  <c r="B295" i="4" a="1"/>
  <c r="B295" i="4" s="1"/>
  <c r="B296" i="4" a="1"/>
  <c r="B296" i="4" s="1"/>
  <c r="B297" i="4" a="1"/>
  <c r="B297" i="4" s="1"/>
  <c r="B298" i="4" a="1"/>
  <c r="B298" i="4" s="1"/>
  <c r="B299" i="4" a="1"/>
  <c r="B299" i="4" s="1"/>
  <c r="B300" i="4" a="1"/>
  <c r="B300" i="4" s="1"/>
  <c r="B301" i="4" a="1"/>
  <c r="B301" i="4" s="1"/>
  <c r="B302" i="4" a="1"/>
  <c r="B302" i="4" s="1"/>
  <c r="B303" i="4" a="1"/>
  <c r="B303" i="4" s="1"/>
  <c r="B304" i="4" a="1"/>
  <c r="B304" i="4" s="1"/>
  <c r="B305" i="4" a="1"/>
  <c r="B305" i="4" s="1"/>
  <c r="B306" i="4" a="1"/>
  <c r="B306" i="4" s="1"/>
  <c r="B307" i="4" a="1"/>
  <c r="B307" i="4" s="1"/>
  <c r="B308" i="4" a="1"/>
  <c r="B308" i="4" s="1"/>
  <c r="B309" i="4" a="1"/>
  <c r="B309" i="4" s="1"/>
  <c r="B310" i="4" a="1"/>
  <c r="B310" i="4"/>
  <c r="B311" i="4" a="1"/>
  <c r="B311" i="4" s="1"/>
  <c r="B312" i="4" a="1"/>
  <c r="B312" i="4" s="1"/>
  <c r="B313" i="4" a="1"/>
  <c r="B313" i="4" s="1"/>
  <c r="B314" i="4" a="1"/>
  <c r="B314" i="4" s="1"/>
  <c r="B315" i="4" a="1"/>
  <c r="B315" i="4" s="1"/>
  <c r="B316" i="4" a="1"/>
  <c r="B316" i="4" s="1"/>
  <c r="B317" i="4" a="1"/>
  <c r="B317" i="4" s="1"/>
  <c r="B318" i="4" a="1"/>
  <c r="B318" i="4" s="1"/>
  <c r="B319" i="4" a="1"/>
  <c r="B319" i="4" s="1"/>
  <c r="B320" i="4" a="1"/>
  <c r="B320" i="4" s="1"/>
  <c r="B321" i="4" a="1"/>
  <c r="B321" i="4" s="1"/>
  <c r="B322" i="4" a="1"/>
  <c r="B322" i="4" s="1"/>
  <c r="B323" i="4" a="1"/>
  <c r="B323" i="4" s="1"/>
  <c r="B324" i="4" a="1"/>
  <c r="B324" i="4" s="1"/>
  <c r="B325" i="4" a="1"/>
  <c r="B325" i="4" s="1"/>
  <c r="B326" i="4" a="1"/>
  <c r="B326" i="4" s="1"/>
  <c r="B327" i="4" a="1"/>
  <c r="B327" i="4" s="1"/>
  <c r="B328" i="4" a="1"/>
  <c r="B328" i="4" s="1"/>
  <c r="B329" i="4" a="1"/>
  <c r="B329" i="4" s="1"/>
  <c r="B330" i="4" a="1"/>
  <c r="B330" i="4" s="1"/>
  <c r="B331" i="4" a="1"/>
  <c r="B331" i="4" s="1"/>
  <c r="B332" i="4" a="1"/>
  <c r="B332" i="4" s="1"/>
  <c r="B333" i="4" a="1"/>
  <c r="B333" i="4" s="1"/>
  <c r="B334" i="4" a="1"/>
  <c r="B334" i="4" s="1"/>
  <c r="B335" i="4" a="1"/>
  <c r="B335" i="4" s="1"/>
  <c r="B336" i="4" a="1"/>
  <c r="B336" i="4" s="1"/>
  <c r="B337" i="4" a="1"/>
  <c r="B337" i="4" s="1"/>
  <c r="B338" i="4" a="1"/>
  <c r="B338" i="4" s="1"/>
  <c r="B339" i="4" a="1"/>
  <c r="B339" i="4" s="1"/>
  <c r="B340" i="4" a="1"/>
  <c r="B340" i="4" s="1"/>
  <c r="B341" i="4" a="1"/>
  <c r="B341" i="4" s="1"/>
  <c r="B342" i="4" a="1"/>
  <c r="B342" i="4" s="1"/>
  <c r="B343" i="4" a="1"/>
  <c r="B343" i="4" s="1"/>
  <c r="B344" i="4" a="1"/>
  <c r="B344" i="4" s="1"/>
  <c r="B345" i="4" a="1"/>
  <c r="B345" i="4" s="1"/>
  <c r="B346" i="4" a="1"/>
  <c r="B346" i="4" s="1"/>
  <c r="B347" i="4" a="1"/>
  <c r="B347" i="4" s="1"/>
  <c r="B348" i="4" a="1"/>
  <c r="B348" i="4" s="1"/>
  <c r="B349" i="4" a="1"/>
  <c r="B349" i="4" s="1"/>
  <c r="B350" i="4" a="1"/>
  <c r="B350" i="4" s="1"/>
  <c r="B351" i="4" a="1"/>
  <c r="B351" i="4" s="1"/>
  <c r="B352" i="4" a="1"/>
  <c r="B352" i="4" s="1"/>
  <c r="B353" i="4" a="1"/>
  <c r="B353" i="4" s="1"/>
  <c r="B354" i="4" a="1"/>
  <c r="B354" i="4" s="1"/>
  <c r="B355" i="4" a="1"/>
  <c r="B355" i="4" s="1"/>
  <c r="B356" i="4" a="1"/>
  <c r="B356" i="4" s="1"/>
  <c r="B357" i="4" a="1"/>
  <c r="B357" i="4" s="1"/>
  <c r="B358" i="4" a="1"/>
  <c r="B358" i="4"/>
  <c r="B359" i="4" a="1"/>
  <c r="B359" i="4" s="1"/>
  <c r="B360" i="4" a="1"/>
  <c r="B360" i="4" s="1"/>
  <c r="B361" i="4" a="1"/>
  <c r="B361" i="4" s="1"/>
  <c r="B362" i="4" a="1"/>
  <c r="B362" i="4" s="1"/>
  <c r="B363" i="4" a="1"/>
  <c r="B363" i="4" s="1"/>
  <c r="B364" i="4" a="1"/>
  <c r="B364" i="4" s="1"/>
  <c r="B365" i="4" a="1"/>
  <c r="B365" i="4" s="1"/>
  <c r="B366" i="4" a="1"/>
  <c r="B366" i="4" s="1"/>
  <c r="B367" i="4" a="1"/>
  <c r="B367" i="4" s="1"/>
  <c r="B368" i="4" a="1"/>
  <c r="B368" i="4" s="1"/>
  <c r="B369" i="4" a="1"/>
  <c r="B369" i="4" s="1"/>
  <c r="B370" i="4" a="1"/>
  <c r="B370" i="4" s="1"/>
  <c r="B371" i="4" a="1"/>
  <c r="B371" i="4" s="1"/>
  <c r="B372" i="4" a="1"/>
  <c r="B372" i="4" s="1"/>
  <c r="B373" i="4" a="1"/>
  <c r="B373" i="4" s="1"/>
  <c r="B374" i="4" a="1"/>
  <c r="B374" i="4" s="1"/>
  <c r="B375" i="4" a="1"/>
  <c r="B375" i="4" s="1"/>
  <c r="B376" i="4" a="1"/>
  <c r="B376" i="4" s="1"/>
  <c r="B377" i="4" a="1"/>
  <c r="B377" i="4" s="1"/>
  <c r="B378" i="4" a="1"/>
  <c r="B378" i="4" s="1"/>
  <c r="B379" i="4" a="1"/>
  <c r="B379" i="4" s="1"/>
  <c r="B380" i="4" a="1"/>
  <c r="B380" i="4" s="1"/>
  <c r="B381" i="4" a="1"/>
  <c r="B381" i="4" s="1"/>
  <c r="B382" i="4" a="1"/>
  <c r="B382" i="4" s="1"/>
  <c r="B383" i="4" a="1"/>
  <c r="B383" i="4" s="1"/>
  <c r="B384" i="4" a="1"/>
  <c r="B384" i="4" s="1"/>
  <c r="B385" i="4" a="1"/>
  <c r="B385" i="4" s="1"/>
  <c r="B386" i="4" a="1"/>
  <c r="B386" i="4" s="1"/>
  <c r="B387" i="4" a="1"/>
  <c r="B387" i="4" s="1"/>
  <c r="B388" i="4" a="1"/>
  <c r="B388" i="4" s="1"/>
  <c r="B389" i="4" a="1"/>
  <c r="B389" i="4" s="1"/>
  <c r="B390" i="4" a="1"/>
  <c r="B390" i="4" s="1"/>
  <c r="B391" i="4" a="1"/>
  <c r="B391" i="4"/>
  <c r="B392" i="4" a="1"/>
  <c r="B392" i="4" s="1"/>
  <c r="B393" i="4" a="1"/>
  <c r="B393" i="4" s="1"/>
  <c r="B394" i="4" a="1"/>
  <c r="B394" i="4" s="1"/>
  <c r="B395" i="4" a="1"/>
  <c r="B395" i="4" s="1"/>
  <c r="B396" i="4" a="1"/>
  <c r="B396" i="4" s="1"/>
  <c r="B397" i="4" a="1"/>
  <c r="B397" i="4" s="1"/>
  <c r="B398" i="4" a="1"/>
  <c r="B398" i="4" s="1"/>
  <c r="B399" i="4" a="1"/>
  <c r="B399" i="4" s="1"/>
  <c r="B400" i="4" a="1"/>
  <c r="B400" i="4" s="1"/>
  <c r="B401" i="4" a="1"/>
  <c r="B401" i="4" s="1"/>
  <c r="B402" i="4" a="1"/>
  <c r="B402" i="4" s="1"/>
  <c r="B403" i="4" a="1"/>
  <c r="B403" i="4" s="1"/>
  <c r="B404" i="4" a="1"/>
  <c r="B404" i="4" s="1"/>
  <c r="B405" i="4" a="1"/>
  <c r="B405" i="4" s="1"/>
  <c r="B406" i="4" a="1"/>
  <c r="B406" i="4"/>
  <c r="B407" i="4" a="1"/>
  <c r="B407" i="4" s="1"/>
  <c r="B408" i="4" a="1"/>
  <c r="B408" i="4"/>
  <c r="B409" i="4" a="1"/>
  <c r="B409" i="4" s="1"/>
  <c r="B410" i="4" a="1"/>
  <c r="B410" i="4" s="1"/>
  <c r="B411" i="4" a="1"/>
  <c r="B411" i="4" s="1"/>
  <c r="B412" i="4" a="1"/>
  <c r="B412" i="4" s="1"/>
  <c r="B413" i="4" a="1"/>
  <c r="B413" i="4" s="1"/>
  <c r="B414" i="4" a="1"/>
  <c r="B414" i="4" s="1"/>
  <c r="B415" i="4" a="1"/>
  <c r="B415" i="4" s="1"/>
  <c r="B416" i="4" a="1"/>
  <c r="B416" i="4" s="1"/>
  <c r="B417" i="4" a="1"/>
  <c r="B417" i="4" s="1"/>
  <c r="B418" i="4" a="1"/>
  <c r="B418" i="4" s="1"/>
  <c r="B419" i="4" a="1"/>
  <c r="B419" i="4" s="1"/>
  <c r="B420" i="4" a="1"/>
  <c r="B420" i="4" s="1"/>
  <c r="B421" i="4" a="1"/>
  <c r="B421" i="4" s="1"/>
  <c r="B422" i="4" a="1"/>
  <c r="B422" i="4" s="1"/>
  <c r="B423" i="4" a="1"/>
  <c r="B423" i="4" s="1"/>
  <c r="B424" i="4" a="1"/>
  <c r="B424" i="4" s="1"/>
  <c r="B425" i="4" a="1"/>
  <c r="B425" i="4" s="1"/>
  <c r="B426" i="4" a="1"/>
  <c r="B426" i="4" s="1"/>
  <c r="B427" i="4" a="1"/>
  <c r="B427" i="4" s="1"/>
  <c r="B428" i="4" a="1"/>
  <c r="B428" i="4" s="1"/>
  <c r="B429" i="4" a="1"/>
  <c r="B429" i="4" s="1"/>
  <c r="B430" i="4" a="1"/>
  <c r="B430" i="4" s="1"/>
  <c r="B431" i="4" a="1"/>
  <c r="B431" i="4" s="1"/>
  <c r="B432" i="4" a="1"/>
  <c r="B432" i="4" s="1"/>
  <c r="B433" i="4" a="1"/>
  <c r="B433" i="4" s="1"/>
  <c r="B434" i="4" a="1"/>
  <c r="B434" i="4" s="1"/>
  <c r="B435" i="4" a="1"/>
  <c r="B435" i="4" s="1"/>
  <c r="B436" i="4" a="1"/>
  <c r="B436" i="4" s="1"/>
  <c r="B437" i="4" a="1"/>
  <c r="B437" i="4" s="1"/>
  <c r="B438" i="4" a="1"/>
  <c r="B438" i="4" s="1"/>
  <c r="B439" i="4" a="1"/>
  <c r="B439" i="4" s="1"/>
  <c r="B440" i="4" a="1"/>
  <c r="B440" i="4" s="1"/>
  <c r="B441" i="4" a="1"/>
  <c r="B441" i="4" s="1"/>
  <c r="B442" i="4" a="1"/>
  <c r="B442" i="4" s="1"/>
  <c r="B443" i="4" a="1"/>
  <c r="B443" i="4" s="1"/>
  <c r="B444" i="4" a="1"/>
  <c r="B444" i="4" s="1"/>
  <c r="B445" i="4" a="1"/>
  <c r="B445" i="4" s="1"/>
  <c r="B446" i="4" a="1"/>
  <c r="B446" i="4" s="1"/>
  <c r="B447" i="4" a="1"/>
  <c r="B447" i="4" s="1"/>
  <c r="B448" i="4" a="1"/>
  <c r="B448" i="4" s="1"/>
  <c r="B449" i="4" a="1"/>
  <c r="B449" i="4" s="1"/>
  <c r="B450" i="4" a="1"/>
  <c r="B450" i="4" s="1"/>
  <c r="B451" i="4" a="1"/>
  <c r="B451" i="4" s="1"/>
  <c r="B452" i="4" a="1"/>
  <c r="B452" i="4" s="1"/>
  <c r="B453" i="4" a="1"/>
  <c r="B453" i="4" s="1"/>
  <c r="B454" i="4" a="1"/>
  <c r="B454" i="4" s="1"/>
  <c r="B455" i="4" a="1"/>
  <c r="B455" i="4" s="1"/>
  <c r="B456" i="4" a="1"/>
  <c r="B456" i="4" s="1"/>
  <c r="B457" i="4" a="1"/>
  <c r="B457" i="4" s="1"/>
  <c r="B458" i="4" a="1"/>
  <c r="B458" i="4" s="1"/>
  <c r="B459" i="4" a="1"/>
  <c r="B459" i="4" s="1"/>
  <c r="B460" i="4" a="1"/>
  <c r="B460" i="4" s="1"/>
  <c r="B461" i="4" a="1"/>
  <c r="B461" i="4" s="1"/>
  <c r="B462" i="4" a="1"/>
  <c r="B462" i="4" s="1"/>
  <c r="B463" i="4" a="1"/>
  <c r="B463" i="4" s="1"/>
  <c r="B464" i="4" a="1"/>
  <c r="B464" i="4" s="1"/>
  <c r="B465" i="4" a="1"/>
  <c r="B465" i="4" s="1"/>
  <c r="B466" i="4" a="1"/>
  <c r="B466" i="4" s="1"/>
  <c r="B467" i="4" a="1"/>
  <c r="B467" i="4" s="1"/>
  <c r="B468" i="4" a="1"/>
  <c r="B468" i="4" s="1"/>
  <c r="B469" i="4" a="1"/>
  <c r="B469" i="4" s="1"/>
  <c r="B470" i="4" a="1"/>
  <c r="B470" i="4" s="1"/>
  <c r="B471" i="4" a="1"/>
  <c r="B471" i="4" s="1"/>
  <c r="B472" i="4" a="1"/>
  <c r="B472" i="4"/>
  <c r="B473" i="4" a="1"/>
  <c r="B473" i="4" s="1"/>
  <c r="B474" i="4" a="1"/>
  <c r="B474" i="4" s="1"/>
  <c r="B475" i="4" a="1"/>
  <c r="B475" i="4" s="1"/>
  <c r="B476" i="4" a="1"/>
  <c r="B476" i="4" s="1"/>
  <c r="B477" i="4" a="1"/>
  <c r="B477" i="4" s="1"/>
  <c r="B478" i="4" a="1"/>
  <c r="B478" i="4" s="1"/>
  <c r="B479" i="4" a="1"/>
  <c r="B479" i="4" s="1"/>
  <c r="B480" i="4" a="1"/>
  <c r="B480" i="4" s="1"/>
  <c r="B481" i="4" a="1"/>
  <c r="B481" i="4" s="1"/>
  <c r="B482" i="4" a="1"/>
  <c r="B482" i="4" s="1"/>
  <c r="B483" i="4" a="1"/>
  <c r="B483" i="4" s="1"/>
  <c r="B484" i="4" a="1"/>
  <c r="B484" i="4" s="1"/>
  <c r="B485" i="4" a="1"/>
  <c r="B485" i="4" s="1"/>
  <c r="B486" i="4" a="1"/>
  <c r="B486" i="4"/>
  <c r="B487" i="4" a="1"/>
  <c r="B487" i="4" s="1"/>
  <c r="B488" i="4" a="1"/>
  <c r="B488" i="4"/>
  <c r="B489" i="4" a="1"/>
  <c r="B489" i="4" s="1"/>
  <c r="B490" i="4" a="1"/>
  <c r="B490" i="4" s="1"/>
  <c r="B491" i="4" a="1"/>
  <c r="B491" i="4" s="1"/>
  <c r="B492" i="4" a="1"/>
  <c r="B492" i="4" s="1"/>
  <c r="B493" i="4" a="1"/>
  <c r="B493" i="4" s="1"/>
  <c r="B494" i="4" a="1"/>
  <c r="B494" i="4" s="1"/>
  <c r="B495" i="4" a="1"/>
  <c r="B495" i="4" s="1"/>
  <c r="B496" i="4" a="1"/>
  <c r="B496" i="4" s="1"/>
  <c r="B497" i="4" a="1"/>
  <c r="B497" i="4" s="1"/>
  <c r="B498" i="4" a="1"/>
  <c r="B498" i="4" s="1"/>
  <c r="B499" i="4" a="1"/>
  <c r="B499" i="4" s="1"/>
  <c r="B500" i="4" a="1"/>
  <c r="B500" i="4" s="1"/>
  <c r="B501" i="4" a="1"/>
  <c r="B501" i="4" s="1"/>
  <c r="B502" i="4" a="1"/>
  <c r="B502" i="4" s="1"/>
  <c r="B503" i="4" a="1"/>
  <c r="B503" i="4" s="1"/>
  <c r="B504" i="4" a="1"/>
  <c r="B504" i="4" s="1"/>
  <c r="B505" i="4" a="1"/>
  <c r="B505" i="4" s="1"/>
  <c r="B506" i="4" a="1"/>
  <c r="B506" i="4" s="1"/>
  <c r="B507" i="4" a="1"/>
  <c r="B507" i="4" s="1"/>
  <c r="B508" i="4" a="1"/>
  <c r="B508" i="4" s="1"/>
  <c r="B509" i="4" a="1"/>
  <c r="B509" i="4" s="1"/>
  <c r="B510" i="4" a="1"/>
  <c r="B510" i="4" s="1"/>
  <c r="B511" i="4" a="1"/>
  <c r="B511" i="4" s="1"/>
  <c r="B512" i="4" a="1"/>
  <c r="B512" i="4" s="1"/>
  <c r="B513" i="4" a="1"/>
  <c r="B513" i="4" s="1"/>
  <c r="B514" i="4" a="1"/>
  <c r="B514" i="4" s="1"/>
  <c r="B515" i="4" a="1"/>
  <c r="B515" i="4" s="1"/>
  <c r="B516" i="4" a="1"/>
  <c r="B516" i="4" s="1"/>
  <c r="B517" i="4" a="1"/>
  <c r="B517" i="4" s="1"/>
  <c r="B518" i="4" a="1"/>
  <c r="B518" i="4" s="1"/>
  <c r="B519" i="4" a="1"/>
  <c r="B519" i="4" s="1"/>
  <c r="B520" i="4" a="1"/>
  <c r="B520" i="4" s="1"/>
  <c r="B521" i="4" a="1"/>
  <c r="B521" i="4" s="1"/>
  <c r="B522" i="4" a="1"/>
  <c r="B522" i="4" s="1"/>
  <c r="B523" i="4" a="1"/>
  <c r="B523" i="4" s="1"/>
  <c r="B524" i="4" a="1"/>
  <c r="B524" i="4" s="1"/>
  <c r="B525" i="4" a="1"/>
  <c r="B525" i="4" s="1"/>
  <c r="B526" i="4" a="1"/>
  <c r="B526" i="4" s="1"/>
  <c r="B527" i="4" a="1"/>
  <c r="B527" i="4" s="1"/>
  <c r="B528" i="4" a="1"/>
  <c r="B528" i="4" s="1"/>
  <c r="B529" i="4" a="1"/>
  <c r="B529" i="4" s="1"/>
  <c r="B530" i="4" a="1"/>
  <c r="B530" i="4" s="1"/>
  <c r="B531" i="4" a="1"/>
  <c r="B531" i="4" s="1"/>
  <c r="B532" i="4" a="1"/>
  <c r="B532" i="4" s="1"/>
  <c r="B533" i="4" a="1"/>
  <c r="B533" i="4" s="1"/>
  <c r="B534" i="4" a="1"/>
  <c r="B534" i="4" s="1"/>
  <c r="B535" i="4" a="1"/>
  <c r="B535" i="4" s="1"/>
  <c r="B536" i="4" a="1"/>
  <c r="B536" i="4" s="1"/>
  <c r="B537" i="4" a="1"/>
  <c r="B537" i="4" s="1"/>
  <c r="B538" i="4" a="1"/>
  <c r="B538" i="4" s="1"/>
  <c r="B539" i="4" a="1"/>
  <c r="B539" i="4" s="1"/>
  <c r="B540" i="4" a="1"/>
  <c r="B540" i="4" s="1"/>
  <c r="B541" i="4" a="1"/>
  <c r="B541" i="4" s="1"/>
  <c r="B542" i="4" a="1"/>
  <c r="B542" i="4" s="1"/>
  <c r="B543" i="4" a="1"/>
  <c r="B543" i="4" s="1"/>
  <c r="B544" i="4" a="1"/>
  <c r="B544" i="4" s="1"/>
  <c r="B545" i="4" a="1"/>
  <c r="B545" i="4" s="1"/>
  <c r="B546" i="4" a="1"/>
  <c r="B546" i="4" s="1"/>
  <c r="B547" i="4" a="1"/>
  <c r="B547" i="4" s="1"/>
  <c r="B548" i="4" a="1"/>
  <c r="B548" i="4" s="1"/>
  <c r="B549" i="4" a="1"/>
  <c r="B549" i="4" s="1"/>
  <c r="B550" i="4" a="1"/>
  <c r="B550" i="4" s="1"/>
  <c r="B551" i="4" a="1"/>
  <c r="B551" i="4" s="1"/>
  <c r="B552" i="4" a="1"/>
  <c r="B552" i="4" s="1"/>
  <c r="B553" i="4" a="1"/>
  <c r="B553" i="4" s="1"/>
  <c r="B554" i="4" a="1"/>
  <c r="B554" i="4" s="1"/>
  <c r="B555" i="4" a="1"/>
  <c r="B555" i="4" s="1"/>
  <c r="B556" i="4" a="1"/>
  <c r="B556" i="4" s="1"/>
  <c r="B557" i="4" a="1"/>
  <c r="B557" i="4" s="1"/>
  <c r="B558" i="4" a="1"/>
  <c r="B558" i="4" s="1"/>
  <c r="B559" i="4" a="1"/>
  <c r="B559" i="4" s="1"/>
  <c r="B560" i="4" a="1"/>
  <c r="B560" i="4" s="1"/>
  <c r="B561" i="4" a="1"/>
  <c r="B561" i="4" s="1"/>
  <c r="B562" i="4" a="1"/>
  <c r="B562" i="4" s="1"/>
  <c r="B563" i="4" a="1"/>
  <c r="B563" i="4" s="1"/>
  <c r="B564" i="4" a="1"/>
  <c r="B564" i="4" s="1"/>
  <c r="B565" i="4" a="1"/>
  <c r="B565" i="4" s="1"/>
  <c r="B566" i="4" a="1"/>
  <c r="B566" i="4" s="1"/>
  <c r="B567" i="4" a="1"/>
  <c r="B567" i="4" s="1"/>
  <c r="B568" i="4" a="1"/>
  <c r="B568" i="4" s="1"/>
  <c r="B569" i="4" a="1"/>
  <c r="B569" i="4" s="1"/>
  <c r="B570" i="4" a="1"/>
  <c r="B570" i="4" s="1"/>
  <c r="B571" i="4" a="1"/>
  <c r="B571" i="4" s="1"/>
  <c r="B572" i="4" a="1"/>
  <c r="B572" i="4" s="1"/>
  <c r="B573" i="4" a="1"/>
  <c r="B573" i="4" s="1"/>
  <c r="B574" i="4" a="1"/>
  <c r="B574" i="4" s="1"/>
  <c r="B575" i="4" a="1"/>
  <c r="B575" i="4" s="1"/>
  <c r="B576" i="4" a="1"/>
  <c r="B576" i="4" s="1"/>
  <c r="B577" i="4" a="1"/>
  <c r="B577" i="4" s="1"/>
  <c r="B578" i="4" a="1"/>
  <c r="B578" i="4" s="1"/>
  <c r="B579" i="4" a="1"/>
  <c r="B579" i="4" s="1"/>
  <c r="B580" i="4" a="1"/>
  <c r="B580" i="4" s="1"/>
  <c r="B581" i="4" a="1"/>
  <c r="B581" i="4" s="1"/>
  <c r="B582" i="4" a="1"/>
  <c r="B582" i="4" s="1"/>
  <c r="B583" i="4" a="1"/>
  <c r="B583" i="4" s="1"/>
  <c r="B584" i="4" a="1"/>
  <c r="B584" i="4" s="1"/>
  <c r="B585" i="4" a="1"/>
  <c r="B585" i="4" s="1"/>
  <c r="B586" i="4" a="1"/>
  <c r="B586" i="4" s="1"/>
  <c r="B587" i="4" a="1"/>
  <c r="B587" i="4" s="1"/>
  <c r="B588" i="4" a="1"/>
  <c r="B588" i="4" s="1"/>
  <c r="B589" i="4" a="1"/>
  <c r="B589" i="4" s="1"/>
  <c r="B590" i="4" a="1"/>
  <c r="B590" i="4" s="1"/>
  <c r="B591" i="4" a="1"/>
  <c r="B591" i="4" s="1"/>
  <c r="B592" i="4" a="1"/>
  <c r="B592" i="4" s="1"/>
  <c r="B593" i="4" a="1"/>
  <c r="B593" i="4" s="1"/>
  <c r="B594" i="4" a="1"/>
  <c r="B594" i="4" s="1"/>
  <c r="B595" i="4" a="1"/>
  <c r="B595" i="4" s="1"/>
  <c r="B596" i="4" a="1"/>
  <c r="B596" i="4" s="1"/>
  <c r="B597" i="4" a="1"/>
  <c r="B597" i="4" s="1"/>
  <c r="B598" i="4" a="1"/>
  <c r="B598" i="4" s="1"/>
  <c r="B599" i="4" a="1"/>
  <c r="B599" i="4" s="1"/>
  <c r="B600" i="4" a="1"/>
  <c r="B600" i="4" s="1"/>
  <c r="B601" i="4" a="1"/>
  <c r="B601" i="4" s="1"/>
  <c r="B602" i="4" a="1"/>
  <c r="B602" i="4" s="1"/>
  <c r="B603" i="4" a="1"/>
  <c r="B603" i="4" s="1"/>
  <c r="B604" i="4" a="1"/>
  <c r="B604" i="4" s="1"/>
  <c r="B605" i="4" a="1"/>
  <c r="B605" i="4" s="1"/>
  <c r="B606" i="4" a="1"/>
  <c r="B606" i="4" s="1"/>
  <c r="B607" i="4" a="1"/>
  <c r="B607" i="4" s="1"/>
  <c r="B608" i="4" a="1"/>
  <c r="B608" i="4" s="1"/>
  <c r="B609" i="4" a="1"/>
  <c r="B609" i="4" s="1"/>
  <c r="B610" i="4" a="1"/>
  <c r="B610" i="4" s="1"/>
  <c r="B611" i="4" a="1"/>
  <c r="B611" i="4" s="1"/>
  <c r="B612" i="4" a="1"/>
  <c r="B612" i="4" s="1"/>
  <c r="B613" i="4" a="1"/>
  <c r="B613" i="4" s="1"/>
  <c r="B614" i="4" a="1"/>
  <c r="B614" i="4" s="1"/>
  <c r="B615" i="4" a="1"/>
  <c r="B615" i="4" s="1"/>
  <c r="B616" i="4" a="1"/>
  <c r="B616" i="4" s="1"/>
  <c r="B617" i="4" a="1"/>
  <c r="B617" i="4" s="1"/>
  <c r="B618" i="4" a="1"/>
  <c r="B618" i="4" s="1"/>
  <c r="B619" i="4" a="1"/>
  <c r="B619" i="4" s="1"/>
  <c r="B620" i="4" a="1"/>
  <c r="B620" i="4" s="1"/>
  <c r="B621" i="4" a="1"/>
  <c r="B621" i="4" s="1"/>
  <c r="B622" i="4" a="1"/>
  <c r="B622" i="4"/>
  <c r="B623" i="4" a="1"/>
  <c r="B623" i="4"/>
  <c r="B624" i="4" a="1"/>
  <c r="B624" i="4" s="1"/>
  <c r="B625" i="4" a="1"/>
  <c r="B625" i="4" s="1"/>
  <c r="B626" i="4" a="1"/>
  <c r="B626" i="4" s="1"/>
  <c r="B627" i="4" a="1"/>
  <c r="B627" i="4" s="1"/>
  <c r="B628" i="4" a="1"/>
  <c r="B628" i="4" s="1"/>
  <c r="B629" i="4" a="1"/>
  <c r="B629" i="4" s="1"/>
  <c r="B630" i="4" a="1"/>
  <c r="B630" i="4"/>
  <c r="B631" i="4" a="1"/>
  <c r="B631" i="4" s="1"/>
  <c r="B632" i="4" a="1"/>
  <c r="B632" i="4" s="1"/>
  <c r="B633" i="4" a="1"/>
  <c r="B633" i="4" s="1"/>
  <c r="B634" i="4" a="1"/>
  <c r="B634" i="4" s="1"/>
  <c r="B635" i="4" a="1"/>
  <c r="B635" i="4" s="1"/>
  <c r="B636" i="4" a="1"/>
  <c r="B636" i="4" s="1"/>
  <c r="B637" i="4" a="1"/>
  <c r="B637" i="4" s="1"/>
  <c r="B638" i="4" a="1"/>
  <c r="B638" i="4" s="1"/>
  <c r="B639" i="4" a="1"/>
  <c r="B639" i="4" s="1"/>
  <c r="B640" i="4" a="1"/>
  <c r="B640" i="4" s="1"/>
  <c r="B641" i="4" a="1"/>
  <c r="B641" i="4" s="1"/>
  <c r="B642" i="4" a="1"/>
  <c r="B642" i="4" s="1"/>
  <c r="B643" i="4" a="1"/>
  <c r="B643" i="4" s="1"/>
  <c r="B644" i="4" a="1"/>
  <c r="B644" i="4" s="1"/>
  <c r="B645" i="4" a="1"/>
  <c r="B645" i="4" s="1"/>
  <c r="B646" i="4" a="1"/>
  <c r="B646" i="4" s="1"/>
  <c r="B647" i="4" a="1"/>
  <c r="B647" i="4" s="1"/>
  <c r="B648" i="4" a="1"/>
  <c r="B648" i="4" s="1"/>
  <c r="B649" i="4" a="1"/>
  <c r="B649" i="4" s="1"/>
  <c r="B650" i="4" a="1"/>
  <c r="B650" i="4" s="1"/>
  <c r="B651" i="4" a="1"/>
  <c r="B651" i="4" s="1"/>
  <c r="B652" i="4" a="1"/>
  <c r="B652" i="4" s="1"/>
  <c r="B653" i="4" a="1"/>
  <c r="B653" i="4" s="1"/>
  <c r="B654" i="4" a="1"/>
  <c r="B654" i="4" s="1"/>
  <c r="B655" i="4" a="1"/>
  <c r="B655" i="4" s="1"/>
  <c r="B656" i="4" a="1"/>
  <c r="B656" i="4" s="1"/>
  <c r="B657" i="4" a="1"/>
  <c r="B657" i="4" s="1"/>
  <c r="B658" i="4" a="1"/>
  <c r="B658" i="4" s="1"/>
  <c r="B659" i="4" a="1"/>
  <c r="B659" i="4" s="1"/>
  <c r="B660" i="4" a="1"/>
  <c r="B660" i="4" s="1"/>
  <c r="B661" i="4" a="1"/>
  <c r="B661" i="4" s="1"/>
  <c r="B662" i="4" a="1"/>
  <c r="B662" i="4" s="1"/>
  <c r="B663" i="4" a="1"/>
  <c r="B663" i="4" s="1"/>
  <c r="B664" i="4" a="1"/>
  <c r="B664" i="4" s="1"/>
  <c r="B665" i="4" a="1"/>
  <c r="B665" i="4" s="1"/>
  <c r="B666" i="4" a="1"/>
  <c r="B666" i="4" s="1"/>
  <c r="B667" i="4" a="1"/>
  <c r="B667" i="4" s="1"/>
  <c r="B668" i="4" a="1"/>
  <c r="B668" i="4" s="1"/>
  <c r="B669" i="4" a="1"/>
  <c r="B669" i="4" s="1"/>
  <c r="B670" i="4" a="1"/>
  <c r="B670" i="4" s="1"/>
  <c r="B671" i="4" a="1"/>
  <c r="B671" i="4" s="1"/>
  <c r="B672" i="4" a="1"/>
  <c r="B672" i="4" s="1"/>
  <c r="B673" i="4" a="1"/>
  <c r="B673" i="4" s="1"/>
  <c r="B674" i="4" a="1"/>
  <c r="B674" i="4" s="1"/>
  <c r="B675" i="4" a="1"/>
  <c r="B675" i="4" s="1"/>
  <c r="B676" i="4" a="1"/>
  <c r="B676" i="4" s="1"/>
  <c r="B677" i="4" a="1"/>
  <c r="B677" i="4" s="1"/>
  <c r="B678" i="4" a="1"/>
  <c r="B678" i="4"/>
  <c r="B679" i="4" a="1"/>
  <c r="B679" i="4" s="1"/>
  <c r="B680" i="4" a="1"/>
  <c r="B680" i="4" s="1"/>
  <c r="B681" i="4" a="1"/>
  <c r="B681" i="4" s="1"/>
  <c r="B682" i="4" a="1"/>
  <c r="B682" i="4" s="1"/>
  <c r="B683" i="4" a="1"/>
  <c r="B683" i="4" s="1"/>
  <c r="B684" i="4" a="1"/>
  <c r="B684" i="4" s="1"/>
  <c r="B685" i="4" a="1"/>
  <c r="B685" i="4" s="1"/>
  <c r="B686" i="4" a="1"/>
  <c r="B686" i="4" s="1"/>
  <c r="B687" i="4" a="1"/>
  <c r="B687" i="4" s="1"/>
  <c r="B688" i="4" a="1"/>
  <c r="B688" i="4"/>
  <c r="B689" i="4" a="1"/>
  <c r="B689" i="4" s="1"/>
  <c r="B690" i="4" a="1"/>
  <c r="B690" i="4" s="1"/>
  <c r="B691" i="4" a="1"/>
  <c r="B691" i="4" s="1"/>
  <c r="B692" i="4" a="1"/>
  <c r="B692" i="4" s="1"/>
  <c r="B693" i="4" a="1"/>
  <c r="B693" i="4" s="1"/>
  <c r="B694" i="4" a="1"/>
  <c r="B694" i="4" s="1"/>
  <c r="B695" i="4" a="1"/>
  <c r="B695" i="4" s="1"/>
  <c r="B696" i="4" a="1"/>
  <c r="B696" i="4" s="1"/>
  <c r="B697" i="4" a="1"/>
  <c r="B697" i="4" s="1"/>
  <c r="B698" i="4" a="1"/>
  <c r="B698" i="4" s="1"/>
  <c r="B699" i="4" a="1"/>
  <c r="B699" i="4" s="1"/>
  <c r="B700" i="4" a="1"/>
  <c r="B700" i="4" s="1"/>
  <c r="B701" i="4" a="1"/>
  <c r="B701" i="4" s="1"/>
  <c r="B702" i="4" a="1"/>
  <c r="B702" i="4" s="1"/>
  <c r="B703" i="4" a="1"/>
  <c r="B703" i="4" s="1"/>
  <c r="B704" i="4" a="1"/>
  <c r="B704" i="4" s="1"/>
  <c r="B705" i="4" a="1"/>
  <c r="B705" i="4" s="1"/>
  <c r="B706" i="4" a="1"/>
  <c r="B706" i="4" s="1"/>
  <c r="B707" i="4" a="1"/>
  <c r="B707" i="4" s="1"/>
  <c r="B708" i="4" a="1"/>
  <c r="B708" i="4" s="1"/>
  <c r="B709" i="4" a="1"/>
  <c r="B709" i="4" s="1"/>
  <c r="B710" i="4" a="1"/>
  <c r="B710" i="4"/>
  <c r="B711" i="4" a="1"/>
  <c r="B711" i="4" s="1"/>
  <c r="B712" i="4" a="1"/>
  <c r="B712" i="4" s="1"/>
  <c r="B713" i="4" a="1"/>
  <c r="B713" i="4" s="1"/>
  <c r="B714" i="4" a="1"/>
  <c r="B714" i="4" s="1"/>
  <c r="B715" i="4" a="1"/>
  <c r="B715" i="4" s="1"/>
  <c r="B716" i="4" a="1"/>
  <c r="B716" i="4" s="1"/>
  <c r="B717" i="4" a="1"/>
  <c r="B717" i="4" s="1"/>
  <c r="B718" i="4" a="1"/>
  <c r="B718" i="4"/>
  <c r="B719" i="4" a="1"/>
  <c r="B719" i="4" s="1"/>
  <c r="B720" i="4" a="1"/>
  <c r="B720" i="4" s="1"/>
  <c r="B721" i="4" a="1"/>
  <c r="B721" i="4" s="1"/>
  <c r="B722" i="4" a="1"/>
  <c r="B722" i="4" s="1"/>
  <c r="B723" i="4" a="1"/>
  <c r="B723" i="4" s="1"/>
  <c r="B724" i="4" a="1"/>
  <c r="B724" i="4" s="1"/>
  <c r="B725" i="4" a="1"/>
  <c r="B725" i="4" s="1"/>
  <c r="B726" i="4" a="1"/>
  <c r="B726" i="4" s="1"/>
  <c r="B727" i="4" a="1"/>
  <c r="B727" i="4" s="1"/>
  <c r="B728" i="4" a="1"/>
  <c r="B728" i="4" s="1"/>
  <c r="B729" i="4" a="1"/>
  <c r="B729" i="4" s="1"/>
  <c r="B730" i="4" a="1"/>
  <c r="B730" i="4" s="1"/>
  <c r="B731" i="4" a="1"/>
  <c r="B731" i="4" s="1"/>
  <c r="B732" i="4" a="1"/>
  <c r="B732" i="4" s="1"/>
  <c r="B733" i="4" a="1"/>
  <c r="B733" i="4" s="1"/>
  <c r="B734" i="4" a="1"/>
  <c r="B734" i="4" s="1"/>
  <c r="B735" i="4" a="1"/>
  <c r="B735" i="4" s="1"/>
  <c r="B736" i="4" a="1"/>
  <c r="B736" i="4"/>
  <c r="B737" i="4" a="1"/>
  <c r="B737" i="4" s="1"/>
  <c r="B738" i="4" a="1"/>
  <c r="B738" i="4" s="1"/>
  <c r="B739" i="4" a="1"/>
  <c r="B739" i="4" s="1"/>
  <c r="B740" i="4" a="1"/>
  <c r="B740" i="4" s="1"/>
  <c r="B741" i="4" a="1"/>
  <c r="B741" i="4" s="1"/>
  <c r="B742" i="4" a="1"/>
  <c r="B742" i="4" s="1"/>
  <c r="B743" i="4" a="1"/>
  <c r="B743" i="4" s="1"/>
  <c r="B744" i="4" a="1"/>
  <c r="B744" i="4" s="1"/>
  <c r="B745" i="4" a="1"/>
  <c r="B745" i="4" s="1"/>
  <c r="B746" i="4" a="1"/>
  <c r="B746" i="4" s="1"/>
  <c r="B747" i="4" a="1"/>
  <c r="B747" i="4" s="1"/>
  <c r="B748" i="4" a="1"/>
  <c r="B748" i="4" s="1"/>
  <c r="B749" i="4" a="1"/>
  <c r="B749" i="4" s="1"/>
  <c r="B750" i="4" a="1"/>
  <c r="B750" i="4" s="1"/>
  <c r="B751" i="4" a="1"/>
  <c r="B751" i="4"/>
  <c r="B752" i="4" a="1"/>
  <c r="B752" i="4" s="1"/>
  <c r="B753" i="4" a="1"/>
  <c r="B753" i="4" s="1"/>
  <c r="B754" i="4" a="1"/>
  <c r="B754" i="4" s="1"/>
  <c r="B755" i="4" a="1"/>
  <c r="B755" i="4" s="1"/>
  <c r="B756" i="4" a="1"/>
  <c r="B756" i="4" s="1"/>
  <c r="B757" i="4" a="1"/>
  <c r="B757" i="4" s="1"/>
  <c r="B758" i="4" a="1"/>
  <c r="B758" i="4" s="1"/>
  <c r="B759" i="4" a="1"/>
  <c r="B759" i="4" s="1"/>
  <c r="B760" i="4" a="1"/>
  <c r="B760" i="4" s="1"/>
  <c r="B761" i="4" a="1"/>
  <c r="B761" i="4" s="1"/>
  <c r="B762" i="4" a="1"/>
  <c r="B762" i="4" s="1"/>
  <c r="B763" i="4" a="1"/>
  <c r="B763" i="4" s="1"/>
  <c r="B764" i="4" a="1"/>
  <c r="B764" i="4" s="1"/>
  <c r="B765" i="4" a="1"/>
  <c r="B765" i="4" s="1"/>
  <c r="B766" i="4" a="1"/>
  <c r="B766" i="4" s="1"/>
  <c r="B767" i="4" a="1"/>
  <c r="B767" i="4" s="1"/>
  <c r="B768" i="4" a="1"/>
  <c r="B768" i="4"/>
  <c r="B769" i="4" a="1"/>
  <c r="B769" i="4" s="1"/>
  <c r="B770" i="4" a="1"/>
  <c r="B770" i="4" s="1"/>
  <c r="B771" i="4" a="1"/>
  <c r="B771" i="4" s="1"/>
  <c r="B772" i="4" a="1"/>
  <c r="B772" i="4" s="1"/>
  <c r="B773" i="4" a="1"/>
  <c r="B773" i="4" s="1"/>
  <c r="B774" i="4" a="1"/>
  <c r="B774" i="4" s="1"/>
  <c r="B775" i="4" a="1"/>
  <c r="B775" i="4" s="1"/>
  <c r="B776" i="4" a="1"/>
  <c r="B776" i="4" s="1"/>
  <c r="B777" i="4" a="1"/>
  <c r="B777" i="4" s="1"/>
  <c r="B778" i="4" a="1"/>
  <c r="B778" i="4" s="1"/>
  <c r="B779" i="4" a="1"/>
  <c r="B779" i="4" s="1"/>
  <c r="B780" i="4" a="1"/>
  <c r="B780" i="4" s="1"/>
  <c r="B781" i="4" a="1"/>
  <c r="B781" i="4" s="1"/>
  <c r="B782" i="4" a="1"/>
  <c r="B782" i="4" s="1"/>
  <c r="B783" i="4" a="1"/>
  <c r="B783" i="4" s="1"/>
  <c r="B784" i="4" a="1"/>
  <c r="B784" i="4" s="1"/>
  <c r="B785" i="4" a="1"/>
  <c r="B785" i="4" s="1"/>
  <c r="B786" i="4" a="1"/>
  <c r="B786" i="4" s="1"/>
  <c r="B787" i="4" a="1"/>
  <c r="B787" i="4" s="1"/>
  <c r="B788" i="4" a="1"/>
  <c r="B788" i="4" s="1"/>
  <c r="B789" i="4" a="1"/>
  <c r="B789" i="4" s="1"/>
  <c r="B790" i="4" a="1"/>
  <c r="B790" i="4" s="1"/>
  <c r="B791" i="4" a="1"/>
  <c r="B791" i="4" s="1"/>
  <c r="B792" i="4" a="1"/>
  <c r="B792" i="4" s="1"/>
  <c r="B793" i="4" a="1"/>
  <c r="B793" i="4" s="1"/>
  <c r="B794" i="4" a="1"/>
  <c r="B794" i="4" s="1"/>
  <c r="B795" i="4" a="1"/>
  <c r="B795" i="4" s="1"/>
  <c r="B796" i="4" a="1"/>
  <c r="B796" i="4" s="1"/>
  <c r="B797" i="4" a="1"/>
  <c r="B797" i="4" s="1"/>
  <c r="B798" i="4" a="1"/>
  <c r="B798" i="4"/>
  <c r="B799" i="4" a="1"/>
  <c r="B799" i="4" s="1"/>
  <c r="B800" i="4" a="1"/>
  <c r="B800" i="4" s="1"/>
  <c r="B801" i="4" a="1"/>
  <c r="B801" i="4" s="1"/>
  <c r="B802" i="4" a="1"/>
  <c r="B802" i="4" s="1"/>
  <c r="B803" i="4" a="1"/>
  <c r="B803" i="4" s="1"/>
  <c r="B804" i="4" a="1"/>
  <c r="B804" i="4" s="1"/>
  <c r="B805" i="4" a="1"/>
  <c r="B805" i="4" s="1"/>
  <c r="B806" i="4" a="1"/>
  <c r="B806" i="4" s="1"/>
  <c r="B807" i="4" a="1"/>
  <c r="B807" i="4" s="1"/>
  <c r="B808" i="4" a="1"/>
  <c r="B808" i="4" s="1"/>
  <c r="B809" i="4" a="1"/>
  <c r="B809" i="4" s="1"/>
  <c r="B810" i="4" a="1"/>
  <c r="B810" i="4" s="1"/>
  <c r="B811" i="4" a="1"/>
  <c r="B811" i="4" s="1"/>
  <c r="B812" i="4" a="1"/>
  <c r="B812" i="4" s="1"/>
  <c r="B813" i="4" a="1"/>
  <c r="B813" i="4" s="1"/>
  <c r="B814" i="4" a="1"/>
  <c r="B814" i="4" s="1"/>
  <c r="B815" i="4" a="1"/>
  <c r="B815" i="4" s="1"/>
  <c r="B816" i="4" a="1"/>
  <c r="B816" i="4" s="1"/>
  <c r="B817" i="4" a="1"/>
  <c r="B817" i="4" s="1"/>
  <c r="B818" i="4" a="1"/>
  <c r="B818" i="4" s="1"/>
  <c r="B819" i="4" a="1"/>
  <c r="B819" i="4" s="1"/>
  <c r="B820" i="4" a="1"/>
  <c r="B820" i="4" s="1"/>
  <c r="B821" i="4" a="1"/>
  <c r="B821" i="4" s="1"/>
  <c r="B822" i="4" a="1"/>
  <c r="B822" i="4" s="1"/>
  <c r="B823" i="4" a="1"/>
  <c r="B823" i="4" s="1"/>
  <c r="B824" i="4" a="1"/>
  <c r="B824" i="4" s="1"/>
  <c r="B825" i="4" a="1"/>
  <c r="B825" i="4" s="1"/>
  <c r="B826" i="4" a="1"/>
  <c r="B826" i="4" s="1"/>
  <c r="B827" i="4" a="1"/>
  <c r="B827" i="4" s="1"/>
  <c r="B828" i="4" a="1"/>
  <c r="B828" i="4" s="1"/>
  <c r="B829" i="4" a="1"/>
  <c r="B829" i="4" s="1"/>
  <c r="B830" i="4" a="1"/>
  <c r="B830" i="4"/>
  <c r="B831" i="4" a="1"/>
  <c r="B831" i="4" s="1"/>
  <c r="B832" i="4" a="1"/>
  <c r="B832" i="4" s="1"/>
  <c r="B833" i="4" a="1"/>
  <c r="B833" i="4" s="1"/>
  <c r="B834" i="4" a="1"/>
  <c r="B834" i="4" s="1"/>
  <c r="B835" i="4" a="1"/>
  <c r="B835" i="4" s="1"/>
  <c r="B836" i="4" a="1"/>
  <c r="B836" i="4" s="1"/>
  <c r="B837" i="4" a="1"/>
  <c r="B837" i="4" s="1"/>
  <c r="B838" i="4" a="1"/>
  <c r="B838" i="4" s="1"/>
  <c r="B839" i="4" a="1"/>
  <c r="B839" i="4" s="1"/>
  <c r="B840" i="4" a="1"/>
  <c r="B840" i="4" s="1"/>
  <c r="B841" i="4" a="1"/>
  <c r="B841" i="4" s="1"/>
  <c r="B842" i="4" a="1"/>
  <c r="B842" i="4" s="1"/>
  <c r="B843" i="4" a="1"/>
  <c r="B843" i="4" s="1"/>
  <c r="B844" i="4" a="1"/>
  <c r="B844" i="4" s="1"/>
  <c r="B845" i="4" a="1"/>
  <c r="B845" i="4" s="1"/>
  <c r="B846" i="4" a="1"/>
  <c r="B846" i="4" s="1"/>
  <c r="B847" i="4" a="1"/>
  <c r="B847" i="4" s="1"/>
  <c r="B848" i="4" a="1"/>
  <c r="B848" i="4" s="1"/>
  <c r="B849" i="4" a="1"/>
  <c r="B849" i="4" s="1"/>
  <c r="B850" i="4" a="1"/>
  <c r="B850" i="4" s="1"/>
  <c r="B851" i="4" a="1"/>
  <c r="B851" i="4" s="1"/>
  <c r="B852" i="4" a="1"/>
  <c r="B852" i="4" s="1"/>
  <c r="B853" i="4" a="1"/>
  <c r="B853" i="4" s="1"/>
  <c r="B854" i="4" a="1"/>
  <c r="B854" i="4" s="1"/>
  <c r="B855" i="4" a="1"/>
  <c r="B855" i="4" s="1"/>
  <c r="B856" i="4" a="1"/>
  <c r="B856" i="4" s="1"/>
  <c r="B857" i="4" a="1"/>
  <c r="B857" i="4" s="1"/>
  <c r="B858" i="4" a="1"/>
  <c r="B858" i="4" s="1"/>
  <c r="B859" i="4" a="1"/>
  <c r="B859" i="4" s="1"/>
  <c r="B860" i="4" a="1"/>
  <c r="B860" i="4" s="1"/>
  <c r="B861" i="4" a="1"/>
  <c r="B861" i="4" s="1"/>
  <c r="B862" i="4" a="1"/>
  <c r="B862" i="4"/>
  <c r="B863" i="4" a="1"/>
  <c r="B863" i="4"/>
  <c r="B864" i="4" a="1"/>
  <c r="B864" i="4" s="1"/>
  <c r="B865" i="4" a="1"/>
  <c r="B865" i="4" s="1"/>
  <c r="B866" i="4" a="1"/>
  <c r="B866" i="4" s="1"/>
  <c r="B867" i="4" a="1"/>
  <c r="B867" i="4" s="1"/>
  <c r="B868" i="4" a="1"/>
  <c r="B868" i="4" s="1"/>
  <c r="B869" i="4" a="1"/>
  <c r="B869" i="4" s="1"/>
  <c r="B870" i="4" a="1"/>
  <c r="B870" i="4" s="1"/>
  <c r="B871" i="4" a="1"/>
  <c r="B871" i="4" s="1"/>
  <c r="B872" i="4" a="1"/>
  <c r="B872" i="4" s="1"/>
  <c r="B873" i="4" a="1"/>
  <c r="B873" i="4" s="1"/>
  <c r="B874" i="4" a="1"/>
  <c r="B874" i="4" s="1"/>
  <c r="B875" i="4" a="1"/>
  <c r="B875" i="4" s="1"/>
  <c r="B876" i="4" a="1"/>
  <c r="B876" i="4" s="1"/>
  <c r="B877" i="4" a="1"/>
  <c r="B877" i="4" s="1"/>
  <c r="B878" i="4" a="1"/>
  <c r="B878" i="4" s="1"/>
  <c r="B879" i="4" a="1"/>
  <c r="B879" i="4" s="1"/>
  <c r="B880" i="4" a="1"/>
  <c r="B880" i="4" s="1"/>
  <c r="B881" i="4" a="1"/>
  <c r="B881" i="4" s="1"/>
  <c r="B882" i="4" a="1"/>
  <c r="B882" i="4" s="1"/>
  <c r="B883" i="4" a="1"/>
  <c r="B883" i="4" s="1"/>
  <c r="B884" i="4" a="1"/>
  <c r="B884" i="4" s="1"/>
  <c r="B885" i="4" a="1"/>
  <c r="B885" i="4" s="1"/>
  <c r="B886" i="4" a="1"/>
  <c r="B886" i="4" s="1"/>
  <c r="B887" i="4" a="1"/>
  <c r="B887" i="4" s="1"/>
  <c r="B888" i="4" a="1"/>
  <c r="B888" i="4" s="1"/>
  <c r="B889" i="4" a="1"/>
  <c r="B889" i="4" s="1"/>
  <c r="B890" i="4" a="1"/>
  <c r="B890" i="4" s="1"/>
  <c r="B891" i="4" a="1"/>
  <c r="B891" i="4" s="1"/>
  <c r="B892" i="4" a="1"/>
  <c r="B892" i="4" s="1"/>
  <c r="B893" i="4" a="1"/>
  <c r="B893" i="4" s="1"/>
  <c r="B894" i="4" a="1"/>
  <c r="B894" i="4" s="1"/>
  <c r="B895" i="4" a="1"/>
  <c r="B895" i="4" s="1"/>
  <c r="B896" i="4" a="1"/>
  <c r="B896" i="4" s="1"/>
  <c r="B897" i="4" a="1"/>
  <c r="B897" i="4" s="1"/>
  <c r="B898" i="4" a="1"/>
  <c r="B898" i="4" s="1"/>
  <c r="B899" i="4" a="1"/>
  <c r="B899" i="4" s="1"/>
  <c r="B900" i="4" a="1"/>
  <c r="B900" i="4" s="1"/>
  <c r="B901" i="4" a="1"/>
  <c r="B901" i="4" s="1"/>
  <c r="B902" i="4" a="1"/>
  <c r="B902" i="4" s="1"/>
  <c r="B903" i="4" a="1"/>
  <c r="B903" i="4" s="1"/>
  <c r="B904" i="4" a="1"/>
  <c r="B904" i="4" s="1"/>
  <c r="B905" i="4" a="1"/>
  <c r="B905" i="4" s="1"/>
  <c r="B906" i="4" a="1"/>
  <c r="B906" i="4" s="1"/>
  <c r="B907" i="4" a="1"/>
  <c r="B907" i="4" s="1"/>
  <c r="B908" i="4" a="1"/>
  <c r="B908" i="4" s="1"/>
  <c r="B909" i="4" a="1"/>
  <c r="B909" i="4" s="1"/>
  <c r="B910" i="4" a="1"/>
  <c r="B910" i="4" s="1"/>
  <c r="B911" i="4" a="1"/>
  <c r="B911" i="4" s="1"/>
  <c r="B912" i="4" a="1"/>
  <c r="B912" i="4"/>
  <c r="B913" i="4" a="1"/>
  <c r="B913" i="4" s="1"/>
  <c r="B914" i="4" a="1"/>
  <c r="B914" i="4" s="1"/>
  <c r="B915" i="4" a="1"/>
  <c r="B915" i="4" s="1"/>
  <c r="B916" i="4" a="1"/>
  <c r="B916" i="4" s="1"/>
  <c r="B917" i="4" a="1"/>
  <c r="B917" i="4" s="1"/>
  <c r="B918" i="4" a="1"/>
  <c r="B918" i="4" s="1"/>
  <c r="B919" i="4" a="1"/>
  <c r="B919" i="4" s="1"/>
  <c r="B920" i="4" a="1"/>
  <c r="B920" i="4" s="1"/>
  <c r="B921" i="4" a="1"/>
  <c r="B921" i="4" s="1"/>
  <c r="B922" i="4" a="1"/>
  <c r="B922" i="4" s="1"/>
  <c r="B923" i="4" a="1"/>
  <c r="B923" i="4" s="1"/>
  <c r="B924" i="4" a="1"/>
  <c r="B924" i="4" s="1"/>
  <c r="B925" i="4" a="1"/>
  <c r="B925" i="4" s="1"/>
  <c r="B926" i="4" a="1"/>
  <c r="B926" i="4" s="1"/>
  <c r="B927" i="4" a="1"/>
  <c r="B927" i="4" s="1"/>
  <c r="B928" i="4" a="1"/>
  <c r="B928" i="4" s="1"/>
  <c r="B929" i="4" a="1"/>
  <c r="B929" i="4" s="1"/>
  <c r="B930" i="4" a="1"/>
  <c r="B930" i="4" s="1"/>
  <c r="B931" i="4" a="1"/>
  <c r="B931" i="4" s="1"/>
  <c r="B932" i="4" a="1"/>
  <c r="B932" i="4" s="1"/>
  <c r="B933" i="4" a="1"/>
  <c r="B933" i="4" s="1"/>
  <c r="B934" i="4" a="1"/>
  <c r="B934" i="4" s="1"/>
  <c r="B935" i="4" a="1"/>
  <c r="B935" i="4" s="1"/>
  <c r="B936" i="4" a="1"/>
  <c r="B936" i="4" s="1"/>
  <c r="B937" i="4" a="1"/>
  <c r="B937" i="4" s="1"/>
  <c r="B938" i="4" a="1"/>
  <c r="B938" i="4" s="1"/>
  <c r="B939" i="4" a="1"/>
  <c r="B939" i="4" s="1"/>
  <c r="B940" i="4" a="1"/>
  <c r="B940" i="4" s="1"/>
  <c r="B941" i="4" a="1"/>
  <c r="B941" i="4"/>
  <c r="B942" i="4" a="1"/>
  <c r="B942" i="4" s="1"/>
  <c r="B943" i="4" a="1"/>
  <c r="B943" i="4" s="1"/>
  <c r="B944" i="4" a="1"/>
  <c r="B944" i="4" s="1"/>
  <c r="B945" i="4" a="1"/>
  <c r="B945" i="4" s="1"/>
  <c r="B946" i="4" a="1"/>
  <c r="B946" i="4" s="1"/>
  <c r="B947" i="4" a="1"/>
  <c r="B947" i="4" s="1"/>
  <c r="B948" i="4" a="1"/>
  <c r="B948" i="4" s="1"/>
  <c r="B949" i="4" a="1"/>
  <c r="B949" i="4"/>
  <c r="B950" i="4" a="1"/>
  <c r="B950" i="4" s="1"/>
  <c r="B951" i="4" a="1"/>
  <c r="B951" i="4" s="1"/>
  <c r="B952" i="4" a="1"/>
  <c r="B952" i="4" s="1"/>
  <c r="B953" i="4" a="1"/>
  <c r="B953" i="4" s="1"/>
  <c r="B954" i="4" a="1"/>
  <c r="B954" i="4" s="1"/>
  <c r="B955" i="4" a="1"/>
  <c r="B955" i="4" s="1"/>
  <c r="B956" i="4" a="1"/>
  <c r="B956" i="4" s="1"/>
  <c r="B957" i="4" a="1"/>
  <c r="B957" i="4" s="1"/>
  <c r="B958" i="4" a="1"/>
  <c r="B958" i="4" s="1"/>
  <c r="B959" i="4" a="1"/>
  <c r="B959" i="4" s="1"/>
  <c r="B960" i="4" a="1"/>
  <c r="B960" i="4" s="1"/>
  <c r="B961" i="4" a="1"/>
  <c r="B961" i="4" s="1"/>
  <c r="B962" i="4" a="1"/>
  <c r="B962" i="4" s="1"/>
  <c r="B963" i="4" a="1"/>
  <c r="B963" i="4" s="1"/>
  <c r="B964" i="4" a="1"/>
  <c r="B964" i="4" s="1"/>
  <c r="B965" i="4" a="1"/>
  <c r="B965" i="4" s="1"/>
  <c r="B966" i="4" a="1"/>
  <c r="B966" i="4" s="1"/>
  <c r="B967" i="4" a="1"/>
  <c r="B967" i="4" s="1"/>
  <c r="B968" i="4" a="1"/>
  <c r="B968" i="4" s="1"/>
  <c r="B969" i="4" a="1"/>
  <c r="B969" i="4" s="1"/>
  <c r="B970" i="4" a="1"/>
  <c r="B970" i="4" s="1"/>
  <c r="B971" i="4" a="1"/>
  <c r="B971" i="4" s="1"/>
  <c r="B972" i="4" a="1"/>
  <c r="B972" i="4" s="1"/>
  <c r="B973" i="4" a="1"/>
  <c r="B973" i="4" s="1"/>
  <c r="B974" i="4" a="1"/>
  <c r="B974" i="4" s="1"/>
  <c r="B975" i="4" a="1"/>
  <c r="B975" i="4" s="1"/>
  <c r="B976" i="4" a="1"/>
  <c r="B976" i="4" s="1"/>
  <c r="B977" i="4" a="1"/>
  <c r="B977" i="4" s="1"/>
  <c r="B978" i="4" a="1"/>
  <c r="B978" i="4" s="1"/>
  <c r="B979" i="4" a="1"/>
  <c r="B979" i="4" s="1"/>
  <c r="B980" i="4" a="1"/>
  <c r="B980" i="4" s="1"/>
  <c r="B981" i="4" a="1"/>
  <c r="B981" i="4" s="1"/>
  <c r="B982" i="4" a="1"/>
  <c r="B982" i="4" s="1"/>
  <c r="B983" i="4" a="1"/>
  <c r="B983" i="4" s="1"/>
  <c r="B984" i="4" a="1"/>
  <c r="B984" i="4" s="1"/>
  <c r="B985" i="4" a="1"/>
  <c r="B985" i="4" s="1"/>
  <c r="B986" i="4" a="1"/>
  <c r="B986" i="4" s="1"/>
  <c r="B987" i="4" a="1"/>
  <c r="B987" i="4"/>
  <c r="B988" i="4" a="1"/>
  <c r="B988" i="4" s="1"/>
  <c r="B989" i="4" a="1"/>
  <c r="B989" i="4" s="1"/>
  <c r="B990" i="4" a="1"/>
  <c r="B990" i="4"/>
  <c r="B991" i="4" a="1"/>
  <c r="B991" i="4" s="1"/>
  <c r="B992" i="4" a="1"/>
  <c r="B992" i="4" s="1"/>
  <c r="B993" i="4" a="1"/>
  <c r="B993" i="4" s="1"/>
  <c r="B994" i="4" a="1"/>
  <c r="B994" i="4" s="1"/>
  <c r="B995" i="4" a="1"/>
  <c r="B995" i="4" s="1"/>
  <c r="B996" i="4" a="1"/>
  <c r="B996" i="4" s="1"/>
  <c r="B997" i="4" a="1"/>
  <c r="B997" i="4" s="1"/>
  <c r="B998" i="4" a="1"/>
  <c r="B998" i="4" s="1"/>
  <c r="B999" i="4" a="1"/>
  <c r="B999" i="4" s="1"/>
  <c r="B1000" i="4" a="1"/>
  <c r="B1000" i="4" s="1"/>
  <c r="B1001" i="4" a="1"/>
  <c r="B1001" i="4" s="1"/>
  <c r="B1002" i="4" a="1"/>
  <c r="B1002" i="4" s="1"/>
  <c r="B1003" i="4" a="1"/>
  <c r="B1003" i="4" s="1"/>
  <c r="B1004" i="4" a="1"/>
  <c r="B1004" i="4" s="1"/>
  <c r="B1005" i="4" a="1"/>
  <c r="B1005" i="4" s="1"/>
  <c r="B1006" i="4" a="1"/>
  <c r="B1006" i="4" s="1"/>
  <c r="B1007" i="4" a="1"/>
  <c r="B1007" i="4" s="1"/>
  <c r="B1008" i="4" a="1"/>
  <c r="B1008" i="4" s="1"/>
  <c r="B1009" i="4" a="1"/>
  <c r="B1009" i="4" s="1"/>
  <c r="B1010" i="4" a="1"/>
  <c r="B1010" i="4" s="1"/>
  <c r="B1011" i="4" a="1"/>
  <c r="B1011" i="4" s="1"/>
  <c r="B1012" i="4" a="1"/>
  <c r="B1012" i="4" s="1"/>
  <c r="B1013" i="4" a="1"/>
  <c r="B1013" i="4" s="1"/>
  <c r="B1014" i="4" a="1"/>
  <c r="B1014" i="4" s="1"/>
  <c r="B1015" i="4" a="1"/>
  <c r="B1015" i="4" s="1"/>
  <c r="B1016" i="4" a="1"/>
  <c r="B1016" i="4" s="1"/>
  <c r="B1017" i="4" a="1"/>
  <c r="B1017" i="4"/>
  <c r="B1018" i="4" a="1"/>
  <c r="B1018" i="4" s="1"/>
  <c r="B1019" i="4" a="1"/>
  <c r="B1019" i="4" s="1"/>
  <c r="B1020" i="4" a="1"/>
  <c r="B1020" i="4" s="1"/>
  <c r="B1021" i="4" a="1"/>
  <c r="B1021" i="4" s="1"/>
  <c r="B1022" i="4" a="1"/>
  <c r="B1022" i="4" s="1"/>
  <c r="B1023" i="4" a="1"/>
  <c r="B1023" i="4"/>
  <c r="B1024" i="4" a="1"/>
  <c r="B1024" i="4" s="1"/>
  <c r="B1025" i="4" a="1"/>
  <c r="B1025" i="4" s="1"/>
  <c r="B1026" i="4" a="1"/>
  <c r="B1026" i="4" s="1"/>
  <c r="B1027" i="4" a="1"/>
  <c r="B1027" i="4" s="1"/>
  <c r="B1028" i="4" a="1"/>
  <c r="B1028" i="4" s="1"/>
  <c r="B1029" i="4" a="1"/>
  <c r="B1029" i="4"/>
  <c r="B1030" i="4" a="1"/>
  <c r="B1030" i="4" s="1"/>
  <c r="B1031" i="4" a="1"/>
  <c r="B1031" i="4" s="1"/>
  <c r="B1032" i="4" a="1"/>
  <c r="B1032" i="4" s="1"/>
  <c r="B1033" i="4" a="1"/>
  <c r="B1033" i="4" s="1"/>
  <c r="B1034" i="4" a="1"/>
  <c r="B1034" i="4" s="1"/>
  <c r="B1035" i="4" a="1"/>
  <c r="B1035" i="4" s="1"/>
  <c r="B1036" i="4" a="1"/>
  <c r="B1036" i="4" s="1"/>
  <c r="B1037" i="4" a="1"/>
  <c r="B1037" i="4" s="1"/>
  <c r="B1038" i="4" a="1"/>
  <c r="B1038" i="4" s="1"/>
  <c r="B1039" i="4" a="1"/>
  <c r="B1039" i="4" s="1"/>
  <c r="B1040" i="4" a="1"/>
  <c r="B1040" i="4" s="1"/>
  <c r="B1041" i="4" a="1"/>
  <c r="B1041" i="4" s="1"/>
  <c r="B1042" i="4" a="1"/>
  <c r="B1042" i="4" s="1"/>
  <c r="B1043" i="4" a="1"/>
  <c r="B1043" i="4" s="1"/>
  <c r="B1044" i="4" a="1"/>
  <c r="B1044" i="4" s="1"/>
  <c r="B1045" i="4" a="1"/>
  <c r="B1045" i="4" s="1"/>
  <c r="B1046" i="4" a="1"/>
  <c r="B1046" i="4" s="1"/>
  <c r="B1047" i="4" a="1"/>
  <c r="B1047" i="4" s="1"/>
  <c r="B1048" i="4" a="1"/>
  <c r="B1048" i="4" s="1"/>
  <c r="B1049" i="4" a="1"/>
  <c r="B1049" i="4" s="1"/>
  <c r="B1050" i="4" a="1"/>
  <c r="B1050" i="4" s="1"/>
  <c r="B1051" i="4" a="1"/>
  <c r="B1051" i="4" s="1"/>
  <c r="B1052" i="4" a="1"/>
  <c r="B1052" i="4" s="1"/>
  <c r="B1053" i="4" a="1"/>
  <c r="B1053" i="4" s="1"/>
  <c r="B1054" i="4" a="1"/>
  <c r="B1054" i="4" s="1"/>
  <c r="B1055" i="4" a="1"/>
  <c r="B1055" i="4" s="1"/>
  <c r="B1056" i="4" a="1"/>
  <c r="B1056" i="4" s="1"/>
  <c r="B1057" i="4" a="1"/>
  <c r="B1057" i="4" s="1"/>
  <c r="B1058" i="4" a="1"/>
  <c r="B1058" i="4" s="1"/>
  <c r="B1059" i="4" a="1"/>
  <c r="B1059" i="4" s="1"/>
  <c r="B1060" i="4" a="1"/>
  <c r="B1060" i="4" s="1"/>
  <c r="B1061" i="4" a="1"/>
  <c r="B1061" i="4" s="1"/>
  <c r="B1062" i="4" a="1"/>
  <c r="B1062" i="4" s="1"/>
  <c r="B1063" i="4" a="1"/>
  <c r="B1063" i="4" s="1"/>
  <c r="B1064" i="4" a="1"/>
  <c r="B1064" i="4" s="1"/>
  <c r="B1065" i="4" a="1"/>
  <c r="B1065" i="4" s="1"/>
  <c r="B1066" i="4" a="1"/>
  <c r="B1066" i="4" s="1"/>
  <c r="B1067" i="4" a="1"/>
  <c r="B1067" i="4"/>
  <c r="B1068" i="4" a="1"/>
  <c r="B1068" i="4" s="1"/>
  <c r="B1069" i="4" a="1"/>
  <c r="B1069" i="4" s="1"/>
  <c r="B1070" i="4" a="1"/>
  <c r="B1070" i="4" s="1"/>
  <c r="B1071" i="4" a="1"/>
  <c r="B1071" i="4" s="1"/>
  <c r="B1072" i="4" a="1"/>
  <c r="B1072" i="4" s="1"/>
  <c r="B1073" i="4" a="1"/>
  <c r="B1073" i="4" s="1"/>
  <c r="B1074" i="4" a="1"/>
  <c r="B1074" i="4" s="1"/>
  <c r="B1075" i="4" a="1"/>
  <c r="B1075" i="4" s="1"/>
  <c r="B1076" i="4" a="1"/>
  <c r="B1076" i="4" s="1"/>
  <c r="B1077" i="4" a="1"/>
  <c r="B1077" i="4" s="1"/>
  <c r="B1078" i="4" a="1"/>
  <c r="B1078" i="4" s="1"/>
  <c r="B1079" i="4" a="1"/>
  <c r="B1079" i="4" s="1"/>
  <c r="B1080" i="4" a="1"/>
  <c r="B1080" i="4" s="1"/>
  <c r="B1081" i="4" a="1"/>
  <c r="B1081" i="4" s="1"/>
  <c r="B1082" i="4" a="1"/>
  <c r="B1082" i="4" s="1"/>
  <c r="B1083" i="4" a="1"/>
  <c r="B1083" i="4" s="1"/>
  <c r="B1084" i="4" a="1"/>
  <c r="B1084" i="4" s="1"/>
  <c r="B1085" i="4" a="1"/>
  <c r="B1085" i="4" s="1"/>
  <c r="B1086" i="4" a="1"/>
  <c r="B1086" i="4" s="1"/>
  <c r="B1087" i="4" a="1"/>
  <c r="B1087" i="4" s="1"/>
  <c r="B1088" i="4" a="1"/>
  <c r="B1088" i="4" s="1"/>
  <c r="B1089" i="4" a="1"/>
  <c r="B1089" i="4" s="1"/>
  <c r="B1090" i="4" a="1"/>
  <c r="B1090" i="4"/>
  <c r="B1091" i="4" a="1"/>
  <c r="B1091" i="4" s="1"/>
  <c r="B1092" i="4" a="1"/>
  <c r="B1092" i="4" s="1"/>
  <c r="B1093" i="4" a="1"/>
  <c r="B1093" i="4" s="1"/>
  <c r="B1094" i="4" a="1"/>
  <c r="B1094" i="4" s="1"/>
  <c r="B1095" i="4" a="1"/>
  <c r="B1095" i="4" s="1"/>
  <c r="B1096" i="4" a="1"/>
  <c r="B1096" i="4" s="1"/>
  <c r="B1097" i="4" a="1"/>
  <c r="B1097" i="4" s="1"/>
  <c r="B1098" i="4" a="1"/>
  <c r="B1098" i="4" s="1"/>
  <c r="B1099" i="4" a="1"/>
  <c r="B1099" i="4"/>
  <c r="B1100" i="4" a="1"/>
  <c r="B1100" i="4" s="1"/>
  <c r="B1101" i="4" a="1"/>
  <c r="B1101" i="4" s="1"/>
  <c r="B1102" i="4" a="1"/>
  <c r="B1102" i="4" s="1"/>
  <c r="B1103" i="4" a="1"/>
  <c r="B1103" i="4" s="1"/>
  <c r="B1104" i="4" a="1"/>
  <c r="B1104" i="4" s="1"/>
  <c r="B1105" i="4" a="1"/>
  <c r="B1105" i="4" s="1"/>
  <c r="B1106" i="4" a="1"/>
  <c r="B1106" i="4" s="1"/>
  <c r="B1107" i="4" a="1"/>
  <c r="B1107" i="4" s="1"/>
  <c r="B1108" i="4" a="1"/>
  <c r="B1108" i="4" s="1"/>
  <c r="B1109" i="4" a="1"/>
  <c r="B1109" i="4" s="1"/>
  <c r="B1110" i="4" a="1"/>
  <c r="B1110" i="4" s="1"/>
  <c r="B1111" i="4" a="1"/>
  <c r="B1111" i="4" s="1"/>
  <c r="B1112" i="4" a="1"/>
  <c r="B1112" i="4" s="1"/>
  <c r="B1113" i="4" a="1"/>
  <c r="B1113" i="4" s="1"/>
  <c r="B1114" i="4" a="1"/>
  <c r="B1114" i="4" s="1"/>
  <c r="B1115" i="4" a="1"/>
  <c r="B1115" i="4" s="1"/>
  <c r="B1116" i="4" a="1"/>
  <c r="B1116" i="4" s="1"/>
  <c r="B1117" i="4" a="1"/>
  <c r="B1117" i="4" s="1"/>
  <c r="B1118" i="4" a="1"/>
  <c r="B1118" i="4"/>
  <c r="B1119" i="4" a="1"/>
  <c r="B1119" i="4" s="1"/>
  <c r="B1120" i="4" a="1"/>
  <c r="B1120" i="4" s="1"/>
  <c r="B1121" i="4" a="1"/>
  <c r="B1121" i="4" s="1"/>
  <c r="B1122" i="4" a="1"/>
  <c r="B1122" i="4" s="1"/>
  <c r="B1123" i="4" a="1"/>
  <c r="B1123" i="4" s="1"/>
  <c r="B1124" i="4" a="1"/>
  <c r="B1124" i="4" s="1"/>
  <c r="B1125" i="4" a="1"/>
  <c r="B1125" i="4" s="1"/>
  <c r="B1126" i="4" a="1"/>
  <c r="B1126" i="4" s="1"/>
  <c r="B1127" i="4" a="1"/>
  <c r="B1127" i="4" s="1"/>
  <c r="B1128" i="4" a="1"/>
  <c r="B1128" i="4" s="1"/>
  <c r="B1129" i="4" a="1"/>
  <c r="B1129" i="4" s="1"/>
  <c r="B1130" i="4" a="1"/>
  <c r="B1130" i="4" s="1"/>
  <c r="B1131" i="4" a="1"/>
  <c r="B1131" i="4" s="1"/>
  <c r="B1132" i="4" a="1"/>
  <c r="B1132" i="4" s="1"/>
  <c r="B1133" i="4" a="1"/>
  <c r="B1133" i="4" s="1"/>
  <c r="B1134" i="4" a="1"/>
  <c r="B1134" i="4" s="1"/>
  <c r="B1135" i="4" a="1"/>
  <c r="B1135" i="4" s="1"/>
  <c r="B1136" i="4" a="1"/>
  <c r="B1136" i="4" s="1"/>
  <c r="B1137" i="4" a="1"/>
  <c r="B1137" i="4" s="1"/>
  <c r="B1138" i="4" a="1"/>
  <c r="B1138" i="4" s="1"/>
  <c r="B1139" i="4" a="1"/>
  <c r="B1139" i="4" s="1"/>
  <c r="B1140" i="4" a="1"/>
  <c r="B1140" i="4" s="1"/>
  <c r="B1141" i="4" a="1"/>
  <c r="B1141" i="4" s="1"/>
  <c r="B1142" i="4" a="1"/>
  <c r="B1142" i="4" s="1"/>
  <c r="B1143" i="4" a="1"/>
  <c r="B1143" i="4" s="1"/>
  <c r="B1144" i="4" a="1"/>
  <c r="B1144" i="4" s="1"/>
  <c r="B1145" i="4" a="1"/>
  <c r="B1145" i="4"/>
  <c r="B1146" i="4" a="1"/>
  <c r="B1146" i="4" s="1"/>
  <c r="B1147" i="4" a="1"/>
  <c r="B1147" i="4" s="1"/>
  <c r="B1148" i="4" a="1"/>
  <c r="B1148" i="4" s="1"/>
  <c r="B1149" i="4" a="1"/>
  <c r="B1149" i="4" s="1"/>
  <c r="B1150" i="4" a="1"/>
  <c r="B1150" i="4" s="1"/>
  <c r="B1151" i="4" a="1"/>
  <c r="B1151" i="4" s="1"/>
  <c r="B1152" i="4" a="1"/>
  <c r="B1152" i="4" s="1"/>
  <c r="B1153" i="4" a="1"/>
  <c r="B1153" i="4" s="1"/>
  <c r="B1154" i="4" a="1"/>
  <c r="B1154" i="4" s="1"/>
  <c r="B1155" i="4" a="1"/>
  <c r="B1155" i="4" s="1"/>
  <c r="B1156" i="4" a="1"/>
  <c r="B1156" i="4" s="1"/>
  <c r="B1157" i="4" a="1"/>
  <c r="B1157" i="4" s="1"/>
  <c r="B1158" i="4" a="1"/>
  <c r="B1158" i="4" s="1"/>
  <c r="B1159" i="4" a="1"/>
  <c r="B1159" i="4" s="1"/>
  <c r="B1160" i="4" a="1"/>
  <c r="B1160" i="4" s="1"/>
  <c r="B1161" i="4" a="1"/>
  <c r="B1161" i="4" s="1"/>
  <c r="B1162" i="4" a="1"/>
  <c r="B1162" i="4" s="1"/>
  <c r="B1163" i="4" a="1"/>
  <c r="B1163" i="4" s="1"/>
  <c r="B1164" i="4" a="1"/>
  <c r="B1164" i="4" s="1"/>
  <c r="B1165" i="4" a="1"/>
  <c r="B1165" i="4" s="1"/>
  <c r="B1166" i="4" a="1"/>
  <c r="B1166" i="4"/>
  <c r="B1167" i="4" a="1"/>
  <c r="B1167" i="4" s="1"/>
  <c r="B1168" i="4" a="1"/>
  <c r="B1168" i="4" s="1"/>
  <c r="B1169" i="4" a="1"/>
  <c r="B1169" i="4" s="1"/>
  <c r="B1170" i="4" a="1"/>
  <c r="B1170" i="4" s="1"/>
  <c r="B1171" i="4" a="1"/>
  <c r="B1171" i="4" s="1"/>
  <c r="B1172" i="4" a="1"/>
  <c r="B1172" i="4" s="1"/>
  <c r="B1173" i="4" a="1"/>
  <c r="B1173" i="4" s="1"/>
  <c r="B1174" i="4" a="1"/>
  <c r="B1174" i="4" s="1"/>
  <c r="B1175" i="4" a="1"/>
  <c r="B1175" i="4" s="1"/>
  <c r="B1176" i="4" a="1"/>
  <c r="B1176" i="4" s="1"/>
  <c r="B1177" i="4" a="1"/>
  <c r="B1177" i="4" s="1"/>
  <c r="B1178" i="4" a="1"/>
  <c r="B1178" i="4" s="1"/>
  <c r="B1179" i="4" a="1"/>
  <c r="B1179" i="4" s="1"/>
  <c r="B1180" i="4" a="1"/>
  <c r="B1180" i="4" s="1"/>
  <c r="B1181" i="4" a="1"/>
  <c r="B1181" i="4" s="1"/>
  <c r="B1182" i="4" a="1"/>
  <c r="B1182" i="4" s="1"/>
  <c r="B1183" i="4" a="1"/>
  <c r="B1183" i="4" s="1"/>
  <c r="B1184" i="4" a="1"/>
  <c r="B1184" i="4" s="1"/>
  <c r="B1185" i="4" a="1"/>
  <c r="B1185" i="4" s="1"/>
  <c r="B1186" i="4" a="1"/>
  <c r="B1186" i="4" s="1"/>
  <c r="B1187" i="4" a="1"/>
  <c r="B1187" i="4" s="1"/>
  <c r="B1188" i="4" a="1"/>
  <c r="B1188" i="4" s="1"/>
  <c r="B1189" i="4" a="1"/>
  <c r="B1189" i="4" s="1"/>
  <c r="B1190" i="4" a="1"/>
  <c r="B1190" i="4" s="1"/>
  <c r="B1191" i="4" a="1"/>
  <c r="B1191" i="4" s="1"/>
  <c r="B1192" i="4" a="1"/>
  <c r="B1192" i="4" s="1"/>
  <c r="B1193" i="4" a="1"/>
  <c r="B1193" i="4" s="1"/>
  <c r="B1194" i="4" a="1"/>
  <c r="B1194" i="4" s="1"/>
  <c r="B1195" i="4" a="1"/>
  <c r="B1195" i="4" s="1"/>
  <c r="B1196" i="4" a="1"/>
  <c r="B1196" i="4" s="1"/>
  <c r="B1197" i="4" a="1"/>
  <c r="B1197" i="4" s="1"/>
  <c r="B1198" i="4" a="1"/>
  <c r="B1198" i="4" s="1"/>
  <c r="B1199" i="4" a="1"/>
  <c r="B1199" i="4" s="1"/>
  <c r="B1200" i="4" a="1"/>
  <c r="B1200" i="4" s="1"/>
  <c r="B1201" i="4" a="1"/>
  <c r="B1201" i="4" s="1"/>
  <c r="B1202" i="4" a="1"/>
  <c r="B1202" i="4" s="1"/>
  <c r="B1203" i="4" a="1"/>
  <c r="B1203" i="4" s="1"/>
  <c r="B1204" i="4" a="1"/>
  <c r="B1204" i="4" s="1"/>
  <c r="B1205" i="4" a="1"/>
  <c r="B1205" i="4" s="1"/>
  <c r="B1206" i="4" a="1"/>
  <c r="B1206" i="4" s="1"/>
  <c r="B1207" i="4" a="1"/>
  <c r="B1207" i="4" s="1"/>
  <c r="B1208" i="4" a="1"/>
  <c r="B1208" i="4" s="1"/>
  <c r="B1209" i="4" a="1"/>
  <c r="B1209" i="4" s="1"/>
  <c r="B1210" i="4" a="1"/>
  <c r="B1210" i="4" s="1"/>
  <c r="B1211" i="4" a="1"/>
  <c r="B1211" i="4" s="1"/>
  <c r="B1212" i="4" a="1"/>
  <c r="B1212" i="4" s="1"/>
  <c r="B1213" i="4" a="1"/>
  <c r="B1213" i="4" s="1"/>
  <c r="B1214" i="4" a="1"/>
  <c r="B1214" i="4" s="1"/>
  <c r="B1215" i="4" a="1"/>
  <c r="B1215" i="4" s="1"/>
  <c r="B1216" i="4" a="1"/>
  <c r="B1216" i="4" s="1"/>
  <c r="B1217" i="4" a="1"/>
  <c r="B1217" i="4" s="1"/>
  <c r="B1218" i="4" a="1"/>
  <c r="B1218" i="4" s="1"/>
  <c r="B1219" i="4" a="1"/>
  <c r="B1219" i="4" s="1"/>
  <c r="B1220" i="4" a="1"/>
  <c r="B1220" i="4" s="1"/>
  <c r="B1221" i="4" a="1"/>
  <c r="B1221" i="4" s="1"/>
  <c r="B1222" i="4" a="1"/>
  <c r="B1222" i="4" s="1"/>
  <c r="B1223" i="4" a="1"/>
  <c r="B1223" i="4" s="1"/>
  <c r="B1224" i="4" a="1"/>
  <c r="B1224" i="4" s="1"/>
  <c r="B1225" i="4" a="1"/>
  <c r="B1225" i="4" s="1"/>
  <c r="B1226" i="4" a="1"/>
  <c r="B1226" i="4" s="1"/>
  <c r="B1227" i="4" a="1"/>
  <c r="B1227" i="4" s="1"/>
  <c r="B1228" i="4" a="1"/>
  <c r="B1228" i="4" s="1"/>
  <c r="B1229" i="4" a="1"/>
  <c r="B1229" i="4" s="1"/>
  <c r="B1230" i="4" a="1"/>
  <c r="B1230" i="4" s="1"/>
  <c r="B1231" i="4" a="1"/>
  <c r="B1231" i="4" s="1"/>
  <c r="B1232" i="4" a="1"/>
  <c r="B1232" i="4" s="1"/>
  <c r="B1233" i="4" a="1"/>
  <c r="B1233" i="4" s="1"/>
  <c r="B1234" i="4" a="1"/>
  <c r="B1234" i="4" s="1"/>
  <c r="B1235" i="4" a="1"/>
  <c r="B1235" i="4" s="1"/>
  <c r="B1236" i="4" a="1"/>
  <c r="B1236" i="4" s="1"/>
  <c r="B1237" i="4" a="1"/>
  <c r="B1237" i="4" s="1"/>
  <c r="B1238" i="4" a="1"/>
  <c r="B1238" i="4" s="1"/>
  <c r="B1239" i="4" a="1"/>
  <c r="B1239" i="4" s="1"/>
  <c r="B1240" i="4" a="1"/>
  <c r="B1240" i="4" s="1"/>
  <c r="B1241" i="4" a="1"/>
  <c r="B1241" i="4" s="1"/>
  <c r="B1242" i="4" a="1"/>
  <c r="B1242" i="4" s="1"/>
  <c r="B1243" i="4" a="1"/>
  <c r="B1243" i="4" s="1"/>
  <c r="B1244" i="4" a="1"/>
  <c r="B1244" i="4" s="1"/>
  <c r="B1245" i="4" a="1"/>
  <c r="B1245" i="4" s="1"/>
  <c r="B1246" i="4" a="1"/>
  <c r="B1246" i="4" s="1"/>
  <c r="B1247" i="4" a="1"/>
  <c r="B1247" i="4" s="1"/>
  <c r="B1248" i="4" a="1"/>
  <c r="B1248" i="4" s="1"/>
  <c r="B1249" i="4" a="1"/>
  <c r="B1249" i="4" s="1"/>
  <c r="B1250" i="4" a="1"/>
  <c r="B1250" i="4" s="1"/>
  <c r="B1251" i="4" a="1"/>
  <c r="B1251" i="4"/>
  <c r="B1252" i="4" a="1"/>
  <c r="B1252" i="4" s="1"/>
  <c r="B1253" i="4" a="1"/>
  <c r="B1253" i="4" s="1"/>
  <c r="B1254" i="4" a="1"/>
  <c r="B1254" i="4" s="1"/>
  <c r="B1255" i="4" a="1"/>
  <c r="B1255" i="4" s="1"/>
  <c r="B1256" i="4" a="1"/>
  <c r="B1256" i="4" s="1"/>
  <c r="B1257" i="4" a="1"/>
  <c r="B1257" i="4" s="1"/>
  <c r="B1258" i="4" a="1"/>
  <c r="B1258" i="4" s="1"/>
  <c r="B1259" i="4" a="1"/>
  <c r="B1259" i="4" s="1"/>
  <c r="B1260" i="4" a="1"/>
  <c r="B1260" i="4" s="1"/>
  <c r="B1261" i="4" a="1"/>
  <c r="B1261" i="4" s="1"/>
  <c r="B1262" i="4" a="1"/>
  <c r="B1262" i="4" s="1"/>
  <c r="B1263" i="4" a="1"/>
  <c r="B1263" i="4" s="1"/>
  <c r="B1264" i="4" a="1"/>
  <c r="B1264" i="4" s="1"/>
  <c r="B1265" i="4" a="1"/>
  <c r="B1265" i="4" s="1"/>
  <c r="B1266" i="4" a="1"/>
  <c r="B1266" i="4" s="1"/>
  <c r="B1267" i="4" a="1"/>
  <c r="B1267" i="4" s="1"/>
  <c r="B1268" i="4" a="1"/>
  <c r="B1268" i="4" s="1"/>
  <c r="B1269" i="4" a="1"/>
  <c r="B1269" i="4" s="1"/>
  <c r="B1270" i="4" a="1"/>
  <c r="B1270" i="4"/>
  <c r="B1271" i="4" a="1"/>
  <c r="B1271" i="4" s="1"/>
  <c r="B1272" i="4" a="1"/>
  <c r="B1272" i="4" s="1"/>
  <c r="B1273" i="4" a="1"/>
  <c r="B1273" i="4" s="1"/>
  <c r="B1274" i="4" a="1"/>
  <c r="B1274" i="4" s="1"/>
  <c r="B1275" i="4" a="1"/>
  <c r="B1275" i="4" s="1"/>
  <c r="B1276" i="4" a="1"/>
  <c r="B1276" i="4" s="1"/>
  <c r="B1277" i="4" a="1"/>
  <c r="B1277" i="4" s="1"/>
  <c r="B1278" i="4" a="1"/>
  <c r="B1278" i="4" s="1"/>
  <c r="B1279" i="4" a="1"/>
  <c r="B1279" i="4" s="1"/>
  <c r="B1280" i="4" a="1"/>
  <c r="B1280" i="4" s="1"/>
  <c r="B1281" i="4" a="1"/>
  <c r="B1281" i="4" s="1"/>
  <c r="B1282" i="4" a="1"/>
  <c r="B1282" i="4" s="1"/>
  <c r="B1283" i="4" a="1"/>
  <c r="B1283" i="4" s="1"/>
  <c r="B1284" i="4" a="1"/>
  <c r="B1284" i="4" s="1"/>
  <c r="B1285" i="4" a="1"/>
  <c r="B1285" i="4" s="1"/>
  <c r="B1286" i="4" a="1"/>
  <c r="B1286" i="4" s="1"/>
  <c r="B1287" i="4" a="1"/>
  <c r="B1287" i="4" s="1"/>
  <c r="B1288" i="4" a="1"/>
  <c r="B1288" i="4" s="1"/>
  <c r="B1289" i="4" a="1"/>
  <c r="B1289" i="4" s="1"/>
  <c r="B1290" i="4" a="1"/>
  <c r="B1290" i="4" s="1"/>
  <c r="B1291" i="4" a="1"/>
  <c r="B1291" i="4" s="1"/>
  <c r="B1292" i="4" a="1"/>
  <c r="B1292" i="4" s="1"/>
  <c r="B1293" i="4" a="1"/>
  <c r="B1293" i="4" s="1"/>
  <c r="B1294" i="4" a="1"/>
  <c r="B1294" i="4" s="1"/>
  <c r="B1295" i="4" a="1"/>
  <c r="B1295" i="4" s="1"/>
  <c r="B1296" i="4" a="1"/>
  <c r="B1296" i="4" s="1"/>
  <c r="B1297" i="4" a="1"/>
  <c r="B1297" i="4" s="1"/>
  <c r="B1298" i="4" a="1"/>
  <c r="B1298" i="4" s="1"/>
  <c r="B1299" i="4" a="1"/>
  <c r="B1299" i="4" s="1"/>
  <c r="B1300" i="4" a="1"/>
  <c r="B1300" i="4" s="1"/>
  <c r="B1301" i="4" a="1"/>
  <c r="B1301" i="4" s="1"/>
  <c r="B1302" i="4" a="1"/>
  <c r="B1302" i="4" s="1"/>
  <c r="B1303" i="4" a="1"/>
  <c r="B1303" i="4" s="1"/>
  <c r="B1304" i="4" a="1"/>
  <c r="B1304" i="4" s="1"/>
  <c r="B1305" i="4" a="1"/>
  <c r="B1305" i="4" s="1"/>
  <c r="B1306" i="4" a="1"/>
  <c r="B1306" i="4" s="1"/>
  <c r="B1307" i="4" a="1"/>
  <c r="B1307" i="4" s="1"/>
  <c r="B1308" i="4" a="1"/>
  <c r="B1308" i="4" s="1"/>
  <c r="B1309" i="4" a="1"/>
  <c r="B1309" i="4" s="1"/>
  <c r="B1310" i="4" a="1"/>
  <c r="B1310" i="4" s="1"/>
  <c r="B1311" i="4" a="1"/>
  <c r="B1311" i="4" s="1"/>
  <c r="B1312" i="4" a="1"/>
  <c r="B1312" i="4" s="1"/>
  <c r="B1313" i="4" a="1"/>
  <c r="B1313" i="4" s="1"/>
  <c r="B1314" i="4" a="1"/>
  <c r="B1314" i="4" s="1"/>
  <c r="B1315" i="4" a="1"/>
  <c r="B1315" i="4" s="1"/>
  <c r="B1316" i="4" a="1"/>
  <c r="B1316" i="4" s="1"/>
  <c r="B1317" i="4" a="1"/>
  <c r="B1317" i="4" s="1"/>
  <c r="B1318" i="4" a="1"/>
  <c r="B1318" i="4" s="1"/>
  <c r="B1319" i="4" a="1"/>
  <c r="B1319" i="4" s="1"/>
  <c r="B1320" i="4" a="1"/>
  <c r="B1320" i="4" s="1"/>
  <c r="B1321" i="4" a="1"/>
  <c r="B1321" i="4" s="1"/>
  <c r="B1322" i="4" a="1"/>
  <c r="B1322" i="4" s="1"/>
  <c r="B1323" i="4" a="1"/>
  <c r="B1323" i="4" s="1"/>
  <c r="B1324" i="4" a="1"/>
  <c r="B1324" i="4" s="1"/>
  <c r="B1325" i="4" a="1"/>
  <c r="B1325" i="4" s="1"/>
  <c r="B1326" i="4" a="1"/>
  <c r="B1326" i="4" s="1"/>
  <c r="B1327" i="4" a="1"/>
  <c r="B1327" i="4" s="1"/>
  <c r="B1328" i="4" a="1"/>
  <c r="B1328" i="4" s="1"/>
  <c r="B1329" i="4" a="1"/>
  <c r="B1329" i="4" s="1"/>
  <c r="B1330" i="4" a="1"/>
  <c r="B1330" i="4" s="1"/>
  <c r="B1331" i="4" a="1"/>
  <c r="B1331" i="4" s="1"/>
  <c r="B1332" i="4" a="1"/>
  <c r="B1332" i="4" s="1"/>
  <c r="B1333" i="4" a="1"/>
  <c r="B1333" i="4" s="1"/>
  <c r="B1334" i="4" a="1"/>
  <c r="B1334" i="4" s="1"/>
  <c r="B1335" i="4" a="1"/>
  <c r="B1335" i="4" s="1"/>
  <c r="B1336" i="4" a="1"/>
  <c r="B1336" i="4" s="1"/>
  <c r="B1337" i="4" a="1"/>
  <c r="B1337" i="4" s="1"/>
  <c r="B1338" i="4" a="1"/>
  <c r="B1338" i="4" s="1"/>
  <c r="B1339" i="4" a="1"/>
  <c r="B1339" i="4" s="1"/>
  <c r="B1340" i="4" a="1"/>
  <c r="B1340" i="4" s="1"/>
  <c r="B1341" i="4" a="1"/>
  <c r="B1341" i="4" s="1"/>
  <c r="B1342" i="4" a="1"/>
  <c r="B1342" i="4" s="1"/>
  <c r="B1343" i="4" a="1"/>
  <c r="B1343" i="4" s="1"/>
  <c r="B1344" i="4" a="1"/>
  <c r="B1344" i="4" s="1"/>
  <c r="B1345" i="4" a="1"/>
  <c r="B1345" i="4" s="1"/>
  <c r="B1346" i="4" a="1"/>
  <c r="B1346" i="4" s="1"/>
  <c r="B1347" i="4" a="1"/>
  <c r="B1347" i="4" s="1"/>
  <c r="B1348" i="4" a="1"/>
  <c r="B1348" i="4" s="1"/>
  <c r="B1349" i="4" a="1"/>
  <c r="B1349" i="4" s="1"/>
  <c r="B1350" i="4" a="1"/>
  <c r="B1350" i="4" s="1"/>
  <c r="B1351" i="4" a="1"/>
  <c r="B1351" i="4" s="1"/>
  <c r="B1352" i="4" a="1"/>
  <c r="B1352" i="4" s="1"/>
  <c r="B1353" i="4" a="1"/>
  <c r="B1353" i="4" s="1"/>
  <c r="B1354" i="4" a="1"/>
  <c r="B1354" i="4" s="1"/>
  <c r="B1355" i="4" a="1"/>
  <c r="B1355" i="4" s="1"/>
  <c r="B1356" i="4" a="1"/>
  <c r="B1356" i="4" s="1"/>
  <c r="B1357" i="4" a="1"/>
  <c r="B1357" i="4" s="1"/>
  <c r="B1358" i="4" a="1"/>
  <c r="B1358" i="4" s="1"/>
  <c r="B1359" i="4" a="1"/>
  <c r="B1359" i="4" s="1"/>
  <c r="B1360" i="4" a="1"/>
  <c r="B1360" i="4" s="1"/>
  <c r="B1361" i="4" a="1"/>
  <c r="B1361" i="4" s="1"/>
  <c r="B1362" i="4" a="1"/>
  <c r="B1362" i="4" s="1"/>
  <c r="B1363" i="4" a="1"/>
  <c r="B1363" i="4" s="1"/>
  <c r="B1364" i="4" a="1"/>
  <c r="B1364" i="4" s="1"/>
  <c r="B1365" i="4" a="1"/>
  <c r="B1365" i="4" s="1"/>
  <c r="B1366" i="4" a="1"/>
  <c r="B1366" i="4" s="1"/>
  <c r="B1367" i="4" a="1"/>
  <c r="B1367" i="4" s="1"/>
  <c r="B1368" i="4" a="1"/>
  <c r="B1368" i="4" s="1"/>
  <c r="B1369" i="4" a="1"/>
  <c r="B1369" i="4" s="1"/>
  <c r="B1370" i="4" a="1"/>
  <c r="B1370" i="4" s="1"/>
  <c r="B1371" i="4" a="1"/>
  <c r="B1371" i="4" s="1"/>
  <c r="B1372" i="4" a="1"/>
  <c r="B1372" i="4" s="1"/>
  <c r="B1373" i="4" a="1"/>
  <c r="B1373" i="4" s="1"/>
  <c r="B1374" i="4" a="1"/>
  <c r="B1374" i="4" s="1"/>
  <c r="B1375" i="4" a="1"/>
  <c r="B1375" i="4" s="1"/>
  <c r="B1376" i="4" a="1"/>
  <c r="B1376" i="4" s="1"/>
  <c r="B1377" i="4" a="1"/>
  <c r="B1377" i="4" s="1"/>
  <c r="B1378" i="4" a="1"/>
  <c r="B1378" i="4" s="1"/>
  <c r="B1379" i="4" a="1"/>
  <c r="B1379" i="4" s="1"/>
  <c r="B1380" i="4" a="1"/>
  <c r="B1380" i="4" s="1"/>
  <c r="B1381" i="4" a="1"/>
  <c r="B1381" i="4" s="1"/>
  <c r="B1382" i="4" a="1"/>
  <c r="B1382" i="4"/>
  <c r="B1383" i="4" a="1"/>
  <c r="B1383" i="4" s="1"/>
  <c r="B1384" i="4" a="1"/>
  <c r="B1384" i="4" s="1"/>
  <c r="B1385" i="4" a="1"/>
  <c r="B1385" i="4" s="1"/>
  <c r="B1386" i="4" a="1"/>
  <c r="B1386" i="4" s="1"/>
  <c r="B1387" i="4" a="1"/>
  <c r="B1387" i="4" s="1"/>
  <c r="B1388" i="4" a="1"/>
  <c r="B1388" i="4" s="1"/>
  <c r="B1389" i="4" a="1"/>
  <c r="B1389" i="4" s="1"/>
  <c r="B1390" i="4" a="1"/>
  <c r="B1390" i="4" s="1"/>
  <c r="B1391" i="4" a="1"/>
  <c r="B1391" i="4" s="1"/>
  <c r="B1392" i="4" a="1"/>
  <c r="B1392" i="4" s="1"/>
  <c r="B1393" i="4" a="1"/>
  <c r="B1393" i="4" s="1"/>
  <c r="B1394" i="4" a="1"/>
  <c r="B1394" i="4" s="1"/>
  <c r="B1395" i="4" a="1"/>
  <c r="B1395" i="4" s="1"/>
  <c r="B1396" i="4" a="1"/>
  <c r="B1396" i="4" s="1"/>
  <c r="B1397" i="4" a="1"/>
  <c r="B1397" i="4" s="1"/>
  <c r="B1398" i="4" a="1"/>
  <c r="B1398" i="4" s="1"/>
  <c r="B1399" i="4" a="1"/>
  <c r="B1399" i="4" s="1"/>
  <c r="B1400" i="4" a="1"/>
  <c r="B1400" i="4" s="1"/>
  <c r="B1401" i="4" a="1"/>
  <c r="B1401" i="4" s="1"/>
  <c r="B1402" i="4" a="1"/>
  <c r="B1402" i="4" s="1"/>
  <c r="B1403" i="4" a="1"/>
  <c r="B1403" i="4" s="1"/>
  <c r="B1404" i="4" a="1"/>
  <c r="B1404" i="4" s="1"/>
  <c r="B1405" i="4" a="1"/>
  <c r="B1405" i="4" s="1"/>
  <c r="B1406" i="4" a="1"/>
  <c r="B1406" i="4" s="1"/>
  <c r="B1407" i="4" a="1"/>
  <c r="B1407" i="4" s="1"/>
  <c r="B1408" i="4" a="1"/>
  <c r="B1408" i="4" s="1"/>
  <c r="B1409" i="4" a="1"/>
  <c r="B1409" i="4" s="1"/>
  <c r="B1410" i="4" a="1"/>
  <c r="B1410" i="4" s="1"/>
  <c r="B1411" i="4" a="1"/>
  <c r="B1411" i="4" s="1"/>
  <c r="B1412" i="4" a="1"/>
  <c r="B1412" i="4" s="1"/>
  <c r="B1413" i="4" a="1"/>
  <c r="B1413" i="4" s="1"/>
  <c r="B1414" i="4" a="1"/>
  <c r="B1414" i="4"/>
  <c r="B1415" i="4" a="1"/>
  <c r="B1415" i="4" s="1"/>
  <c r="B1416" i="4" a="1"/>
  <c r="B1416" i="4" s="1"/>
  <c r="B1417" i="4" a="1"/>
  <c r="B1417" i="4" s="1"/>
  <c r="B1418" i="4" a="1"/>
  <c r="B1418" i="4" s="1"/>
  <c r="B1419" i="4" a="1"/>
  <c r="B1419" i="4" s="1"/>
  <c r="B1420" i="4" a="1"/>
  <c r="B1420" i="4" s="1"/>
  <c r="B1421" i="4" a="1"/>
  <c r="B1421" i="4" s="1"/>
  <c r="B1422" i="4" a="1"/>
  <c r="B1422" i="4" s="1"/>
  <c r="B1423" i="4" a="1"/>
  <c r="B1423" i="4" s="1"/>
  <c r="B1424" i="4" a="1"/>
  <c r="B1424" i="4" s="1"/>
  <c r="B1425" i="4" a="1"/>
  <c r="B1425" i="4" s="1"/>
  <c r="B1426" i="4" a="1"/>
  <c r="B1426" i="4" s="1"/>
  <c r="B1427" i="4" a="1"/>
  <c r="B1427" i="4" s="1"/>
  <c r="B1428" i="4" a="1"/>
  <c r="B1428" i="4" s="1"/>
  <c r="B1429" i="4" a="1"/>
  <c r="B1429" i="4" s="1"/>
  <c r="B1430" i="4" a="1"/>
  <c r="B1430" i="4" s="1"/>
  <c r="B1431" i="4" a="1"/>
  <c r="B1431" i="4" s="1"/>
  <c r="B1432" i="4" a="1"/>
  <c r="B1432" i="4" s="1"/>
  <c r="B1433" i="4" a="1"/>
  <c r="B1433" i="4" s="1"/>
  <c r="B1434" i="4" a="1"/>
  <c r="B1434" i="4" s="1"/>
  <c r="B1435" i="4" a="1"/>
  <c r="B1435" i="4" s="1"/>
  <c r="B1436" i="4" a="1"/>
  <c r="B1436" i="4" s="1"/>
  <c r="B1437" i="4" a="1"/>
  <c r="B1437" i="4" s="1"/>
  <c r="B1438" i="4" a="1"/>
  <c r="B1438" i="4" s="1"/>
  <c r="B1439" i="4" a="1"/>
  <c r="B1439" i="4" s="1"/>
  <c r="B1440" i="4" a="1"/>
  <c r="B1440" i="4" s="1"/>
  <c r="B1441" i="4" a="1"/>
  <c r="B1441" i="4" s="1"/>
  <c r="B1442" i="4" a="1"/>
  <c r="B1442" i="4" s="1"/>
  <c r="B1443" i="4" a="1"/>
  <c r="B1443" i="4" s="1"/>
  <c r="B1444" i="4" a="1"/>
  <c r="B1444" i="4" s="1"/>
  <c r="B1445" i="4" a="1"/>
  <c r="B1445" i="4" s="1"/>
  <c r="B1446" i="4" a="1"/>
  <c r="B1446" i="4" s="1"/>
  <c r="B1447" i="4" a="1"/>
  <c r="B1447" i="4" s="1"/>
  <c r="B1448" i="4" a="1"/>
  <c r="B1448" i="4" s="1"/>
  <c r="B1449" i="4" a="1"/>
  <c r="B1449" i="4" s="1"/>
  <c r="B1450" i="4" a="1"/>
  <c r="B1450" i="4" s="1"/>
  <c r="B1451" i="4" a="1"/>
  <c r="B1451" i="4" s="1"/>
  <c r="B1452" i="4" a="1"/>
  <c r="B1452" i="4" s="1"/>
  <c r="B1453" i="4" a="1"/>
  <c r="B1453" i="4" s="1"/>
  <c r="B1454" i="4" a="1"/>
  <c r="B1454" i="4" s="1"/>
  <c r="B1455" i="4" a="1"/>
  <c r="B1455" i="4" s="1"/>
  <c r="B1456" i="4" a="1"/>
  <c r="B1456" i="4" s="1"/>
  <c r="B1457" i="4" a="1"/>
  <c r="B1457" i="4" s="1"/>
  <c r="B1458" i="4" a="1"/>
  <c r="B1458" i="4" s="1"/>
  <c r="B1459" i="4" a="1"/>
  <c r="B1459" i="4" s="1"/>
  <c r="B1460" i="4" a="1"/>
  <c r="B1460" i="4" s="1"/>
  <c r="B1461" i="4" a="1"/>
  <c r="B1461" i="4" s="1"/>
  <c r="B1462" i="4" a="1"/>
  <c r="B1462" i="4" s="1"/>
  <c r="B1463" i="4" a="1"/>
  <c r="B1463" i="4" s="1"/>
  <c r="B1464" i="4" a="1"/>
  <c r="B1464" i="4" s="1"/>
  <c r="B1465" i="4" a="1"/>
  <c r="B1465" i="4" s="1"/>
  <c r="B1466" i="4" a="1"/>
  <c r="B1466" i="4" s="1"/>
  <c r="B1467" i="4" a="1"/>
  <c r="B1467" i="4" s="1"/>
  <c r="B1468" i="4" a="1"/>
  <c r="B1468" i="4" s="1"/>
  <c r="B1469" i="4" a="1"/>
  <c r="B1469" i="4" s="1"/>
  <c r="B1470" i="4" a="1"/>
  <c r="B1470" i="4" s="1"/>
  <c r="B1471" i="4" a="1"/>
  <c r="B1471" i="4" s="1"/>
  <c r="B1472" i="4" a="1"/>
  <c r="B1472" i="4" s="1"/>
  <c r="B1473" i="4" a="1"/>
  <c r="B1473" i="4" s="1"/>
  <c r="B1474" i="4" a="1"/>
  <c r="B1474" i="4" s="1"/>
  <c r="B1475" i="4" a="1"/>
  <c r="B1475" i="4" s="1"/>
  <c r="B1476" i="4" a="1"/>
  <c r="B1476" i="4" s="1"/>
  <c r="B1477" i="4" a="1"/>
  <c r="B1477" i="4" s="1"/>
  <c r="B1478" i="4" a="1"/>
  <c r="B1478" i="4"/>
  <c r="B1479" i="4" a="1"/>
  <c r="B1479" i="4" s="1"/>
  <c r="B1480" i="4" a="1"/>
  <c r="B1480" i="4" s="1"/>
  <c r="B1481" i="4" a="1"/>
  <c r="B1481" i="4" s="1"/>
  <c r="B1482" i="4" a="1"/>
  <c r="B1482" i="4" s="1"/>
  <c r="B1483" i="4" a="1"/>
  <c r="B1483" i="4" s="1"/>
  <c r="B1484" i="4" a="1"/>
  <c r="B1484" i="4" s="1"/>
  <c r="B1485" i="4" a="1"/>
  <c r="B1485" i="4" s="1"/>
  <c r="B1486" i="4" a="1"/>
  <c r="B1486" i="4" s="1"/>
  <c r="B1487" i="4" a="1"/>
  <c r="B1487" i="4" s="1"/>
  <c r="B1488" i="4" a="1"/>
  <c r="B1488" i="4" s="1"/>
  <c r="B1489" i="4" a="1"/>
  <c r="B1489" i="4" s="1"/>
  <c r="B1490" i="4" a="1"/>
  <c r="B1490" i="4" s="1"/>
  <c r="B1491" i="4" a="1"/>
  <c r="B1491" i="4" s="1"/>
  <c r="B1492" i="4" a="1"/>
  <c r="B1492" i="4" s="1"/>
  <c r="B1493" i="4" a="1"/>
  <c r="B1493" i="4" s="1"/>
  <c r="B1494" i="4" a="1"/>
  <c r="B1494" i="4" s="1"/>
  <c r="B1495" i="4" a="1"/>
  <c r="B1495" i="4" s="1"/>
  <c r="B1496" i="4" a="1"/>
  <c r="B1496" i="4" s="1"/>
  <c r="B1497" i="4" a="1"/>
  <c r="B1497" i="4" s="1"/>
  <c r="B1498" i="4" a="1"/>
  <c r="B1498" i="4" s="1"/>
  <c r="B1499" i="4" a="1"/>
  <c r="B1499" i="4" s="1"/>
  <c r="B1500" i="4" a="1"/>
  <c r="B1500" i="4" s="1"/>
  <c r="B1501" i="4" a="1"/>
  <c r="B1501" i="4" s="1"/>
  <c r="B1502" i="4" a="1"/>
  <c r="B1502" i="4" s="1"/>
  <c r="B1503" i="4" a="1"/>
  <c r="B1503" i="4" s="1"/>
  <c r="B1504" i="4" a="1"/>
  <c r="B1504" i="4" s="1"/>
  <c r="B1505" i="4" a="1"/>
  <c r="B1505" i="4" s="1"/>
  <c r="B1506" i="4" a="1"/>
  <c r="B1506" i="4" s="1"/>
  <c r="B1507" i="4" a="1"/>
  <c r="B1507" i="4" s="1"/>
  <c r="B1508" i="4" a="1"/>
  <c r="B1508" i="4" s="1"/>
  <c r="B1509" i="4" a="1"/>
  <c r="B1509" i="4" s="1"/>
  <c r="B1510" i="4" a="1"/>
  <c r="B1510" i="4" s="1"/>
  <c r="B1511" i="4" a="1"/>
  <c r="B1511" i="4" s="1"/>
  <c r="B1512" i="4" a="1"/>
  <c r="B1512" i="4" s="1"/>
  <c r="B1513" i="4" a="1"/>
  <c r="B1513" i="4" s="1"/>
  <c r="B1514" i="4" a="1"/>
  <c r="B1514" i="4" s="1"/>
  <c r="B1515" i="4" a="1"/>
  <c r="B1515" i="4" s="1"/>
  <c r="B1516" i="4" a="1"/>
  <c r="B1516" i="4" s="1"/>
  <c r="B1517" i="4" a="1"/>
  <c r="B1517" i="4" s="1"/>
  <c r="B1518" i="4" a="1"/>
  <c r="B1518" i="4" s="1"/>
  <c r="B1519" i="4" a="1"/>
  <c r="B1519" i="4" s="1"/>
  <c r="B1520" i="4" a="1"/>
  <c r="B1520" i="4" s="1"/>
  <c r="B1521" i="4" a="1"/>
  <c r="B1521" i="4" s="1"/>
  <c r="B1522" i="4" a="1"/>
  <c r="B1522" i="4" s="1"/>
  <c r="B1523" i="4" a="1"/>
  <c r="B1523" i="4" s="1"/>
  <c r="B1524" i="4" a="1"/>
  <c r="B1524" i="4"/>
  <c r="B1525" i="4" a="1"/>
  <c r="B1525" i="4"/>
  <c r="B1526" i="4" a="1"/>
  <c r="B1526" i="4" s="1"/>
  <c r="B1527" i="4" a="1"/>
  <c r="B1527" i="4" s="1"/>
  <c r="B1528" i="4" a="1"/>
  <c r="B1528" i="4" s="1"/>
  <c r="B1529" i="4" a="1"/>
  <c r="B1529" i="4" s="1"/>
  <c r="B1530" i="4" a="1"/>
  <c r="B1530" i="4" s="1"/>
  <c r="B1531" i="4" a="1"/>
  <c r="B1531" i="4" s="1"/>
  <c r="B1532" i="4" a="1"/>
  <c r="B1532" i="4" s="1"/>
  <c r="B1533" i="4" a="1"/>
  <c r="B1533" i="4" s="1"/>
  <c r="B1534" i="4" a="1"/>
  <c r="B1534" i="4" s="1"/>
  <c r="B1535" i="4" a="1"/>
  <c r="B1535" i="4" s="1"/>
  <c r="B1536" i="4" a="1"/>
  <c r="B1536" i="4" s="1"/>
  <c r="B1537" i="4" a="1"/>
  <c r="B1537" i="4" s="1"/>
  <c r="B1538" i="4" a="1"/>
  <c r="B1538" i="4" s="1"/>
  <c r="B1539" i="4" a="1"/>
  <c r="B1539" i="4" s="1"/>
  <c r="B1540" i="4" a="1"/>
  <c r="B1540" i="4"/>
  <c r="B1541" i="4" a="1"/>
  <c r="B1541" i="4" s="1"/>
  <c r="B1542" i="4" a="1"/>
  <c r="B1542" i="4" s="1"/>
  <c r="B1543" i="4" a="1"/>
  <c r="B1543" i="4" s="1"/>
  <c r="B1544" i="4" a="1"/>
  <c r="B1544" i="4" s="1"/>
  <c r="B1545" i="4" a="1"/>
  <c r="B1545" i="4" s="1"/>
  <c r="B1546" i="4" a="1"/>
  <c r="B1546" i="4" s="1"/>
  <c r="B1547" i="4" a="1"/>
  <c r="B1547" i="4" s="1"/>
  <c r="B1548" i="4" a="1"/>
  <c r="B1548" i="4" s="1"/>
  <c r="B1549" i="4" a="1"/>
  <c r="B1549" i="4" s="1"/>
  <c r="B1550" i="4" a="1"/>
  <c r="B1550" i="4" s="1"/>
  <c r="B1551" i="4" a="1"/>
  <c r="B1551" i="4" s="1"/>
  <c r="B1552" i="4" a="1"/>
  <c r="B1552" i="4" s="1"/>
  <c r="B1553" i="4" a="1"/>
  <c r="B1553" i="4" s="1"/>
  <c r="B1554" i="4" a="1"/>
  <c r="B1554" i="4" s="1"/>
  <c r="B1555" i="4" a="1"/>
  <c r="B1555" i="4" s="1"/>
  <c r="B1556" i="4" a="1"/>
  <c r="B1556" i="4" s="1"/>
  <c r="B1557" i="4" a="1"/>
  <c r="B1557" i="4"/>
  <c r="B1558" i="4" a="1"/>
  <c r="B1558" i="4" s="1"/>
  <c r="B1559" i="4" a="1"/>
  <c r="B1559" i="4" s="1"/>
  <c r="B1560" i="4" a="1"/>
  <c r="B1560" i="4" s="1"/>
  <c r="B1561" i="4" a="1"/>
  <c r="B1561" i="4" s="1"/>
  <c r="B1562" i="4" a="1"/>
  <c r="B1562" i="4" s="1"/>
  <c r="B1563" i="4" a="1"/>
  <c r="B1563" i="4" s="1"/>
  <c r="B1564" i="4" a="1"/>
  <c r="B1564" i="4" s="1"/>
  <c r="B1565" i="4" a="1"/>
  <c r="B1565" i="4" s="1"/>
  <c r="B1566" i="4" a="1"/>
  <c r="B1566" i="4" s="1"/>
  <c r="B1567" i="4" a="1"/>
  <c r="B1567" i="4" s="1"/>
  <c r="B1568" i="4" a="1"/>
  <c r="B1568" i="4" s="1"/>
  <c r="B1569" i="4" a="1"/>
  <c r="B1569" i="4" s="1"/>
  <c r="B1570" i="4" a="1"/>
  <c r="B1570" i="4" s="1"/>
  <c r="B1571" i="4" a="1"/>
  <c r="B1571" i="4" s="1"/>
  <c r="B1572" i="4" a="1"/>
  <c r="B1572" i="4" s="1"/>
  <c r="B1573" i="4" a="1"/>
  <c r="B1573" i="4" s="1"/>
  <c r="B1574" i="4" a="1"/>
  <c r="B1574" i="4" s="1"/>
  <c r="B1575" i="4" a="1"/>
  <c r="B1575" i="4" s="1"/>
  <c r="B1576" i="4" a="1"/>
  <c r="B1576" i="4" s="1"/>
  <c r="B1577" i="4" a="1"/>
  <c r="B1577" i="4" s="1"/>
  <c r="B1578" i="4" a="1"/>
  <c r="B1578" i="4" s="1"/>
  <c r="B1579" i="4" a="1"/>
  <c r="B1579" i="4" s="1"/>
  <c r="B1580" i="4" a="1"/>
  <c r="B1580" i="4" s="1"/>
  <c r="B1581" i="4" a="1"/>
  <c r="B1581" i="4" s="1"/>
  <c r="B1582" i="4" a="1"/>
  <c r="B1582" i="4" s="1"/>
  <c r="B1583" i="4" a="1"/>
  <c r="B1583" i="4" s="1"/>
  <c r="B1584" i="4" a="1"/>
  <c r="B1584" i="4" s="1"/>
  <c r="B1585" i="4" a="1"/>
  <c r="B1585" i="4" s="1"/>
  <c r="B1586" i="4" a="1"/>
  <c r="B1586" i="4" s="1"/>
  <c r="B1587" i="4" a="1"/>
  <c r="B1587" i="4" s="1"/>
  <c r="B1588" i="4" a="1"/>
  <c r="B1588" i="4" s="1"/>
  <c r="B1589" i="4" a="1"/>
  <c r="B1589" i="4" s="1"/>
  <c r="B1590" i="4" a="1"/>
  <c r="B1590" i="4"/>
  <c r="B1591" i="4" a="1"/>
  <c r="B1591" i="4" s="1"/>
  <c r="B1592" i="4" a="1"/>
  <c r="B1592" i="4" s="1"/>
  <c r="B1593" i="4" a="1"/>
  <c r="B1593" i="4" s="1"/>
  <c r="B1594" i="4" a="1"/>
  <c r="B1594" i="4" s="1"/>
  <c r="B1595" i="4" a="1"/>
  <c r="B1595" i="4" s="1"/>
  <c r="B1596" i="4" a="1"/>
  <c r="B1596" i="4" s="1"/>
  <c r="B1597" i="4" a="1"/>
  <c r="B1597" i="4" s="1"/>
  <c r="B1598" i="4" a="1"/>
  <c r="B1598" i="4" s="1"/>
  <c r="B1599" i="4" a="1"/>
  <c r="B1599" i="4" s="1"/>
  <c r="B1600" i="4" a="1"/>
  <c r="B1600" i="4" s="1"/>
  <c r="B1601" i="4" a="1"/>
  <c r="B1601" i="4" s="1"/>
  <c r="B1602" i="4" a="1"/>
  <c r="B1602" i="4" s="1"/>
  <c r="B1603" i="4" a="1"/>
  <c r="B1603" i="4" s="1"/>
  <c r="B1604" i="4" a="1"/>
  <c r="B1604" i="4" s="1"/>
  <c r="B1605" i="4" a="1"/>
  <c r="B1605" i="4" s="1"/>
  <c r="B1606" i="4" a="1"/>
  <c r="B1606" i="4" s="1"/>
  <c r="B1607" i="4" a="1"/>
  <c r="B1607" i="4" s="1"/>
  <c r="B1608" i="4" a="1"/>
  <c r="B1608" i="4" s="1"/>
  <c r="B1609" i="4" a="1"/>
  <c r="B1609" i="4" s="1"/>
  <c r="B1610" i="4" a="1"/>
  <c r="B1610" i="4" s="1"/>
  <c r="B1611" i="4" a="1"/>
  <c r="B1611" i="4" s="1"/>
  <c r="B1612" i="4" a="1"/>
  <c r="B1612" i="4" s="1"/>
  <c r="B1613" i="4" a="1"/>
  <c r="B1613" i="4" s="1"/>
  <c r="B1614" i="4" a="1"/>
  <c r="B1614" i="4" s="1"/>
  <c r="B1615" i="4" a="1"/>
  <c r="B1615" i="4" s="1"/>
  <c r="B1616" i="4" a="1"/>
  <c r="B1616" i="4" s="1"/>
  <c r="B1617" i="4" a="1"/>
  <c r="B1617" i="4" s="1"/>
  <c r="B1618" i="4" a="1"/>
  <c r="B1618" i="4" s="1"/>
  <c r="B1619" i="4" a="1"/>
  <c r="B1619" i="4" s="1"/>
  <c r="B1620" i="4" a="1"/>
  <c r="B1620" i="4"/>
  <c r="B1621" i="4" a="1"/>
  <c r="B1621" i="4" s="1"/>
  <c r="B1622" i="4" a="1"/>
  <c r="B1622" i="4" s="1"/>
  <c r="B1623" i="4" a="1"/>
  <c r="B1623" i="4" s="1"/>
  <c r="B1624" i="4" a="1"/>
  <c r="B1624" i="4" s="1"/>
  <c r="B1625" i="4" a="1"/>
  <c r="B1625" i="4" s="1"/>
  <c r="B1626" i="4" a="1"/>
  <c r="B1626" i="4" s="1"/>
  <c r="B1627" i="4" a="1"/>
  <c r="B1627" i="4" s="1"/>
  <c r="B1628" i="4" a="1"/>
  <c r="B1628" i="4" s="1"/>
  <c r="B1629" i="4" a="1"/>
  <c r="B1629" i="4" s="1"/>
  <c r="B1630" i="4" a="1"/>
  <c r="B1630" i="4" s="1"/>
  <c r="B1631" i="4" a="1"/>
  <c r="B1631" i="4" s="1"/>
  <c r="B1632" i="4" a="1"/>
  <c r="B1632" i="4" s="1"/>
  <c r="B1633" i="4" a="1"/>
  <c r="B1633" i="4" s="1"/>
  <c r="B1634" i="4" a="1"/>
  <c r="B1634" i="4" s="1"/>
  <c r="B1635" i="4" a="1"/>
  <c r="B1635" i="4" s="1"/>
  <c r="B1636" i="4" a="1"/>
  <c r="B1636" i="4" s="1"/>
  <c r="B1637" i="4" a="1"/>
  <c r="B1637" i="4" s="1"/>
  <c r="B1638" i="4" a="1"/>
  <c r="B1638" i="4" s="1"/>
  <c r="B1639" i="4" a="1"/>
  <c r="B1639" i="4" s="1"/>
  <c r="B1640" i="4" a="1"/>
  <c r="B1640" i="4" s="1"/>
  <c r="B1641" i="4" a="1"/>
  <c r="B1641" i="4" s="1"/>
  <c r="B1642" i="4" a="1"/>
  <c r="B1642" i="4" s="1"/>
  <c r="B1643" i="4" a="1"/>
  <c r="B1643" i="4" s="1"/>
  <c r="B1644" i="4" a="1"/>
  <c r="B1644" i="4" s="1"/>
  <c r="B1645" i="4" a="1"/>
  <c r="B1645" i="4" s="1"/>
  <c r="B1646" i="4" a="1"/>
  <c r="B1646" i="4" s="1"/>
  <c r="B1647" i="4" a="1"/>
  <c r="B1647" i="4" s="1"/>
  <c r="B1648" i="4" a="1"/>
  <c r="B1648" i="4" s="1"/>
  <c r="B1649" i="4" a="1"/>
  <c r="B1649" i="4" s="1"/>
  <c r="B1650" i="4" a="1"/>
  <c r="B1650" i="4" s="1"/>
  <c r="B1651" i="4" a="1"/>
  <c r="B1651" i="4" s="1"/>
  <c r="B1652" i="4" a="1"/>
  <c r="B1652" i="4" s="1"/>
  <c r="B1653" i="4" a="1"/>
  <c r="B1653" i="4" s="1"/>
  <c r="B1654" i="4" a="1"/>
  <c r="B1654" i="4" s="1"/>
  <c r="B1655" i="4" a="1"/>
  <c r="B1655" i="4" s="1"/>
  <c r="B1656" i="4" a="1"/>
  <c r="B1656" i="4" s="1"/>
  <c r="B1657" i="4" a="1"/>
  <c r="B1657" i="4" s="1"/>
  <c r="B1658" i="4" a="1"/>
  <c r="B1658" i="4" s="1"/>
  <c r="B1659" i="4" a="1"/>
  <c r="B1659" i="4" s="1"/>
  <c r="B1660" i="4" a="1"/>
  <c r="B1660" i="4" s="1"/>
  <c r="B1661" i="4" a="1"/>
  <c r="B1661" i="4" s="1"/>
  <c r="B1662" i="4" a="1"/>
  <c r="B1662" i="4" s="1"/>
  <c r="B1663" i="4" a="1"/>
  <c r="B1663" i="4" s="1"/>
  <c r="B1664" i="4" a="1"/>
  <c r="B1664" i="4" s="1"/>
  <c r="B1665" i="4" a="1"/>
  <c r="B1665" i="4" s="1"/>
  <c r="B1666" i="4" a="1"/>
  <c r="B1666" i="4" s="1"/>
  <c r="B1667" i="4" a="1"/>
  <c r="B1667" i="4" s="1"/>
  <c r="B1668" i="4" a="1"/>
  <c r="B1668" i="4" s="1"/>
  <c r="B1669" i="4" a="1"/>
  <c r="B1669" i="4" s="1"/>
  <c r="B1670" i="4" a="1"/>
  <c r="B1670" i="4" s="1"/>
  <c r="B1671" i="4" a="1"/>
  <c r="B1671" i="4" s="1"/>
  <c r="B1672" i="4" a="1"/>
  <c r="B1672" i="4" s="1"/>
  <c r="B1673" i="4" a="1"/>
  <c r="B1673" i="4" s="1"/>
  <c r="B1674" i="4" a="1"/>
  <c r="B1674" i="4" s="1"/>
  <c r="B1675" i="4" a="1"/>
  <c r="B1675" i="4" s="1"/>
  <c r="B1676" i="4" a="1"/>
  <c r="B1676" i="4" s="1"/>
  <c r="B1677" i="4" a="1"/>
  <c r="B1677" i="4"/>
  <c r="B1678" i="4" a="1"/>
  <c r="B1678" i="4" s="1"/>
  <c r="B1679" i="4" a="1"/>
  <c r="B1679" i="4" s="1"/>
  <c r="B1680" i="4" a="1"/>
  <c r="B1680" i="4" s="1"/>
  <c r="B1681" i="4" a="1"/>
  <c r="B1681" i="4" s="1"/>
  <c r="B1682" i="4" a="1"/>
  <c r="B1682" i="4" s="1"/>
  <c r="B1683" i="4" a="1"/>
  <c r="B1683" i="4" s="1"/>
  <c r="B1684" i="4" a="1"/>
  <c r="B1684" i="4" s="1"/>
  <c r="B1685" i="4" a="1"/>
  <c r="B1685" i="4" s="1"/>
  <c r="B1686" i="4" a="1"/>
  <c r="B1686" i="4" s="1"/>
  <c r="B1687" i="4" a="1"/>
  <c r="B1687" i="4" s="1"/>
  <c r="B1688" i="4" a="1"/>
  <c r="B1688" i="4" s="1"/>
  <c r="B1689" i="4" a="1"/>
  <c r="B1689" i="4" s="1"/>
  <c r="B1690" i="4" a="1"/>
  <c r="B1690" i="4" s="1"/>
  <c r="B1691" i="4" a="1"/>
  <c r="B1691" i="4" s="1"/>
  <c r="B1692" i="4" a="1"/>
  <c r="B1692" i="4" s="1"/>
  <c r="B1693" i="4" a="1"/>
  <c r="B1693" i="4" s="1"/>
  <c r="B1694" i="4" a="1"/>
  <c r="B1694" i="4"/>
  <c r="B1695" i="4" a="1"/>
  <c r="B1695" i="4" s="1"/>
  <c r="B1696" i="4" a="1"/>
  <c r="B1696" i="4" s="1"/>
  <c r="B1697" i="4" a="1"/>
  <c r="B1697" i="4" s="1"/>
  <c r="B1698" i="4" a="1"/>
  <c r="B1698" i="4" s="1"/>
  <c r="B1699" i="4" a="1"/>
  <c r="B1699" i="4" s="1"/>
  <c r="B1700" i="4" a="1"/>
  <c r="B1700" i="4" s="1"/>
  <c r="B1701" i="4" a="1"/>
  <c r="B1701" i="4" s="1"/>
  <c r="B1702" i="4" a="1"/>
  <c r="B1702" i="4" s="1"/>
  <c r="B1703" i="4" a="1"/>
  <c r="B1703" i="4" s="1"/>
  <c r="B1704" i="4" a="1"/>
  <c r="B1704" i="4" s="1"/>
  <c r="B1705" i="4" a="1"/>
  <c r="B1705" i="4" s="1"/>
  <c r="B1706" i="4" a="1"/>
  <c r="B1706" i="4" s="1"/>
  <c r="B1707" i="4" a="1"/>
  <c r="B1707" i="4" s="1"/>
  <c r="B1708" i="4" a="1"/>
  <c r="B1708" i="4" s="1"/>
  <c r="B1709" i="4" a="1"/>
  <c r="B1709" i="4" s="1"/>
  <c r="B1710" i="4" a="1"/>
  <c r="B1710" i="4" s="1"/>
  <c r="B1711" i="4" a="1"/>
  <c r="B1711" i="4" s="1"/>
  <c r="B1712" i="4" a="1"/>
  <c r="B1712" i="4" s="1"/>
  <c r="B1713" i="4" a="1"/>
  <c r="B1713" i="4" s="1"/>
  <c r="B1714" i="4" a="1"/>
  <c r="B1714" i="4" s="1"/>
  <c r="B1715" i="4" a="1"/>
  <c r="B1715" i="4" s="1"/>
  <c r="B1716" i="4" a="1"/>
  <c r="B1716" i="4" s="1"/>
  <c r="B1717" i="4" a="1"/>
  <c r="B1717" i="4" s="1"/>
  <c r="B1718" i="4" a="1"/>
  <c r="B1718" i="4" s="1"/>
  <c r="B1719" i="4" a="1"/>
  <c r="B1719" i="4" s="1"/>
  <c r="B1720" i="4" a="1"/>
  <c r="B1720" i="4" s="1"/>
  <c r="B1721" i="4" a="1"/>
  <c r="B1721" i="4" s="1"/>
  <c r="B1722" i="4" a="1"/>
  <c r="B1722" i="4" s="1"/>
  <c r="B1723" i="4" a="1"/>
  <c r="B1723" i="4" s="1"/>
  <c r="B1724" i="4" a="1"/>
  <c r="B1724" i="4" s="1"/>
  <c r="B1725" i="4" a="1"/>
  <c r="B1725" i="4" s="1"/>
  <c r="B1726" i="4" a="1"/>
  <c r="B1726" i="4" s="1"/>
  <c r="B1727" i="4" a="1"/>
  <c r="B1727" i="4" s="1"/>
  <c r="B1728" i="4" a="1"/>
  <c r="B1728" i="4" s="1"/>
  <c r="B1729" i="4" a="1"/>
  <c r="B1729" i="4" s="1"/>
  <c r="B1730" i="4" a="1"/>
  <c r="B1730" i="4" s="1"/>
  <c r="B1731" i="4" a="1"/>
  <c r="B1731" i="4" s="1"/>
  <c r="B1732" i="4" a="1"/>
  <c r="B1732" i="4" s="1"/>
  <c r="B1733" i="4" a="1"/>
  <c r="B1733" i="4" s="1"/>
  <c r="B1734" i="4" a="1"/>
  <c r="B1734" i="4" s="1"/>
  <c r="B1735" i="4" a="1"/>
  <c r="B1735" i="4" s="1"/>
  <c r="B1736" i="4" a="1"/>
  <c r="B1736" i="4" s="1"/>
  <c r="B1737" i="4" a="1"/>
  <c r="B1737" i="4" s="1"/>
  <c r="B1738" i="4" a="1"/>
  <c r="B1738" i="4" s="1"/>
  <c r="B1739" i="4" a="1"/>
  <c r="B1739" i="4" s="1"/>
  <c r="B1740" i="4" a="1"/>
  <c r="B1740" i="4" s="1"/>
  <c r="B1741" i="4" a="1"/>
  <c r="B1741" i="4" s="1"/>
  <c r="B1742" i="4" a="1"/>
  <c r="B1742" i="4" s="1"/>
  <c r="B1743" i="4" a="1"/>
  <c r="B1743" i="4" s="1"/>
  <c r="B1744" i="4" a="1"/>
  <c r="B1744" i="4" s="1"/>
  <c r="B1745" i="4" a="1"/>
  <c r="B1745" i="4" s="1"/>
  <c r="B1746" i="4" a="1"/>
  <c r="B1746" i="4" s="1"/>
  <c r="B1747" i="4" a="1"/>
  <c r="B1747" i="4" s="1"/>
  <c r="B1748" i="4" a="1"/>
  <c r="B1748" i="4" s="1"/>
  <c r="B1749" i="4" a="1"/>
  <c r="B1749" i="4" s="1"/>
  <c r="B1750" i="4" a="1"/>
  <c r="B1750" i="4" s="1"/>
  <c r="B1751" i="4" a="1"/>
  <c r="B1751" i="4" s="1"/>
  <c r="B1752" i="4" a="1"/>
  <c r="B1752" i="4" s="1"/>
  <c r="B1753" i="4" a="1"/>
  <c r="B1753" i="4" s="1"/>
  <c r="B1754" i="4" a="1"/>
  <c r="B1754" i="4" s="1"/>
  <c r="B1755" i="4" a="1"/>
  <c r="B1755" i="4" s="1"/>
  <c r="B1756" i="4" a="1"/>
  <c r="B1756" i="4" s="1"/>
  <c r="B1757" i="4" a="1"/>
  <c r="B1757" i="4" s="1"/>
  <c r="B1758" i="4" a="1"/>
  <c r="B1758" i="4"/>
  <c r="B1759" i="4" a="1"/>
  <c r="B1759" i="4" s="1"/>
  <c r="B1760" i="4" a="1"/>
  <c r="B1760" i="4" s="1"/>
  <c r="B1761" i="4" a="1"/>
  <c r="B1761" i="4" s="1"/>
  <c r="B1762" i="4" a="1"/>
  <c r="B1762" i="4" s="1"/>
  <c r="B1763" i="4" a="1"/>
  <c r="B1763" i="4" s="1"/>
  <c r="B1764" i="4" a="1"/>
  <c r="B1764" i="4" s="1"/>
  <c r="B1765" i="4" a="1"/>
  <c r="B1765" i="4" s="1"/>
  <c r="B1766" i="4" a="1"/>
  <c r="B1766" i="4" s="1"/>
  <c r="B1767" i="4" a="1"/>
  <c r="B1767" i="4" s="1"/>
  <c r="B1768" i="4" a="1"/>
  <c r="B1768" i="4" s="1"/>
  <c r="B1769" i="4" a="1"/>
  <c r="B1769" i="4" s="1"/>
  <c r="B1770" i="4" a="1"/>
  <c r="B1770" i="4" s="1"/>
  <c r="B1771" i="4" a="1"/>
  <c r="B1771" i="4" s="1"/>
  <c r="B1772" i="4" a="1"/>
  <c r="B1772" i="4" s="1"/>
  <c r="B1773" i="4" a="1"/>
  <c r="B1773" i="4" s="1"/>
  <c r="B1774" i="4" a="1"/>
  <c r="B1774" i="4" s="1"/>
  <c r="B1775" i="4" a="1"/>
  <c r="B1775" i="4" s="1"/>
  <c r="B1776" i="4" a="1"/>
  <c r="B1776" i="4" s="1"/>
  <c r="B1777" i="4" a="1"/>
  <c r="B1777" i="4" s="1"/>
  <c r="B1778" i="4" a="1"/>
  <c r="B1778" i="4" s="1"/>
  <c r="B1779" i="4" a="1"/>
  <c r="B1779" i="4" s="1"/>
  <c r="B1780" i="4" a="1"/>
  <c r="B1780" i="4" s="1"/>
  <c r="B1781" i="4" a="1"/>
  <c r="B1781" i="4" s="1"/>
  <c r="B1782" i="4" a="1"/>
  <c r="B1782" i="4" s="1"/>
  <c r="B1783" i="4" a="1"/>
  <c r="B1783" i="4" s="1"/>
  <c r="B1784" i="4" a="1"/>
  <c r="B1784" i="4" s="1"/>
  <c r="B1785" i="4" a="1"/>
  <c r="B1785" i="4" s="1"/>
  <c r="B1786" i="4" a="1"/>
  <c r="B1786" i="4" s="1"/>
  <c r="B1787" i="4" a="1"/>
  <c r="B1787" i="4" s="1"/>
  <c r="B1788" i="4" a="1"/>
  <c r="B1788" i="4" s="1"/>
  <c r="B1789" i="4" a="1"/>
  <c r="B1789" i="4" s="1"/>
  <c r="B1790" i="4" a="1"/>
  <c r="B1790" i="4" s="1"/>
  <c r="B1791" i="4" a="1"/>
  <c r="B1791" i="4" s="1"/>
  <c r="B1792" i="4" a="1"/>
  <c r="B1792" i="4" s="1"/>
  <c r="B1793" i="4" a="1"/>
  <c r="B1793" i="4" s="1"/>
  <c r="B1794" i="4" a="1"/>
  <c r="B1794" i="4" s="1"/>
  <c r="B1795" i="4" a="1"/>
  <c r="B1795" i="4" s="1"/>
  <c r="B1796" i="4" a="1"/>
  <c r="B1796" i="4" s="1"/>
  <c r="B1797" i="4" a="1"/>
  <c r="B1797" i="4" s="1"/>
  <c r="B1798" i="4" a="1"/>
  <c r="B1798" i="4" s="1"/>
  <c r="B1799" i="4" a="1"/>
  <c r="B1799" i="4" s="1"/>
  <c r="B1800" i="4" a="1"/>
  <c r="B1800" i="4" s="1"/>
  <c r="B1801" i="4" a="1"/>
  <c r="B1801" i="4" s="1"/>
  <c r="B1802" i="4" a="1"/>
  <c r="B1802" i="4" s="1"/>
  <c r="B1803" i="4" a="1"/>
  <c r="B1803" i="4" s="1"/>
  <c r="B1804" i="4" a="1"/>
  <c r="B1804" i="4" s="1"/>
  <c r="B1805" i="4" a="1"/>
  <c r="B1805" i="4" s="1"/>
  <c r="B1806" i="4" a="1"/>
  <c r="B1806" i="4" s="1"/>
  <c r="B1807" i="4" a="1"/>
  <c r="B1807" i="4" s="1"/>
  <c r="B1808" i="4" a="1"/>
  <c r="B1808" i="4" s="1"/>
  <c r="B1809" i="4" a="1"/>
  <c r="B1809" i="4" s="1"/>
  <c r="B1810" i="4" a="1"/>
  <c r="B1810" i="4" s="1"/>
  <c r="B1811" i="4" a="1"/>
  <c r="B1811" i="4" s="1"/>
  <c r="B1812" i="4" a="1"/>
  <c r="B1812" i="4" s="1"/>
  <c r="B1813" i="4" a="1"/>
  <c r="B1813" i="4" s="1"/>
  <c r="B1814" i="4" a="1"/>
  <c r="B1814" i="4" s="1"/>
  <c r="B1815" i="4" a="1"/>
  <c r="B1815" i="4" s="1"/>
  <c r="B1816" i="4" a="1"/>
  <c r="B1816" i="4" s="1"/>
  <c r="B1817" i="4" a="1"/>
  <c r="B1817" i="4" s="1"/>
  <c r="B1818" i="4" a="1"/>
  <c r="B1818" i="4" s="1"/>
  <c r="B1819" i="4" a="1"/>
  <c r="B1819" i="4" s="1"/>
  <c r="B1820" i="4" a="1"/>
  <c r="B1820" i="4" s="1"/>
  <c r="B1821" i="4" a="1"/>
  <c r="B1821" i="4" s="1"/>
  <c r="B1822" i="4" a="1"/>
  <c r="B1822" i="4"/>
  <c r="B1823" i="4" a="1"/>
  <c r="B1823" i="4" s="1"/>
  <c r="B1824" i="4" a="1"/>
  <c r="B1824" i="4" s="1"/>
  <c r="B1825" i="4" a="1"/>
  <c r="B1825" i="4" s="1"/>
  <c r="B1826" i="4" a="1"/>
  <c r="B1826" i="4" s="1"/>
  <c r="B1827" i="4" a="1"/>
  <c r="B1827" i="4" s="1"/>
  <c r="B1828" i="4" a="1"/>
  <c r="B1828" i="4" s="1"/>
  <c r="B1829" i="4" a="1"/>
  <c r="B1829" i="4"/>
  <c r="B1830" i="4" a="1"/>
  <c r="B1830" i="4" s="1"/>
  <c r="B1831" i="4" a="1"/>
  <c r="B1831" i="4" s="1"/>
  <c r="B1832" i="4" a="1"/>
  <c r="B1832" i="4" s="1"/>
  <c r="B1833" i="4" a="1"/>
  <c r="B1833" i="4" s="1"/>
  <c r="B1834" i="4" a="1"/>
  <c r="B1834" i="4" s="1"/>
  <c r="B1835" i="4" a="1"/>
  <c r="B1835" i="4" s="1"/>
  <c r="B1836" i="4" a="1"/>
  <c r="B1836" i="4"/>
  <c r="B1837" i="4" a="1"/>
  <c r="B1837" i="4" s="1"/>
  <c r="B1838" i="4" a="1"/>
  <c r="B1838" i="4" s="1"/>
  <c r="B1839" i="4" a="1"/>
  <c r="B1839" i="4" s="1"/>
  <c r="B1840" i="4" a="1"/>
  <c r="B1840" i="4" s="1"/>
  <c r="B1841" i="4" a="1"/>
  <c r="B1841" i="4" s="1"/>
  <c r="B1842" i="4" a="1"/>
  <c r="B1842" i="4" s="1"/>
  <c r="B1843" i="4" a="1"/>
  <c r="B1843" i="4" s="1"/>
  <c r="B1844" i="4" a="1"/>
  <c r="B1844" i="4" s="1"/>
  <c r="B1845" i="4" a="1"/>
  <c r="B1845" i="4" s="1"/>
  <c r="B1846" i="4" a="1"/>
  <c r="B1846" i="4" s="1"/>
  <c r="B1847" i="4" a="1"/>
  <c r="B1847" i="4" s="1"/>
  <c r="B1848" i="4" a="1"/>
  <c r="B1848" i="4" s="1"/>
  <c r="B1849" i="4" a="1"/>
  <c r="B1849" i="4" s="1"/>
  <c r="B1850" i="4" a="1"/>
  <c r="B1850" i="4" s="1"/>
  <c r="B1851" i="4" a="1"/>
  <c r="B1851" i="4" s="1"/>
  <c r="B1852" i="4" a="1"/>
  <c r="B1852" i="4" s="1"/>
  <c r="B1853" i="4" a="1"/>
  <c r="B1853" i="4" s="1"/>
  <c r="B1854" i="4" a="1"/>
  <c r="B1854" i="4" s="1"/>
  <c r="B1855" i="4" a="1"/>
  <c r="B1855" i="4" s="1"/>
  <c r="B1856" i="4" a="1"/>
  <c r="B1856" i="4" s="1"/>
  <c r="B1857" i="4" a="1"/>
  <c r="B1857" i="4" s="1"/>
  <c r="B1858" i="4" a="1"/>
  <c r="B1858" i="4" s="1"/>
  <c r="B1859" i="4" a="1"/>
  <c r="B1859" i="4" s="1"/>
  <c r="B1860" i="4" a="1"/>
  <c r="B1860" i="4" s="1"/>
  <c r="B1861" i="4" a="1"/>
  <c r="B1861" i="4" s="1"/>
  <c r="B1862" i="4" a="1"/>
  <c r="B1862" i="4" s="1"/>
  <c r="B1863" i="4" a="1"/>
  <c r="B1863" i="4" s="1"/>
  <c r="B1864" i="4" a="1"/>
  <c r="B1864" i="4" s="1"/>
  <c r="B1865" i="4" a="1"/>
  <c r="B1865" i="4" s="1"/>
  <c r="B1866" i="4" a="1"/>
  <c r="B1866" i="4" s="1"/>
  <c r="B1867" i="4" a="1"/>
  <c r="B1867" i="4" s="1"/>
  <c r="B1868" i="4" a="1"/>
  <c r="B1868" i="4" s="1"/>
  <c r="B1869" i="4" a="1"/>
  <c r="B1869" i="4" s="1"/>
  <c r="B1870" i="4" a="1"/>
  <c r="B1870" i="4" s="1"/>
  <c r="B1871" i="4" a="1"/>
  <c r="B1871" i="4" s="1"/>
  <c r="B1872" i="4" a="1"/>
  <c r="B1872" i="4" s="1"/>
  <c r="B1873" i="4" a="1"/>
  <c r="B1873" i="4" s="1"/>
  <c r="B1874" i="4" a="1"/>
  <c r="B1874" i="4" s="1"/>
  <c r="B1875" i="4" a="1"/>
  <c r="B1875" i="4" s="1"/>
  <c r="B1876" i="4" a="1"/>
  <c r="B1876" i="4" s="1"/>
  <c r="B1877" i="4" a="1"/>
  <c r="B1877" i="4" s="1"/>
  <c r="B1878" i="4" a="1"/>
  <c r="B1878" i="4" s="1"/>
  <c r="B1879" i="4" a="1"/>
  <c r="B1879" i="4" s="1"/>
  <c r="B1880" i="4" a="1"/>
  <c r="B1880" i="4" s="1"/>
  <c r="B1881" i="4" a="1"/>
  <c r="B1881" i="4" s="1"/>
  <c r="B1882" i="4" a="1"/>
  <c r="B1882" i="4" s="1"/>
  <c r="B1883" i="4" a="1"/>
  <c r="B1883" i="4" s="1"/>
  <c r="B1884" i="4" a="1"/>
  <c r="B1884" i="4" s="1"/>
  <c r="B1885" i="4" a="1"/>
  <c r="B1885" i="4" s="1"/>
  <c r="B1886" i="4" a="1"/>
  <c r="B1886" i="4" s="1"/>
  <c r="B1887" i="4" a="1"/>
  <c r="B1887" i="4" s="1"/>
  <c r="B1888" i="4" a="1"/>
  <c r="B1888" i="4" s="1"/>
  <c r="B1889" i="4" a="1"/>
  <c r="B1889" i="4" s="1"/>
  <c r="B1890" i="4" a="1"/>
  <c r="B1890" i="4" s="1"/>
  <c r="B1891" i="4" a="1"/>
  <c r="B1891" i="4" s="1"/>
  <c r="B1892" i="4" a="1"/>
  <c r="B1892" i="4" s="1"/>
  <c r="B1893" i="4" a="1"/>
  <c r="B1893" i="4" s="1"/>
  <c r="B1894" i="4" a="1"/>
  <c r="B1894" i="4" s="1"/>
  <c r="B1895" i="4" a="1"/>
  <c r="B1895" i="4" s="1"/>
  <c r="B1896" i="4" a="1"/>
  <c r="B1896" i="4" s="1"/>
  <c r="B1897" i="4" a="1"/>
  <c r="B1897" i="4" s="1"/>
  <c r="B1898" i="4" a="1"/>
  <c r="B1898" i="4" s="1"/>
  <c r="B1899" i="4" a="1"/>
  <c r="B1899" i="4" s="1"/>
  <c r="B1900" i="4" a="1"/>
  <c r="B1900" i="4" s="1"/>
  <c r="B1901" i="4" a="1"/>
  <c r="B1901" i="4"/>
  <c r="B1902" i="4" a="1"/>
  <c r="B1902" i="4" s="1"/>
  <c r="B1903" i="4" a="1"/>
  <c r="B1903" i="4" s="1"/>
  <c r="B1904" i="4" a="1"/>
  <c r="B1904" i="4" s="1"/>
  <c r="B1905" i="4" a="1"/>
  <c r="B1905" i="4" s="1"/>
  <c r="B1906" i="4" a="1"/>
  <c r="B1906" i="4" s="1"/>
  <c r="B1907" i="4" a="1"/>
  <c r="B1907" i="4" s="1"/>
  <c r="B1908" i="4" a="1"/>
  <c r="B1908" i="4" s="1"/>
  <c r="B1909" i="4" a="1"/>
  <c r="B1909" i="4" s="1"/>
  <c r="B1910" i="4" a="1"/>
  <c r="B1910" i="4" s="1"/>
  <c r="B1911" i="4" a="1"/>
  <c r="B1911" i="4" s="1"/>
  <c r="B1912" i="4" a="1"/>
  <c r="B1912" i="4" s="1"/>
  <c r="B1913" i="4" a="1"/>
  <c r="B1913" i="4" s="1"/>
  <c r="B1914" i="4" a="1"/>
  <c r="B1914" i="4" s="1"/>
  <c r="B1915" i="4" a="1"/>
  <c r="B1915" i="4" s="1"/>
  <c r="B1916" i="4" a="1"/>
  <c r="B1916" i="4"/>
  <c r="B1917" i="4" a="1"/>
  <c r="B1917" i="4" s="1"/>
  <c r="B1918" i="4" a="1"/>
  <c r="B1918" i="4" s="1"/>
  <c r="B1919" i="4" a="1"/>
  <c r="B1919" i="4" s="1"/>
  <c r="B1920" i="4" a="1"/>
  <c r="B1920" i="4" s="1"/>
  <c r="B1921" i="4" a="1"/>
  <c r="B1921" i="4" s="1"/>
  <c r="B1922" i="4" a="1"/>
  <c r="B1922" i="4" s="1"/>
  <c r="B1923" i="4" a="1"/>
  <c r="B1923" i="4" s="1"/>
  <c r="B1924" i="4" a="1"/>
  <c r="B1924" i="4" s="1"/>
  <c r="B1925" i="4" a="1"/>
  <c r="B1925" i="4" s="1"/>
  <c r="B1926" i="4" a="1"/>
  <c r="B1926" i="4" s="1"/>
  <c r="B1927" i="4" a="1"/>
  <c r="B1927" i="4" s="1"/>
  <c r="B1928" i="4" a="1"/>
  <c r="B1928" i="4" s="1"/>
  <c r="B1929" i="4" a="1"/>
  <c r="B1929" i="4" s="1"/>
  <c r="B1930" i="4" a="1"/>
  <c r="B1930" i="4" s="1"/>
  <c r="B1931" i="4" a="1"/>
  <c r="B1931" i="4" s="1"/>
  <c r="B1932" i="4" a="1"/>
  <c r="B1932" i="4" s="1"/>
  <c r="B1933" i="4" a="1"/>
  <c r="B1933" i="4" s="1"/>
  <c r="B1934" i="4" a="1"/>
  <c r="B1934" i="4" s="1"/>
  <c r="B1935" i="4" a="1"/>
  <c r="B1935" i="4" s="1"/>
  <c r="B1936" i="4" a="1"/>
  <c r="B1936" i="4" s="1"/>
  <c r="B1937" i="4" a="1"/>
  <c r="B1937" i="4" s="1"/>
  <c r="B1938" i="4" a="1"/>
  <c r="B1938" i="4" s="1"/>
  <c r="B1939" i="4" a="1"/>
  <c r="B1939" i="4" s="1"/>
  <c r="B1940" i="4" a="1"/>
  <c r="B1940" i="4" s="1"/>
  <c r="B1941" i="4" a="1"/>
  <c r="B1941" i="4" s="1"/>
  <c r="B1942" i="4" a="1"/>
  <c r="B1942" i="4"/>
  <c r="B1943" i="4" a="1"/>
  <c r="B1943" i="4" s="1"/>
  <c r="B1944" i="4" a="1"/>
  <c r="B1944" i="4" s="1"/>
  <c r="B1945" i="4" a="1"/>
  <c r="B1945" i="4" s="1"/>
  <c r="B1946" i="4" a="1"/>
  <c r="B1946" i="4" s="1"/>
  <c r="B1947" i="4" a="1"/>
  <c r="B1947" i="4" s="1"/>
  <c r="B1948" i="4" a="1"/>
  <c r="B1948" i="4" s="1"/>
  <c r="B1949" i="4" a="1"/>
  <c r="B1949" i="4" s="1"/>
  <c r="B1950" i="4" a="1"/>
  <c r="B1950" i="4" s="1"/>
  <c r="B1951" i="4" a="1"/>
  <c r="B1951" i="4" s="1"/>
  <c r="B1952" i="4" a="1"/>
  <c r="B1952" i="4" s="1"/>
  <c r="B1953" i="4" a="1"/>
  <c r="B1953" i="4" s="1"/>
  <c r="B1954" i="4" a="1"/>
  <c r="B1954" i="4" s="1"/>
  <c r="B1955" i="4" a="1"/>
  <c r="B1955" i="4" s="1"/>
  <c r="B1956" i="4" a="1"/>
  <c r="B1956" i="4" s="1"/>
  <c r="B1957" i="4" a="1"/>
  <c r="B1957" i="4" s="1"/>
  <c r="B1958" i="4" a="1"/>
  <c r="B1958" i="4" s="1"/>
  <c r="B1959" i="4" a="1"/>
  <c r="B1959" i="4" s="1"/>
  <c r="B1960" i="4" a="1"/>
  <c r="B1960" i="4" s="1"/>
  <c r="B1961" i="4" a="1"/>
  <c r="B1961" i="4" s="1"/>
  <c r="B1962" i="4" a="1"/>
  <c r="B1962" i="4" s="1"/>
  <c r="B1963" i="4" a="1"/>
  <c r="B1963" i="4" s="1"/>
  <c r="B1964" i="4" a="1"/>
  <c r="B1964" i="4" s="1"/>
  <c r="B1965" i="4" a="1"/>
  <c r="B1965" i="4" s="1"/>
  <c r="B1966" i="4" a="1"/>
  <c r="B1966" i="4" s="1"/>
  <c r="B1967" i="4" a="1"/>
  <c r="B1967" i="4" s="1"/>
  <c r="B1968" i="4" a="1"/>
  <c r="B1968" i="4" s="1"/>
  <c r="B1969" i="4" a="1"/>
  <c r="B1969" i="4" s="1"/>
  <c r="B1970" i="4" a="1"/>
  <c r="B1970" i="4" s="1"/>
  <c r="B1971" i="4" a="1"/>
  <c r="B1971" i="4" s="1"/>
  <c r="B1972" i="4" a="1"/>
  <c r="B1972" i="4" s="1"/>
  <c r="B1973" i="4" a="1"/>
  <c r="B1973" i="4" s="1"/>
  <c r="B1974" i="4" a="1"/>
  <c r="B1974" i="4" s="1"/>
  <c r="B1975" i="4" a="1"/>
  <c r="B1975" i="4" s="1"/>
  <c r="B1976" i="4" a="1"/>
  <c r="B1976" i="4" s="1"/>
  <c r="B1977" i="4" a="1"/>
  <c r="B1977" i="4" s="1"/>
  <c r="B1978" i="4" a="1"/>
  <c r="B1978" i="4" s="1"/>
  <c r="B1979" i="4" a="1"/>
  <c r="B1979" i="4" s="1"/>
  <c r="B1980" i="4" a="1"/>
  <c r="B1980" i="4" s="1"/>
  <c r="B1981" i="4" a="1"/>
  <c r="B1981" i="4" s="1"/>
  <c r="B1982" i="4" a="1"/>
  <c r="B1982" i="4" s="1"/>
  <c r="B1983" i="4" a="1"/>
  <c r="B1983" i="4" s="1"/>
  <c r="B1984" i="4" a="1"/>
  <c r="B1984" i="4" s="1"/>
  <c r="B1985" i="4" a="1"/>
  <c r="B1985" i="4" s="1"/>
  <c r="B1986" i="4" a="1"/>
  <c r="B1986" i="4" s="1"/>
  <c r="B1987" i="4" a="1"/>
  <c r="B1987" i="4" s="1"/>
  <c r="B1988" i="4" a="1"/>
  <c r="B1988" i="4" s="1"/>
  <c r="B1989" i="4" a="1"/>
  <c r="B1989" i="4" s="1"/>
  <c r="B1990" i="4" a="1"/>
  <c r="B1990" i="4" s="1"/>
  <c r="B1991" i="4" a="1"/>
  <c r="B1991" i="4" s="1"/>
  <c r="B1992" i="4" a="1"/>
  <c r="B1992" i="4" s="1"/>
  <c r="B1993" i="4" a="1"/>
  <c r="B1993" i="4" s="1"/>
  <c r="B1994" i="4" a="1"/>
  <c r="B1994" i="4" s="1"/>
  <c r="B1995" i="4" a="1"/>
  <c r="B1995" i="4" s="1"/>
  <c r="B1996" i="4" a="1"/>
  <c r="B1996" i="4" s="1"/>
  <c r="B1997" i="4" a="1"/>
  <c r="B1997" i="4" s="1"/>
  <c r="B1998" i="4" a="1"/>
  <c r="B1998" i="4" s="1"/>
  <c r="B1999" i="4" a="1"/>
  <c r="B1999" i="4" s="1"/>
  <c r="B2000" i="4" a="1"/>
  <c r="B2000" i="4" s="1"/>
  <c r="B2001" i="4" a="1"/>
  <c r="B2001" i="4" s="1"/>
  <c r="B2002" i="4" a="1"/>
  <c r="B2002" i="4" s="1"/>
  <c r="B2003" i="4" a="1"/>
  <c r="B2003" i="4" s="1"/>
  <c r="B2004" i="4" a="1"/>
  <c r="B2004" i="4" s="1"/>
  <c r="B2005" i="4" a="1"/>
  <c r="B2005" i="4" s="1"/>
  <c r="B2006" i="4" a="1"/>
  <c r="B2006" i="4" s="1"/>
  <c r="B2007" i="4" a="1"/>
  <c r="B2007" i="4" s="1"/>
  <c r="B2008" i="4" a="1"/>
  <c r="B2008" i="4" s="1"/>
  <c r="B2009" i="4" a="1"/>
  <c r="B2009" i="4" s="1"/>
  <c r="B2010" i="4" a="1"/>
  <c r="B2010" i="4" s="1"/>
  <c r="B2011" i="4" a="1"/>
  <c r="B2011" i="4" s="1"/>
  <c r="B2012" i="4" a="1"/>
  <c r="B2012" i="4" s="1"/>
  <c r="B2013" i="4" a="1"/>
  <c r="B2013" i="4" s="1"/>
  <c r="B2014" i="4" a="1"/>
  <c r="B2014" i="4" s="1"/>
  <c r="B2015" i="4" a="1"/>
  <c r="B2015" i="4" s="1"/>
  <c r="B2016" i="4" a="1"/>
  <c r="B2016" i="4" s="1"/>
  <c r="B2017" i="4" a="1"/>
  <c r="B2017" i="4" s="1"/>
  <c r="B2018" i="4" a="1"/>
  <c r="B2018" i="4" s="1"/>
  <c r="B2019" i="4" a="1"/>
  <c r="B2019" i="4" s="1"/>
  <c r="B2020" i="4" a="1"/>
  <c r="B2020" i="4" s="1"/>
  <c r="B2021" i="4" a="1"/>
  <c r="B2021" i="4" s="1"/>
  <c r="B2022" i="4" a="1"/>
  <c r="B2022" i="4" s="1"/>
  <c r="B2023" i="4" a="1"/>
  <c r="B2023" i="4" s="1"/>
  <c r="B2024" i="4" a="1"/>
  <c r="B2024" i="4" s="1"/>
  <c r="B2025" i="4" a="1"/>
  <c r="B2025" i="4" s="1"/>
  <c r="B2026" i="4" a="1"/>
  <c r="B2026" i="4" s="1"/>
  <c r="B2027" i="4" a="1"/>
  <c r="B2027" i="4" s="1"/>
  <c r="B2028" i="4" a="1"/>
  <c r="B2028" i="4" s="1"/>
  <c r="B2029" i="4" a="1"/>
  <c r="B2029" i="4" s="1"/>
  <c r="B2030" i="4" a="1"/>
  <c r="B2030" i="4" s="1"/>
  <c r="B2031" i="4" a="1"/>
  <c r="B2031" i="4" s="1"/>
  <c r="B2032" i="4" a="1"/>
  <c r="B2032" i="4" s="1"/>
  <c r="B2033" i="4" a="1"/>
  <c r="B2033" i="4" s="1"/>
  <c r="B2034" i="4" a="1"/>
  <c r="B2034" i="4" s="1"/>
  <c r="B2035" i="4" a="1"/>
  <c r="B2035" i="4" s="1"/>
  <c r="B2036" i="4" a="1"/>
  <c r="B2036" i="4" s="1"/>
  <c r="B2037" i="4" a="1"/>
  <c r="B2037" i="4" s="1"/>
  <c r="B2038" i="4" a="1"/>
  <c r="B2038" i="4" s="1"/>
  <c r="B2039" i="4" a="1"/>
  <c r="B2039" i="4" s="1"/>
  <c r="B2040" i="4" a="1"/>
  <c r="B2040" i="4" s="1"/>
  <c r="B2041" i="4" a="1"/>
  <c r="B2041" i="4" s="1"/>
  <c r="B2042" i="4" a="1"/>
  <c r="B2042" i="4" s="1"/>
  <c r="B2043" i="4" a="1"/>
  <c r="B2043" i="4" s="1"/>
  <c r="B2044" i="4" a="1"/>
  <c r="B2044" i="4" s="1"/>
  <c r="B2045" i="4" a="1"/>
  <c r="B2045" i="4" s="1"/>
  <c r="B2046" i="4" a="1"/>
  <c r="B2046" i="4" s="1"/>
  <c r="B2047" i="4" a="1"/>
  <c r="B2047" i="4" s="1"/>
  <c r="B2048" i="4" a="1"/>
  <c r="B2048" i="4" s="1"/>
  <c r="B2049" i="4" a="1"/>
  <c r="B2049" i="4" s="1"/>
  <c r="B2050" i="4" a="1"/>
  <c r="B2050" i="4" s="1"/>
  <c r="B2051" i="4" a="1"/>
  <c r="B2051" i="4" s="1"/>
  <c r="B2052" i="4" a="1"/>
  <c r="B2052" i="4" s="1"/>
  <c r="B2053" i="4" a="1"/>
  <c r="B2053" i="4"/>
  <c r="B2054" i="4" a="1"/>
  <c r="B2054" i="4" s="1"/>
  <c r="B2055" i="4" a="1"/>
  <c r="B2055" i="4" s="1"/>
  <c r="B2056" i="4" a="1"/>
  <c r="B2056" i="4" s="1"/>
  <c r="B2057" i="4" a="1"/>
  <c r="B2057" i="4" s="1"/>
  <c r="B2058" i="4" a="1"/>
  <c r="B2058" i="4" s="1"/>
  <c r="B2059" i="4" a="1"/>
  <c r="B2059" i="4" s="1"/>
  <c r="B2060" i="4" a="1"/>
  <c r="B2060" i="4"/>
  <c r="B2061" i="4" a="1"/>
  <c r="B2061" i="4" s="1"/>
  <c r="B2062" i="4" a="1"/>
  <c r="B2062" i="4" s="1"/>
  <c r="B2063" i="4" a="1"/>
  <c r="B2063" i="4" s="1"/>
  <c r="B2064" i="4" a="1"/>
  <c r="B2064" i="4" s="1"/>
  <c r="B2065" i="4" a="1"/>
  <c r="B2065" i="4" s="1"/>
  <c r="B2066" i="4" a="1"/>
  <c r="B2066" i="4" s="1"/>
  <c r="B2067" i="4" a="1"/>
  <c r="B2067" i="4" s="1"/>
  <c r="B2068" i="4" a="1"/>
  <c r="B2068" i="4" s="1"/>
  <c r="B2069" i="4" a="1"/>
  <c r="B2069" i="4"/>
  <c r="B2070" i="4" a="1"/>
  <c r="B2070" i="4" s="1"/>
  <c r="B2071" i="4" a="1"/>
  <c r="B2071" i="4" s="1"/>
  <c r="B2072" i="4" a="1"/>
  <c r="B2072" i="4" s="1"/>
  <c r="B2073" i="4" a="1"/>
  <c r="B2073" i="4" s="1"/>
  <c r="B2074" i="4" a="1"/>
  <c r="B2074" i="4" s="1"/>
  <c r="B2075" i="4" a="1"/>
  <c r="B2075" i="4" s="1"/>
  <c r="B2076" i="4" a="1"/>
  <c r="B2076" i="4" s="1"/>
  <c r="B2077" i="4" a="1"/>
  <c r="B2077" i="4" s="1"/>
  <c r="B2078" i="4" a="1"/>
  <c r="B2078" i="4" s="1"/>
  <c r="B2079" i="4" a="1"/>
  <c r="B2079" i="4" s="1"/>
  <c r="B2080" i="4" a="1"/>
  <c r="B2080" i="4" s="1"/>
  <c r="B2081" i="4" a="1"/>
  <c r="B2081" i="4" s="1"/>
  <c r="B2082" i="4" a="1"/>
  <c r="B2082" i="4" s="1"/>
  <c r="B2083" i="4" a="1"/>
  <c r="B2083" i="4" s="1"/>
  <c r="B2084" i="4" a="1"/>
  <c r="B2084" i="4" s="1"/>
  <c r="B2085" i="4" a="1"/>
  <c r="B2085" i="4" s="1"/>
  <c r="B2086" i="4" a="1"/>
  <c r="B2086" i="4" s="1"/>
  <c r="B2087" i="4" a="1"/>
  <c r="B2087" i="4" s="1"/>
  <c r="B2088" i="4" a="1"/>
  <c r="B2088" i="4" s="1"/>
  <c r="B2089" i="4" a="1"/>
  <c r="B2089" i="4" s="1"/>
  <c r="B2090" i="4" a="1"/>
  <c r="B2090" i="4" s="1"/>
  <c r="B2091" i="4" a="1"/>
  <c r="B2091" i="4" s="1"/>
  <c r="B2092" i="4" a="1"/>
  <c r="B2092" i="4" s="1"/>
  <c r="B2093" i="4" a="1"/>
  <c r="B2093" i="4" s="1"/>
  <c r="B2094" i="4" a="1"/>
  <c r="B2094" i="4" s="1"/>
  <c r="B2095" i="4" a="1"/>
  <c r="B2095" i="4"/>
  <c r="B2096" i="4" a="1"/>
  <c r="B2096" i="4" s="1"/>
  <c r="B2097" i="4" a="1"/>
  <c r="B2097" i="4" s="1"/>
  <c r="B2098" i="4" a="1"/>
  <c r="B2098" i="4" s="1"/>
  <c r="B2099" i="4" a="1"/>
  <c r="B2099" i="4" s="1"/>
  <c r="B2100" i="4" a="1"/>
  <c r="B2100" i="4" s="1"/>
  <c r="B2101" i="4" a="1"/>
  <c r="B2101" i="4" s="1"/>
  <c r="B2102" i="4" a="1"/>
  <c r="B2102" i="4" s="1"/>
  <c r="B2103" i="4" a="1"/>
  <c r="B2103" i="4" s="1"/>
  <c r="B2104" i="4" a="1"/>
  <c r="B2104" i="4" s="1"/>
  <c r="B2105" i="4" a="1"/>
  <c r="B2105" i="4" s="1"/>
  <c r="B2106" i="4" a="1"/>
  <c r="B2106" i="4" s="1"/>
  <c r="B2107" i="4" a="1"/>
  <c r="B2107" i="4" s="1"/>
  <c r="B2108" i="4" a="1"/>
  <c r="B2108" i="4" s="1"/>
  <c r="B2109" i="4" a="1"/>
  <c r="B2109" i="4" s="1"/>
  <c r="B2110" i="4" a="1"/>
  <c r="B2110" i="4" s="1"/>
  <c r="B2111" i="4" a="1"/>
  <c r="B2111" i="4" s="1"/>
  <c r="B2112" i="4" a="1"/>
  <c r="B2112" i="4" s="1"/>
  <c r="B2113" i="4" a="1"/>
  <c r="B2113" i="4" s="1"/>
  <c r="B2114" i="4" a="1"/>
  <c r="B2114" i="4" s="1"/>
  <c r="B2115" i="4" a="1"/>
  <c r="B2115" i="4" s="1"/>
  <c r="B2116" i="4" a="1"/>
  <c r="B2116" i="4" s="1"/>
  <c r="B2117" i="4" a="1"/>
  <c r="B2117" i="4" s="1"/>
  <c r="B2118" i="4" a="1"/>
  <c r="B2118" i="4" s="1"/>
  <c r="B2119" i="4" a="1"/>
  <c r="B2119" i="4" s="1"/>
  <c r="B2120" i="4" a="1"/>
  <c r="B2120" i="4" s="1"/>
  <c r="B2121" i="4" a="1"/>
  <c r="B2121" i="4" s="1"/>
  <c r="B2122" i="4" a="1"/>
  <c r="B2122" i="4" s="1"/>
  <c r="B2123" i="4" a="1"/>
  <c r="B2123" i="4" s="1"/>
  <c r="B2124" i="4" a="1"/>
  <c r="B2124" i="4" s="1"/>
  <c r="B2125" i="4" a="1"/>
  <c r="B2125" i="4" s="1"/>
  <c r="B2126" i="4" a="1"/>
  <c r="B2126" i="4" s="1"/>
  <c r="B2127" i="4" a="1"/>
  <c r="B2127" i="4" s="1"/>
  <c r="B2128" i="4" a="1"/>
  <c r="B2128" i="4" s="1"/>
  <c r="B2129" i="4" a="1"/>
  <c r="B2129" i="4"/>
  <c r="B2130" i="4" a="1"/>
  <c r="B2130" i="4" s="1"/>
  <c r="B2131" i="4" a="1"/>
  <c r="B2131" i="4" s="1"/>
  <c r="B2132" i="4" a="1"/>
  <c r="B2132" i="4" s="1"/>
  <c r="B2133" i="4" a="1"/>
  <c r="B2133" i="4" s="1"/>
  <c r="B2134" i="4" a="1"/>
  <c r="B2134" i="4" s="1"/>
  <c r="B2135" i="4" a="1"/>
  <c r="B2135" i="4" s="1"/>
  <c r="B2136" i="4" a="1"/>
  <c r="B2136" i="4" s="1"/>
  <c r="B2137" i="4" a="1"/>
  <c r="B2137" i="4" s="1"/>
  <c r="B2138" i="4" a="1"/>
  <c r="B2138" i="4" s="1"/>
  <c r="B2139" i="4" a="1"/>
  <c r="B2139" i="4" s="1"/>
  <c r="B2140" i="4" a="1"/>
  <c r="B2140" i="4" s="1"/>
  <c r="B2141" i="4" a="1"/>
  <c r="B2141" i="4"/>
  <c r="B2142" i="4" a="1"/>
  <c r="B2142" i="4" s="1"/>
  <c r="B2143" i="4" a="1"/>
  <c r="B2143" i="4" s="1"/>
  <c r="B2144" i="4" a="1"/>
  <c r="B2144" i="4" s="1"/>
  <c r="B2145" i="4" a="1"/>
  <c r="B2145" i="4" s="1"/>
  <c r="B2146" i="4" a="1"/>
  <c r="B2146" i="4" s="1"/>
  <c r="B2147" i="4" a="1"/>
  <c r="B2147" i="4" s="1"/>
  <c r="B2148" i="4" a="1"/>
  <c r="B2148" i="4" s="1"/>
  <c r="B2149" i="4" a="1"/>
  <c r="B2149" i="4" s="1"/>
  <c r="B2150" i="4" a="1"/>
  <c r="B2150" i="4" s="1"/>
  <c r="B2151" i="4" a="1"/>
  <c r="B2151" i="4" s="1"/>
  <c r="B2152" i="4" a="1"/>
  <c r="B2152" i="4" s="1"/>
  <c r="B2153" i="4" a="1"/>
  <c r="B2153" i="4" s="1"/>
  <c r="B2154" i="4" a="1"/>
  <c r="B2154" i="4" s="1"/>
  <c r="B2155" i="4" a="1"/>
  <c r="B2155" i="4" s="1"/>
  <c r="B2156" i="4" a="1"/>
  <c r="B2156" i="4" s="1"/>
  <c r="B2157" i="4" a="1"/>
  <c r="B2157" i="4" s="1"/>
  <c r="B2158" i="4" a="1"/>
  <c r="B2158" i="4" s="1"/>
  <c r="B2159" i="4" a="1"/>
  <c r="B2159" i="4" s="1"/>
  <c r="B2160" i="4" a="1"/>
  <c r="B2160" i="4" s="1"/>
  <c r="B2161" i="4" a="1"/>
  <c r="B2161" i="4" s="1"/>
  <c r="B2162" i="4" a="1"/>
  <c r="B2162" i="4" s="1"/>
  <c r="B2163" i="4" a="1"/>
  <c r="B2163" i="4" s="1"/>
  <c r="B2164" i="4" a="1"/>
  <c r="B2164" i="4" s="1"/>
  <c r="B2165" i="4" a="1"/>
  <c r="B2165" i="4" s="1"/>
  <c r="B2166" i="4" a="1"/>
  <c r="B2166" i="4" s="1"/>
  <c r="B2167" i="4" a="1"/>
  <c r="B2167" i="4" s="1"/>
  <c r="B2168" i="4" a="1"/>
  <c r="B2168" i="4" s="1"/>
  <c r="B2169" i="4" a="1"/>
  <c r="B2169" i="4" s="1"/>
  <c r="B2170" i="4" a="1"/>
  <c r="B2170" i="4" s="1"/>
  <c r="B2171" i="4" a="1"/>
  <c r="B2171" i="4" s="1"/>
  <c r="B2172" i="4" a="1"/>
  <c r="B2172" i="4" s="1"/>
  <c r="B2173" i="4" a="1"/>
  <c r="B2173" i="4" s="1"/>
  <c r="B2174" i="4" a="1"/>
  <c r="B2174" i="4" s="1"/>
  <c r="B2175" i="4" a="1"/>
  <c r="B2175" i="4" s="1"/>
  <c r="B2176" i="4" a="1"/>
  <c r="B2176" i="4"/>
  <c r="B2177" i="4" a="1"/>
  <c r="B2177" i="4" s="1"/>
  <c r="B2178" i="4" a="1"/>
  <c r="B2178" i="4" s="1"/>
  <c r="B2179" i="4" a="1"/>
  <c r="B2179" i="4" s="1"/>
  <c r="B2180" i="4" a="1"/>
  <c r="B2180" i="4" s="1"/>
  <c r="B2181" i="4" a="1"/>
  <c r="B2181" i="4" s="1"/>
  <c r="B2182" i="4" a="1"/>
  <c r="B2182" i="4" s="1"/>
  <c r="B2183" i="4" a="1"/>
  <c r="B2183" i="4" s="1"/>
  <c r="B2184" i="4" a="1"/>
  <c r="B2184" i="4" s="1"/>
  <c r="B2185" i="4" a="1"/>
  <c r="B2185" i="4" s="1"/>
  <c r="B2186" i="4" a="1"/>
  <c r="B2186" i="4" s="1"/>
  <c r="B2187" i="4" a="1"/>
  <c r="B2187" i="4" s="1"/>
  <c r="B2188" i="4" a="1"/>
  <c r="B2188" i="4"/>
  <c r="B2189" i="4" a="1"/>
  <c r="B2189" i="4" s="1"/>
  <c r="B2190" i="4" a="1"/>
  <c r="B2190" i="4" s="1"/>
  <c r="B2191" i="4" a="1"/>
  <c r="B2191" i="4" s="1"/>
  <c r="B2192" i="4" a="1"/>
  <c r="B2192" i="4" s="1"/>
  <c r="B2193" i="4" a="1"/>
  <c r="B2193" i="4" s="1"/>
  <c r="B2194" i="4" a="1"/>
  <c r="B2194" i="4" s="1"/>
  <c r="B2195" i="4" a="1"/>
  <c r="B2195" i="4" s="1"/>
  <c r="B2196" i="4" a="1"/>
  <c r="B2196" i="4"/>
  <c r="B2197" i="4" a="1"/>
  <c r="B2197" i="4" s="1"/>
  <c r="B2198" i="4" a="1"/>
  <c r="B2198" i="4" s="1"/>
  <c r="B2199" i="4" a="1"/>
  <c r="B2199" i="4" s="1"/>
  <c r="B2200" i="4" a="1"/>
  <c r="B2200" i="4"/>
  <c r="B2201" i="4" a="1"/>
  <c r="B2201" i="4" s="1"/>
  <c r="B2202" i="4" a="1"/>
  <c r="B2202" i="4" s="1"/>
  <c r="B2203" i="4" a="1"/>
  <c r="B2203" i="4" s="1"/>
  <c r="B2204" i="4" a="1"/>
  <c r="B2204" i="4" s="1"/>
  <c r="B2205" i="4" a="1"/>
  <c r="B2205" i="4" s="1"/>
  <c r="B2206" i="4" a="1"/>
  <c r="B2206" i="4" s="1"/>
  <c r="B2207" i="4" a="1"/>
  <c r="B2207" i="4" s="1"/>
  <c r="B2208" i="4" a="1"/>
  <c r="B2208" i="4" s="1"/>
  <c r="B2209" i="4" a="1"/>
  <c r="B2209" i="4" s="1"/>
  <c r="B2210" i="4" a="1"/>
  <c r="B2210" i="4" s="1"/>
  <c r="B2211" i="4" a="1"/>
  <c r="B2211" i="4" s="1"/>
  <c r="B2212" i="4" a="1"/>
  <c r="B2212" i="4" s="1"/>
  <c r="B2213" i="4" a="1"/>
  <c r="B2213" i="4" s="1"/>
  <c r="B2214" i="4" a="1"/>
  <c r="B2214" i="4" s="1"/>
  <c r="B2215" i="4" a="1"/>
  <c r="B2215" i="4" s="1"/>
  <c r="B2216" i="4" a="1"/>
  <c r="B2216" i="4" s="1"/>
  <c r="B2217" i="4" a="1"/>
  <c r="B2217" i="4" s="1"/>
  <c r="B2218" i="4" a="1"/>
  <c r="B2218" i="4" s="1"/>
  <c r="B2219" i="4" a="1"/>
  <c r="B2219" i="4" s="1"/>
  <c r="B2220" i="4" a="1"/>
  <c r="B2220" i="4" s="1"/>
  <c r="B2221" i="4" a="1"/>
  <c r="B2221" i="4" s="1"/>
  <c r="B2222" i="4" a="1"/>
  <c r="B2222" i="4" s="1"/>
  <c r="B2223" i="4" a="1"/>
  <c r="B2223" i="4" s="1"/>
  <c r="B2224" i="4" a="1"/>
  <c r="B2224" i="4" s="1"/>
  <c r="B2225" i="4" a="1"/>
  <c r="B2225" i="4" s="1"/>
  <c r="B2226" i="4" a="1"/>
  <c r="B2226" i="4" s="1"/>
  <c r="B2227" i="4" a="1"/>
  <c r="B2227" i="4" s="1"/>
  <c r="B2228" i="4" a="1"/>
  <c r="B2228" i="4" s="1"/>
  <c r="B2229" i="4" a="1"/>
  <c r="B2229" i="4" s="1"/>
  <c r="B2230" i="4" a="1"/>
  <c r="B2230" i="4" s="1"/>
  <c r="B2231" i="4" a="1"/>
  <c r="B2231" i="4" s="1"/>
  <c r="B2232" i="4" a="1"/>
  <c r="B2232" i="4" s="1"/>
  <c r="B2233" i="4" a="1"/>
  <c r="B2233" i="4" s="1"/>
  <c r="B2234" i="4" a="1"/>
  <c r="B2234" i="4" s="1"/>
  <c r="B2235" i="4" a="1"/>
  <c r="B2235" i="4" s="1"/>
  <c r="B2236" i="4" a="1"/>
  <c r="B2236" i="4" s="1"/>
  <c r="B2237" i="4" a="1"/>
  <c r="B2237" i="4" s="1"/>
  <c r="B2238" i="4" a="1"/>
  <c r="B2238" i="4" s="1"/>
  <c r="B2239" i="4" a="1"/>
  <c r="B2239" i="4" s="1"/>
  <c r="B2240" i="4" a="1"/>
  <c r="B2240" i="4" s="1"/>
  <c r="B2241" i="4" a="1"/>
  <c r="B2241" i="4" s="1"/>
  <c r="B2242" i="4" a="1"/>
  <c r="B2242" i="4" s="1"/>
  <c r="B2243" i="4" a="1"/>
  <c r="B2243" i="4" s="1"/>
  <c r="B2244" i="4" a="1"/>
  <c r="B2244" i="4"/>
  <c r="B2245" i="4" a="1"/>
  <c r="B2245" i="4" s="1"/>
  <c r="B2246" i="4" a="1"/>
  <c r="B2246" i="4" s="1"/>
  <c r="B2247" i="4" a="1"/>
  <c r="B2247" i="4" s="1"/>
  <c r="B2248" i="4" a="1"/>
  <c r="B2248" i="4" s="1"/>
  <c r="B2249" i="4" a="1"/>
  <c r="B2249" i="4" s="1"/>
  <c r="B2250" i="4" a="1"/>
  <c r="B2250" i="4" s="1"/>
  <c r="B2251" i="4" a="1"/>
  <c r="B2251" i="4" s="1"/>
  <c r="B2252" i="4" a="1"/>
  <c r="B2252" i="4" s="1"/>
  <c r="B2253" i="4" a="1"/>
  <c r="B2253" i="4" s="1"/>
  <c r="B2254" i="4" a="1"/>
  <c r="B2254" i="4" s="1"/>
  <c r="B2255" i="4" a="1"/>
  <c r="B2255" i="4" s="1"/>
  <c r="B2256" i="4" a="1"/>
  <c r="B2256" i="4" s="1"/>
  <c r="B2257" i="4" a="1"/>
  <c r="B2257" i="4" s="1"/>
  <c r="B2258" i="4" a="1"/>
  <c r="B2258" i="4" s="1"/>
  <c r="B2259" i="4" a="1"/>
  <c r="B2259" i="4" s="1"/>
  <c r="B2260" i="4" a="1"/>
  <c r="B2260" i="4" s="1"/>
  <c r="B2261" i="4" a="1"/>
  <c r="B2261" i="4" s="1"/>
  <c r="B2262" i="4" a="1"/>
  <c r="B2262" i="4" s="1"/>
  <c r="B2263" i="4" a="1"/>
  <c r="B2263" i="4" s="1"/>
  <c r="B2264" i="4" a="1"/>
  <c r="B2264" i="4"/>
  <c r="B2265" i="4" a="1"/>
  <c r="B2265" i="4" s="1"/>
  <c r="B2266" i="4" a="1"/>
  <c r="B2266" i="4" s="1"/>
  <c r="B2267" i="4" a="1"/>
  <c r="B2267" i="4" s="1"/>
  <c r="B2268" i="4" a="1"/>
  <c r="B2268" i="4" s="1"/>
  <c r="B2269" i="4" a="1"/>
  <c r="B2269" i="4" s="1"/>
  <c r="B2270" i="4" a="1"/>
  <c r="B2270" i="4" s="1"/>
  <c r="B2271" i="4" a="1"/>
  <c r="B2271" i="4" s="1"/>
  <c r="B2272" i="4" a="1"/>
  <c r="B2272" i="4" s="1"/>
  <c r="B2273" i="4" a="1"/>
  <c r="B2273" i="4" s="1"/>
  <c r="B2274" i="4" a="1"/>
  <c r="B2274" i="4" s="1"/>
  <c r="B2275" i="4" a="1"/>
  <c r="B2275" i="4" s="1"/>
  <c r="B2276" i="4" a="1"/>
  <c r="B2276" i="4" s="1"/>
  <c r="B2277" i="4" a="1"/>
  <c r="B2277" i="4" s="1"/>
  <c r="B2278" i="4" a="1"/>
  <c r="B2278" i="4" s="1"/>
  <c r="B2279" i="4" a="1"/>
  <c r="B2279" i="4" s="1"/>
  <c r="B2280" i="4" a="1"/>
  <c r="B2280" i="4" s="1"/>
  <c r="B2281" i="4" a="1"/>
  <c r="B2281" i="4" s="1"/>
  <c r="B2282" i="4" a="1"/>
  <c r="B2282" i="4" s="1"/>
  <c r="B2283" i="4" a="1"/>
  <c r="B2283" i="4" s="1"/>
  <c r="B2284" i="4" a="1"/>
  <c r="B2284" i="4" s="1"/>
  <c r="B2285" i="4" a="1"/>
  <c r="B2285" i="4" s="1"/>
  <c r="B2286" i="4" a="1"/>
  <c r="B2286" i="4" s="1"/>
  <c r="B2287" i="4" a="1"/>
  <c r="B2287" i="4" s="1"/>
  <c r="B2288" i="4" a="1"/>
  <c r="B2288" i="4" s="1"/>
  <c r="B2289" i="4" a="1"/>
  <c r="B2289" i="4" s="1"/>
  <c r="B2290" i="4" a="1"/>
  <c r="B2290" i="4" s="1"/>
  <c r="B2291" i="4" a="1"/>
  <c r="B2291" i="4" s="1"/>
  <c r="B2292" i="4" a="1"/>
  <c r="B2292" i="4" s="1"/>
  <c r="B2293" i="4" a="1"/>
  <c r="B2293" i="4" s="1"/>
  <c r="B2294" i="4" a="1"/>
  <c r="B2294" i="4" s="1"/>
  <c r="B2295" i="4" a="1"/>
  <c r="B2295" i="4" s="1"/>
  <c r="B2296" i="4" a="1"/>
  <c r="B2296" i="4" s="1"/>
  <c r="B2297" i="4" a="1"/>
  <c r="B2297" i="4" s="1"/>
  <c r="B2298" i="4" a="1"/>
  <c r="B2298" i="4" s="1"/>
  <c r="B2299" i="4" a="1"/>
  <c r="B2299" i="4" s="1"/>
  <c r="B2300" i="4" a="1"/>
  <c r="B2300" i="4" s="1"/>
  <c r="B2301" i="4" a="1"/>
  <c r="B2301" i="4" s="1"/>
  <c r="B2302" i="4" a="1"/>
  <c r="B2302" i="4" s="1"/>
  <c r="B2303" i="4" a="1"/>
  <c r="B2303" i="4" s="1"/>
  <c r="B2304" i="4" a="1"/>
  <c r="B2304" i="4" s="1"/>
  <c r="B2305" i="4" a="1"/>
  <c r="B2305" i="4" s="1"/>
  <c r="B2306" i="4" a="1"/>
  <c r="B2306" i="4" s="1"/>
  <c r="B2307" i="4" a="1"/>
  <c r="B2307" i="4" s="1"/>
  <c r="B2308" i="4" a="1"/>
  <c r="B2308" i="4"/>
  <c r="B2309" i="4" a="1"/>
  <c r="B2309" i="4" s="1"/>
  <c r="B2310" i="4" a="1"/>
  <c r="B2310" i="4" s="1"/>
  <c r="B2311" i="4" a="1"/>
  <c r="B2311" i="4" s="1"/>
  <c r="B2312" i="4" a="1"/>
  <c r="B2312" i="4" s="1"/>
  <c r="B2313" i="4" a="1"/>
  <c r="B2313" i="4" s="1"/>
  <c r="B2314" i="4" a="1"/>
  <c r="B2314" i="4" s="1"/>
  <c r="B2315" i="4" a="1"/>
  <c r="B2315" i="4" s="1"/>
  <c r="B2316" i="4" a="1"/>
  <c r="B2316" i="4" s="1"/>
  <c r="B2317" i="4" a="1"/>
  <c r="B2317" i="4" s="1"/>
  <c r="B2318" i="4" a="1"/>
  <c r="B2318" i="4" s="1"/>
  <c r="B2319" i="4" a="1"/>
  <c r="B2319" i="4" s="1"/>
  <c r="B2320" i="4" a="1"/>
  <c r="B2320" i="4" s="1"/>
  <c r="B2321" i="4" a="1"/>
  <c r="B2321" i="4" s="1"/>
  <c r="B2322" i="4" a="1"/>
  <c r="B2322" i="4" s="1"/>
  <c r="B2323" i="4" a="1"/>
  <c r="B2323" i="4" s="1"/>
  <c r="B2324" i="4" a="1"/>
  <c r="B2324" i="4" s="1"/>
  <c r="B2325" i="4" a="1"/>
  <c r="B2325" i="4" s="1"/>
  <c r="B2326" i="4" a="1"/>
  <c r="B2326" i="4" s="1"/>
  <c r="B2327" i="4" a="1"/>
  <c r="B2327" i="4" s="1"/>
  <c r="B2328" i="4" a="1"/>
  <c r="B2328" i="4" s="1"/>
  <c r="B2329" i="4" a="1"/>
  <c r="B2329" i="4" s="1"/>
  <c r="B2330" i="4" a="1"/>
  <c r="B2330" i="4" s="1"/>
  <c r="B2331" i="4" a="1"/>
  <c r="B2331" i="4" s="1"/>
  <c r="B2332" i="4" a="1"/>
  <c r="B2332" i="4" s="1"/>
  <c r="B2333" i="4" a="1"/>
  <c r="B2333" i="4" s="1"/>
  <c r="B2334" i="4" a="1"/>
  <c r="B2334" i="4" s="1"/>
  <c r="B2335" i="4" a="1"/>
  <c r="B2335" i="4" s="1"/>
  <c r="B2336" i="4" a="1"/>
  <c r="B2336" i="4" s="1"/>
  <c r="B2337" i="4" a="1"/>
  <c r="B2337" i="4" s="1"/>
  <c r="B2338" i="4" a="1"/>
  <c r="B2338" i="4" s="1"/>
  <c r="B2339" i="4" a="1"/>
  <c r="B2339" i="4" s="1"/>
  <c r="B2340" i="4" a="1"/>
  <c r="B2340" i="4" s="1"/>
  <c r="B2341" i="4" a="1"/>
  <c r="B2341" i="4" s="1"/>
  <c r="B2342" i="4" a="1"/>
  <c r="B2342" i="4" s="1"/>
  <c r="B2343" i="4" a="1"/>
  <c r="B2343" i="4" s="1"/>
  <c r="B2344" i="4" a="1"/>
  <c r="B2344" i="4" s="1"/>
  <c r="B2345" i="4" a="1"/>
  <c r="B2345" i="4" s="1"/>
  <c r="B2346" i="4" a="1"/>
  <c r="B2346" i="4" s="1"/>
  <c r="B2347" i="4" a="1"/>
  <c r="B2347" i="4" s="1"/>
  <c r="B2348" i="4" a="1"/>
  <c r="B2348" i="4" s="1"/>
  <c r="B2349" i="4" a="1"/>
  <c r="B2349" i="4" s="1"/>
  <c r="B2350" i="4" a="1"/>
  <c r="B2350" i="4" s="1"/>
  <c r="B2351" i="4" a="1"/>
  <c r="B2351" i="4" s="1"/>
  <c r="B2352" i="4" a="1"/>
  <c r="B2352" i="4" s="1"/>
  <c r="B2353" i="4" a="1"/>
  <c r="B2353" i="4" s="1"/>
  <c r="B2354" i="4" a="1"/>
  <c r="B2354" i="4" s="1"/>
  <c r="B2355" i="4" a="1"/>
  <c r="B2355" i="4" s="1"/>
  <c r="B2356" i="4" a="1"/>
  <c r="B2356" i="4" s="1"/>
  <c r="B2357" i="4" a="1"/>
  <c r="B2357" i="4" s="1"/>
  <c r="B2358" i="4" a="1"/>
  <c r="B2358" i="4" s="1"/>
  <c r="B2359" i="4" a="1"/>
  <c r="B2359" i="4" s="1"/>
  <c r="B2360" i="4" a="1"/>
  <c r="B2360" i="4" s="1"/>
  <c r="B2361" i="4" a="1"/>
  <c r="B2361" i="4" s="1"/>
  <c r="B2362" i="4" a="1"/>
  <c r="B2362" i="4" s="1"/>
  <c r="B2363" i="4" a="1"/>
  <c r="B2363" i="4" s="1"/>
  <c r="B2364" i="4" a="1"/>
  <c r="B2364" i="4" s="1"/>
  <c r="B2365" i="4" a="1"/>
  <c r="B2365" i="4" s="1"/>
  <c r="B2366" i="4" a="1"/>
  <c r="B2366" i="4" s="1"/>
  <c r="B2367" i="4" a="1"/>
  <c r="B2367" i="4" s="1"/>
  <c r="B2368" i="4" a="1"/>
  <c r="B2368" i="4" s="1"/>
  <c r="B2369" i="4" a="1"/>
  <c r="B2369" i="4" s="1"/>
  <c r="B2370" i="4" a="1"/>
  <c r="B2370" i="4" s="1"/>
  <c r="B2371" i="4" a="1"/>
  <c r="B2371" i="4" s="1"/>
  <c r="B2372" i="4" a="1"/>
  <c r="B2372" i="4" s="1"/>
  <c r="B2373" i="4" a="1"/>
  <c r="B2373" i="4" s="1"/>
  <c r="B2374" i="4" a="1"/>
  <c r="B2374" i="4" s="1"/>
  <c r="B2375" i="4" a="1"/>
  <c r="B2375" i="4" s="1"/>
  <c r="B2376" i="4" a="1"/>
  <c r="B2376" i="4" s="1"/>
  <c r="B2377" i="4" a="1"/>
  <c r="B2377" i="4" s="1"/>
  <c r="B2378" i="4" a="1"/>
  <c r="B2378" i="4" s="1"/>
  <c r="B2379" i="4" a="1"/>
  <c r="B2379" i="4" s="1"/>
  <c r="B2380" i="4" a="1"/>
  <c r="B2380" i="4" s="1"/>
  <c r="B2381" i="4" a="1"/>
  <c r="B2381" i="4" s="1"/>
  <c r="B2382" i="4" a="1"/>
  <c r="B2382" i="4" s="1"/>
  <c r="B2383" i="4" a="1"/>
  <c r="B2383" i="4" s="1"/>
  <c r="B2384" i="4" a="1"/>
  <c r="B2384" i="4" s="1"/>
  <c r="B2385" i="4" a="1"/>
  <c r="B2385" i="4" s="1"/>
  <c r="B2386" i="4" a="1"/>
  <c r="B2386" i="4" s="1"/>
  <c r="B2387" i="4" a="1"/>
  <c r="B2387" i="4" s="1"/>
  <c r="B2388" i="4" a="1"/>
  <c r="B2388" i="4" s="1"/>
  <c r="B2389" i="4" a="1"/>
  <c r="B2389" i="4" s="1"/>
  <c r="B2390" i="4" a="1"/>
  <c r="B2390" i="4" s="1"/>
  <c r="B2391" i="4" a="1"/>
  <c r="B2391" i="4" s="1"/>
  <c r="B2392" i="4" a="1"/>
  <c r="B2392" i="4" s="1"/>
  <c r="B2393" i="4" a="1"/>
  <c r="B2393" i="4" s="1"/>
  <c r="B2394" i="4" a="1"/>
  <c r="B2394" i="4" s="1"/>
  <c r="B2395" i="4" a="1"/>
  <c r="B2395" i="4" s="1"/>
  <c r="B2396" i="4" a="1"/>
  <c r="B2396" i="4" s="1"/>
  <c r="B2397" i="4" a="1"/>
  <c r="B2397" i="4" s="1"/>
  <c r="B2398" i="4" a="1"/>
  <c r="B2398" i="4" s="1"/>
  <c r="B2399" i="4" a="1"/>
  <c r="B2399" i="4" s="1"/>
  <c r="B2400" i="4" a="1"/>
  <c r="B2400" i="4" s="1"/>
  <c r="B2401" i="4" a="1"/>
  <c r="B2401" i="4" s="1"/>
  <c r="B2402" i="4" a="1"/>
  <c r="B2402" i="4" s="1"/>
  <c r="B2403" i="4" a="1"/>
  <c r="B2403" i="4" s="1"/>
  <c r="B2404" i="4" a="1"/>
  <c r="B2404" i="4" s="1"/>
  <c r="B2405" i="4" a="1"/>
  <c r="B2405" i="4" s="1"/>
  <c r="B2406" i="4" a="1"/>
  <c r="B2406" i="4" s="1"/>
  <c r="B2407" i="4" a="1"/>
  <c r="B2407" i="4" s="1"/>
  <c r="B2408" i="4" a="1"/>
  <c r="B2408" i="4" s="1"/>
  <c r="B2409" i="4" a="1"/>
  <c r="B2409" i="4" s="1"/>
  <c r="B2410" i="4" a="1"/>
  <c r="B2410" i="4" s="1"/>
  <c r="B2411" i="4" a="1"/>
  <c r="B2411" i="4" s="1"/>
  <c r="B2412" i="4" a="1"/>
  <c r="B2412" i="4" s="1"/>
  <c r="B2413" i="4" a="1"/>
  <c r="B2413" i="4" s="1"/>
  <c r="B2414" i="4" a="1"/>
  <c r="B2414" i="4" s="1"/>
  <c r="B2415" i="4" a="1"/>
  <c r="B2415" i="4" s="1"/>
  <c r="B2416" i="4" a="1"/>
  <c r="B2416" i="4" s="1"/>
  <c r="B2417" i="4" a="1"/>
  <c r="B2417" i="4" s="1"/>
  <c r="B2418" i="4" a="1"/>
  <c r="B2418" i="4" s="1"/>
  <c r="B2419" i="4" a="1"/>
  <c r="B2419" i="4" s="1"/>
  <c r="B2420" i="4" a="1"/>
  <c r="B2420" i="4" s="1"/>
  <c r="B2421" i="4" a="1"/>
  <c r="B2421" i="4" s="1"/>
  <c r="B2422" i="4" a="1"/>
  <c r="B2422" i="4" s="1"/>
  <c r="B2423" i="4" a="1"/>
  <c r="B2423" i="4" s="1"/>
  <c r="B2424" i="4" a="1"/>
  <c r="B2424" i="4" s="1"/>
  <c r="B2425" i="4" a="1"/>
  <c r="B2425" i="4" s="1"/>
  <c r="B2426" i="4" a="1"/>
  <c r="B2426" i="4" s="1"/>
  <c r="B2427" i="4" a="1"/>
  <c r="B2427" i="4" s="1"/>
  <c r="B2428" i="4" a="1"/>
  <c r="B2428" i="4" s="1"/>
  <c r="B2429" i="4" a="1"/>
  <c r="B2429" i="4" s="1"/>
  <c r="B2430" i="4" a="1"/>
  <c r="B2430" i="4" s="1"/>
  <c r="B2431" i="4" a="1"/>
  <c r="B2431" i="4" s="1"/>
  <c r="B2432" i="4" a="1"/>
  <c r="B2432" i="4" s="1"/>
  <c r="B2433" i="4" a="1"/>
  <c r="B2433" i="4" s="1"/>
  <c r="B2434" i="4" a="1"/>
  <c r="B2434" i="4" s="1"/>
  <c r="B2435" i="4" a="1"/>
  <c r="B2435" i="4" s="1"/>
  <c r="B2436" i="4" a="1"/>
  <c r="B2436" i="4" s="1"/>
  <c r="B2437" i="4" a="1"/>
  <c r="B2437" i="4" s="1"/>
  <c r="B2438" i="4" a="1"/>
  <c r="B2438" i="4" s="1"/>
  <c r="B2439" i="4" a="1"/>
  <c r="B2439" i="4" s="1"/>
  <c r="B2440" i="4" a="1"/>
  <c r="B2440" i="4" s="1"/>
  <c r="B2441" i="4" a="1"/>
  <c r="B2441" i="4" s="1"/>
  <c r="B2442" i="4" a="1"/>
  <c r="B2442" i="4" s="1"/>
  <c r="B2443" i="4" a="1"/>
  <c r="B2443" i="4" s="1"/>
  <c r="B2444" i="4" a="1"/>
  <c r="B2444" i="4" s="1"/>
  <c r="B2445" i="4" a="1"/>
  <c r="B2445" i="4" s="1"/>
  <c r="B2446" i="4" a="1"/>
  <c r="B2446" i="4" s="1"/>
  <c r="B2447" i="4" a="1"/>
  <c r="B2447" i="4" s="1"/>
  <c r="B2448" i="4" a="1"/>
  <c r="B2448" i="4" s="1"/>
  <c r="B2449" i="4" a="1"/>
  <c r="B2449" i="4" s="1"/>
  <c r="B2450" i="4" a="1"/>
  <c r="B2450" i="4" s="1"/>
  <c r="B2451" i="4" a="1"/>
  <c r="B2451" i="4" s="1"/>
  <c r="B2452" i="4" a="1"/>
  <c r="B2452" i="4" s="1"/>
  <c r="B2453" i="4" a="1"/>
  <c r="B2453" i="4" s="1"/>
  <c r="B2454" i="4" a="1"/>
  <c r="B2454" i="4" s="1"/>
  <c r="B2455" i="4" a="1"/>
  <c r="B2455" i="4" s="1"/>
  <c r="B2456" i="4" a="1"/>
  <c r="B2456" i="4" s="1"/>
  <c r="B2457" i="4" a="1"/>
  <c r="B2457" i="4" s="1"/>
  <c r="B2458" i="4" a="1"/>
  <c r="B2458" i="4" s="1"/>
  <c r="B2459" i="4" a="1"/>
  <c r="B2459" i="4" s="1"/>
  <c r="B2460" i="4" a="1"/>
  <c r="B2460" i="4" s="1"/>
  <c r="B2461" i="4" a="1"/>
  <c r="B2461" i="4" s="1"/>
  <c r="B2462" i="4" a="1"/>
  <c r="B2462" i="4" s="1"/>
  <c r="B2463" i="4" a="1"/>
  <c r="B2463" i="4" s="1"/>
  <c r="B2464" i="4" a="1"/>
  <c r="B2464" i="4" s="1"/>
  <c r="B2465" i="4" a="1"/>
  <c r="B2465" i="4" s="1"/>
  <c r="B2466" i="4" a="1"/>
  <c r="B2466" i="4" s="1"/>
  <c r="B2467" i="4" a="1"/>
  <c r="B2467" i="4" s="1"/>
  <c r="B2468" i="4" a="1"/>
  <c r="B2468" i="4" s="1"/>
  <c r="B2469" i="4" a="1"/>
  <c r="B2469" i="4" s="1"/>
  <c r="B2470" i="4" a="1"/>
  <c r="B2470" i="4" s="1"/>
  <c r="B2471" i="4" a="1"/>
  <c r="B2471" i="4" s="1"/>
  <c r="B2472" i="4" a="1"/>
  <c r="B2472" i="4" s="1"/>
  <c r="B2473" i="4" a="1"/>
  <c r="B2473" i="4" s="1"/>
  <c r="B2474" i="4" a="1"/>
  <c r="B2474" i="4" s="1"/>
  <c r="B2475" i="4" a="1"/>
  <c r="B2475" i="4" s="1"/>
  <c r="B2476" i="4" a="1"/>
  <c r="B2476" i="4" s="1"/>
  <c r="B2477" i="4" a="1"/>
  <c r="B2477" i="4" s="1"/>
  <c r="B2478" i="4" a="1"/>
  <c r="B2478" i="4" s="1"/>
  <c r="B2479" i="4" a="1"/>
  <c r="B2479" i="4" s="1"/>
  <c r="B2480" i="4" a="1"/>
  <c r="B2480" i="4" s="1"/>
  <c r="B2481" i="4" a="1"/>
  <c r="B2481" i="4" s="1"/>
  <c r="B2482" i="4" a="1"/>
  <c r="B2482" i="4" s="1"/>
  <c r="B2483" i="4" a="1"/>
  <c r="B2483" i="4" s="1"/>
  <c r="B2484" i="4" a="1"/>
  <c r="B2484" i="4" s="1"/>
  <c r="B2485" i="4" a="1"/>
  <c r="B2485" i="4" s="1"/>
  <c r="B2486" i="4" a="1"/>
  <c r="B2486" i="4" s="1"/>
  <c r="B2487" i="4" a="1"/>
  <c r="B2487" i="4" s="1"/>
  <c r="B2488" i="4" a="1"/>
  <c r="B2488" i="4"/>
  <c r="B2489" i="4" a="1"/>
  <c r="B2489" i="4" s="1"/>
  <c r="B2490" i="4" a="1"/>
  <c r="B2490" i="4" s="1"/>
  <c r="B2491" i="4" a="1"/>
  <c r="B2491" i="4" s="1"/>
  <c r="B2492" i="4" a="1"/>
  <c r="B2492" i="4" s="1"/>
  <c r="B2493" i="4" a="1"/>
  <c r="B2493" i="4" s="1"/>
  <c r="B2494" i="4" a="1"/>
  <c r="B2494" i="4" s="1"/>
  <c r="B2495" i="4" a="1"/>
  <c r="B2495" i="4" s="1"/>
  <c r="B2496" i="4" a="1"/>
  <c r="B2496" i="4" s="1"/>
  <c r="B2497" i="4" a="1"/>
  <c r="B2497" i="4"/>
  <c r="B2498" i="4" a="1"/>
  <c r="B2498" i="4" s="1"/>
  <c r="B2499" i="4" a="1"/>
  <c r="B2499" i="4" s="1"/>
  <c r="B2500" i="4" a="1"/>
  <c r="B2500" i="4" s="1"/>
  <c r="B2501" i="4" a="1"/>
  <c r="B2501" i="4" s="1"/>
  <c r="B2502" i="4" a="1"/>
  <c r="B2502" i="4" s="1"/>
  <c r="B2503" i="4" a="1"/>
  <c r="B2503" i="4" s="1"/>
  <c r="B2504" i="4" a="1"/>
  <c r="B2504" i="4" s="1"/>
  <c r="B2505" i="4" a="1"/>
  <c r="B2505" i="4" s="1"/>
  <c r="B2506" i="4" a="1"/>
  <c r="B2506" i="4" s="1"/>
  <c r="B2507" i="4" a="1"/>
  <c r="B2507" i="4" s="1"/>
  <c r="B2508" i="4" a="1"/>
  <c r="B2508" i="4" s="1"/>
  <c r="B2509" i="4" a="1"/>
  <c r="B2509" i="4" s="1"/>
  <c r="B2510" i="4" a="1"/>
  <c r="B2510" i="4" s="1"/>
  <c r="B2511" i="4" a="1"/>
  <c r="B2511" i="4" s="1"/>
  <c r="B2512" i="4" a="1"/>
  <c r="B2512" i="4" s="1"/>
  <c r="B2513" i="4" a="1"/>
  <c r="B2513" i="4" s="1"/>
  <c r="B2514" i="4" a="1"/>
  <c r="B2514" i="4" s="1"/>
  <c r="B2515" i="4" a="1"/>
  <c r="B2515" i="4" s="1"/>
  <c r="B2516" i="4" a="1"/>
  <c r="B2516" i="4" s="1"/>
  <c r="B2517" i="4" a="1"/>
  <c r="B2517" i="4" s="1"/>
  <c r="B2518" i="4" a="1"/>
  <c r="B2518" i="4" s="1"/>
  <c r="B2519" i="4" a="1"/>
  <c r="B2519" i="4" s="1"/>
  <c r="B2520" i="4" a="1"/>
  <c r="B2520" i="4" s="1"/>
  <c r="B2521" i="4" a="1"/>
  <c r="B2521" i="4" s="1"/>
  <c r="B2522" i="4" a="1"/>
  <c r="B2522" i="4" s="1"/>
  <c r="B2523" i="4" a="1"/>
  <c r="B2523" i="4" s="1"/>
  <c r="B2524" i="4" a="1"/>
  <c r="B2524" i="4" s="1"/>
  <c r="B2525" i="4" a="1"/>
  <c r="B2525" i="4" s="1"/>
  <c r="B2526" i="4" a="1"/>
  <c r="B2526" i="4" s="1"/>
  <c r="B2527" i="4" a="1"/>
  <c r="B2527" i="4" s="1"/>
  <c r="B2528" i="4" a="1"/>
  <c r="B2528" i="4" s="1"/>
  <c r="B2529" i="4" a="1"/>
  <c r="B2529" i="4" s="1"/>
  <c r="B2530" i="4" a="1"/>
  <c r="B2530" i="4" s="1"/>
  <c r="B2531" i="4" a="1"/>
  <c r="B2531" i="4" s="1"/>
  <c r="B2532" i="4" a="1"/>
  <c r="B2532" i="4" s="1"/>
  <c r="B2533" i="4" a="1"/>
  <c r="B2533" i="4" s="1"/>
  <c r="B2534" i="4" a="1"/>
  <c r="B2534" i="4" s="1"/>
  <c r="B2535" i="4" a="1"/>
  <c r="B2535" i="4" s="1"/>
  <c r="B2536" i="4" a="1"/>
  <c r="B2536" i="4" s="1"/>
  <c r="B2537" i="4" a="1"/>
  <c r="B2537" i="4" s="1"/>
  <c r="B2538" i="4" a="1"/>
  <c r="B2538" i="4" s="1"/>
  <c r="B2539" i="4" a="1"/>
  <c r="B2539" i="4" s="1"/>
  <c r="B2540" i="4" a="1"/>
  <c r="B2540" i="4" s="1"/>
  <c r="B2541" i="4" a="1"/>
  <c r="B2541" i="4" s="1"/>
  <c r="B2542" i="4" a="1"/>
  <c r="B2542" i="4" s="1"/>
  <c r="B2543" i="4" a="1"/>
  <c r="B2543" i="4" s="1"/>
  <c r="B2544" i="4" a="1"/>
  <c r="B2544" i="4" s="1"/>
  <c r="B2545" i="4" a="1"/>
  <c r="B2545" i="4" s="1"/>
  <c r="B2546" i="4" a="1"/>
  <c r="B2546" i="4" s="1"/>
  <c r="B2547" i="4" a="1"/>
  <c r="B2547" i="4" s="1"/>
  <c r="B2548" i="4" a="1"/>
  <c r="B2548" i="4" s="1"/>
  <c r="B2549" i="4" a="1"/>
  <c r="B2549" i="4" s="1"/>
  <c r="B2550" i="4" a="1"/>
  <c r="B2550" i="4" s="1"/>
  <c r="B2551" i="4" a="1"/>
  <c r="B2551" i="4" s="1"/>
  <c r="B2552" i="4" a="1"/>
  <c r="B2552" i="4" s="1"/>
  <c r="B2553" i="4" a="1"/>
  <c r="B2553" i="4" s="1"/>
  <c r="B2554" i="4" a="1"/>
  <c r="B2554" i="4" s="1"/>
  <c r="B2555" i="4" a="1"/>
  <c r="B2555" i="4" s="1"/>
  <c r="B2556" i="4" a="1"/>
  <c r="B2556" i="4" s="1"/>
  <c r="B2557" i="4" a="1"/>
  <c r="B2557" i="4" s="1"/>
  <c r="B2558" i="4" a="1"/>
  <c r="B2558" i="4" s="1"/>
  <c r="B2559" i="4" a="1"/>
  <c r="B2559" i="4" s="1"/>
  <c r="B2560" i="4" a="1"/>
  <c r="B2560" i="4" s="1"/>
  <c r="B2561" i="4" a="1"/>
  <c r="B2561" i="4" s="1"/>
  <c r="B2562" i="4" a="1"/>
  <c r="B2562" i="4" s="1"/>
  <c r="B2563" i="4" a="1"/>
  <c r="B2563" i="4" s="1"/>
  <c r="B2564" i="4" a="1"/>
  <c r="B2564" i="4" s="1"/>
  <c r="B2565" i="4" a="1"/>
  <c r="B2565" i="4" s="1"/>
  <c r="B2566" i="4" a="1"/>
  <c r="B2566" i="4" s="1"/>
  <c r="B2567" i="4" a="1"/>
  <c r="B2567" i="4" s="1"/>
  <c r="B2568" i="4" a="1"/>
  <c r="B2568" i="4" s="1"/>
  <c r="B2569" i="4" a="1"/>
  <c r="B2569" i="4" s="1"/>
  <c r="B2570" i="4" a="1"/>
  <c r="B2570" i="4" s="1"/>
  <c r="B2571" i="4" a="1"/>
  <c r="B2571" i="4" s="1"/>
  <c r="B2572" i="4" a="1"/>
  <c r="B2572" i="4" s="1"/>
  <c r="B2573" i="4" a="1"/>
  <c r="B2573" i="4" s="1"/>
  <c r="B2574" i="4" a="1"/>
  <c r="B2574" i="4" s="1"/>
  <c r="B2575" i="4" a="1"/>
  <c r="B2575" i="4" s="1"/>
  <c r="B2576" i="4" a="1"/>
  <c r="B2576" i="4" s="1"/>
  <c r="B2577" i="4" a="1"/>
  <c r="B2577" i="4" s="1"/>
  <c r="B2578" i="4" a="1"/>
  <c r="B2578" i="4" s="1"/>
  <c r="B2579" i="4" a="1"/>
  <c r="B2579" i="4" s="1"/>
  <c r="B2580" i="4" a="1"/>
  <c r="B2580" i="4" s="1"/>
  <c r="B2581" i="4" a="1"/>
  <c r="B2581" i="4" s="1"/>
  <c r="B2582" i="4" a="1"/>
  <c r="B2582" i="4" s="1"/>
  <c r="B2583" i="4" a="1"/>
  <c r="B2583" i="4" s="1"/>
  <c r="B2584" i="4" a="1"/>
  <c r="B2584" i="4" s="1"/>
  <c r="B2585" i="4" a="1"/>
  <c r="B2585" i="4" s="1"/>
  <c r="B2586" i="4" a="1"/>
  <c r="B2586" i="4" s="1"/>
  <c r="B2587" i="4" a="1"/>
  <c r="B2587" i="4" s="1"/>
  <c r="B2588" i="4" a="1"/>
  <c r="B2588" i="4" s="1"/>
  <c r="B2589" i="4" a="1"/>
  <c r="B2589" i="4" s="1"/>
  <c r="B2590" i="4" a="1"/>
  <c r="B2590" i="4" s="1"/>
  <c r="B2591" i="4" a="1"/>
  <c r="B2591" i="4" s="1"/>
  <c r="B2592" i="4" a="1"/>
  <c r="B2592" i="4" s="1"/>
  <c r="B2593" i="4" a="1"/>
  <c r="B2593" i="4" s="1"/>
  <c r="B2594" i="4" a="1"/>
  <c r="B2594" i="4" s="1"/>
  <c r="B2595" i="4" a="1"/>
  <c r="B2595" i="4" s="1"/>
  <c r="B2596" i="4" a="1"/>
  <c r="B2596" i="4" s="1"/>
  <c r="B2597" i="4" a="1"/>
  <c r="B2597" i="4" s="1"/>
  <c r="B2598" i="4" a="1"/>
  <c r="B2598" i="4" s="1"/>
  <c r="B2599" i="4" a="1"/>
  <c r="B2599" i="4"/>
  <c r="B2600" i="4" a="1"/>
  <c r="B2600" i="4" s="1"/>
  <c r="B2601" i="4" a="1"/>
  <c r="B2601" i="4" s="1"/>
  <c r="B2602" i="4" a="1"/>
  <c r="B2602" i="4" s="1"/>
  <c r="B2603" i="4" a="1"/>
  <c r="B2603" i="4" s="1"/>
  <c r="B2604" i="4" a="1"/>
  <c r="B2604" i="4" s="1"/>
  <c r="B2605" i="4" a="1"/>
  <c r="B2605" i="4" s="1"/>
  <c r="B2606" i="4" a="1"/>
  <c r="B2606" i="4" s="1"/>
  <c r="B2607" i="4" a="1"/>
  <c r="B2607" i="4" s="1"/>
  <c r="B2608" i="4" a="1"/>
  <c r="B2608" i="4" s="1"/>
  <c r="B2609" i="4" a="1"/>
  <c r="B2609" i="4" s="1"/>
  <c r="B2610" i="4" a="1"/>
  <c r="B2610" i="4" s="1"/>
  <c r="B2611" i="4" a="1"/>
  <c r="B2611" i="4" s="1"/>
  <c r="B2612" i="4" a="1"/>
  <c r="B2612" i="4" s="1"/>
  <c r="B2613" i="4" a="1"/>
  <c r="B2613" i="4" s="1"/>
  <c r="B2614" i="4" a="1"/>
  <c r="B2614" i="4" s="1"/>
  <c r="B2615" i="4" a="1"/>
  <c r="B2615" i="4" s="1"/>
  <c r="B2616" i="4" a="1"/>
  <c r="B2616" i="4" s="1"/>
  <c r="B2617" i="4" a="1"/>
  <c r="B2617" i="4" s="1"/>
  <c r="B2618" i="4" a="1"/>
  <c r="B2618" i="4" s="1"/>
  <c r="B2619" i="4" a="1"/>
  <c r="B2619" i="4" s="1"/>
  <c r="B2620" i="4" a="1"/>
  <c r="B2620" i="4" s="1"/>
  <c r="B2621" i="4" a="1"/>
  <c r="B2621" i="4" s="1"/>
  <c r="B2622" i="4" a="1"/>
  <c r="B2622" i="4" s="1"/>
  <c r="B2623" i="4" a="1"/>
  <c r="B2623" i="4" s="1"/>
  <c r="B2624" i="4" a="1"/>
  <c r="B2624" i="4" s="1"/>
  <c r="B2625" i="4" a="1"/>
  <c r="B2625" i="4" s="1"/>
  <c r="B2626" i="4" a="1"/>
  <c r="B2626" i="4" s="1"/>
  <c r="B2627" i="4" a="1"/>
  <c r="B2627" i="4" s="1"/>
  <c r="B2628" i="4" a="1"/>
  <c r="B2628" i="4" s="1"/>
  <c r="B2629" i="4" a="1"/>
  <c r="B2629" i="4" s="1"/>
  <c r="B2630" i="4" a="1"/>
  <c r="B2630" i="4" s="1"/>
  <c r="B2631" i="4" a="1"/>
  <c r="B2631" i="4" s="1"/>
  <c r="B2632" i="4" a="1"/>
  <c r="B2632" i="4" s="1"/>
  <c r="B2633" i="4" a="1"/>
  <c r="B2633" i="4" s="1"/>
  <c r="B2634" i="4" a="1"/>
  <c r="B2634" i="4" s="1"/>
  <c r="B2635" i="4" a="1"/>
  <c r="B2635" i="4" s="1"/>
  <c r="B2636" i="4" a="1"/>
  <c r="B2636" i="4" s="1"/>
  <c r="B2637" i="4" a="1"/>
  <c r="B2637" i="4" s="1"/>
  <c r="B2638" i="4" a="1"/>
  <c r="B2638" i="4" s="1"/>
  <c r="B2639" i="4" a="1"/>
  <c r="B2639" i="4" s="1"/>
  <c r="B2640" i="4" a="1"/>
  <c r="B2640" i="4" s="1"/>
  <c r="B2641" i="4" a="1"/>
  <c r="B2641" i="4" s="1"/>
  <c r="B2642" i="4" a="1"/>
  <c r="B2642" i="4" s="1"/>
  <c r="B2643" i="4" a="1"/>
  <c r="B2643" i="4" s="1"/>
  <c r="B2644" i="4" a="1"/>
  <c r="B2644" i="4" s="1"/>
  <c r="B2645" i="4" a="1"/>
  <c r="B2645" i="4" s="1"/>
  <c r="B2646" i="4" a="1"/>
  <c r="B2646" i="4" s="1"/>
  <c r="B2647" i="4" a="1"/>
  <c r="B2647" i="4" s="1"/>
  <c r="B2648" i="4" a="1"/>
  <c r="B2648" i="4" s="1"/>
  <c r="B2649" i="4" a="1"/>
  <c r="B2649" i="4" s="1"/>
  <c r="B2650" i="4" a="1"/>
  <c r="B2650" i="4" s="1"/>
  <c r="B2651" i="4" a="1"/>
  <c r="B2651" i="4" s="1"/>
  <c r="B2652" i="4" a="1"/>
  <c r="B2652" i="4" s="1"/>
  <c r="B2653" i="4" a="1"/>
  <c r="B2653" i="4" s="1"/>
  <c r="B2654" i="4" a="1"/>
  <c r="B2654" i="4" s="1"/>
  <c r="B2655" i="4" a="1"/>
  <c r="B2655" i="4" s="1"/>
  <c r="B2656" i="4" a="1"/>
  <c r="B2656" i="4" s="1"/>
  <c r="B2657" i="4" a="1"/>
  <c r="B2657" i="4" s="1"/>
  <c r="B2658" i="4" a="1"/>
  <c r="B2658" i="4" s="1"/>
  <c r="B2659" i="4" a="1"/>
  <c r="B2659" i="4" s="1"/>
  <c r="B2660" i="4" a="1"/>
  <c r="B2660" i="4" s="1"/>
  <c r="B2661" i="4" a="1"/>
  <c r="B2661" i="4" s="1"/>
  <c r="B2662" i="4" a="1"/>
  <c r="B2662" i="4" s="1"/>
  <c r="B2663" i="4" a="1"/>
  <c r="B2663" i="4" s="1"/>
  <c r="B2664" i="4" a="1"/>
  <c r="B2664" i="4" s="1"/>
  <c r="B2665" i="4" a="1"/>
  <c r="B2665" i="4" s="1"/>
  <c r="B2666" i="4" a="1"/>
  <c r="B2666" i="4" s="1"/>
  <c r="B2667" i="4" a="1"/>
  <c r="B2667" i="4" s="1"/>
  <c r="B2668" i="4" a="1"/>
  <c r="B2668" i="4" s="1"/>
  <c r="B2669" i="4" a="1"/>
  <c r="B2669" i="4" s="1"/>
  <c r="B2670" i="4" a="1"/>
  <c r="B2670" i="4" s="1"/>
  <c r="B2671" i="4" a="1"/>
  <c r="B2671" i="4" s="1"/>
  <c r="B2672" i="4" a="1"/>
  <c r="B2672" i="4" s="1"/>
  <c r="B2673" i="4" a="1"/>
  <c r="B2673" i="4" s="1"/>
  <c r="B2674" i="4" a="1"/>
  <c r="B2674" i="4" s="1"/>
  <c r="B2675" i="4" a="1"/>
  <c r="B2675" i="4" s="1"/>
  <c r="B2676" i="4" a="1"/>
  <c r="B2676" i="4" s="1"/>
  <c r="B2677" i="4" a="1"/>
  <c r="B2677" i="4" s="1"/>
  <c r="B2678" i="4" a="1"/>
  <c r="B2678" i="4" s="1"/>
  <c r="B2679" i="4" a="1"/>
  <c r="B2679" i="4" s="1"/>
  <c r="B2680" i="4" a="1"/>
  <c r="B2680" i="4" s="1"/>
  <c r="B2681" i="4" a="1"/>
  <c r="B2681" i="4" s="1"/>
  <c r="B2682" i="4" a="1"/>
  <c r="B2682" i="4" s="1"/>
  <c r="B2683" i="4" a="1"/>
  <c r="B2683" i="4" s="1"/>
  <c r="B2684" i="4" a="1"/>
  <c r="B2684" i="4" s="1"/>
  <c r="B2685" i="4" a="1"/>
  <c r="B2685" i="4" s="1"/>
  <c r="B2686" i="4" a="1"/>
  <c r="B2686" i="4" s="1"/>
  <c r="B2687" i="4" a="1"/>
  <c r="B2687" i="4" s="1"/>
  <c r="B2688" i="4" a="1"/>
  <c r="B2688" i="4" s="1"/>
  <c r="B2689" i="4" a="1"/>
  <c r="B2689" i="4" s="1"/>
  <c r="B2690" i="4" a="1"/>
  <c r="B2690" i="4" s="1"/>
  <c r="B2691" i="4" a="1"/>
  <c r="B2691" i="4" s="1"/>
  <c r="B2692" i="4" a="1"/>
  <c r="B2692" i="4" s="1"/>
  <c r="B2693" i="4" a="1"/>
  <c r="B2693" i="4" s="1"/>
  <c r="B2694" i="4" a="1"/>
  <c r="B2694" i="4" s="1"/>
  <c r="B2695" i="4" a="1"/>
  <c r="B2695" i="4" s="1"/>
  <c r="B2696" i="4" a="1"/>
  <c r="B2696" i="4" s="1"/>
  <c r="B2697" i="4" a="1"/>
  <c r="B2697" i="4" s="1"/>
  <c r="B2698" i="4" a="1"/>
  <c r="B2698" i="4" s="1"/>
  <c r="B2699" i="4" a="1"/>
  <c r="B2699" i="4" s="1"/>
  <c r="B2700" i="4" a="1"/>
  <c r="B2700" i="4" s="1"/>
  <c r="B2701" i="4" a="1"/>
  <c r="B2701" i="4" s="1"/>
  <c r="B2702" i="4" a="1"/>
  <c r="B2702" i="4" s="1"/>
  <c r="B2703" i="4" a="1"/>
  <c r="B2703" i="4" s="1"/>
  <c r="B2704" i="4" a="1"/>
  <c r="B2704" i="4" s="1"/>
  <c r="B2705" i="4" a="1"/>
  <c r="B2705" i="4" s="1"/>
  <c r="B2706" i="4" a="1"/>
  <c r="B2706" i="4" s="1"/>
  <c r="B2707" i="4" a="1"/>
  <c r="B2707" i="4" s="1"/>
  <c r="B2708" i="4" a="1"/>
  <c r="B2708" i="4" s="1"/>
  <c r="B2709" i="4" a="1"/>
  <c r="B2709" i="4" s="1"/>
  <c r="B2710" i="4" a="1"/>
  <c r="B2710" i="4" s="1"/>
  <c r="B2711" i="4" a="1"/>
  <c r="B2711" i="4" s="1"/>
  <c r="B2712" i="4" a="1"/>
  <c r="B2712" i="4" s="1"/>
  <c r="B2713" i="4" a="1"/>
  <c r="B2713" i="4" s="1"/>
  <c r="B2714" i="4" a="1"/>
  <c r="B2714" i="4" s="1"/>
  <c r="B2715" i="4" a="1"/>
  <c r="B2715" i="4" s="1"/>
  <c r="B2716" i="4" a="1"/>
  <c r="B2716" i="4" s="1"/>
  <c r="B2717" i="4" a="1"/>
  <c r="B2717" i="4" s="1"/>
  <c r="B2718" i="4" a="1"/>
  <c r="B2718" i="4" s="1"/>
  <c r="B2719" i="4" a="1"/>
  <c r="B2719" i="4" s="1"/>
  <c r="B2720" i="4" a="1"/>
  <c r="B2720" i="4" s="1"/>
  <c r="B2721" i="4" a="1"/>
  <c r="B2721" i="4" s="1"/>
  <c r="B2722" i="4" a="1"/>
  <c r="B2722" i="4" s="1"/>
  <c r="B2723" i="4" a="1"/>
  <c r="B2723" i="4" s="1"/>
  <c r="B2724" i="4" a="1"/>
  <c r="B2724" i="4" s="1"/>
  <c r="B2725" i="4" a="1"/>
  <c r="B2725" i="4" s="1"/>
  <c r="B2726" i="4" a="1"/>
  <c r="B2726" i="4" s="1"/>
  <c r="B2727" i="4" a="1"/>
  <c r="B2727" i="4" s="1"/>
  <c r="B2728" i="4" a="1"/>
  <c r="B2728" i="4" s="1"/>
  <c r="B2729" i="4" a="1"/>
  <c r="B2729" i="4" s="1"/>
  <c r="B2730" i="4" a="1"/>
  <c r="B2730" i="4" s="1"/>
  <c r="B2731" i="4" a="1"/>
  <c r="B2731" i="4" s="1"/>
  <c r="B2732" i="4" a="1"/>
  <c r="B2732" i="4" s="1"/>
  <c r="B2733" i="4" a="1"/>
  <c r="B2733" i="4" s="1"/>
  <c r="B2734" i="4" a="1"/>
  <c r="B2734" i="4" s="1"/>
  <c r="B2735" i="4" a="1"/>
  <c r="B2735" i="4" s="1"/>
  <c r="B2736" i="4" a="1"/>
  <c r="B2736" i="4" s="1"/>
  <c r="B2737" i="4" a="1"/>
  <c r="B2737" i="4" s="1"/>
  <c r="B2738" i="4" a="1"/>
  <c r="B2738" i="4" s="1"/>
  <c r="B2739" i="4" a="1"/>
  <c r="B2739" i="4" s="1"/>
  <c r="B2740" i="4" a="1"/>
  <c r="B2740" i="4" s="1"/>
  <c r="B2741" i="4" a="1"/>
  <c r="B2741" i="4" s="1"/>
  <c r="B2742" i="4" a="1"/>
  <c r="B2742" i="4" s="1"/>
  <c r="B2743" i="4" a="1"/>
  <c r="B2743" i="4" s="1"/>
  <c r="B2744" i="4" a="1"/>
  <c r="B2744" i="4" s="1"/>
  <c r="B2745" i="4" a="1"/>
  <c r="B2745" i="4" s="1"/>
  <c r="B2746" i="4" a="1"/>
  <c r="B2746" i="4" s="1"/>
  <c r="B2747" i="4" a="1"/>
  <c r="B2747" i="4" s="1"/>
  <c r="B2748" i="4" a="1"/>
  <c r="B2748" i="4" s="1"/>
  <c r="B2749" i="4" a="1"/>
  <c r="B2749" i="4" s="1"/>
  <c r="B2750" i="4" a="1"/>
  <c r="B2750" i="4" s="1"/>
  <c r="B2751" i="4" a="1"/>
  <c r="B2751" i="4" s="1"/>
  <c r="B2752" i="4" a="1"/>
  <c r="B2752" i="4" s="1"/>
  <c r="B2753" i="4" a="1"/>
  <c r="B2753" i="4" s="1"/>
  <c r="B2754" i="4" a="1"/>
  <c r="B2754" i="4" s="1"/>
  <c r="B2755" i="4" a="1"/>
  <c r="B2755" i="4" s="1"/>
  <c r="B2756" i="4" a="1"/>
  <c r="B2756" i="4" s="1"/>
  <c r="B2757" i="4" a="1"/>
  <c r="B2757" i="4" s="1"/>
  <c r="B2758" i="4" a="1"/>
  <c r="B2758" i="4" s="1"/>
  <c r="B2759" i="4" a="1"/>
  <c r="B2759" i="4" s="1"/>
  <c r="B2760" i="4" a="1"/>
  <c r="B2760" i="4" s="1"/>
  <c r="B2761" i="4" a="1"/>
  <c r="B2761" i="4"/>
  <c r="B2762" i="4" a="1"/>
  <c r="B2762" i="4" s="1"/>
  <c r="B2763" i="4" a="1"/>
  <c r="B2763" i="4" s="1"/>
  <c r="B2764" i="4" a="1"/>
  <c r="B2764" i="4" s="1"/>
  <c r="B2765" i="4" a="1"/>
  <c r="B2765" i="4" s="1"/>
  <c r="B2766" i="4" a="1"/>
  <c r="B2766" i="4" s="1"/>
  <c r="B2767" i="4" a="1"/>
  <c r="B2767" i="4" s="1"/>
  <c r="B2768" i="4" a="1"/>
  <c r="B2768" i="4" s="1"/>
  <c r="B2769" i="4" a="1"/>
  <c r="B2769" i="4" s="1"/>
  <c r="B2770" i="4" a="1"/>
  <c r="B2770" i="4" s="1"/>
  <c r="B2771" i="4" a="1"/>
  <c r="B2771" i="4" s="1"/>
  <c r="B2" i="4" a="1"/>
  <c r="B2" i="4" s="1"/>
  <c r="C2113" i="4"/>
  <c r="C2098" i="4"/>
  <c r="C2097" i="4"/>
  <c r="C2095" i="4"/>
  <c r="C2092" i="4"/>
  <c r="C2091" i="4"/>
  <c r="C1951" i="4"/>
  <c r="C1936" i="4"/>
  <c r="C1935" i="4"/>
  <c r="C1933" i="4"/>
  <c r="C1930" i="4"/>
  <c r="C1929" i="4"/>
  <c r="C1789" i="4"/>
  <c r="C1774" i="4"/>
  <c r="C1773" i="4"/>
  <c r="C1771" i="4"/>
  <c r="C1768" i="4"/>
  <c r="C1767" i="4"/>
  <c r="C1628" i="4"/>
  <c r="C1613" i="4"/>
  <c r="C1612" i="4"/>
  <c r="C1610" i="4"/>
  <c r="C1607" i="4"/>
  <c r="C1606" i="4"/>
  <c r="C1438" i="4"/>
  <c r="C1310" i="4"/>
  <c r="C1309" i="4"/>
  <c r="C1285" i="4"/>
  <c r="C1282" i="4"/>
  <c r="C1281" i="4"/>
  <c r="C1279" i="4"/>
  <c r="C1278" i="4"/>
  <c r="G2113" i="3"/>
  <c r="G2098" i="3"/>
  <c r="G2097" i="3"/>
  <c r="G2095" i="3"/>
  <c r="G2092" i="3"/>
  <c r="G2091" i="3"/>
  <c r="G1951" i="3"/>
  <c r="G1936" i="3"/>
  <c r="G1935" i="3"/>
  <c r="G1933" i="3"/>
  <c r="G1930" i="3"/>
  <c r="G1929" i="3"/>
  <c r="G1789" i="3"/>
  <c r="G1774" i="3"/>
  <c r="G1773" i="3"/>
  <c r="G1771" i="3"/>
  <c r="G1768" i="3"/>
  <c r="G1767" i="3"/>
  <c r="G1628" i="3"/>
  <c r="G1613" i="3"/>
  <c r="G1612" i="3"/>
  <c r="G1610" i="3"/>
  <c r="G1607" i="3"/>
  <c r="G1606" i="3"/>
  <c r="G1438" i="3"/>
  <c r="G1310" i="3"/>
  <c r="G1309" i="3"/>
  <c r="G1285" i="3"/>
  <c r="G1282" i="3"/>
  <c r="G1281" i="3"/>
  <c r="G1279" i="3"/>
  <c r="G127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小川真澄</author>
  </authors>
  <commentList>
    <comment ref="F635" authorId="0" shapeId="0" xr:uid="{20AE01EB-28A3-4964-8F4D-C7D60F12E090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636" authorId="0" shapeId="0" xr:uid="{42FEA7C4-69A9-4CDD-9F82-A54918F4873A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637" authorId="0" shapeId="0" xr:uid="{2A054157-F045-4EC2-AB10-317AD2060CD9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644" authorId="0" shapeId="0" xr:uid="{96AE7865-C555-42B5-A39C-14ED9AFBDDD9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672" authorId="0" shapeId="0" xr:uid="{17A48930-8FFE-415E-9417-1EC1143598CA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673" authorId="0" shapeId="0" xr:uid="{48A7A06E-8015-4DFA-8542-C1BF514E4581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674" authorId="0" shapeId="0" xr:uid="{886DD2EB-A7BE-447C-9CF2-929775073397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687" authorId="0" shapeId="0" xr:uid="{A12FDE77-7C07-45A4-B6F7-ECE4324AB06F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766" authorId="0" shapeId="0" xr:uid="{B81E58EB-254D-47A1-8847-1B77901A29F5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767" authorId="0" shapeId="0" xr:uid="{E4AD98BC-5E3E-4579-B785-202CC722682F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768" authorId="0" shapeId="0" xr:uid="{31AA0EA7-B820-4DF9-ADB9-87872CB2B1F9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776" authorId="0" shapeId="0" xr:uid="{A974A857-C59A-4219-9A6E-1A42E3E247D9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807" authorId="0" shapeId="0" xr:uid="{542EE5ED-2A55-408F-AF14-B2BF2A66372A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808" authorId="0" shapeId="0" xr:uid="{9EAB41D9-E0C1-4830-8C10-54EC0BFACF28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809" authorId="0" shapeId="0" xr:uid="{5F8F1508-8754-413B-802E-F2C6B6A2F533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830" authorId="0" shapeId="0" xr:uid="{F5736D96-DFF3-499D-B4C8-F190ED2DBE51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910" authorId="0" shapeId="0" xr:uid="{D4E1725F-CC84-41D6-B014-5DBFDA33A1DE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911" authorId="0" shapeId="0" xr:uid="{3D7593AF-D914-447B-BBF9-48FB703203AF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912" authorId="0" shapeId="0" xr:uid="{962D2BE7-19C0-4194-9AD7-3E479636E76C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920" authorId="0" shapeId="0" xr:uid="{B83F3DDE-EB40-4914-BD42-CBECF9817B8D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951" authorId="0" shapeId="0" xr:uid="{B6D05B3F-B627-48FD-B27B-78E1EFE086A3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952" authorId="0" shapeId="0" xr:uid="{5DE3CAAD-FB01-4B5A-AF01-A5F45CC34524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953" authorId="0" shapeId="0" xr:uid="{83327541-CFB7-4FE1-A958-8A75152C5203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974" authorId="0" shapeId="0" xr:uid="{6B51CACF-8A00-46C7-840A-2BA345F2D3F5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1010" authorId="0" shapeId="0" xr:uid="{D6EEE198-F9DF-4EE9-8D36-48F046F6055C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1011" authorId="0" shapeId="0" xr:uid="{7BC195C5-D8FD-4FDF-A202-E012B3556618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1012" authorId="0" shapeId="0" xr:uid="{808202D7-9124-4731-B1E5-8AD8A8D72B42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1020" authorId="0" shapeId="0" xr:uid="{F0B08F01-245C-49EC-B97F-1864426005DC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1048" authorId="0" shapeId="0" xr:uid="{42FC0C34-A4C4-4FBE-99FE-EE300E168EA3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1049" authorId="0" shapeId="0" xr:uid="{8CD21C59-ECC9-42A7-BEEF-AEAAE821E499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1050" authorId="0" shapeId="0" xr:uid="{02D2481F-FA9A-4475-B4EC-4BA0586D6588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1063" authorId="0" shapeId="0" xr:uid="{058CF932-0072-4664-A05C-70E8DBC2B71E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1095" authorId="0" shapeId="0" xr:uid="{C74AAD14-7CEF-4457-A0BD-36BE80BC4FC0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1096" authorId="0" shapeId="0" xr:uid="{03001FCA-6C14-466D-9291-A7A449B5C1CF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1097" authorId="0" shapeId="0" xr:uid="{D164DDF8-5337-420F-8331-AF86DDBB2D94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1115" authorId="0" shapeId="0" xr:uid="{101EDE7B-0DDC-4BF7-814B-2AFF544A9DEE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2216" authorId="0" shapeId="0" xr:uid="{0F5F8141-3616-4624-9F92-1FCBBE3E25A4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2217" authorId="0" shapeId="0" xr:uid="{5A730F11-15A0-48B1-8DB8-E0A126387D13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2218" authorId="0" shapeId="0" xr:uid="{0102387E-67A7-4830-BDE9-71AF01F1E0AA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2233" authorId="0" shapeId="0" xr:uid="{1FE6EA69-AAD8-4DDE-B67E-DFBB3486CF9E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2271" authorId="0" shapeId="0" xr:uid="{99022866-63E6-40CE-96ED-0EB8B6FD1A72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2272" authorId="0" shapeId="0" xr:uid="{F7FAADB6-E73A-448B-BDF1-7EF094ED69ED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2273" authorId="0" shapeId="0" xr:uid="{1F930262-DECC-4B84-9CEF-BC02F58C0C63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2295" authorId="0" shapeId="0" xr:uid="{4EA9E014-4FD3-45DD-835E-68AFC0C0AFA9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2389" authorId="0" shapeId="0" xr:uid="{2C493AC0-A190-4F3C-9629-C159564DB25D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2390" authorId="0" shapeId="0" xr:uid="{9D299414-5D21-4FF0-97FE-1B4A069899A9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2391" authorId="0" shapeId="0" xr:uid="{5D970CD0-59FC-4799-96B7-AABE9A6DA65C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2406" authorId="0" shapeId="0" xr:uid="{C6BE563B-F762-4F81-B985-18193E3705A0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2444" authorId="0" shapeId="0" xr:uid="{5AFB025E-6FAE-4EA6-B5C8-AD18712A87EE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2445" authorId="0" shapeId="0" xr:uid="{C14A82A0-E262-4C00-9239-ECD8F8CD1EAB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2446" authorId="0" shapeId="0" xr:uid="{0AE9B88B-8FCD-48F1-8F10-EA087ED9CDB5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2468" authorId="0" shapeId="0" xr:uid="{00608797-DAF6-45A3-814C-A089A6F82CB0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2563" authorId="0" shapeId="0" xr:uid="{1D116FEE-4F20-4FB0-9EFD-6EBFB7BB50AD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2564" authorId="0" shapeId="0" xr:uid="{2AD6523D-000E-4BB5-8356-570853D3F354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2565" authorId="0" shapeId="0" xr:uid="{D3A3E8A4-1520-4C45-B09E-84C33B3BC162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2581" authorId="0" shapeId="0" xr:uid="{E0ADDAB8-A62E-448B-A601-509FC0C8E74D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2621" authorId="0" shapeId="0" xr:uid="{0AF33D9A-638E-47FF-A8FE-65156BEE0619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2622" authorId="0" shapeId="0" xr:uid="{790AC534-D888-408F-9B07-31B9BD1ACE9B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2623" authorId="0" shapeId="0" xr:uid="{493F4119-54C0-44A5-BD9F-F2FA45F918CA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  <comment ref="F2646" authorId="0" shapeId="0" xr:uid="{BF52037A-A8CB-42CA-A08C-4E256D648D5D}">
      <text>
        <r>
          <rPr>
            <b/>
            <sz val="9"/>
            <color indexed="81"/>
            <rFont val="ＭＳ Ｐゴシック"/>
            <family val="3"/>
            <charset val="128"/>
          </rPr>
          <t>This life is based on 1 scan document / 5 sheets prints.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<sst xmlns="http://schemas.openxmlformats.org/spreadsheetml/2006/main" count="27098" uniqueCount="1882">
  <si>
    <t>型号</t>
    <rPh sb="0" eb="1">
      <t>カタ</t>
    </rPh>
    <rPh sb="1" eb="2">
      <t>ゴウ</t>
    </rPh>
    <phoneticPr fontId="4"/>
  </si>
  <si>
    <t>e-STUDIO2802A/AM/AF, 2822AM</t>
    <phoneticPr fontId="4"/>
  </si>
  <si>
    <t>e-STUDIO2006/2306/2506/2007/2307/2507</t>
  </si>
  <si>
    <r>
      <t>e-STUDIO2303A/2309A, 2323AM</t>
    </r>
    <r>
      <rPr>
        <sz val="9"/>
        <color rgb="FFFF0000"/>
        <rFont val="微軟正黑體"/>
        <family val="2"/>
        <charset val="136"/>
      </rPr>
      <t>/AMS/AMW</t>
    </r>
    <phoneticPr fontId="4"/>
  </si>
  <si>
    <t>e-STUDIO2523A/2523AD</t>
  </si>
  <si>
    <r>
      <t>e-STUDIO2809A, 2823AM/2829A</t>
    </r>
    <r>
      <rPr>
        <sz val="9"/>
        <color rgb="FFFF0000"/>
        <rFont val="微軟正黑體"/>
        <family val="2"/>
        <charset val="136"/>
      </rPr>
      <t>/2823AMW</t>
    </r>
    <phoneticPr fontId="4"/>
  </si>
  <si>
    <t>e-STUDIO2508A/2518A/2618A</t>
    <phoneticPr fontId="4"/>
  </si>
  <si>
    <t>e-STUDIO2528A</t>
  </si>
  <si>
    <t>e-STUDIO3008A/3018A(AG)/3118A(AG)</t>
    <phoneticPr fontId="4"/>
  </si>
  <si>
    <t>e-STUDIO3028A</t>
  </si>
  <si>
    <t>e-STUDIO3508A/3518A(AG)/3618A(AG)</t>
    <phoneticPr fontId="4"/>
  </si>
  <si>
    <t>e-STUDIO3528A/AG</t>
    <phoneticPr fontId="4"/>
  </si>
  <si>
    <t>e-STUDIO4508A/4518A(AG)/4618A(AG)</t>
    <phoneticPr fontId="4"/>
  </si>
  <si>
    <t>e-STUDIO4528A(AG)</t>
    <phoneticPr fontId="4"/>
  </si>
  <si>
    <t>e-STUDIO5008A/5018A/5118A</t>
    <phoneticPr fontId="4"/>
  </si>
  <si>
    <t>e-STUDIO5508A/5518A/5618A</t>
    <phoneticPr fontId="4"/>
  </si>
  <si>
    <t>e-STUDIO5528A</t>
  </si>
  <si>
    <r>
      <t>e-STUDIO6508A/6518A/6618A/</t>
    </r>
    <r>
      <rPr>
        <sz val="9"/>
        <color rgb="FFFF0000"/>
        <rFont val="微軟正黑體"/>
        <family val="2"/>
        <charset val="136"/>
      </rPr>
      <t>6529A</t>
    </r>
    <phoneticPr fontId="4"/>
  </si>
  <si>
    <t>e-STUDIO6528A</t>
  </si>
  <si>
    <t>e-STUDIO2050C/2051C</t>
    <phoneticPr fontId="4"/>
  </si>
  <si>
    <t>e-STUDIO2000AC/2010AC/2110AC</t>
    <phoneticPr fontId="4"/>
  </si>
  <si>
    <t>e-STUDIO2020AC</t>
  </si>
  <si>
    <t>e-STUDIO2500AC/2510AC/2610AC</t>
    <phoneticPr fontId="4"/>
  </si>
  <si>
    <t>e-STUDIO2520AC</t>
  </si>
  <si>
    <t>e-STUDIO2505AC/2515AC/2615AC</t>
    <phoneticPr fontId="4"/>
  </si>
  <si>
    <t>e-STUDIO2525AC</t>
  </si>
  <si>
    <t>e-STUDIO3005AC/3015AC/3115AC</t>
    <phoneticPr fontId="4"/>
  </si>
  <si>
    <t>e-STUDIO3025AC</t>
  </si>
  <si>
    <t>e-STUDIO3505AC/3515AC/3615AC</t>
    <phoneticPr fontId="4"/>
  </si>
  <si>
    <t>e-STUDIO3525AC/ACG</t>
    <phoneticPr fontId="4"/>
  </si>
  <si>
    <t>e-STUDIO4505AC/4515AC/4615AC</t>
    <phoneticPr fontId="4"/>
  </si>
  <si>
    <t>e-STUDIO4525AC/ACG</t>
    <phoneticPr fontId="4"/>
  </si>
  <si>
    <t>e-STUDIO5005AC/5015AC/5115AC</t>
    <phoneticPr fontId="4"/>
  </si>
  <si>
    <r>
      <t>e-STUDIO5506AC/5516AC/5616AC/</t>
    </r>
    <r>
      <rPr>
        <sz val="9"/>
        <color rgb="FFFF0000"/>
        <rFont val="微軟正黑體"/>
        <family val="2"/>
        <charset val="136"/>
      </rPr>
      <t>6526AC</t>
    </r>
    <phoneticPr fontId="4"/>
  </si>
  <si>
    <t>e-STUDIO5525AC/ACG</t>
    <phoneticPr fontId="4"/>
  </si>
  <si>
    <r>
      <t>e-STUDIO6506AC/6516AC/6616AC//</t>
    </r>
    <r>
      <rPr>
        <sz val="9"/>
        <color rgb="FFFF0000"/>
        <rFont val="微軟正黑體"/>
        <family val="2"/>
        <charset val="136"/>
      </rPr>
      <t>6527AC</t>
    </r>
    <phoneticPr fontId="4"/>
  </si>
  <si>
    <t>e-STUDIO6525AC/ACG</t>
    <phoneticPr fontId="4"/>
  </si>
  <si>
    <t>2000AC/2010AC/2110AC</t>
  </si>
  <si>
    <t>2500AC/2510AC/2610AC</t>
  </si>
  <si>
    <t>2505AC/2515AC/2615AC</t>
  </si>
  <si>
    <t>2508A/2518A/2618A</t>
  </si>
  <si>
    <t>2520AC</t>
  </si>
  <si>
    <t>2809A, 2823AM/2829A/2823AMW</t>
  </si>
  <si>
    <t>3008A/3018A(AG)/3118A(AG)</t>
  </si>
  <si>
    <t>3025AC</t>
  </si>
  <si>
    <t>3028A</t>
  </si>
  <si>
    <t>3505AC/3515AC/3615AC</t>
  </si>
  <si>
    <t>3508A/3518A(AG)/3618A(AG)</t>
  </si>
  <si>
    <t>3525AC/ACG</t>
  </si>
  <si>
    <t>3528A/AG</t>
  </si>
  <si>
    <t>4505AC/4515AC/4615AC</t>
  </si>
  <si>
    <t>4508A/4518A(AG)/4618A(AG)</t>
  </si>
  <si>
    <t>4525AC/ACG</t>
  </si>
  <si>
    <t>4528A(AG)</t>
  </si>
  <si>
    <t>5005AC/5015AC/5115AC</t>
  </si>
  <si>
    <t>5008A/5018A/5118A</t>
  </si>
  <si>
    <t>5506AC/5516AC/5616AC/6526AC</t>
  </si>
  <si>
    <t>5508A/5518A/5618A</t>
  </si>
  <si>
    <t>6506AC/6516AC/6616AC//6527AC</t>
  </si>
  <si>
    <t>6508A/6518A/6618A/6529A</t>
  </si>
  <si>
    <t>6525AC/ACG</t>
  </si>
  <si>
    <t>6528A</t>
  </si>
  <si>
    <t>No.</t>
    <phoneticPr fontId="4"/>
  </si>
  <si>
    <t>部品号</t>
  </si>
  <si>
    <t>部品名称</t>
  </si>
  <si>
    <t>寿命
(x1000印次)
(黑白/全色)</t>
    <phoneticPr fontId="4"/>
  </si>
  <si>
    <t>内容</t>
    <rPh sb="0" eb="2">
      <t>ナイヨウ</t>
    </rPh>
    <phoneticPr fontId="4"/>
  </si>
  <si>
    <t>数量</t>
    <rPh sb="0" eb="2">
      <t>スウリョウ</t>
    </rPh>
    <phoneticPr fontId="4"/>
  </si>
  <si>
    <t>备注</t>
  </si>
  <si>
    <t>6LJ83358000</t>
  </si>
  <si>
    <t>OD-2505</t>
  </si>
  <si>
    <t>滾筒</t>
  </si>
  <si>
    <t>for all</t>
    <phoneticPr fontId="4"/>
  </si>
  <si>
    <t>6LJ83445000</t>
  </si>
  <si>
    <t>D-2505</t>
  </si>
  <si>
    <t>顯像鐵粉</t>
  </si>
  <si>
    <t>6LA27845000</t>
  </si>
  <si>
    <t>BL-2320D</t>
  </si>
  <si>
    <t>滾筒刮片</t>
  </si>
  <si>
    <t>6LJ83407000</t>
  </si>
  <si>
    <t>CR-2505-TR</t>
  </si>
  <si>
    <t>轉寫滾軸</t>
  </si>
  <si>
    <t>6LJ78116000</t>
  </si>
  <si>
    <t>HR-2505-U</t>
  </si>
  <si>
    <t>for Machine Refreshing</t>
    <phoneticPr fontId="4"/>
  </si>
  <si>
    <t>6LJ83406000</t>
  </si>
  <si>
    <t>HR-2505-L</t>
  </si>
  <si>
    <t xml:space="preserve">下熱滾軸 </t>
  </si>
  <si>
    <t>6LE58405000</t>
  </si>
  <si>
    <t>SCRAPER-282</t>
  </si>
  <si>
    <t>定著分離爪</t>
  </si>
  <si>
    <t>6LJ78009000</t>
  </si>
  <si>
    <t>BUSH-FUS-HR-H24X</t>
  </si>
  <si>
    <t>6LA79618000</t>
  </si>
  <si>
    <t>SCRAPER-371</t>
  </si>
  <si>
    <t>滾筒分離爪</t>
  </si>
  <si>
    <t>6LJ76609000</t>
  </si>
  <si>
    <t>SHEET-BLADE-REC-H24X_N</t>
  </si>
  <si>
    <t>回收刮片</t>
  </si>
  <si>
    <t>6LJ80213000</t>
  </si>
  <si>
    <t>FILTER-OZONE-H24X</t>
  </si>
  <si>
    <t>臭氧過濾棉</t>
  </si>
  <si>
    <t>6LJ78626000</t>
  </si>
  <si>
    <t>CH-M-H24X-NEW</t>
  </si>
  <si>
    <t xml:space="preserve">放電座針狀放電線 </t>
  </si>
  <si>
    <t>6LJ78604000</t>
  </si>
  <si>
    <t>GRID-CH-M-H24X</t>
  </si>
  <si>
    <t>柵極網</t>
  </si>
  <si>
    <t>6LJ75249000</t>
  </si>
  <si>
    <t>ASYS-ROL-F32</t>
  </si>
  <si>
    <t>紙匣用送紙滾軸</t>
  </si>
  <si>
    <t>Drawer</t>
    <phoneticPr fontId="4"/>
  </si>
  <si>
    <t>6LJ75285000</t>
  </si>
  <si>
    <t>ASYS-PAD-CST-H394-2</t>
  </si>
  <si>
    <t>分頁片组件</t>
  </si>
  <si>
    <t>手送台送纸器用送紙滾軸</t>
  </si>
  <si>
    <t>SFB</t>
    <phoneticPr fontId="4"/>
  </si>
  <si>
    <t>6LJ74927000</t>
  </si>
  <si>
    <t>ASYS-PAD-SFB-H24X</t>
  </si>
  <si>
    <t>手送台送纸器用分頁片</t>
  </si>
  <si>
    <t>6LJ83556000</t>
  </si>
  <si>
    <t>DEV-KIT-2505-NEW</t>
  </si>
  <si>
    <t>顯像保養套件</t>
  </si>
  <si>
    <t>-</t>
    <phoneticPr fontId="4"/>
  </si>
  <si>
    <t>6LJ78114000</t>
  </si>
  <si>
    <t>FR_R-KIT-2505-NEW</t>
  </si>
  <si>
    <t>保養更新套件</t>
  </si>
  <si>
    <t>6LJ76605000</t>
  </si>
  <si>
    <t>DEV-UNIT-2505</t>
  </si>
  <si>
    <t>顯像組</t>
  </si>
  <si>
    <t>6LJ75530000</t>
  </si>
  <si>
    <t>CLN-DRUM-2505</t>
  </si>
  <si>
    <t>滾筒清潔組</t>
  </si>
  <si>
    <t>6LJ78627000</t>
  </si>
  <si>
    <t>MAIN-CH-2505-N</t>
  </si>
  <si>
    <t>放電座组件</t>
  </si>
  <si>
    <t>6LJ78111000</t>
  </si>
  <si>
    <t>FUSER-2505-230</t>
  </si>
  <si>
    <t>定著組（230V）</t>
  </si>
  <si>
    <t>6LJ84278000</t>
  </si>
  <si>
    <t>D-2309</t>
  </si>
  <si>
    <t>新機鐵粉盒</t>
  </si>
  <si>
    <t>Co-packed with the initial machine (New)</t>
    <phoneticPr fontId="4"/>
  </si>
  <si>
    <t>6LJ78088000</t>
  </si>
  <si>
    <t>HR-2809-L</t>
  </si>
  <si>
    <t>for Machine Refreshing (eS2802, 2822, 2303A and  2323A Series)</t>
    <phoneticPr fontId="4"/>
  </si>
  <si>
    <t>Common with e-STUDIO2505/H/F</t>
    <phoneticPr fontId="4"/>
  </si>
  <si>
    <t>Common with e-STUDIO2505/H/F</t>
  </si>
  <si>
    <t>6LJ74979000</t>
  </si>
  <si>
    <t>ASYS-ROL-F32-NS</t>
  </si>
  <si>
    <t>for e-STUDIO2802A/AM/AF, 2822AM/AF</t>
    <phoneticPr fontId="4"/>
  </si>
  <si>
    <t>6LJ74999000</t>
  </si>
  <si>
    <t>ASYS-PAD-SFB-H394-S</t>
  </si>
  <si>
    <t>for e-STUDIO2802A/AM/AF</t>
    <phoneticPr fontId="4"/>
  </si>
  <si>
    <t>6LL21601000</t>
  </si>
  <si>
    <t>ASYS-PAD-SFB-K156</t>
  </si>
  <si>
    <t>for e-STUDIO2822AM/AF</t>
    <phoneticPr fontId="4"/>
  </si>
  <si>
    <t>6LJ78113000</t>
  </si>
  <si>
    <t>FR_R-KIT-2809</t>
  </si>
  <si>
    <t>for Machine Refreshing (e-STUDIO2802A/AM/AF, 2822AM/AF)</t>
    <phoneticPr fontId="4"/>
  </si>
  <si>
    <t>6LJ76601000</t>
  </si>
  <si>
    <t>DEV-UNIT-2809</t>
  </si>
  <si>
    <t>Common</t>
    <phoneticPr fontId="4"/>
  </si>
  <si>
    <t>6LJ78106000</t>
  </si>
  <si>
    <t>FUSER-2809-230</t>
  </si>
  <si>
    <t>for e-STUDIO2802A/AM/AF, 2822AM/AF</t>
  </si>
  <si>
    <t>6LJ46929000</t>
  </si>
  <si>
    <t>ASYS-ROL-CST-36-L35</t>
  </si>
  <si>
    <t>6LJ75296000</t>
  </si>
  <si>
    <t>ASYS-HOLD-PAD-G</t>
  </si>
  <si>
    <t>6LH51412000</t>
  </si>
  <si>
    <t>ASYS-ROL-BYP</t>
  </si>
  <si>
    <t>6LJ74945000</t>
  </si>
  <si>
    <t>ASYS-PAD-BYP-H241</t>
  </si>
  <si>
    <t>6LJ78112000</t>
  </si>
  <si>
    <t>FUSER-2306-230</t>
  </si>
  <si>
    <t>for Machine Refreshing (e-STUDIO2303A/2309A, 2323AM/2329A)</t>
    <phoneticPr fontId="4"/>
  </si>
  <si>
    <t>Common with e-STUDIO2006/2306/2506/2007/2307/2507</t>
    <phoneticPr fontId="4"/>
  </si>
  <si>
    <t>Common with e-STUDIO2006/2306/2506/2007/2307/2507</t>
  </si>
  <si>
    <t>6LJ75025000</t>
  </si>
  <si>
    <t>ASYS-PAD-BYP-H390</t>
  </si>
  <si>
    <t>for e-STUDIO2303A Series</t>
    <phoneticPr fontId="4"/>
  </si>
  <si>
    <t>6LL20258000</t>
  </si>
  <si>
    <t>ASYS-PAD-BYP-DR3</t>
  </si>
  <si>
    <t>for e-STUDIO2323A Series</t>
    <phoneticPr fontId="4"/>
  </si>
  <si>
    <t>for e-STUDIO2303A and  2323AM Series</t>
  </si>
  <si>
    <t>for e-STUDIO2303A and  2323A Series</t>
    <phoneticPr fontId="4"/>
  </si>
  <si>
    <t>for Machine Refreshing (New)</t>
    <phoneticPr fontId="4"/>
  </si>
  <si>
    <t>for e-STUDIO2303A Series</t>
  </si>
  <si>
    <t>for e-STUDIO2303A and  2323A Series</t>
  </si>
  <si>
    <t>for Machine Refreshing (e-STUDIO2303A and  2323A Series)</t>
    <phoneticPr fontId="4"/>
  </si>
  <si>
    <t>6LK28354000</t>
  </si>
  <si>
    <t>OD-4530</t>
  </si>
  <si>
    <t>滾筒</t>
    <phoneticPr fontId="4"/>
  </si>
  <si>
    <t>for All</t>
    <phoneticPr fontId="4"/>
  </si>
  <si>
    <t>6LK28272000</t>
  </si>
  <si>
    <t>D-5070</t>
  </si>
  <si>
    <t>6LK25729000</t>
  </si>
  <si>
    <t>HR-5070-U</t>
  </si>
  <si>
    <t>6LH58426000</t>
  </si>
  <si>
    <t>HR-3000-L</t>
  </si>
  <si>
    <t>6LL37561000</t>
  </si>
  <si>
    <t>CR-3028TR</t>
  </si>
  <si>
    <t>6LE54020000</t>
  </si>
  <si>
    <t>BLADE-REC</t>
  </si>
  <si>
    <t>6LA84930000</t>
  </si>
  <si>
    <t>GRID-CH-M-371</t>
  </si>
  <si>
    <t>6LH25001000</t>
  </si>
  <si>
    <t>CH-M</t>
  </si>
  <si>
    <t>6LJ14053000</t>
  </si>
  <si>
    <t>SCRAPER-16X</t>
  </si>
  <si>
    <t>6LJ15609000</t>
  </si>
  <si>
    <t>FILTER-OZONE-H160</t>
  </si>
  <si>
    <t>6LJ51178100</t>
  </si>
  <si>
    <t>ROLLER-PICK-N-PBF2</t>
  </si>
  <si>
    <t>分離滾軸（紙匣, PFP）</t>
  </si>
  <si>
    <t>Drawer Module=MY-1033, PFP=KD-1025</t>
  </si>
  <si>
    <t>41304048000</t>
  </si>
  <si>
    <t>K-ROLL-FEED</t>
  </si>
  <si>
    <t>紙匣用送紙滾軸，KD-1025，MY-1033</t>
  </si>
  <si>
    <t>6LH46302000</t>
  </si>
  <si>
    <t>ASYS-ROLL-SPT</t>
  </si>
  <si>
    <t>6LH51459000</t>
  </si>
  <si>
    <t>ASYS-PAD-BYP-47X-N</t>
  </si>
  <si>
    <t>手送台分頁片</t>
  </si>
  <si>
    <t>6LE50297000</t>
  </si>
  <si>
    <t>ASYS-ROL-FEED</t>
  </si>
  <si>
    <t>分離滾軸RADF（MR-3028）</t>
  </si>
  <si>
    <t>RADF=MR-3028</t>
  </si>
  <si>
    <t>6LE49877000</t>
  </si>
  <si>
    <t>ASYS-ROL-RET-RU</t>
  </si>
  <si>
    <t>6LE99346000</t>
  </si>
  <si>
    <t>ASYS-ROL-PICK-KD1026</t>
  </si>
  <si>
    <t>LCF 用分離滾軸（KD-1026）</t>
  </si>
  <si>
    <t>LCF=KD-1026</t>
    <phoneticPr fontId="4"/>
  </si>
  <si>
    <t>6LE99347000</t>
  </si>
  <si>
    <t>ASYS-ROL-FEED-KD1026</t>
  </si>
  <si>
    <t>LCF 用送纸滾軸</t>
  </si>
  <si>
    <t>6LE99348000</t>
  </si>
  <si>
    <t>ASYS-ROL-RET-KD1026</t>
  </si>
  <si>
    <t>6LK28336000</t>
  </si>
  <si>
    <t>DEV-KIT-5070</t>
  </si>
  <si>
    <t>6LK25732000</t>
  </si>
  <si>
    <t>FR-KIT-3072</t>
  </si>
  <si>
    <t xml:space="preserve">定著保養套件 </t>
  </si>
  <si>
    <t>6LH34608000</t>
  </si>
  <si>
    <t>PM-KIT-ROLLER</t>
  </si>
  <si>
    <t>送紙套件, PFP</t>
  </si>
  <si>
    <t>6LH06996000</t>
  </si>
  <si>
    <t>DF-KIT-FEED-RU</t>
  </si>
  <si>
    <t>送紙套件（MR-3021/3022/3028）</t>
  </si>
  <si>
    <t>6LE99304000</t>
  </si>
  <si>
    <t>ROL-KIT-1026</t>
  </si>
  <si>
    <t>送紙套件（KD-1026）</t>
  </si>
  <si>
    <t>6LH53491000</t>
  </si>
  <si>
    <t>PU-3000</t>
  </si>
  <si>
    <t>6LK25731000</t>
  </si>
  <si>
    <t>FUSER-3072-220</t>
  </si>
  <si>
    <t>定著組（ARD/ASD/AUD/MJD/CND）</t>
  </si>
  <si>
    <t>6LK72107000</t>
  </si>
  <si>
    <t>HR-5008A-U</t>
  </si>
  <si>
    <t>6LK72102000</t>
  </si>
  <si>
    <t>HR-3008A-L</t>
  </si>
  <si>
    <t>臭氧過濾棉（上侧，出口）</t>
  </si>
  <si>
    <t>6LJ56242000</t>
  </si>
  <si>
    <t>ASYS-ROLL-FEED-H21X_H</t>
  </si>
  <si>
    <t>紙匣用分離滾軸，紙匣组件,PFP</t>
  </si>
  <si>
    <t>Drawer Module=MY-1048, PFP=KD-1058</t>
    <phoneticPr fontId="4"/>
  </si>
  <si>
    <t>6LK50739000</t>
  </si>
  <si>
    <t>ASYS-ROLL-FEED-H373</t>
  </si>
  <si>
    <t>紙匣用送紙滾軸，紙匣组件,PFP</t>
  </si>
  <si>
    <t>6LK50742000</t>
  </si>
  <si>
    <t>ASYS-ROLL-SPT-H373</t>
  </si>
  <si>
    <t>6LJ57026000</t>
  </si>
  <si>
    <t>ASYS-ROL-SFB-H21X</t>
  </si>
  <si>
    <t>旁器用送紙滾軸</t>
  </si>
  <si>
    <t>6LK51438000</t>
  </si>
  <si>
    <t>ASYS-ROL-SPT-SFB-H373</t>
  </si>
  <si>
    <t>分離滾軸RADF</t>
  </si>
  <si>
    <t>RADF=MR-3031</t>
    <phoneticPr fontId="4"/>
  </si>
  <si>
    <t>6LK54190000</t>
  </si>
  <si>
    <t>ASYS-ROL-PICKUP</t>
  </si>
  <si>
    <t>分離滾軸（DSDF）</t>
  </si>
  <si>
    <t>DSDF=MR-4000</t>
    <phoneticPr fontId="4"/>
  </si>
  <si>
    <t>6LK56800000</t>
  </si>
  <si>
    <t>送纸滾軸（DSDF）</t>
  </si>
  <si>
    <t>DSDF=MR-4000</t>
  </si>
  <si>
    <t>6LK54189000</t>
  </si>
  <si>
    <t>ASYS-ROL-RETARD</t>
  </si>
  <si>
    <t>LCF 用分離滾軸</t>
  </si>
  <si>
    <t>LCF=KD-1059</t>
    <phoneticPr fontId="4"/>
  </si>
  <si>
    <t>6LK72105000</t>
  </si>
  <si>
    <t>DEV-KIT-5008A</t>
  </si>
  <si>
    <t>6LK72103000</t>
  </si>
  <si>
    <t>FR-KIT-3008A</t>
  </si>
  <si>
    <t>6LK50755000</t>
  </si>
  <si>
    <t>ROL-KIT-FC30-U</t>
  </si>
  <si>
    <t>Drawer Module=MY-1048/1049, PFP=KD-1058</t>
    <phoneticPr fontId="4"/>
  </si>
  <si>
    <t>6LK71637000</t>
  </si>
  <si>
    <t>DF-KIT-3031</t>
  </si>
  <si>
    <t>送紙套件（RADF）</t>
  </si>
  <si>
    <t>6LK54293000</t>
  </si>
  <si>
    <t>KIT-ROL-DSDF</t>
  </si>
  <si>
    <t>送紙套件（DSDF）</t>
  </si>
  <si>
    <t>送紙套件（LCF）</t>
  </si>
  <si>
    <t>6LK67102000</t>
  </si>
  <si>
    <t>PU-3008A</t>
  </si>
  <si>
    <t>for eS2508A</t>
    <phoneticPr fontId="4"/>
  </si>
  <si>
    <t>6LK67102200</t>
  </si>
  <si>
    <t>PU-3018A</t>
  </si>
  <si>
    <t>for eS2518A</t>
    <phoneticPr fontId="4"/>
  </si>
  <si>
    <t>6LK68056200</t>
  </si>
  <si>
    <t>FUSER-3008A-230</t>
  </si>
  <si>
    <t>230V 系列用定著組（ARD/ASD/AUD/MJD/CND）</t>
  </si>
  <si>
    <t>6LL33301000</t>
  </si>
  <si>
    <t>OD-3028</t>
  </si>
  <si>
    <t>6LL37515000</t>
  </si>
  <si>
    <t>D-3028</t>
  </si>
  <si>
    <t>Cassette, Drawer Module=MY-1052, PFP=KD-1072</t>
    <phoneticPr fontId="4"/>
  </si>
  <si>
    <t>Cassette, Drawer Module=MY-1052, PFP=KD-1072</t>
  </si>
  <si>
    <t>送纸滾軸RADF</t>
  </si>
  <si>
    <t>RADF=MR-3033</t>
    <phoneticPr fontId="4"/>
  </si>
  <si>
    <t>ASYS-ROL-RET-RU</t>
    <phoneticPr fontId="4"/>
  </si>
  <si>
    <t>6LK56966000</t>
  </si>
  <si>
    <t>ASYS-ROL-PICKUP-S20</t>
  </si>
  <si>
    <t>DSDF=MR-4010/4020</t>
    <phoneticPr fontId="4"/>
  </si>
  <si>
    <t>6LL08757000</t>
  </si>
  <si>
    <t>ASYS-ROLL-FEED-H44X</t>
  </si>
  <si>
    <t>LCF=KD-1073</t>
    <phoneticPr fontId="4"/>
  </si>
  <si>
    <t>6LL07912000</t>
  </si>
  <si>
    <t>ASYS-ROLL-SPT-H44X</t>
  </si>
  <si>
    <t>LCF=KD-1073</t>
  </si>
  <si>
    <t>6LA10352000</t>
  </si>
  <si>
    <t>ASYS-ROL-PICK-L</t>
  </si>
  <si>
    <t>External LCF(MP-2002)</t>
    <phoneticPr fontId="4"/>
  </si>
  <si>
    <t>6LK41557000</t>
  </si>
  <si>
    <t>ASYS-ROL-FEED-H38X</t>
  </si>
  <si>
    <t>送紙滾軸（MR-2002）</t>
  </si>
  <si>
    <t>External LCF(MP-2002)</t>
  </si>
  <si>
    <t>6LK41558000</t>
  </si>
  <si>
    <t>ASYS-ROL-SPT-H38X</t>
  </si>
  <si>
    <t>分離滾軸（MR-2002）</t>
  </si>
  <si>
    <t>6LL37560000</t>
  </si>
  <si>
    <t>DEV-KIT-3028A</t>
  </si>
  <si>
    <t>Cassette, Drawer Module=MY-1052,  PFP=KD-1072</t>
  </si>
  <si>
    <t>6LL48460000</t>
  </si>
  <si>
    <t>KIT-ROL-MR-4010</t>
  </si>
  <si>
    <t>6LL49517000</t>
  </si>
  <si>
    <t>ROL-KIT-MP-2002</t>
  </si>
  <si>
    <t xml:space="preserve">送紙套件（MP-2002) </t>
  </si>
  <si>
    <t>6LK67102400</t>
  </si>
  <si>
    <t>PU-3028A</t>
  </si>
  <si>
    <t>6LL35000200</t>
  </si>
  <si>
    <t>FUSER-3028A-230</t>
  </si>
  <si>
    <t>Drawer Module=MY-1033</t>
    <phoneticPr fontId="4"/>
  </si>
  <si>
    <t>旁器送紙滾軸</t>
  </si>
  <si>
    <t xml:space="preserve">RADF=MR-3028 </t>
    <phoneticPr fontId="4"/>
  </si>
  <si>
    <t>RADF=MR-3028</t>
    <phoneticPr fontId="4"/>
  </si>
  <si>
    <t>分離滾軸（KD-1026）</t>
  </si>
  <si>
    <t>PFP=KD-1026</t>
    <phoneticPr fontId="4"/>
  </si>
  <si>
    <t>送纸滾軸（KD-1026）</t>
  </si>
  <si>
    <t>PFP=KD-1025</t>
    <phoneticPr fontId="4"/>
  </si>
  <si>
    <t>for eS3008A</t>
    <phoneticPr fontId="4"/>
  </si>
  <si>
    <t>for eS3018A</t>
    <phoneticPr fontId="4"/>
  </si>
  <si>
    <t>RADF=MR-3033</t>
  </si>
  <si>
    <t>6LH58425000</t>
  </si>
  <si>
    <t>HR-4530-L</t>
  </si>
  <si>
    <t>6LH55802000</t>
  </si>
  <si>
    <t>CH-M-470</t>
  </si>
  <si>
    <t>Drawer Module=MY-1033, PFP=KD-1025</t>
    <phoneticPr fontId="4"/>
  </si>
  <si>
    <t>RADF=MR-3022</t>
    <phoneticPr fontId="4"/>
  </si>
  <si>
    <t>6LK25732100</t>
  </si>
  <si>
    <t>FR-KIT-5072</t>
  </si>
  <si>
    <t>6LH53491100</t>
  </si>
  <si>
    <t>PU-4530</t>
  </si>
  <si>
    <t>6LK25736000</t>
  </si>
  <si>
    <t>FUSER-5072-220</t>
  </si>
  <si>
    <t>6LK72101000</t>
  </si>
  <si>
    <t>HR-5008A-L</t>
  </si>
  <si>
    <t>6LK72103100</t>
  </si>
  <si>
    <t>FR-KIT-5008A</t>
  </si>
  <si>
    <t>6LK67102100</t>
  </si>
  <si>
    <t>PU-5008A</t>
  </si>
  <si>
    <t>for eS3508A</t>
    <phoneticPr fontId="4"/>
  </si>
  <si>
    <t>6LK67102300</t>
  </si>
  <si>
    <t>PU-5018A</t>
  </si>
  <si>
    <t>for eS3518A</t>
    <phoneticPr fontId="4"/>
  </si>
  <si>
    <t>6LK68070200</t>
  </si>
  <si>
    <t>FUSER-5008A-230</t>
  </si>
  <si>
    <t>6LK94002000</t>
  </si>
  <si>
    <t>CH-M-K123</t>
  </si>
  <si>
    <t>Drawer Module=MY-1052, PFP=KD-1072</t>
    <phoneticPr fontId="4"/>
  </si>
  <si>
    <t>6LK67102500</t>
  </si>
  <si>
    <t>PU-4528A</t>
  </si>
  <si>
    <t>6LL35001200</t>
  </si>
  <si>
    <t>FUSER-4528A-230</t>
  </si>
  <si>
    <t>for eS4508A</t>
    <phoneticPr fontId="4"/>
  </si>
  <si>
    <t>for eS4518A</t>
    <phoneticPr fontId="4"/>
  </si>
  <si>
    <t>Drawer Module=MY-1052, PFP=KD-1072</t>
  </si>
  <si>
    <t>紙匣送紙滾軸</t>
  </si>
  <si>
    <t>6LJ13409000</t>
  </si>
  <si>
    <t>ASYS-ROLL-SPT-H16X</t>
  </si>
  <si>
    <t>分離滾軸(MY-1033, KD-1025)</t>
  </si>
  <si>
    <t>LCF=KD-1026</t>
  </si>
  <si>
    <t>6LJ13413000</t>
  </si>
  <si>
    <t>PM-KIT-ROLLER-H165</t>
  </si>
  <si>
    <t>紙匣送紙套件</t>
  </si>
  <si>
    <t>for eS5008A</t>
    <phoneticPr fontId="4"/>
  </si>
  <si>
    <t>for eS5018A</t>
    <phoneticPr fontId="4"/>
  </si>
  <si>
    <t>6LA23006000</t>
  </si>
  <si>
    <t>OD-6510</t>
  </si>
  <si>
    <t>6LE15897000</t>
  </si>
  <si>
    <t>D-6000</t>
  </si>
  <si>
    <t>6LE19374000</t>
  </si>
  <si>
    <t>BL-6000D</t>
  </si>
  <si>
    <t>滾筒清潔刮片</t>
  </si>
  <si>
    <t>6LH73765000</t>
  </si>
  <si>
    <t>B-6000</t>
  </si>
  <si>
    <t>滾筒清潔毡滾軸</t>
  </si>
  <si>
    <t>6LE15289000</t>
  </si>
  <si>
    <t>HR-6000-U</t>
  </si>
  <si>
    <t>6LH72779000</t>
  </si>
  <si>
    <t>HR-5570-L</t>
  </si>
  <si>
    <t>6LE19372000</t>
  </si>
  <si>
    <t>CW-6000</t>
  </si>
  <si>
    <t>6LE19373000</t>
  </si>
  <si>
    <t>PR-6000W</t>
  </si>
  <si>
    <t>6LH72802000</t>
  </si>
  <si>
    <t>BT-8570TR</t>
  </si>
  <si>
    <t>6LA23070000</t>
  </si>
  <si>
    <t>B-6510TR</t>
  </si>
  <si>
    <t>6LH72622000</t>
  </si>
  <si>
    <t>BL-8550TR</t>
  </si>
  <si>
    <t>6LH73868000</t>
  </si>
  <si>
    <t>CLAW-DRUM-H32X</t>
  </si>
  <si>
    <t>6LE06379000</t>
  </si>
  <si>
    <t>FLTR-OZN-800-390</t>
  </si>
  <si>
    <t>6LH68664000</t>
  </si>
  <si>
    <t>WIRE-CH-060-398</t>
  </si>
  <si>
    <t>6LE04155000</t>
  </si>
  <si>
    <t>ASYS-BASE-PAD-CH-M-N</t>
  </si>
  <si>
    <t>6LA02260000</t>
  </si>
  <si>
    <t>GRID-340</t>
  </si>
  <si>
    <t>6LH68683000</t>
  </si>
  <si>
    <t>FILTER-DEV-F300</t>
  </si>
  <si>
    <t>空气過濾棉</t>
  </si>
  <si>
    <t>4402491630</t>
  </si>
  <si>
    <t>SCRAPER-212</t>
  </si>
  <si>
    <t>上定著滾軸分離爪</t>
  </si>
  <si>
    <t>6LA05468000</t>
  </si>
  <si>
    <t>BRG-ONEWAY-6-H</t>
  </si>
  <si>
    <t>单向轴承</t>
    <phoneticPr fontId="4"/>
  </si>
  <si>
    <t>6LA04047000</t>
  </si>
  <si>
    <t>200/400</t>
    <phoneticPr fontId="4"/>
  </si>
  <si>
    <t>标配紙匣用分離滾軸，纵列LCF</t>
  </si>
  <si>
    <t>Life 200/400 : Drawer / Tandem LCF</t>
    <phoneticPr fontId="4"/>
  </si>
  <si>
    <t>标配紙匣用送紙滾軸，纵列LCF</t>
  </si>
  <si>
    <t>6LA04042000</t>
  </si>
  <si>
    <t>ASYS-ROL-SPT</t>
  </si>
  <si>
    <t>6LA04694000</t>
  </si>
  <si>
    <t>K-RLR-P/U-24</t>
  </si>
  <si>
    <t>4401773050</t>
  </si>
  <si>
    <t>K-ROL-FED-CW-H</t>
  </si>
  <si>
    <t>4406347610</t>
  </si>
  <si>
    <t>K-ROL-SPT-CW-S</t>
  </si>
  <si>
    <t>External LCF(MP-4004)</t>
    <phoneticPr fontId="4"/>
  </si>
  <si>
    <t>送纸滾軸(MP-4004)</t>
  </si>
  <si>
    <t>6LA10749000</t>
  </si>
  <si>
    <t>ASYS-ROL-SPT-LCF</t>
  </si>
  <si>
    <t>分離滾軸（MP-4004）</t>
  </si>
  <si>
    <t>600**</t>
    <phoneticPr fontId="4"/>
  </si>
  <si>
    <t>ADF</t>
    <phoneticPr fontId="4"/>
  </si>
  <si>
    <t>6LH76412000</t>
  </si>
  <si>
    <t>MO-KIT-8570</t>
  </si>
  <si>
    <t>6LH72780000</t>
  </si>
  <si>
    <t>FR-KIT-5570</t>
  </si>
  <si>
    <t>6LH76411100</t>
  </si>
  <si>
    <t>PM-KIT-5570</t>
  </si>
  <si>
    <t>保養套件</t>
  </si>
  <si>
    <t>6LE15221000</t>
  </si>
  <si>
    <t>MA-KIT-6000</t>
  </si>
  <si>
    <t>6LA06886000</t>
  </si>
  <si>
    <t>ROL-KIT-81CST</t>
  </si>
  <si>
    <t>送紙保養套件（紙匣、LCF）</t>
  </si>
  <si>
    <t>6LE07910000</t>
  </si>
  <si>
    <t>ROL-KIT-4004</t>
  </si>
  <si>
    <t>送紙保養套件(MP-4004)</t>
  </si>
  <si>
    <t>6LH73786000</t>
  </si>
  <si>
    <t>DEVE-UNIT-6000</t>
  </si>
  <si>
    <t>6LH72775000</t>
  </si>
  <si>
    <t>CLN-DRUM-H32X</t>
  </si>
  <si>
    <t>6LE15234000</t>
  </si>
  <si>
    <t>MAIN-CH-6510</t>
  </si>
  <si>
    <t>6LH76410000</t>
  </si>
  <si>
    <t>TR-BLT-8570</t>
  </si>
  <si>
    <t>6LH72784800</t>
  </si>
  <si>
    <t>FUSER-H32X-200V55</t>
  </si>
  <si>
    <t xml:space="preserve">200V 系列用定著組(MJD/AUD/ASD/ASU/CND/KRD) </t>
  </si>
  <si>
    <t>6LK40607000</t>
  </si>
  <si>
    <t>OD-FC556</t>
  </si>
  <si>
    <t>6LK43607300</t>
  </si>
  <si>
    <t>D-FC556-K</t>
  </si>
  <si>
    <t>黑顯像鐵粉</t>
  </si>
  <si>
    <t>This item is not PM Parts.</t>
    <phoneticPr fontId="4"/>
  </si>
  <si>
    <t>6LK40608000</t>
  </si>
  <si>
    <t>BL-FC556D</t>
  </si>
  <si>
    <t>6LJ06722000</t>
  </si>
  <si>
    <t>GRID-CHARGR-MAIN-G</t>
  </si>
  <si>
    <t>6LK40587000</t>
  </si>
  <si>
    <t>PIN-ARRAY-CHARGR-MAIN-38X</t>
  </si>
  <si>
    <t>6LH02739000</t>
  </si>
  <si>
    <t>ASYS-HLDR-CLNR-CH</t>
  </si>
  <si>
    <t>6LK40663000</t>
  </si>
  <si>
    <t>SEAL-BLADE-SIDE-RER-H38X</t>
  </si>
  <si>
    <t>6LK40664000</t>
  </si>
  <si>
    <t>SEAL-BLADE-SIDE-FRT-H38X</t>
  </si>
  <si>
    <t>滾筒刮片密封片（前侧）</t>
  </si>
  <si>
    <t>6LJ06311000</t>
  </si>
  <si>
    <t>FLTR-TONER-130-TYB</t>
  </si>
  <si>
    <t>6LH01574000</t>
  </si>
  <si>
    <t>FLTR-OZ-38X_TR</t>
  </si>
  <si>
    <t>6LH01575000</t>
  </si>
  <si>
    <t>FLTR-OZ-TNR-38X_TR</t>
  </si>
  <si>
    <t xml:space="preserve">臭氧过過濾棉（墨粉导管） </t>
  </si>
  <si>
    <t>6LK42669000</t>
  </si>
  <si>
    <t>ASY-FUSER-BELT-FC556-C</t>
  </si>
  <si>
    <t>For CND</t>
  </si>
  <si>
    <t>6LK43647000</t>
  </si>
  <si>
    <t>PR-FC556-FU</t>
  </si>
  <si>
    <t>6LK42589000</t>
  </si>
  <si>
    <t>PAD-BLT-R60-H4-H38X</t>
  </si>
  <si>
    <t>6LK41390000</t>
  </si>
  <si>
    <t>CR-FC556TR2</t>
  </si>
  <si>
    <t>第二轉寫滾軸</t>
  </si>
  <si>
    <t>6LK41162000</t>
  </si>
  <si>
    <t>BL-FC556-TBU</t>
  </si>
  <si>
    <t>6LK41146000</t>
  </si>
  <si>
    <t>ASYS-CLN-RLR-TBU-H38X</t>
  </si>
  <si>
    <t>6LK41181000</t>
  </si>
  <si>
    <t>SEAL-CLN-TBU-F-H38X</t>
  </si>
  <si>
    <t>6LK41180000</t>
  </si>
  <si>
    <t>SEAL-CLN-TBU-R-H38X</t>
  </si>
  <si>
    <t>6LA04047100</t>
  </si>
  <si>
    <t>ASYS-ROL-FEED_W</t>
  </si>
  <si>
    <t>DSDF</t>
    <phoneticPr fontId="4"/>
  </si>
  <si>
    <t>External LCF(MP-2502)</t>
    <phoneticPr fontId="4"/>
  </si>
  <si>
    <t>送紙滾軸（MR-2502）</t>
  </si>
  <si>
    <t>分離滾軸（MR-2502）</t>
  </si>
  <si>
    <t>44218398000</t>
  </si>
  <si>
    <t>K-ROLL-PICK-BYP</t>
  </si>
  <si>
    <t xml:space="preserve">手送台分離滾軸 </t>
  </si>
  <si>
    <t>44218389000</t>
  </si>
  <si>
    <t>K-RLR-FEED-SFB</t>
  </si>
  <si>
    <t xml:space="preserve">手送台送紙滾軸 </t>
  </si>
  <si>
    <t>6LA28899000</t>
  </si>
  <si>
    <t>ASYS-ROLL-SPT-L30</t>
  </si>
  <si>
    <t>6LK40618000</t>
  </si>
  <si>
    <t>EPU-KIT-FC556-G</t>
  </si>
  <si>
    <t xml:space="preserve">EPU 保養套件 </t>
  </si>
  <si>
    <t>6LK41165000</t>
  </si>
  <si>
    <t>TBU-KIT-FC556</t>
  </si>
  <si>
    <t>6LK42666000</t>
  </si>
  <si>
    <t>FR-KIT-FC556-FU</t>
  </si>
  <si>
    <t>6LK39558000</t>
  </si>
  <si>
    <t>FLTR-KIT-DP55</t>
  </si>
  <si>
    <t>6LK41561000</t>
  </si>
  <si>
    <t>ROL-KIT-FC75</t>
  </si>
  <si>
    <t xml:space="preserve">紙匣送紙套件 </t>
  </si>
  <si>
    <t>6LK41563000</t>
  </si>
  <si>
    <t>ROL-KIT-MP2502-U</t>
  </si>
  <si>
    <t xml:space="preserve">送紙套件（MP-2502) </t>
  </si>
  <si>
    <t>6LK40615000</t>
  </si>
  <si>
    <t>CLN-DRUM-FC556</t>
  </si>
  <si>
    <t>6LK40755000</t>
  </si>
  <si>
    <t>DEVE-UNIT-FC556-K</t>
  </si>
  <si>
    <t>顯像組（黑色）</t>
  </si>
  <si>
    <t>6LJ58193000</t>
  </si>
  <si>
    <t>MAIN-CH-FC556-G</t>
  </si>
  <si>
    <t>6LK41164000</t>
  </si>
  <si>
    <t>TR-BLT-CLN-FC556</t>
  </si>
  <si>
    <t>6LK41389000</t>
  </si>
  <si>
    <t>TR2-UNIT-FC556</t>
  </si>
  <si>
    <t>二次轉寫組</t>
  </si>
  <si>
    <t>6LK44135200</t>
  </si>
  <si>
    <t>FUSER-FC556C</t>
  </si>
  <si>
    <t>定著組</t>
  </si>
  <si>
    <t>for CND</t>
  </si>
  <si>
    <t>6LK49015000</t>
  </si>
  <si>
    <t>OD-FC505</t>
  </si>
  <si>
    <t>滾筒（黑色）</t>
    <phoneticPr fontId="4"/>
  </si>
  <si>
    <t>for BK</t>
  </si>
  <si>
    <t>6LL51735300</t>
  </si>
  <si>
    <t>D-FC425-K</t>
  </si>
  <si>
    <t>6LL43424000</t>
  </si>
  <si>
    <t>BL-FC425D</t>
  </si>
  <si>
    <t>6LL43324000</t>
  </si>
  <si>
    <t>GRID-CHARGR-MAIN-K163-K</t>
  </si>
  <si>
    <t>柵極網（黑色）</t>
  </si>
  <si>
    <t>6LK49126000</t>
  </si>
  <si>
    <t>PIN-ARRAY-CHARGR-H37X</t>
  </si>
  <si>
    <t>放電座針狀放電線</t>
  </si>
  <si>
    <t>6LK48987000</t>
  </si>
  <si>
    <t>FILM-CLNR-CHARGR-H373</t>
  </si>
  <si>
    <t>6LL43302000</t>
  </si>
  <si>
    <t>BUSH-DRUM-RER-K163</t>
  </si>
  <si>
    <t>6LJ58192000</t>
  </si>
  <si>
    <t>CR-FC30TR2</t>
  </si>
  <si>
    <t>6LJ70396000</t>
  </si>
  <si>
    <t>BL-FC30TR</t>
  </si>
  <si>
    <t>6LJ55444000</t>
  </si>
  <si>
    <t>SEAL-SIDE-TBU-F</t>
  </si>
  <si>
    <t>6LJ55445000</t>
  </si>
  <si>
    <t>SEAL-SIDE-TBU-R</t>
  </si>
  <si>
    <t>6LJ55446000</t>
  </si>
  <si>
    <t>SEAL-BLADE-BACK-TBU</t>
  </si>
  <si>
    <t>6LL42620000</t>
  </si>
  <si>
    <t>FILTER-OZN-KCH-A08K-X2</t>
  </si>
  <si>
    <t>for Machine Refreshing</t>
  </si>
  <si>
    <t>6LL51805000</t>
  </si>
  <si>
    <t>BT-FC6525-C</t>
  </si>
  <si>
    <t>6LL51806000</t>
  </si>
  <si>
    <t>PR-FC3525</t>
  </si>
  <si>
    <t>6LJ58874000</t>
  </si>
  <si>
    <t>SHEET-PAD-BELT</t>
  </si>
  <si>
    <t>6LK52274000</t>
  </si>
  <si>
    <t>PAD-BLT-R55-H376</t>
  </si>
  <si>
    <t>6LJ58138000</t>
  </si>
  <si>
    <t>SCRAPER-HR-H210-S</t>
  </si>
  <si>
    <t>下熱滾軸分離爪</t>
  </si>
  <si>
    <t>6LL08761000</t>
  </si>
  <si>
    <t>ASYS-ROLL-FEED-SFB-H44X</t>
  </si>
  <si>
    <t>手送台送紙滾軸</t>
  </si>
  <si>
    <t>SFB</t>
  </si>
  <si>
    <t xml:space="preserve">紙匣用送紙滾軸(MY-1052, MY-1072)  </t>
  </si>
  <si>
    <t>分離滾軸（KD-1073）</t>
  </si>
  <si>
    <t>6LL51796000</t>
  </si>
  <si>
    <t>DEV-KIT-FC425K</t>
  </si>
  <si>
    <t>顯像保養套件（黑色）</t>
  </si>
  <si>
    <t xml:space="preserve">紙匣送紙套件(MY-1052, MY-1072)  </t>
  </si>
  <si>
    <t>Cassette, Drawer Module=MY-1052,  PFP=KD-1072</t>
    <phoneticPr fontId="4"/>
  </si>
  <si>
    <t>6LL51812000</t>
  </si>
  <si>
    <t>FR-KIT-FC6525-C</t>
  </si>
  <si>
    <t>定著保養套件</t>
  </si>
  <si>
    <t>6LJ70575000</t>
  </si>
  <si>
    <t>TBU-KIT-FC50</t>
  </si>
  <si>
    <t>轉寫組保養套件</t>
  </si>
  <si>
    <t>6LL51810000</t>
  </si>
  <si>
    <t>FUSER-K167</t>
  </si>
  <si>
    <t>6LL51753400</t>
  </si>
  <si>
    <t>EPU-K166K</t>
  </si>
  <si>
    <t>6LK55463000</t>
  </si>
  <si>
    <t>TR-BLT_CLN-H370</t>
  </si>
  <si>
    <t>6LL44835000</t>
  </si>
  <si>
    <t>TR-BLT-K174</t>
  </si>
  <si>
    <t>-</t>
  </si>
  <si>
    <t>6LH72623000</t>
  </si>
  <si>
    <t>HR-8550-L</t>
  </si>
  <si>
    <t>6LH72649000</t>
  </si>
  <si>
    <t>FR-KIT-8550</t>
  </si>
  <si>
    <t>6LH73760000</t>
  </si>
  <si>
    <t>FR-KIT-8560</t>
  </si>
  <si>
    <t>6LH76411000</t>
  </si>
  <si>
    <t>PM-KIT-8570</t>
  </si>
  <si>
    <t>6LH72784100</t>
  </si>
  <si>
    <t>FUSER-H32X-200V65</t>
  </si>
  <si>
    <t>Tandem LCF</t>
    <phoneticPr fontId="4"/>
  </si>
  <si>
    <t>External LCF(MP-2502/2503)</t>
    <phoneticPr fontId="4"/>
  </si>
  <si>
    <t>SFB (eS6508A/6518A)</t>
    <phoneticPr fontId="4"/>
  </si>
  <si>
    <t>SFB (eS6508A/6518A)</t>
  </si>
  <si>
    <t>SFB (eS6529A)</t>
    <phoneticPr fontId="4"/>
  </si>
  <si>
    <t>SFB (eS6529A)</t>
  </si>
  <si>
    <t>ASYS-ROLL-SPT-H373</t>
    <phoneticPr fontId="4"/>
  </si>
  <si>
    <t>6LK41562000</t>
  </si>
  <si>
    <t>ROL-KIT-FC75-U</t>
  </si>
  <si>
    <t>eS6508A/6518A (CND)</t>
    <phoneticPr fontId="4"/>
  </si>
  <si>
    <t>6LL62240000</t>
  </si>
  <si>
    <t>FUSER-K182</t>
  </si>
  <si>
    <t>eS6529A (All)</t>
    <phoneticPr fontId="4"/>
  </si>
  <si>
    <t>6LH73784000</t>
  </si>
  <si>
    <t>DEVE-UNIT-8500</t>
  </si>
  <si>
    <t>6LH72784400</t>
  </si>
  <si>
    <t>FUSER-H32X-200V85</t>
  </si>
  <si>
    <t>200V 系列用定著組(MJD/AUD/ASD/CND/KRD)</t>
  </si>
  <si>
    <t>DSDF</t>
  </si>
  <si>
    <t>SFB (eS7508A/7518A)</t>
    <phoneticPr fontId="4"/>
  </si>
  <si>
    <t>SFB (eS7508A/7518A)</t>
  </si>
  <si>
    <t>SFB (eS7529A)</t>
    <phoneticPr fontId="4"/>
  </si>
  <si>
    <t>SFB (eS7529A)</t>
  </si>
  <si>
    <t>eS7508A/7518A (CND)</t>
    <phoneticPr fontId="4"/>
  </si>
  <si>
    <t>eS7529A (All)</t>
    <phoneticPr fontId="4"/>
  </si>
  <si>
    <t>空气過濾棉器</t>
  </si>
  <si>
    <t>6LH02725000</t>
  </si>
  <si>
    <t>GRID-CHARGR-MAIN-430</t>
  </si>
  <si>
    <t>6LK40619000</t>
  </si>
  <si>
    <t>EPU-KIT-FC556-S</t>
  </si>
  <si>
    <t>6LK44127000</t>
  </si>
  <si>
    <t>MAIN-CH-FC556-S</t>
  </si>
  <si>
    <t>6LJ70402200</t>
  </si>
  <si>
    <t>OD-FC30N</t>
  </si>
  <si>
    <t>6LJ70994300</t>
  </si>
  <si>
    <t>D-FC30-K</t>
  </si>
  <si>
    <t>6LJ70994000</t>
  </si>
  <si>
    <t>D-FC30-Y</t>
  </si>
  <si>
    <t>黄顯像鐵粉</t>
  </si>
  <si>
    <t>6LJ70994100</t>
  </si>
  <si>
    <t>D-FC30-M</t>
  </si>
  <si>
    <t>洋红顯像鐵粉</t>
  </si>
  <si>
    <t>6LJ70994200</t>
  </si>
  <si>
    <t>D-FC30-C</t>
  </si>
  <si>
    <t>青顯像鐵粉</t>
  </si>
  <si>
    <t>6LK49077000</t>
  </si>
  <si>
    <t>BL-FC200D</t>
  </si>
  <si>
    <t>6LJ70398000</t>
  </si>
  <si>
    <t>HR-FC30-U</t>
  </si>
  <si>
    <t>6LJ70399000</t>
  </si>
  <si>
    <t>HR-FC30-L</t>
  </si>
  <si>
    <t>6LJ58146000</t>
  </si>
  <si>
    <t>ASYS-SCRAPER-HR-H210</t>
  </si>
  <si>
    <t>定著滾軸分離爪</t>
  </si>
  <si>
    <t>6LK48248000</t>
  </si>
  <si>
    <t>FILTER-OZN-KCH-A08K</t>
  </si>
  <si>
    <t>6LJ55510000</t>
  </si>
  <si>
    <t>RLR-CLN-TBU-H21X</t>
  </si>
  <si>
    <t>轉寫清潔組接触滾軸</t>
  </si>
  <si>
    <t>6LJ55544000</t>
  </si>
  <si>
    <t>BUSH-8X12X5R5F-BCF-050</t>
  </si>
  <si>
    <t>轉寫清潔組接触滾軸軸套</t>
  </si>
  <si>
    <t>6LJ54025000</t>
  </si>
  <si>
    <t>GRID-CHARGR-MAIN-H21X</t>
  </si>
  <si>
    <t>6LJ54099000</t>
  </si>
  <si>
    <t>FILM-CLNR-CHARGR-H21X</t>
  </si>
  <si>
    <t>6LJ54011000</t>
  </si>
  <si>
    <t>SPACER-LED-FRT-H21X</t>
  </si>
  <si>
    <t xml:space="preserve">定著分離爪（前） </t>
  </si>
  <si>
    <t>6LJ54012000</t>
  </si>
  <si>
    <t>SPACER-LED-RER-H21X</t>
  </si>
  <si>
    <t>定著分離爪（后）</t>
  </si>
  <si>
    <t>6LJ56863000</t>
  </si>
  <si>
    <t>ASYS-ROL-CST-H21X</t>
  </si>
  <si>
    <t>6LJ56946000</t>
  </si>
  <si>
    <t>ASYS-HOLD-PAD-H21X</t>
  </si>
  <si>
    <t>分頁片组件( 紙匣/ 供纸组件)</t>
  </si>
  <si>
    <t>6LJ57134000</t>
  </si>
  <si>
    <t>ASYS-PAD-SEP-SFB-H21X</t>
  </si>
  <si>
    <t>Drawer Module=MY-1039, PFU=MY-1040, PFP=KD-1032</t>
    <phoneticPr fontId="4"/>
  </si>
  <si>
    <t xml:space="preserve">紙匣用送紙滾軸(MY-1039, MY-1040,KD-1032)  </t>
  </si>
  <si>
    <t>6LJ56243000</t>
  </si>
  <si>
    <t>ASYS-ROLL-SPT-H21X_H</t>
  </si>
  <si>
    <t>RADF=MR-3024</t>
    <phoneticPr fontId="4"/>
  </si>
  <si>
    <t>分離滾軸（KD-1031）</t>
  </si>
  <si>
    <t>LCF=KD-1031</t>
    <phoneticPr fontId="4"/>
  </si>
  <si>
    <t>6LK49079000</t>
  </si>
  <si>
    <t>DEV-KIT-FC200K</t>
  </si>
  <si>
    <t>6LK49078000</t>
  </si>
  <si>
    <t>DEV-KIT-FC200CLR</t>
  </si>
  <si>
    <t>顯像保養套件（彩色）</t>
  </si>
  <si>
    <t>6LJ70383000</t>
  </si>
  <si>
    <t>ROL-KIT-FC30</t>
  </si>
  <si>
    <t xml:space="preserve">紙匣送紙套件(MY-1039, MY-1040,KD-1032)  </t>
  </si>
  <si>
    <t>RADF 用送紙套件</t>
  </si>
  <si>
    <t>送纸滾軸套件</t>
  </si>
  <si>
    <t>6LJ70649000</t>
  </si>
  <si>
    <t>FR_R-KIT-FC30</t>
  </si>
  <si>
    <t>6LJ70558000</t>
  </si>
  <si>
    <t>TBU_R-KIT-FC30</t>
  </si>
  <si>
    <t>6LJ71691100</t>
  </si>
  <si>
    <t>FUSER-H210-230</t>
  </si>
  <si>
    <t>200V 系列用定著組(ASD/AUD/MJD/CND/ARD)</t>
  </si>
  <si>
    <t>6LJ54251000</t>
  </si>
  <si>
    <t>DEV-UNIT-H210-K</t>
  </si>
  <si>
    <t>6LJ54251200</t>
  </si>
  <si>
    <t>DEV-UNIT-H210-M</t>
  </si>
  <si>
    <t>顯像組（洋红）</t>
  </si>
  <si>
    <t>6LJ54251300</t>
  </si>
  <si>
    <t>DEV-UNIT-H210-Y</t>
  </si>
  <si>
    <t>顯像組（黄）</t>
  </si>
  <si>
    <t>6LJ54251100</t>
  </si>
  <si>
    <t>DEV-UNIT-H210-C</t>
  </si>
  <si>
    <t>顯像組（青）</t>
  </si>
  <si>
    <t>6LK41951000</t>
  </si>
  <si>
    <t>CLNR-DRUM-H370-LKR</t>
  </si>
  <si>
    <t>滾筒清潔組(K)</t>
  </si>
  <si>
    <t>6LK41951200</t>
  </si>
  <si>
    <t>CLNR-DRUM-H370-LMR</t>
  </si>
  <si>
    <t>滾筒清潔組(M)</t>
  </si>
  <si>
    <t>6LK41951300</t>
  </si>
  <si>
    <t>CLNR-DRUM-H370-LYR</t>
  </si>
  <si>
    <t>滾筒清潔組(Y)</t>
  </si>
  <si>
    <t>6LK41951100</t>
  </si>
  <si>
    <t>CLNR-DRUM-H370-LCR</t>
  </si>
  <si>
    <t>滾筒清潔組(C)</t>
  </si>
  <si>
    <t>6LJ70377000</t>
  </si>
  <si>
    <t>TR-BLT_CLN-H210</t>
  </si>
  <si>
    <t>6LL46505000</t>
  </si>
  <si>
    <t>ASYS-SCRAPER-HR-K160C</t>
  </si>
  <si>
    <t>for Machine Refreshing (for CND)</t>
    <phoneticPr fontId="4"/>
  </si>
  <si>
    <t>Drawer Module=MY-1048/1049, PFU=MY-1047, PFP=KD-1058</t>
    <phoneticPr fontId="4"/>
  </si>
  <si>
    <t xml:space="preserve">紙匣用送紙滾軸(MY-1048/1049, MY-1047,KD-1058)  </t>
  </si>
  <si>
    <t>分離滾軸（KD-1059）</t>
  </si>
  <si>
    <t xml:space="preserve">紙匣送紙套件(MY-1048/1049, MY-1047,KD-1058)  </t>
  </si>
  <si>
    <t>6LK55546100</t>
  </si>
  <si>
    <t>FUSER-H370-230</t>
  </si>
  <si>
    <t>for AUD, ASD, ARD, CND and eS2000AC MJD</t>
    <phoneticPr fontId="4"/>
  </si>
  <si>
    <t>6LK49204000</t>
  </si>
  <si>
    <t>DEV-UNIT-H370-LK</t>
  </si>
  <si>
    <t>6LK49204200</t>
  </si>
  <si>
    <t>DEV-UNIT-H370-LM</t>
  </si>
  <si>
    <t>6LK49204300</t>
  </si>
  <si>
    <t>DEV-UNIT-H370-LY</t>
  </si>
  <si>
    <t>6LK49204100</t>
  </si>
  <si>
    <t>DEV-UNIT-H370-LC</t>
  </si>
  <si>
    <t>6LL51784000</t>
  </si>
  <si>
    <t>HR-FC2520-L</t>
  </si>
  <si>
    <t>6LL51783100</t>
  </si>
  <si>
    <t>FR_R-KIT-FC252C</t>
  </si>
  <si>
    <t>for Machine Refreshing (CND)</t>
    <phoneticPr fontId="4"/>
  </si>
  <si>
    <t>6LK55546600</t>
  </si>
  <si>
    <t>FUSER-H370-230W4C</t>
  </si>
  <si>
    <t>200V 系列用定著組(CND)</t>
  </si>
  <si>
    <t>for CND</t>
    <phoneticPr fontId="4"/>
  </si>
  <si>
    <t>6LL51754000</t>
  </si>
  <si>
    <t>DEV-UNIT-K160-LK</t>
  </si>
  <si>
    <t>6LL51754200</t>
  </si>
  <si>
    <t>DEV-UNIT-K160-LM</t>
  </si>
  <si>
    <t>6LL51754300</t>
  </si>
  <si>
    <t>DEV-UNIT-K160-LY</t>
  </si>
  <si>
    <t>6LL51754100</t>
  </si>
  <si>
    <t>DEV-UNIT-K160-LC</t>
  </si>
  <si>
    <t>6LL51755000</t>
  </si>
  <si>
    <t>CLNR-DRUM-K160-LKR</t>
  </si>
  <si>
    <t>6LL51755200</t>
  </si>
  <si>
    <t>CLNR-DRUM-K160-LMR</t>
  </si>
  <si>
    <t>6LL51755300</t>
  </si>
  <si>
    <t>CLNR-DRUM-K160-LYR</t>
  </si>
  <si>
    <t>6LL51755100</t>
  </si>
  <si>
    <t>CLNR-DRUM-K160-LCR</t>
  </si>
  <si>
    <t>for AUD, ASD, ARD, CND and eS2500AC MJD</t>
    <phoneticPr fontId="4"/>
  </si>
  <si>
    <t>6LK55546300</t>
  </si>
  <si>
    <t>FUSER-H370-230W3B</t>
  </si>
  <si>
    <t>for eS2510AC MJD</t>
    <phoneticPr fontId="4"/>
  </si>
  <si>
    <t>6LJ70598000</t>
  </si>
  <si>
    <t>OD-FC50</t>
  </si>
  <si>
    <t>BT-FC50G-FU-C</t>
    <phoneticPr fontId="4"/>
  </si>
  <si>
    <t>6LJ70668000</t>
  </si>
  <si>
    <t>HR-FC50H-L</t>
  </si>
  <si>
    <t>6LJ54180000</t>
  </si>
  <si>
    <t>GRID-CHARGR-MAIN-H21Y</t>
  </si>
  <si>
    <t>6LJ54110000</t>
  </si>
  <si>
    <t>ASYB-BUSH-DRUM-FRT-H21X</t>
  </si>
  <si>
    <t>滾筒前侧軸套</t>
  </si>
  <si>
    <t>6LJ54005000</t>
  </si>
  <si>
    <t>BUSH-DRUM-RER-H21X</t>
  </si>
  <si>
    <t>6LJ58890000</t>
  </si>
  <si>
    <t>PAD-BELT-R60-H214</t>
  </si>
  <si>
    <t>Drawer Module=MY-1039, PFP=KD-1032</t>
  </si>
  <si>
    <t>6LJ57123100</t>
  </si>
  <si>
    <t>ASYB-ROL-SPT-SFB-H21Y-X2S</t>
  </si>
  <si>
    <t>RADF=MR-3025</t>
    <phoneticPr fontId="4"/>
  </si>
  <si>
    <t>6LJ70583000</t>
  </si>
  <si>
    <t>DEV-KIT-FC50K</t>
  </si>
  <si>
    <t>6LJ70582000</t>
  </si>
  <si>
    <t>DEV-KIT-FC50CLR</t>
  </si>
  <si>
    <t>6LJ59040000</t>
  </si>
  <si>
    <t>FR-KIT-FC50-C</t>
  </si>
  <si>
    <t>轉寫清潔組保養套件</t>
  </si>
  <si>
    <t>Drawer Module=MY-1039, PFP=KD-1032</t>
    <phoneticPr fontId="4"/>
  </si>
  <si>
    <t>6LJ59009000</t>
  </si>
  <si>
    <t>FUSER-H212</t>
  </si>
  <si>
    <t>6LJ54251C00</t>
  </si>
  <si>
    <t>DEV-UNIT-H210-HLK</t>
  </si>
  <si>
    <t>6LJ54251D00</t>
  </si>
  <si>
    <t>DEV-UNIT-H210-HLC</t>
  </si>
  <si>
    <t>6LJ54251E00</t>
  </si>
  <si>
    <t>DEV-UNIT-H210-HLM</t>
  </si>
  <si>
    <t>6LJ54251F00</t>
  </si>
  <si>
    <t>DEV-UNIT-H210-HLY</t>
  </si>
  <si>
    <t>6LK49101400</t>
  </si>
  <si>
    <t>CLNR-DRUM-H210-HK_N</t>
  </si>
  <si>
    <t>6LK49101500</t>
  </si>
  <si>
    <t>CLNR-DRUM-H210-HC_N</t>
  </si>
  <si>
    <t>6LK49101600</t>
  </si>
  <si>
    <t>CLNR-DRUM-H210-HM_N</t>
  </si>
  <si>
    <t>6LK49101700</t>
  </si>
  <si>
    <t>CLNR-DRUM-H210-HY_N</t>
  </si>
  <si>
    <t>6LJ55609000</t>
  </si>
  <si>
    <t>TR-BLT-FC50</t>
  </si>
  <si>
    <t>for Black</t>
    <phoneticPr fontId="4"/>
  </si>
  <si>
    <t>滾筒（彩色）</t>
    <phoneticPr fontId="4"/>
  </si>
  <si>
    <t>for Color</t>
    <phoneticPr fontId="4"/>
  </si>
  <si>
    <t>6LK49016300</t>
  </si>
  <si>
    <t>D-FC505-K</t>
  </si>
  <si>
    <t>150/150</t>
    <phoneticPr fontId="4"/>
  </si>
  <si>
    <t>6LK49016000</t>
  </si>
  <si>
    <t>D-FC505-Y</t>
  </si>
  <si>
    <t>6LK49016100</t>
  </si>
  <si>
    <t>D-FC505-M</t>
  </si>
  <si>
    <t>6LK49016200</t>
  </si>
  <si>
    <t>D-FC505-C</t>
  </si>
  <si>
    <t>150/75</t>
    <phoneticPr fontId="4"/>
  </si>
  <si>
    <t>6LK48944000</t>
  </si>
  <si>
    <t>GRID-CHGR-MAIN-H373-K</t>
  </si>
  <si>
    <t>柵極網（彩色）</t>
  </si>
  <si>
    <t>6LK48919000</t>
  </si>
  <si>
    <t>BUSH-DRUM-RER-H373</t>
  </si>
  <si>
    <t>for eS2505AC</t>
    <phoneticPr fontId="4"/>
  </si>
  <si>
    <t>6LK49158000</t>
  </si>
  <si>
    <t>BUSH-DRUM-RER-K11X</t>
  </si>
  <si>
    <t>for eS2515AC</t>
    <phoneticPr fontId="4"/>
  </si>
  <si>
    <t>6LK56855000</t>
  </si>
  <si>
    <t>BT-FC505-C</t>
  </si>
  <si>
    <t>For CND</t>
    <phoneticPr fontId="4"/>
  </si>
  <si>
    <t>6LK55468000</t>
  </si>
  <si>
    <t>PR-FC505</t>
  </si>
  <si>
    <t>6LK49168000</t>
  </si>
  <si>
    <t>DEV-KIT-FC505K</t>
  </si>
  <si>
    <t>6LK49167000</t>
  </si>
  <si>
    <t>EPU-KIT-FC505CLR</t>
  </si>
  <si>
    <t>6LK56852000</t>
  </si>
  <si>
    <t>FR-KIT-FC505-C</t>
  </si>
  <si>
    <t>6LK52389000</t>
  </si>
  <si>
    <t>FUSER-H373</t>
  </si>
  <si>
    <t>6LK52444000</t>
  </si>
  <si>
    <t>FUSER-K110</t>
  </si>
  <si>
    <t>6LK49206400</t>
  </si>
  <si>
    <t>EPU-373KN</t>
  </si>
  <si>
    <t>for eS2505AC</t>
  </si>
  <si>
    <t>6LK49184600</t>
  </si>
  <si>
    <t>EPU-373MN</t>
  </si>
  <si>
    <t>6LK49184700</t>
  </si>
  <si>
    <t>EPU-373YN</t>
  </si>
  <si>
    <t>6LK49184500</t>
  </si>
  <si>
    <t>EPU-373CN</t>
  </si>
  <si>
    <t>6LK49205000</t>
  </si>
  <si>
    <t>EPU-K110K</t>
  </si>
  <si>
    <t>for eS2515AC</t>
  </si>
  <si>
    <t>6LK49205200</t>
  </si>
  <si>
    <t>EPU-K110M</t>
  </si>
  <si>
    <t>6LK49205300</t>
  </si>
  <si>
    <t>EPU-K110Y</t>
  </si>
  <si>
    <t>6LK49205100</t>
  </si>
  <si>
    <t>EPU-K110C</t>
  </si>
  <si>
    <t>6LK50423000</t>
  </si>
  <si>
    <t>TR-BLT-FC505</t>
  </si>
  <si>
    <t>6LL51735000</t>
  </si>
  <si>
    <t>D-FC425-Y</t>
  </si>
  <si>
    <t>6LL51735100</t>
  </si>
  <si>
    <t>D-FC425-M</t>
  </si>
  <si>
    <t>6LL51735200</t>
  </si>
  <si>
    <t>D-FC425-C</t>
  </si>
  <si>
    <t>6LL43347000</t>
  </si>
  <si>
    <t>GRID-CHARGR-MAIN-K163-YMC</t>
  </si>
  <si>
    <t>6LL51855000</t>
  </si>
  <si>
    <t>BT-FC3525-C</t>
  </si>
  <si>
    <t>For CND (with Grease)</t>
    <phoneticPr fontId="4"/>
  </si>
  <si>
    <t>6LL51797000</t>
  </si>
  <si>
    <t>EPU-KIT-FC425CLR</t>
  </si>
  <si>
    <t>6LL51856000</t>
  </si>
  <si>
    <t>FR-KIT-FC3525-C</t>
  </si>
  <si>
    <t>6LL51858200</t>
  </si>
  <si>
    <t>FUSER-K163-230</t>
  </si>
  <si>
    <t>Except NAD</t>
    <phoneticPr fontId="4"/>
  </si>
  <si>
    <t>6LL51753000</t>
  </si>
  <si>
    <t>EPU-K163K</t>
  </si>
  <si>
    <t>6LL51753200</t>
  </si>
  <si>
    <t>EPU-K163M</t>
  </si>
  <si>
    <t>6LL51753300</t>
  </si>
  <si>
    <t>EPU-K163Y</t>
  </si>
  <si>
    <t>6LL51753100</t>
  </si>
  <si>
    <t>EPU-K163C</t>
  </si>
  <si>
    <t>6LL44834000</t>
  </si>
  <si>
    <t>TR-BLT-FC506</t>
  </si>
  <si>
    <t>6LL15845700</t>
  </si>
  <si>
    <t>EPU-FC330-KC</t>
  </si>
  <si>
    <t xml:space="preserve">for CND        (CRU) </t>
  </si>
  <si>
    <t>6LL15845400</t>
  </si>
  <si>
    <t>EPU-FC330-YC</t>
  </si>
  <si>
    <t>6LL15845500</t>
  </si>
  <si>
    <t>EPU-FC330-MC</t>
  </si>
  <si>
    <t>6LL15845600</t>
  </si>
  <si>
    <t>EPU-FC330-CC</t>
  </si>
  <si>
    <t>6LL07374100</t>
  </si>
  <si>
    <t>TR-BLT_CLN-FC330-C</t>
  </si>
  <si>
    <t>6LL07373100</t>
  </si>
  <si>
    <t>TR-FC330-C</t>
  </si>
  <si>
    <t>6LL15822000</t>
  </si>
  <si>
    <t>TR-BLT-FC330</t>
  </si>
  <si>
    <t>6LL15849200</t>
  </si>
  <si>
    <t>FUSER-FC330-230C</t>
  </si>
  <si>
    <t>for CND (230V CRU)</t>
  </si>
  <si>
    <t>6LL15847100</t>
  </si>
  <si>
    <t>ROLL-BR-FC330-C</t>
  </si>
  <si>
    <t>手送台送紙滾軸套件</t>
  </si>
  <si>
    <t>6LL15848100</t>
  </si>
  <si>
    <t>ROLL-DR-FC330-C</t>
  </si>
  <si>
    <t>6LL15850100</t>
  </si>
  <si>
    <t>ROLL-LR-FC330-C</t>
  </si>
  <si>
    <t>6LL11123100</t>
  </si>
  <si>
    <t>ROLL-DF-FC330-C</t>
  </si>
  <si>
    <t>6LJ59042000</t>
  </si>
  <si>
    <t>for BK</t>
    <phoneticPr fontId="4"/>
  </si>
  <si>
    <t>180/180</t>
    <phoneticPr fontId="4"/>
  </si>
  <si>
    <t>180/90</t>
    <phoneticPr fontId="4"/>
  </si>
  <si>
    <t>180/90</t>
  </si>
  <si>
    <t>for eS3005AC</t>
    <phoneticPr fontId="4"/>
  </si>
  <si>
    <t>for eS3015AC</t>
    <phoneticPr fontId="4"/>
  </si>
  <si>
    <t>for eS3005AC</t>
  </si>
  <si>
    <t>for eS3015AC</t>
  </si>
  <si>
    <t>6LL51858100</t>
  </si>
  <si>
    <t>FUSER-K163-120</t>
  </si>
  <si>
    <t>For NAD</t>
    <phoneticPr fontId="4"/>
  </si>
  <si>
    <t>for Color</t>
  </si>
  <si>
    <t>210/210</t>
    <phoneticPr fontId="4"/>
  </si>
  <si>
    <t>210/105</t>
    <phoneticPr fontId="4"/>
  </si>
  <si>
    <t>210/105</t>
  </si>
  <si>
    <t>for eS3505AC</t>
    <phoneticPr fontId="4"/>
  </si>
  <si>
    <t>for eS3515AC</t>
    <phoneticPr fontId="4"/>
  </si>
  <si>
    <t>6LK56859000</t>
  </si>
  <si>
    <t>FR-KIT-FC505</t>
  </si>
  <si>
    <t>Except CND</t>
  </si>
  <si>
    <t>for eS3505AC</t>
  </si>
  <si>
    <t>for eS3515AC</t>
  </si>
  <si>
    <t>BT-FC50-FU-C</t>
    <phoneticPr fontId="4"/>
  </si>
  <si>
    <t>6LJ59041000</t>
  </si>
  <si>
    <t>FR-KIT-FC50H-C</t>
  </si>
  <si>
    <t>6LJ59010000</t>
  </si>
  <si>
    <t>FUSER-H214</t>
  </si>
  <si>
    <t>6LJ54251400</t>
  </si>
  <si>
    <t>DEV-UNIT-H210-H2K</t>
  </si>
  <si>
    <t>6LJ54251500</t>
  </si>
  <si>
    <t>DEV-UNIT-H210-H2C</t>
  </si>
  <si>
    <t>6LJ54251600</t>
  </si>
  <si>
    <t>DEV-UNIT-H210-H2M</t>
  </si>
  <si>
    <t>6LJ54251700</t>
  </si>
  <si>
    <t>DEV-UNIT-H210-H2Y</t>
  </si>
  <si>
    <t>for eS4505AC</t>
    <phoneticPr fontId="4"/>
  </si>
  <si>
    <t>for eS4515AC</t>
    <phoneticPr fontId="4"/>
  </si>
  <si>
    <t>6LK56856000</t>
  </si>
  <si>
    <t>BT-FC505H-C</t>
  </si>
  <si>
    <t>6LK56852100</t>
  </si>
  <si>
    <t>FR-KIT-FC505-HC</t>
  </si>
  <si>
    <t>6LK52390000</t>
  </si>
  <si>
    <t>FUSER-H376</t>
  </si>
  <si>
    <t>6LK52443000</t>
  </si>
  <si>
    <t>FUSER-K114</t>
  </si>
  <si>
    <t>6LK49206000</t>
  </si>
  <si>
    <t>EPU-376KN</t>
  </si>
  <si>
    <t>for eS4505AC</t>
  </si>
  <si>
    <t>6LK49184200</t>
  </si>
  <si>
    <t>EPU-376MN</t>
  </si>
  <si>
    <t>6LK49184300</t>
  </si>
  <si>
    <t>EPU-376YN</t>
  </si>
  <si>
    <t>6LK49184100</t>
  </si>
  <si>
    <t>EPU-376CN</t>
  </si>
  <si>
    <t>6LK49205400</t>
  </si>
  <si>
    <t>EPU-K114K</t>
  </si>
  <si>
    <t>for eS4515AC</t>
  </si>
  <si>
    <t>6LK49205600</t>
  </si>
  <si>
    <t>EPU-K114M</t>
  </si>
  <si>
    <t>6LK49205700</t>
  </si>
  <si>
    <t>EPU-K114Y</t>
  </si>
  <si>
    <t>6LK49205500</t>
  </si>
  <si>
    <t>EPU-K114C</t>
  </si>
  <si>
    <t>6LL51809000</t>
  </si>
  <si>
    <t>FUSER-K166</t>
  </si>
  <si>
    <t>6LL51753600</t>
  </si>
  <si>
    <t>EPU-K166M</t>
  </si>
  <si>
    <t>6LL51753700</t>
  </si>
  <si>
    <t>EPU-K166Y</t>
  </si>
  <si>
    <t>6LL51753500</t>
  </si>
  <si>
    <t>EPU-K166C</t>
  </si>
  <si>
    <t>for eS5005AC</t>
    <phoneticPr fontId="4"/>
  </si>
  <si>
    <t>for eS5015AC</t>
    <phoneticPr fontId="4"/>
  </si>
  <si>
    <t>for eS5005AC</t>
  </si>
  <si>
    <t>for eS5015AC</t>
  </si>
  <si>
    <t>6LH16946200</t>
  </si>
  <si>
    <t>OD-FC55</t>
  </si>
  <si>
    <t>6LJ10690300</t>
  </si>
  <si>
    <t>D-FC65-K</t>
  </si>
  <si>
    <t>6LJ10690000</t>
  </si>
  <si>
    <t>D-FC65-Y</t>
  </si>
  <si>
    <t>6LJ10690100</t>
  </si>
  <si>
    <t>D-FC65-M</t>
  </si>
  <si>
    <t>6LJ10690200</t>
  </si>
  <si>
    <t>D-FC65-C</t>
  </si>
  <si>
    <t>6LJ06782000</t>
  </si>
  <si>
    <t>BL-FC55D</t>
  </si>
  <si>
    <t>6LH16936000</t>
  </si>
  <si>
    <t>BT-FC55-FU</t>
  </si>
  <si>
    <t>6LH16935000</t>
  </si>
  <si>
    <t>FR-FC55-U</t>
  </si>
  <si>
    <t>定著滾軸</t>
  </si>
  <si>
    <t>6LH16937000</t>
  </si>
  <si>
    <t>HR-FC55-L</t>
  </si>
  <si>
    <t>6LH18040000</t>
  </si>
  <si>
    <t>BL-FC55TR2</t>
  </si>
  <si>
    <t>第二轉寫滾軸清潔刮片</t>
  </si>
  <si>
    <t>6LJ10535000</t>
  </si>
  <si>
    <t>CR-FC65TR2</t>
  </si>
  <si>
    <t>6LH18039000</t>
  </si>
  <si>
    <t>BL-FC55-TBU</t>
  </si>
  <si>
    <t>6LH16943000</t>
  </si>
  <si>
    <t>LB-FC55TR2</t>
  </si>
  <si>
    <t xml:space="preserve">第二轉寫滾軸润滑組 </t>
  </si>
  <si>
    <t>6LH04342000</t>
  </si>
  <si>
    <t>SHLD-BLADE-TR2-SIDE-R</t>
  </si>
  <si>
    <t>6LH04392000</t>
  </si>
  <si>
    <t>ASYS-BOX-TNR-TRU</t>
  </si>
  <si>
    <t>6LH02871000</t>
  </si>
  <si>
    <t>PIN_ARRAY-CHARGR-MAIN-430</t>
  </si>
  <si>
    <t>6LJ08843000</t>
  </si>
  <si>
    <t>SCRAPR-FUS-350</t>
  </si>
  <si>
    <t>6LH07378000</t>
  </si>
  <si>
    <t>COLLAR-BLT-MCR</t>
  </si>
  <si>
    <t>6LJ07147000</t>
  </si>
  <si>
    <t>ASYB-CLN-RLR-TBU-H130</t>
  </si>
  <si>
    <t>6LH03989000</t>
  </si>
  <si>
    <t>SEAL-CLN-TBU-F</t>
  </si>
  <si>
    <t>6LH03990000</t>
  </si>
  <si>
    <t>SEAL-CLN-TBU-R</t>
  </si>
  <si>
    <t>6LJ06308000</t>
  </si>
  <si>
    <t>FLTR-COV-TP-REAR-R</t>
  </si>
  <si>
    <t>6LJ06310000</t>
  </si>
  <si>
    <t>FILTER-FUS-EXIT</t>
  </si>
  <si>
    <t>RADF 用送纸滾軸</t>
  </si>
  <si>
    <t>External LCF(MP-2501)</t>
    <phoneticPr fontId="4"/>
  </si>
  <si>
    <t xml:space="preserve">送紙滾軸（MR-2501） </t>
  </si>
  <si>
    <t xml:space="preserve">分離滾軸（MR-2501） </t>
  </si>
  <si>
    <t>6LJ10655000</t>
  </si>
  <si>
    <t>EPU-KIT-FC65-G</t>
  </si>
  <si>
    <t>6LJ10657000</t>
  </si>
  <si>
    <t>TBU-KIT-FC65</t>
  </si>
  <si>
    <t>6LH16897000</t>
  </si>
  <si>
    <t>FR-KIT-FC55</t>
  </si>
  <si>
    <t>6LJ10649000</t>
  </si>
  <si>
    <t>TR2-KIT-FC65</t>
  </si>
  <si>
    <t xml:space="preserve">二次轉寫保養套件 </t>
  </si>
  <si>
    <t>6LK31000000</t>
  </si>
  <si>
    <t>FLTR-KIT-FC65</t>
  </si>
  <si>
    <t xml:space="preserve">送紙套件（MP-2501) </t>
  </si>
  <si>
    <t>6LJ06767000</t>
  </si>
  <si>
    <t>CLN-DRUM-FC55</t>
  </si>
  <si>
    <t>6LK30978000</t>
  </si>
  <si>
    <t>DEVE-UNIT-FC65</t>
  </si>
  <si>
    <t>6LK40685000</t>
  </si>
  <si>
    <t>MAIN-CH-FC65-G</t>
  </si>
  <si>
    <t>6LJ07172000</t>
  </si>
  <si>
    <t>TR-BLT-CLN-FC65</t>
  </si>
  <si>
    <t>6LJ07445000</t>
  </si>
  <si>
    <t>TR2-UNIT-FC65</t>
  </si>
  <si>
    <t>6LJ10661000</t>
  </si>
  <si>
    <t>FUSER-FC65-220A</t>
  </si>
  <si>
    <t>200V 系列用定著組(CND,ASD,AUD)</t>
  </si>
  <si>
    <t>6LK43607000</t>
  </si>
  <si>
    <t>D-FC556-Y</t>
  </si>
  <si>
    <t>6LK43607100</t>
  </si>
  <si>
    <t>D-FC556-M</t>
  </si>
  <si>
    <t>6LK43607200</t>
  </si>
  <si>
    <t>D-FC556-C</t>
  </si>
  <si>
    <t>6LK39511000</t>
  </si>
  <si>
    <t>FILTER-VOC-H38X</t>
  </si>
  <si>
    <t>for eS5506AC</t>
    <phoneticPr fontId="4"/>
  </si>
  <si>
    <t>6LK39553000</t>
  </si>
  <si>
    <t>FILTER-VOC-H38X-TA</t>
  </si>
  <si>
    <t>for eS5516AC</t>
    <phoneticPr fontId="4"/>
  </si>
  <si>
    <t>for eS6526AC</t>
    <phoneticPr fontId="4"/>
  </si>
  <si>
    <t>ASY-FUSER-BELT-FC556-C</t>
    <phoneticPr fontId="4"/>
  </si>
  <si>
    <t>SFB (eS5506AC/5516AC)</t>
    <phoneticPr fontId="4"/>
  </si>
  <si>
    <t>SFB (eS5506AC/5516AC)</t>
  </si>
  <si>
    <t>SFB (eS6526AC)</t>
    <phoneticPr fontId="4"/>
  </si>
  <si>
    <t>SFB (eS6526AC)</t>
  </si>
  <si>
    <t>6LK42667000</t>
  </si>
  <si>
    <t>FR-KIT-FC556-FU-C</t>
  </si>
  <si>
    <t>6LK39546000</t>
  </si>
  <si>
    <t>FLTR-KIT-FC556</t>
  </si>
  <si>
    <t>eS5506AC/5516AC</t>
    <phoneticPr fontId="4"/>
  </si>
  <si>
    <t>6LL59316000</t>
  </si>
  <si>
    <t>FLTR-KIT-FC652</t>
  </si>
  <si>
    <t>eS6526AC</t>
    <phoneticPr fontId="4"/>
  </si>
  <si>
    <t>6LK40756000</t>
  </si>
  <si>
    <t>DEVE-UNIT-FC556-C</t>
  </si>
  <si>
    <t>顯像組（彩色）</t>
  </si>
  <si>
    <t>6LK44135000</t>
  </si>
  <si>
    <t>FUSER-FC556</t>
  </si>
  <si>
    <t>for eS5506AC/5516AC (except CND)</t>
    <phoneticPr fontId="4"/>
  </si>
  <si>
    <t>for eS5506AC/5516AC (CND)</t>
    <phoneticPr fontId="4"/>
  </si>
  <si>
    <t>for eS6526AC (All)</t>
    <phoneticPr fontId="4"/>
  </si>
  <si>
    <t>212/212</t>
    <phoneticPr fontId="4"/>
  </si>
  <si>
    <t>212/106</t>
  </si>
  <si>
    <t>External LCF(MP-2501)</t>
  </si>
  <si>
    <t xml:space="preserve">送紙套件（MR-2501) </t>
  </si>
  <si>
    <t>for eS6506AC</t>
    <phoneticPr fontId="4"/>
  </si>
  <si>
    <t>for eS6516AC</t>
    <phoneticPr fontId="4"/>
  </si>
  <si>
    <t>for eS6527AC</t>
    <phoneticPr fontId="4"/>
  </si>
  <si>
    <t>SFB (eS6506AC/6516AC)</t>
    <phoneticPr fontId="4"/>
  </si>
  <si>
    <t>SFB (eS6506AC/6516AC)</t>
  </si>
  <si>
    <t>SFB (eS6527AC)</t>
    <phoneticPr fontId="4"/>
  </si>
  <si>
    <t>SFB (eS6527AC)</t>
  </si>
  <si>
    <t>eS6506AC/6516AC</t>
    <phoneticPr fontId="4"/>
  </si>
  <si>
    <t>eS6527AC</t>
    <phoneticPr fontId="4"/>
  </si>
  <si>
    <t>for eS6506AC/6516AC (except CND)</t>
    <phoneticPr fontId="4"/>
  </si>
  <si>
    <t>for eS6506AC/6516AC (CND)</t>
    <phoneticPr fontId="4"/>
  </si>
  <si>
    <t>for eS6527AC (All)</t>
    <phoneticPr fontId="4"/>
  </si>
  <si>
    <t>230/230</t>
  </si>
  <si>
    <t>230/115</t>
  </si>
  <si>
    <t xml:space="preserve">洋红顯像鐵粉 </t>
  </si>
  <si>
    <t xml:space="preserve">青顯像鐵粉 </t>
  </si>
  <si>
    <t xml:space="preserve">第二轉寫滾軸清潔刮片 </t>
  </si>
  <si>
    <t xml:space="preserve">第二轉寫滾軸 </t>
  </si>
  <si>
    <t xml:space="preserve">Y/M/C 充电柵極網 </t>
  </si>
  <si>
    <t xml:space="preserve">黑色充电柵極網 </t>
  </si>
  <si>
    <t xml:space="preserve">定著分離爪 </t>
  </si>
  <si>
    <t>送纸滾軸(MP-2501)</t>
  </si>
  <si>
    <t>Y/M/C保養套件</t>
  </si>
  <si>
    <t>6LJ10656000</t>
  </si>
  <si>
    <t>EPU-KIT-FC65-S</t>
  </si>
  <si>
    <t xml:space="preserve">Y/M/C 放電座组件 </t>
  </si>
  <si>
    <t>for Y/M/C</t>
    <phoneticPr fontId="4"/>
  </si>
  <si>
    <t>6LK40686000</t>
  </si>
  <si>
    <t>MAIN-CH-FC65-S</t>
  </si>
  <si>
    <t xml:space="preserve">黑色放電座组件 </t>
  </si>
  <si>
    <t>for K</t>
    <phoneticPr fontId="4"/>
  </si>
  <si>
    <t>for YMC</t>
    <phoneticPr fontId="4"/>
  </si>
  <si>
    <t>for eS7506AC</t>
    <phoneticPr fontId="4"/>
  </si>
  <si>
    <t>for eS7516AC</t>
    <phoneticPr fontId="4"/>
  </si>
  <si>
    <t>for eS7527AC</t>
    <phoneticPr fontId="4"/>
  </si>
  <si>
    <t>SFB (eS7506AC/7516AC)</t>
    <phoneticPr fontId="4"/>
  </si>
  <si>
    <t>SFB (eS7506AC/7516AC)</t>
  </si>
  <si>
    <t>SFB (eS7527AC)</t>
    <phoneticPr fontId="4"/>
  </si>
  <si>
    <t>SFB (eS7527AC)</t>
  </si>
  <si>
    <t>EPU 保養套件（黑色）</t>
  </si>
  <si>
    <t>EPU 保養套件（彩色）</t>
  </si>
  <si>
    <t>for eS7506AC/7516AC</t>
    <phoneticPr fontId="4"/>
  </si>
  <si>
    <t>eS7527AC</t>
    <phoneticPr fontId="4"/>
  </si>
  <si>
    <t>放電座组件（黑色）</t>
  </si>
  <si>
    <t>放電座组件（彩色）</t>
  </si>
  <si>
    <t>for eS7506AC/7516AC (except CND)</t>
    <phoneticPr fontId="4"/>
  </si>
  <si>
    <t>for eS7506AC/7516AC (CND)</t>
    <phoneticPr fontId="4"/>
  </si>
  <si>
    <t>for eS7527AC (All)</t>
    <phoneticPr fontId="4"/>
  </si>
  <si>
    <t>6LJ35528000</t>
  </si>
  <si>
    <t>D-3031</t>
  </si>
  <si>
    <t>6LJ35539000</t>
  </si>
  <si>
    <t>HR-3031-U</t>
  </si>
  <si>
    <t>6LJ35540000</t>
  </si>
  <si>
    <t>HR-3031-L</t>
  </si>
  <si>
    <t>6LJ35442000</t>
  </si>
  <si>
    <t>BT-3030-FU</t>
  </si>
  <si>
    <t>6LJ31959000</t>
  </si>
  <si>
    <t>SHEET-PAD-H20X</t>
  </si>
  <si>
    <t>6LJ58059000</t>
  </si>
  <si>
    <t>SCRAPER-HR-H210</t>
  </si>
  <si>
    <t>Drawer Module=MY-1042, PFP=KD-1033/2017J</t>
    <phoneticPr fontId="4"/>
  </si>
  <si>
    <t>Drawer Module=MY-1042, PFP=KD-1033/2017J</t>
  </si>
  <si>
    <t>分離滾軸（MR-3021）</t>
  </si>
  <si>
    <t>6LJ83871000</t>
  </si>
  <si>
    <t>DEV-KIT-3031</t>
  </si>
  <si>
    <t>6LJ32060000</t>
  </si>
  <si>
    <t>FR-KIT-3031</t>
  </si>
  <si>
    <t>送紙套件（MR-3021/3022）</t>
  </si>
  <si>
    <t>6LJ30700000</t>
  </si>
  <si>
    <t>PU-3031</t>
  </si>
  <si>
    <t>6LJ32069300</t>
  </si>
  <si>
    <t>FUSER-3031-230C</t>
  </si>
  <si>
    <t>定著組（CND）</t>
  </si>
  <si>
    <t>for China</t>
  </si>
  <si>
    <t>1/1</t>
    <phoneticPr fontId="4"/>
  </si>
  <si>
    <t>for K/EB</t>
    <phoneticPr fontId="4"/>
  </si>
  <si>
    <t>1/0</t>
    <phoneticPr fontId="4"/>
  </si>
  <si>
    <t>6LK76760000</t>
  </si>
  <si>
    <t>D-3535-E</t>
  </si>
  <si>
    <t>顯像鐵粉（可消色）</t>
  </si>
  <si>
    <t>0/1</t>
    <phoneticPr fontId="4"/>
  </si>
  <si>
    <t>for EB</t>
    <phoneticPr fontId="4"/>
  </si>
  <si>
    <t>2/2</t>
    <phoneticPr fontId="4"/>
  </si>
  <si>
    <t>for K/EB</t>
  </si>
  <si>
    <t>6LK81604000</t>
  </si>
  <si>
    <t>BT-3535-FU</t>
  </si>
  <si>
    <t>6LK81603000</t>
  </si>
  <si>
    <t>HR-3535</t>
  </si>
  <si>
    <t>6LK81602000</t>
  </si>
  <si>
    <t>PR-3535</t>
  </si>
  <si>
    <t>6LK78770000</t>
  </si>
  <si>
    <t>SCRAPER-HR-H43X</t>
  </si>
  <si>
    <t>6LK76112000</t>
  </si>
  <si>
    <t>DEV-KIT-3535E</t>
  </si>
  <si>
    <t>顯像保養套件（可消色）</t>
  </si>
  <si>
    <t>6LK81605000</t>
  </si>
  <si>
    <t>FR-KIT-3535</t>
  </si>
  <si>
    <t>6LK81601100</t>
  </si>
  <si>
    <t>FUSER-H430-230</t>
  </si>
  <si>
    <t>for eS3508LP</t>
    <phoneticPr fontId="4"/>
  </si>
  <si>
    <t>6LK49206800</t>
  </si>
  <si>
    <t>EPU-H430N</t>
  </si>
  <si>
    <t>顯像組(EB)</t>
  </si>
  <si>
    <t>6LK50423100</t>
  </si>
  <si>
    <t>TR-BLT-3535</t>
  </si>
  <si>
    <t>for eS4508LP/5008LP</t>
    <phoneticPr fontId="4"/>
  </si>
  <si>
    <t>2802A/AM/AF, 2822AM</t>
  </si>
  <si>
    <t>2006/2306/2506/2007/2307/2507</t>
  </si>
  <si>
    <t>2303A/2309A, 2323AM/AMS/AMW</t>
  </si>
  <si>
    <t>2523A/2523AD</t>
  </si>
  <si>
    <t>2528A</t>
  </si>
  <si>
    <t>5528A</t>
  </si>
  <si>
    <t>7508A/7518A/7618A/7529A</t>
  </si>
  <si>
    <t>8508A/8518A/8618A</t>
  </si>
  <si>
    <t>9029A</t>
  </si>
  <si>
    <t>2050C/2051C</t>
  </si>
  <si>
    <t>2020AC</t>
  </si>
  <si>
    <t>2550C/2551C</t>
  </si>
  <si>
    <t>2555C</t>
  </si>
  <si>
    <t>2525AC</t>
  </si>
  <si>
    <t>330AC/400AC</t>
  </si>
  <si>
    <t>3055C</t>
  </si>
  <si>
    <t>3005AC/3015AC/3115AC</t>
  </si>
  <si>
    <t>3555C</t>
  </si>
  <si>
    <t>4555C</t>
  </si>
  <si>
    <t>5055C</t>
  </si>
  <si>
    <t>5540C/5560C</t>
  </si>
  <si>
    <t>5525AC/ACG</t>
  </si>
  <si>
    <t>6540C/6560C</t>
  </si>
  <si>
    <t>6550C/6570C</t>
  </si>
  <si>
    <t>7506AC/7516AC/7616AC/7527AC</t>
  </si>
  <si>
    <t>307LP</t>
  </si>
  <si>
    <t>3508LP</t>
  </si>
  <si>
    <t>4508LP/5008LP</t>
  </si>
  <si>
    <t>T6LJ83358000</t>
  </si>
  <si>
    <t>T6LJ83445000</t>
  </si>
  <si>
    <t>T6LA27845000</t>
  </si>
  <si>
    <t>T6LJ83407000</t>
  </si>
  <si>
    <t>T6LJ78116000</t>
  </si>
  <si>
    <t>T6LJ83406000</t>
  </si>
  <si>
    <t>T6LE58405000</t>
  </si>
  <si>
    <t>T6LJ78009000</t>
  </si>
  <si>
    <t>T6LA79618000</t>
  </si>
  <si>
    <t>T6LJ76609000</t>
  </si>
  <si>
    <t>T6LJ80213000</t>
  </si>
  <si>
    <t>T6LJ78626000</t>
  </si>
  <si>
    <t>T6LJ78604000</t>
  </si>
  <si>
    <t>T6LJ75249000</t>
  </si>
  <si>
    <t>T6LJ75285000</t>
  </si>
  <si>
    <t>T6LJ74927000</t>
  </si>
  <si>
    <t>T6LJ83556000</t>
  </si>
  <si>
    <t>T6LJ78114000</t>
  </si>
  <si>
    <t>T6LJ76605000</t>
  </si>
  <si>
    <t>T6LJ75530000</t>
  </si>
  <si>
    <t>T6LJ78627000</t>
  </si>
  <si>
    <t>T6LJ78111000</t>
  </si>
  <si>
    <t>T6LJ84278000</t>
  </si>
  <si>
    <t>T6LJ78088000</t>
  </si>
  <si>
    <t>T6LJ74979000</t>
  </si>
  <si>
    <t>T6LJ74999000</t>
  </si>
  <si>
    <t>T6LL21601000</t>
  </si>
  <si>
    <t>T6LJ78113000</t>
  </si>
  <si>
    <t>T6LJ76601000</t>
  </si>
  <si>
    <t>T6LJ78106000</t>
  </si>
  <si>
    <t>T6LJ46929000</t>
  </si>
  <si>
    <t>T6LJ75296000</t>
  </si>
  <si>
    <t>T6LH51412000</t>
  </si>
  <si>
    <t>T6LJ74945000</t>
  </si>
  <si>
    <t>T6LJ78112000</t>
  </si>
  <si>
    <t>T6LJ75025000</t>
  </si>
  <si>
    <t>T6LL20258000</t>
  </si>
  <si>
    <t>T6LK28354000</t>
  </si>
  <si>
    <t>T6LK28272000</t>
  </si>
  <si>
    <t>T6LK25729000</t>
  </si>
  <si>
    <t>T6LH58426000</t>
  </si>
  <si>
    <t>T6LL37561000</t>
  </si>
  <si>
    <t>T6LE54020000</t>
  </si>
  <si>
    <t>T6LA84930000</t>
  </si>
  <si>
    <t>T6LH25001000</t>
  </si>
  <si>
    <t>T6LJ14053000</t>
  </si>
  <si>
    <t>T6LJ15609000</t>
  </si>
  <si>
    <t>T6LJ51178100</t>
  </si>
  <si>
    <t>T41304048000</t>
  </si>
  <si>
    <t>T6LH46302000</t>
  </si>
  <si>
    <t>T6LH51459000</t>
  </si>
  <si>
    <t>T6LE50297000</t>
  </si>
  <si>
    <t>T6LE49877000</t>
  </si>
  <si>
    <t>T6LE99346000</t>
  </si>
  <si>
    <t>T6LE99347000</t>
  </si>
  <si>
    <t>T6LE99348000</t>
  </si>
  <si>
    <t>T6LK28336000</t>
  </si>
  <si>
    <t>T6LK25732000</t>
  </si>
  <si>
    <t>T6LH34608000</t>
  </si>
  <si>
    <t>T6LH06996000</t>
  </si>
  <si>
    <t>T6LE99304000</t>
  </si>
  <si>
    <t>T6LH53491000</t>
  </si>
  <si>
    <t>T6LK25731000</t>
  </si>
  <si>
    <t>T6LK72107000</t>
  </si>
  <si>
    <t>T6LK72102000</t>
  </si>
  <si>
    <t>T6LJ56242000</t>
  </si>
  <si>
    <t>T6LK50739000</t>
  </si>
  <si>
    <t>T6LK50742000</t>
  </si>
  <si>
    <t>T6LJ57026000</t>
  </si>
  <si>
    <t>T6LK51438000</t>
  </si>
  <si>
    <t>T6LK54190000</t>
  </si>
  <si>
    <t>T6LK56800000</t>
  </si>
  <si>
    <t>T6LK54189000</t>
  </si>
  <si>
    <t>T6LK72105000</t>
  </si>
  <si>
    <t>T6LK72103000</t>
  </si>
  <si>
    <t>T6LK50755000</t>
  </si>
  <si>
    <t>T6LK71637000</t>
  </si>
  <si>
    <t>T6LK54293000</t>
  </si>
  <si>
    <t>T6LK67102000</t>
  </si>
  <si>
    <t>T6LK67102200</t>
  </si>
  <si>
    <t>T6LK68056200</t>
  </si>
  <si>
    <t>T6LL33301000</t>
  </si>
  <si>
    <t>T6LL37515000</t>
  </si>
  <si>
    <t>T6LK56966000</t>
  </si>
  <si>
    <t>T6LL08757000</t>
  </si>
  <si>
    <t>T6LL07912000</t>
  </si>
  <si>
    <t>T6LA10352000</t>
  </si>
  <si>
    <t>T6LK41557000</t>
  </si>
  <si>
    <t>T6LK41558000</t>
  </si>
  <si>
    <t>T6LL37560000</t>
  </si>
  <si>
    <t>T6LL48460000</t>
  </si>
  <si>
    <t>T6LL49517000</t>
  </si>
  <si>
    <t>T6LK67102400</t>
  </si>
  <si>
    <t>T6LL35000200</t>
  </si>
  <si>
    <t>T6LH58425000</t>
  </si>
  <si>
    <t>T6LH55802000</t>
  </si>
  <si>
    <t>T6LK25732100</t>
  </si>
  <si>
    <t>T6LH53491100</t>
  </si>
  <si>
    <t>T6LK25736000</t>
  </si>
  <si>
    <t>T6LK72101000</t>
  </si>
  <si>
    <t>T6LK72103100</t>
  </si>
  <si>
    <t>T6LK67102100</t>
  </si>
  <si>
    <t>T6LK67102300</t>
  </si>
  <si>
    <t>T6LK68070200</t>
  </si>
  <si>
    <t>T6LK94002000</t>
  </si>
  <si>
    <t>T6LK67102500</t>
  </si>
  <si>
    <t>T6LL35001200</t>
  </si>
  <si>
    <t>T6LJ13409000</t>
  </si>
  <si>
    <t>T6LJ13413000</t>
  </si>
  <si>
    <t>T6LA23006000</t>
  </si>
  <si>
    <t>T6LE15897000</t>
  </si>
  <si>
    <t>T6LE19374000</t>
  </si>
  <si>
    <t>T6LH73765000</t>
  </si>
  <si>
    <t>T6LE15289000</t>
  </si>
  <si>
    <t>T6LH72779000</t>
  </si>
  <si>
    <t>T6LE19372000</t>
  </si>
  <si>
    <t>T6LE19373000</t>
  </si>
  <si>
    <t>T6LH72802000</t>
  </si>
  <si>
    <t>T6LA23070000</t>
  </si>
  <si>
    <t>T6LH72622000</t>
  </si>
  <si>
    <t>T6LH73868000</t>
  </si>
  <si>
    <t>T6LE06379000</t>
  </si>
  <si>
    <t>T6LH68664000</t>
  </si>
  <si>
    <t>T6LE04155000</t>
  </si>
  <si>
    <t>T6LA02260000</t>
  </si>
  <si>
    <t>T6LH68683000</t>
  </si>
  <si>
    <t>T4402491630</t>
  </si>
  <si>
    <t>T6LA05468000</t>
  </si>
  <si>
    <t>T6LA04047000</t>
  </si>
  <si>
    <t>T6LA04042000</t>
  </si>
  <si>
    <t>T6LA04694000</t>
  </si>
  <si>
    <t>T4401773050</t>
  </si>
  <si>
    <t>T4406347610</t>
  </si>
  <si>
    <t>T6LA10749000</t>
  </si>
  <si>
    <t>T6LH76412000</t>
  </si>
  <si>
    <t>T6LH72780000</t>
  </si>
  <si>
    <t>T6LH76411100</t>
  </si>
  <si>
    <t>T6LE15221000</t>
  </si>
  <si>
    <t>T6LA06886000</t>
  </si>
  <si>
    <t>T6LE07910000</t>
  </si>
  <si>
    <t>T6LH73786000</t>
  </si>
  <si>
    <t>T6LH72775000</t>
  </si>
  <si>
    <t>T6LE15234000</t>
  </si>
  <si>
    <t>T6LH76410000</t>
  </si>
  <si>
    <t>T6LH72784800</t>
  </si>
  <si>
    <t>T6LK40607000</t>
  </si>
  <si>
    <t>T6LK43607300</t>
  </si>
  <si>
    <t>T6LK40608000</t>
  </si>
  <si>
    <t>T6LJ06722000</t>
  </si>
  <si>
    <t>T6LK40587000</t>
  </si>
  <si>
    <t>T6LH02739000</t>
  </si>
  <si>
    <t>T6LK40663000</t>
  </si>
  <si>
    <t>T6LK40664000</t>
  </si>
  <si>
    <t>T6LJ06311000</t>
  </si>
  <si>
    <t>T6LH01574000</t>
  </si>
  <si>
    <t>T6LH01575000</t>
  </si>
  <si>
    <t>T6LK42669000</t>
  </si>
  <si>
    <t>T6LK43647000</t>
  </si>
  <si>
    <t>T6LK42589000</t>
  </si>
  <si>
    <t>T6LK41390000</t>
  </si>
  <si>
    <t>T6LK41162000</t>
  </si>
  <si>
    <t>T6LK41146000</t>
  </si>
  <si>
    <t>T6LK41181000</t>
  </si>
  <si>
    <t>T6LK41180000</t>
  </si>
  <si>
    <t>T6LA04047100</t>
  </si>
  <si>
    <t>T44218398000</t>
  </si>
  <si>
    <t>T44218389000</t>
  </si>
  <si>
    <t>T6LA28899000</t>
  </si>
  <si>
    <t>T6LK40618000</t>
  </si>
  <si>
    <t>T6LK41165000</t>
  </si>
  <si>
    <t>T6LK42666000</t>
  </si>
  <si>
    <t>T6LK39558000</t>
  </si>
  <si>
    <t>T6LK41561000</t>
  </si>
  <si>
    <t>T6LK41563000</t>
  </si>
  <si>
    <t>T6LK40615000</t>
  </si>
  <si>
    <t>T6LK40755000</t>
  </si>
  <si>
    <t>T6LJ58193000</t>
  </si>
  <si>
    <t>T6LK41164000</t>
  </si>
  <si>
    <t>T6LK41389000</t>
  </si>
  <si>
    <t>T6LK44135200</t>
  </si>
  <si>
    <t>T6LK49015000</t>
  </si>
  <si>
    <t>T6LL51735300</t>
  </si>
  <si>
    <t>T6LL43424000</t>
  </si>
  <si>
    <t>T6LL43324000</t>
  </si>
  <si>
    <t>T6LK49126000</t>
  </si>
  <si>
    <t>T6LK48987000</t>
  </si>
  <si>
    <t>T6LL43302000</t>
  </si>
  <si>
    <t>T6LJ58192000</t>
  </si>
  <si>
    <t>T6LJ70396000</t>
  </si>
  <si>
    <t>T6LJ55444000</t>
  </si>
  <si>
    <t>T6LJ55445000</t>
  </si>
  <si>
    <t>T6LJ55446000</t>
  </si>
  <si>
    <t>T6LL42620000</t>
  </si>
  <si>
    <t>T6LL51805000</t>
  </si>
  <si>
    <t>T6LL51806000</t>
  </si>
  <si>
    <t>T6LJ58874000</t>
  </si>
  <si>
    <t>T6LK52274000</t>
  </si>
  <si>
    <t>T6LJ58138000</t>
  </si>
  <si>
    <t>T6LL08761000</t>
  </si>
  <si>
    <t>T6LL51796000</t>
  </si>
  <si>
    <t>T6LL51812000</t>
  </si>
  <si>
    <t>T6LJ70575000</t>
  </si>
  <si>
    <t>T6LL51810000</t>
  </si>
  <si>
    <t>T6LL51753400</t>
  </si>
  <si>
    <t>T6LK55463000</t>
  </si>
  <si>
    <t>T6LL44835000</t>
  </si>
  <si>
    <t>T6LH72623000</t>
  </si>
  <si>
    <t>T6LH72649000</t>
  </si>
  <si>
    <t>T6LH73760000</t>
  </si>
  <si>
    <t>T6LH76411000</t>
  </si>
  <si>
    <t>T6LH72784100</t>
  </si>
  <si>
    <t>T6LK41562000</t>
  </si>
  <si>
    <t>T6LL62240000</t>
  </si>
  <si>
    <t>T6LH73784000</t>
  </si>
  <si>
    <t>T6LH72784400</t>
  </si>
  <si>
    <t>T6LH02725000</t>
  </si>
  <si>
    <t>T6LK40619000</t>
  </si>
  <si>
    <t>T6LK44127000</t>
  </si>
  <si>
    <t>T6LJ70402200</t>
  </si>
  <si>
    <t>T6LJ70994300</t>
  </si>
  <si>
    <t>T6LJ70994000</t>
  </si>
  <si>
    <t>T6LJ70994100</t>
  </si>
  <si>
    <t>T6LJ70994200</t>
  </si>
  <si>
    <t>T6LK49077000</t>
  </si>
  <si>
    <t>T6LJ70398000</t>
  </si>
  <si>
    <t>T6LJ70399000</t>
  </si>
  <si>
    <t>T6LJ58146000</t>
  </si>
  <si>
    <t>T6LK48248000</t>
  </si>
  <si>
    <t>T6LJ55510000</t>
  </si>
  <si>
    <t>T6LJ55544000</t>
  </si>
  <si>
    <t>T6LJ54025000</t>
  </si>
  <si>
    <t>T6LJ54099000</t>
  </si>
  <si>
    <t>T6LJ54011000</t>
  </si>
  <si>
    <t>T6LJ54012000</t>
  </si>
  <si>
    <t>T6LJ56863000</t>
  </si>
  <si>
    <t>T6LJ56946000</t>
  </si>
  <si>
    <t>T6LJ57134000</t>
  </si>
  <si>
    <t>T6LJ56243000</t>
  </si>
  <si>
    <t>T6LK49079000</t>
  </si>
  <si>
    <t>T6LK49078000</t>
  </si>
  <si>
    <t>T6LJ70383000</t>
  </si>
  <si>
    <t>T6LJ70649000</t>
  </si>
  <si>
    <t>T6LJ70558000</t>
  </si>
  <si>
    <t>T6LJ71691100</t>
  </si>
  <si>
    <t>T6LJ54251000</t>
  </si>
  <si>
    <t>T6LJ54251200</t>
  </si>
  <si>
    <t>T6LJ54251300</t>
  </si>
  <si>
    <t>T6LJ54251100</t>
  </si>
  <si>
    <t>T6LK41951000</t>
  </si>
  <si>
    <t>T6LK41951200</t>
  </si>
  <si>
    <t>T6LK41951300</t>
  </si>
  <si>
    <t>T6LK41951100</t>
  </si>
  <si>
    <t>T6LJ70377000</t>
  </si>
  <si>
    <t>T6LL46505000</t>
  </si>
  <si>
    <t>T6LK55546100</t>
  </si>
  <si>
    <t>T6LK49204000</t>
  </si>
  <si>
    <t>T6LK49204200</t>
  </si>
  <si>
    <t>T6LK49204300</t>
  </si>
  <si>
    <t>T6LK49204100</t>
  </si>
  <si>
    <t>T6LL51784000</t>
  </si>
  <si>
    <t>T6LL51783100</t>
  </si>
  <si>
    <t>T6LK55546600</t>
  </si>
  <si>
    <t>T6LL51754000</t>
  </si>
  <si>
    <t>T6LL51754200</t>
  </si>
  <si>
    <t>T6LL51754300</t>
  </si>
  <si>
    <t>T6LL51754100</t>
  </si>
  <si>
    <t>T6LL51755000</t>
  </si>
  <si>
    <t>T6LL51755200</t>
  </si>
  <si>
    <t>T6LL51755300</t>
  </si>
  <si>
    <t>T6LL51755100</t>
  </si>
  <si>
    <t>T6LK55546300</t>
  </si>
  <si>
    <t>T6LJ70598000</t>
  </si>
  <si>
    <t>T6LJ59042000</t>
  </si>
  <si>
    <t>T6LJ70668000</t>
  </si>
  <si>
    <t>T6LJ54180000</t>
  </si>
  <si>
    <t>T6LJ54110000</t>
  </si>
  <si>
    <t>T6LJ54005000</t>
  </si>
  <si>
    <t>T6LJ58890000</t>
  </si>
  <si>
    <t>T6LJ57123100</t>
  </si>
  <si>
    <t>T6LJ70583000</t>
  </si>
  <si>
    <t>T6LJ70582000</t>
  </si>
  <si>
    <t>T6LJ59040000</t>
  </si>
  <si>
    <t>T6LJ59009000</t>
  </si>
  <si>
    <t>T6LJ54251C00</t>
  </si>
  <si>
    <t>T6LJ54251D00</t>
  </si>
  <si>
    <t>T6LJ54251E00</t>
  </si>
  <si>
    <t>T6LJ54251F00</t>
  </si>
  <si>
    <t>T6LK49101400</t>
  </si>
  <si>
    <t>T6LK49101500</t>
  </si>
  <si>
    <t>T6LK49101600</t>
  </si>
  <si>
    <t>T6LK49101700</t>
  </si>
  <si>
    <t>T6LJ55609000</t>
  </si>
  <si>
    <t>T6LK49016300</t>
  </si>
  <si>
    <t>T6LK49016000</t>
  </si>
  <si>
    <t>T6LK49016100</t>
  </si>
  <si>
    <t>T6LK49016200</t>
  </si>
  <si>
    <t>T6LK48944000</t>
  </si>
  <si>
    <t>T6LK48919000</t>
  </si>
  <si>
    <t>T6LK49158000</t>
  </si>
  <si>
    <t>T6LK56855000</t>
  </si>
  <si>
    <t>T6LK55468000</t>
  </si>
  <si>
    <t>T6LK49168000</t>
  </si>
  <si>
    <t>T6LK49167000</t>
  </si>
  <si>
    <t>T6LK56852000</t>
  </si>
  <si>
    <t>T6LK52389000</t>
  </si>
  <si>
    <t>T6LK52444000</t>
  </si>
  <si>
    <t>T6LK49206400</t>
  </si>
  <si>
    <t>T6LK49184600</t>
  </si>
  <si>
    <t>T6LK49184700</t>
  </si>
  <si>
    <t>T6LK49184500</t>
  </si>
  <si>
    <t>T6LK49205000</t>
  </si>
  <si>
    <t>T6LK49205200</t>
  </si>
  <si>
    <t>T6LK49205300</t>
  </si>
  <si>
    <t>T6LK49205100</t>
  </si>
  <si>
    <t>T6LK50423000</t>
  </si>
  <si>
    <t>T6LL51735000</t>
  </si>
  <si>
    <t>T6LL51735100</t>
  </si>
  <si>
    <t>T6LL51735200</t>
  </si>
  <si>
    <t>T6LL43347000</t>
  </si>
  <si>
    <t>T6LL51855000</t>
  </si>
  <si>
    <t>T6LL51797000</t>
  </si>
  <si>
    <t>T6LL51856000</t>
  </si>
  <si>
    <t>T6LL51858200</t>
  </si>
  <si>
    <t>T6LL51753000</t>
  </si>
  <si>
    <t>T6LL51753200</t>
  </si>
  <si>
    <t>T6LL51753300</t>
  </si>
  <si>
    <t>T6LL51753100</t>
  </si>
  <si>
    <t>T6LL44834000</t>
  </si>
  <si>
    <t>T6LL15845700</t>
  </si>
  <si>
    <t>T6LL15845400</t>
  </si>
  <si>
    <t>T6LL15845500</t>
  </si>
  <si>
    <t>T6LL15845600</t>
  </si>
  <si>
    <t>T6LL07374100</t>
  </si>
  <si>
    <t>T6LL07373100</t>
  </si>
  <si>
    <t>T6LL15822000</t>
  </si>
  <si>
    <t>T6LL15849200</t>
  </si>
  <si>
    <t>T6LL15847100</t>
  </si>
  <si>
    <t>T6LL15848100</t>
  </si>
  <si>
    <t>T6LL15850100</t>
  </si>
  <si>
    <t>T6LL11123100</t>
  </si>
  <si>
    <t>T6LL51858100</t>
  </si>
  <si>
    <t>T6LK56859000</t>
  </si>
  <si>
    <t>T6LJ59043000</t>
  </si>
  <si>
    <t>T6LJ59041000</t>
  </si>
  <si>
    <t>T6LJ59010000</t>
  </si>
  <si>
    <t>T6LJ54251400</t>
  </si>
  <si>
    <t>T6LJ54251500</t>
  </si>
  <si>
    <t>T6LJ54251600</t>
  </si>
  <si>
    <t>T6LJ54251700</t>
  </si>
  <si>
    <t>T6LK56856000</t>
  </si>
  <si>
    <t>T6LK56852100</t>
  </si>
  <si>
    <t>T6LK52390000</t>
  </si>
  <si>
    <t>T6LK52443000</t>
  </si>
  <si>
    <t>T6LK49206000</t>
  </si>
  <si>
    <t>T6LK49184200</t>
  </si>
  <si>
    <t>T6LK49184300</t>
  </si>
  <si>
    <t>T6LK49184100</t>
  </si>
  <si>
    <t>T6LK49205400</t>
  </si>
  <si>
    <t>T6LK49205600</t>
  </si>
  <si>
    <t>T6LK49205700</t>
  </si>
  <si>
    <t>T6LK49205500</t>
  </si>
  <si>
    <t>T6LL51809000</t>
  </si>
  <si>
    <t>T6LL51753600</t>
  </si>
  <si>
    <t>T6LL51753700</t>
  </si>
  <si>
    <t>T6LL51753500</t>
  </si>
  <si>
    <t>T6LH16946200</t>
  </si>
  <si>
    <t>T6LJ10690300</t>
  </si>
  <si>
    <t>T6LJ10690000</t>
  </si>
  <si>
    <t>T6LJ10690100</t>
  </si>
  <si>
    <t>T6LJ10690200</t>
  </si>
  <si>
    <t>T6LJ06782000</t>
  </si>
  <si>
    <t>T6LH16936000</t>
  </si>
  <si>
    <t>T6LH16935000</t>
  </si>
  <si>
    <t>T6LH16937000</t>
  </si>
  <si>
    <t>T6LH18040000</t>
  </si>
  <si>
    <t>T6LJ10535000</t>
  </si>
  <si>
    <t>T6LH18039000</t>
  </si>
  <si>
    <t>T6LH16943000</t>
  </si>
  <si>
    <t>T6LH04342000</t>
  </si>
  <si>
    <t>T6LH04392000</t>
  </si>
  <si>
    <t>T6LH02871000</t>
  </si>
  <si>
    <t>T6LJ08843000</t>
  </si>
  <si>
    <t>T6LH07378000</t>
  </si>
  <si>
    <t>T6LJ07147000</t>
  </si>
  <si>
    <t>T6LH03989000</t>
  </si>
  <si>
    <t>T6LH03990000</t>
  </si>
  <si>
    <t>T6LJ06308000</t>
  </si>
  <si>
    <t>T6LJ06310000</t>
  </si>
  <si>
    <t>T6LJ10655000</t>
  </si>
  <si>
    <t>T6LJ10657000</t>
  </si>
  <si>
    <t>T6LH16897000</t>
  </si>
  <si>
    <t>T6LJ10649000</t>
  </si>
  <si>
    <t>T6LK31000000</t>
  </si>
  <si>
    <t>T6LJ06767000</t>
  </si>
  <si>
    <t>T6LK30978000</t>
  </si>
  <si>
    <t>T6LK40685000</t>
  </si>
  <si>
    <t>T6LJ07172000</t>
  </si>
  <si>
    <t>T6LJ07445000</t>
  </si>
  <si>
    <t>T6LJ10661000</t>
  </si>
  <si>
    <t>T6LK43607000</t>
  </si>
  <si>
    <t>T6LK43607100</t>
  </si>
  <si>
    <t>T6LK43607200</t>
  </si>
  <si>
    <t>T6LK39511000</t>
  </si>
  <si>
    <t>T6LK39553000</t>
  </si>
  <si>
    <t>T6LK42667000</t>
  </si>
  <si>
    <t>T6LK39546000</t>
  </si>
  <si>
    <t>T6LL59316000</t>
  </si>
  <si>
    <t>T6LK40756000</t>
  </si>
  <si>
    <t>T6LK44135000</t>
  </si>
  <si>
    <t>T6LJ10656000</t>
  </si>
  <si>
    <t>T6LK40686000</t>
  </si>
  <si>
    <t>T6LJ35528000</t>
  </si>
  <si>
    <t>T6LJ35539000</t>
  </si>
  <si>
    <t>T6LJ35540000</t>
  </si>
  <si>
    <t>T6LJ35442000</t>
  </si>
  <si>
    <t>T6LJ31959000</t>
  </si>
  <si>
    <t>T6LJ58059000</t>
  </si>
  <si>
    <t>T6LJ83871000</t>
  </si>
  <si>
    <t>T6LJ32060000</t>
  </si>
  <si>
    <t>T6LJ30700000</t>
  </si>
  <si>
    <t>T6LJ32069300</t>
  </si>
  <si>
    <t>T6LK76760000</t>
  </si>
  <si>
    <t>T6LK81604000</t>
  </si>
  <si>
    <t>T6LK81603000</t>
  </si>
  <si>
    <t>T6LK81602000</t>
  </si>
  <si>
    <t>T6LK78770000</t>
  </si>
  <si>
    <t>T6LK76112000</t>
  </si>
  <si>
    <t>T6LK81605000</t>
  </si>
  <si>
    <t>T6LK81601100</t>
  </si>
  <si>
    <t>T6LK49206800</t>
  </si>
  <si>
    <t>T6LK50423100</t>
  </si>
  <si>
    <t>BT-FC50G-FU-C</t>
  </si>
  <si>
    <t>BT-FC50-FU-C</t>
  </si>
  <si>
    <t>料號</t>
    <phoneticPr fontId="3" type="noConversion"/>
  </si>
  <si>
    <t>型號</t>
    <phoneticPr fontId="3" type="noConversion"/>
  </si>
  <si>
    <t>壽命(張)</t>
    <phoneticPr fontId="3" type="noConversion"/>
  </si>
  <si>
    <t>零件名稱</t>
    <rPh sb="0" eb="2">
      <t>ナイヨウ</t>
    </rPh>
    <phoneticPr fontId="4"/>
  </si>
  <si>
    <t>機型</t>
    <rPh sb="0" eb="1">
      <t>カタ</t>
    </rPh>
    <rPh sb="1" eb="2">
      <t>ゴウ</t>
    </rPh>
    <phoneticPr fontId="4"/>
  </si>
  <si>
    <t>部件</t>
    <phoneticPr fontId="3" type="noConversion"/>
  </si>
  <si>
    <t>滾筒組</t>
  </si>
  <si>
    <t>滾筒組</t>
    <phoneticPr fontId="3" type="noConversion"/>
  </si>
  <si>
    <t>顯像組</t>
    <phoneticPr fontId="3" type="noConversion"/>
  </si>
  <si>
    <t>轉寫組</t>
    <phoneticPr fontId="3" type="noConversion"/>
  </si>
  <si>
    <t>定著組</t>
    <phoneticPr fontId="3" type="noConversion"/>
  </si>
  <si>
    <t>其他</t>
    <phoneticPr fontId="3" type="noConversion"/>
  </si>
  <si>
    <t>取紙組</t>
    <phoneticPr fontId="3" type="noConversion"/>
  </si>
  <si>
    <t>手送台</t>
  </si>
  <si>
    <t>手送台</t>
    <phoneticPr fontId="3" type="noConversion"/>
  </si>
  <si>
    <t>RADF</t>
    <phoneticPr fontId="3" type="noConversion"/>
  </si>
  <si>
    <t>送稿機</t>
    <phoneticPr fontId="3" type="noConversion"/>
  </si>
  <si>
    <t>6LJ59043000</t>
  </si>
  <si>
    <t xml:space="preserve">上熱滾軸 </t>
  </si>
  <si>
    <t>上熱滾軸軸套</t>
  </si>
  <si>
    <t>取紙滾軸（紙匣, PFP）</t>
  </si>
  <si>
    <t>取紙滾軸RADF（MR-3028）</t>
  </si>
  <si>
    <t>LCF 用取紙滾軸（KD-1026）</t>
  </si>
  <si>
    <t>紙匣用取紙滾軸，紙匣组件,PFP</t>
  </si>
  <si>
    <t>取紙滾軸RADF</t>
  </si>
  <si>
    <t>取紙滾軸（DSDF）</t>
  </si>
  <si>
    <t>LCF 用取紙滾軸</t>
  </si>
  <si>
    <t>取紙滾軸(MP-2002)</t>
  </si>
  <si>
    <t>取紙滾軸（KD-1026）</t>
  </si>
  <si>
    <t>紙匣取紙輪</t>
  </si>
  <si>
    <t>紙匣分離輪</t>
  </si>
  <si>
    <t xml:space="preserve">取紙滾軸(MY-1033, KD-1025)  </t>
  </si>
  <si>
    <t>上熱滾軸清潔带</t>
  </si>
  <si>
    <t>上熱滾軸清潔带压滾軸</t>
  </si>
  <si>
    <t>轉寫皮帶</t>
  </si>
  <si>
    <t>轉寫皮帶清潔滾軸</t>
  </si>
  <si>
    <t>轉寫皮帶清潔刮片</t>
  </si>
  <si>
    <t>放電線(放電座)</t>
  </si>
  <si>
    <t xml:space="preserve">清潔膠片 </t>
  </si>
  <si>
    <t>标配紙匣用取紙滾軸，纵列LCF</t>
  </si>
  <si>
    <t>手送台送纸器用取紙滾軸</t>
  </si>
  <si>
    <t>取紙滾軸(MP-4004)</t>
  </si>
  <si>
    <t>自動送稿器用取紙滾軸</t>
  </si>
  <si>
    <t>自動送稿器用送纸滾軸</t>
  </si>
  <si>
    <t>自動送稿器用分離滾軸</t>
  </si>
  <si>
    <t>顯像組保養套件</t>
  </si>
  <si>
    <t>過濾棉器保養套件</t>
  </si>
  <si>
    <t>自動送稿器保養套件</t>
  </si>
  <si>
    <t>轉寫皮帶组件</t>
  </si>
  <si>
    <t>放電座电极清潔膠片</t>
  </si>
  <si>
    <t>滾筒刮片密封片（後側）</t>
  </si>
  <si>
    <t xml:space="preserve">墨粉過濾棉 </t>
  </si>
  <si>
    <t>上熱皮帶</t>
  </si>
  <si>
    <t>定著下上熱滾軸</t>
  </si>
  <si>
    <t>上熱皮帶内部清潔润滑Pad件</t>
  </si>
  <si>
    <t xml:space="preserve">轉寫皮帶清潔刮片 </t>
  </si>
  <si>
    <t xml:space="preserve">轉寫滾軸清潔毡組( 轉寫皮帶组件)  </t>
  </si>
  <si>
    <t xml:space="preserve">轉寫皮帶清潔前侧密封片（前） </t>
  </si>
  <si>
    <t xml:space="preserve">轉寫皮帶清潔後側密封片（后） </t>
  </si>
  <si>
    <t>紙匣,纵列LCF用取紙輪</t>
  </si>
  <si>
    <t>紙匣,纵列LCF用分離輪</t>
  </si>
  <si>
    <t>取紙滾軸(MP-2502)</t>
  </si>
  <si>
    <t xml:space="preserve">手送台取紙滾軸 </t>
  </si>
  <si>
    <t>轉寫皮帶组件保養套件</t>
  </si>
  <si>
    <t xml:space="preserve">轉寫皮帶清潔組 </t>
  </si>
  <si>
    <t>放電座放電線清潔板</t>
  </si>
  <si>
    <t>滾筒後側軸套</t>
  </si>
  <si>
    <t>轉寫皮帶清潔回收片前密封</t>
  </si>
  <si>
    <t>轉寫皮帶清潔回收片后密封</t>
  </si>
  <si>
    <t>轉寫皮帶清潔刮片後側密封片</t>
  </si>
  <si>
    <t>上熱皮帶润滑条</t>
  </si>
  <si>
    <t>上熱皮帶内部润滑衬垫</t>
  </si>
  <si>
    <t xml:space="preserve">取紙滾軸(MY-1052, MY-1072)  </t>
  </si>
  <si>
    <t xml:space="preserve">紙匣组件用分離輪 (MY-1052, MY-1072)  </t>
  </si>
  <si>
    <t>取紙滾軸（KD-1073）</t>
  </si>
  <si>
    <t>紙匣用取紙輪</t>
    <rPh sb="2" eb="3">
      <t>ヨウ</t>
    </rPh>
    <phoneticPr fontId="4"/>
  </si>
  <si>
    <t>纵列LCF用取紙輪</t>
  </si>
  <si>
    <t>纵列LCF用分離輪</t>
  </si>
  <si>
    <t>定著分離爪（上熱滾軸）</t>
  </si>
  <si>
    <t xml:space="preserve">取紙滾軸(MY-1039, MY-1040,KD-1032)  </t>
  </si>
  <si>
    <t xml:space="preserve">紙匣组件用分離輪 (MY-1039, MY-1040,KD-1032)  </t>
  </si>
  <si>
    <t xml:space="preserve">自動雙面送稿器取紙滾軸 </t>
  </si>
  <si>
    <t xml:space="preserve">自動雙面送稿器分離滾軸 </t>
  </si>
  <si>
    <t>取紙滾軸（KD-1031）</t>
  </si>
  <si>
    <t xml:space="preserve">取紙滾軸(MY-1048/1049, MY-1047,KD-1058)  </t>
  </si>
  <si>
    <t xml:space="preserve">紙匣组件用分離輪 (MY-1048/1049, MY-1047,KD-1058)  </t>
  </si>
  <si>
    <t>取紙滾軸（KD-1059）</t>
  </si>
  <si>
    <t>顯像組(K)</t>
  </si>
  <si>
    <t>顯像組(Y)</t>
  </si>
  <si>
    <t>顯像組(M)</t>
  </si>
  <si>
    <t>顯像組(C)</t>
  </si>
  <si>
    <t>第二轉寫清潔刮片侧密封片</t>
  </si>
  <si>
    <t xml:space="preserve">廢碳粉盒（二次轉寫） </t>
  </si>
  <si>
    <t xml:space="preserve">上熱皮帶导向輪 </t>
  </si>
  <si>
    <t xml:space="preserve">過濾棉器 (Rear) </t>
  </si>
  <si>
    <t xml:space="preserve">過濾棉器(fuser)  </t>
  </si>
  <si>
    <t>取紙滾軸(MP-2501)</t>
  </si>
  <si>
    <t xml:space="preserve">自動雙面送稿器送紙套件 </t>
  </si>
  <si>
    <t xml:space="preserve">定著下上熱滾軸 </t>
  </si>
  <si>
    <t xml:space="preserve">臭氧過濾棉 </t>
  </si>
  <si>
    <t>黑色顯像組保養套件</t>
  </si>
  <si>
    <t>上熱皮帶薄片</t>
  </si>
  <si>
    <t>取紙滾軸（MR-3021）</t>
  </si>
  <si>
    <t>大容量取紙組</t>
    <phoneticPr fontId="3" type="noConversion"/>
  </si>
  <si>
    <t>手送台用送紙滾軸</t>
  </si>
  <si>
    <t>鐵粉</t>
    <phoneticPr fontId="3" type="noConversion"/>
  </si>
  <si>
    <t>轉寫</t>
    <phoneticPr fontId="3" type="noConversion"/>
  </si>
  <si>
    <t>上熱</t>
    <phoneticPr fontId="3" type="noConversion"/>
  </si>
  <si>
    <t>下熱</t>
    <phoneticPr fontId="3" type="noConversion"/>
  </si>
  <si>
    <t>定著</t>
    <phoneticPr fontId="3" type="noConversion"/>
  </si>
  <si>
    <t>柵極</t>
    <phoneticPr fontId="3" type="noConversion"/>
  </si>
  <si>
    <t>紙匣</t>
    <phoneticPr fontId="3" type="noConversion"/>
  </si>
  <si>
    <t>DSDF</t>
    <phoneticPr fontId="3" type="noConversion"/>
  </si>
  <si>
    <t>KD</t>
    <phoneticPr fontId="3" type="noConversion"/>
  </si>
  <si>
    <t>MY</t>
    <phoneticPr fontId="3" type="noConversion"/>
  </si>
  <si>
    <t>PEP</t>
    <phoneticPr fontId="3" type="noConversion"/>
  </si>
  <si>
    <t>LCF</t>
    <phoneticPr fontId="3" type="noConversion"/>
  </si>
  <si>
    <t>放電</t>
    <phoneticPr fontId="3" type="noConversion"/>
  </si>
  <si>
    <t>回收</t>
    <phoneticPr fontId="3" type="noConversion"/>
  </si>
  <si>
    <t>顯像</t>
    <phoneticPr fontId="3" type="noConversion"/>
  </si>
  <si>
    <t>MR</t>
    <phoneticPr fontId="3" type="noConversion"/>
  </si>
  <si>
    <t>PFP</t>
    <phoneticPr fontId="3" type="noConversion"/>
  </si>
  <si>
    <t>自動送稿器用取紙滾軸</t>
    <phoneticPr fontId="3" type="noConversion"/>
  </si>
  <si>
    <t>自動送稿器</t>
  </si>
  <si>
    <t>自動雙面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</si>
</sst>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_);[Red]\(0\)"/>
  </numFmts>
  <fonts count="19"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9"/>
      <name val="微軟正黑體"/>
      <family val="2"/>
      <charset val="136"/>
    </font>
    <font>
      <sz val="9"/>
      <name val="微軟正黑體"/>
      <family val="2"/>
      <charset val="136"/>
    </font>
    <font>
      <sz val="6"/>
      <name val="ＭＳ Ｐゴシック"/>
      <family val="3"/>
      <charset val="128"/>
    </font>
    <font>
      <sz val="10"/>
      <name val="Arial"/>
      <family val="2"/>
    </font>
    <font>
      <sz val="9"/>
      <color rgb="FFFF0000"/>
      <name val="微軟正黑體"/>
      <family val="2"/>
      <charset val="136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微軟正黑體"/>
      <family val="2"/>
      <charset val="136"/>
    </font>
    <font>
      <sz val="9"/>
      <color indexed="12"/>
      <name val="微軟正黑體"/>
      <family val="2"/>
      <charset val="136"/>
    </font>
    <font>
      <sz val="12"/>
      <name val="・団"/>
      <family val="1"/>
      <charset val="128"/>
    </font>
    <font>
      <sz val="11"/>
      <name val="ＭＳ 明朝"/>
      <family val="1"/>
      <charset val="128"/>
    </font>
    <font>
      <sz val="9"/>
      <color indexed="10"/>
      <name val="微軟正黑體"/>
      <family val="2"/>
      <charset val="136"/>
    </font>
    <font>
      <sz val="11"/>
      <name val="明朝"/>
      <family val="1"/>
      <charset val="128"/>
    </font>
    <font>
      <sz val="9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b/>
      <sz val="1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4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7" fillId="0" borderId="0"/>
    <xf numFmtId="0" fontId="8" fillId="0" borderId="0"/>
    <xf numFmtId="0" fontId="9" fillId="0" borderId="0"/>
    <xf numFmtId="0" fontId="9" fillId="0" borderId="0"/>
    <xf numFmtId="0" fontId="12" fillId="0" borderId="0"/>
    <xf numFmtId="0" fontId="13" fillId="0" borderId="0"/>
    <xf numFmtId="9" fontId="7" fillId="0" borderId="0" applyFont="0" applyFill="0" applyBorder="0" applyAlignment="0" applyProtection="0"/>
    <xf numFmtId="0" fontId="5" fillId="0" borderId="0"/>
    <xf numFmtId="0" fontId="15" fillId="0" borderId="0"/>
    <xf numFmtId="0" fontId="16" fillId="0" borderId="0"/>
  </cellStyleXfs>
  <cellXfs count="158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0" borderId="2" xfId="2" applyFont="1" applyBorder="1" applyAlignment="1">
      <alignment vertical="center"/>
    </xf>
    <xf numFmtId="0" fontId="3" fillId="0" borderId="3" xfId="2" applyFont="1" applyBorder="1" applyAlignment="1">
      <alignment vertical="center"/>
    </xf>
    <xf numFmtId="0" fontId="3" fillId="0" borderId="4" xfId="2" applyFont="1" applyBorder="1" applyAlignment="1">
      <alignment vertical="center"/>
    </xf>
    <xf numFmtId="9" fontId="3" fillId="0" borderId="3" xfId="1" applyFont="1" applyFill="1" applyBorder="1" applyAlignment="1">
      <alignment vertical="center"/>
    </xf>
    <xf numFmtId="0" fontId="3" fillId="0" borderId="2" xfId="3" applyFont="1" applyBorder="1" applyAlignment="1">
      <alignment vertical="center"/>
    </xf>
    <xf numFmtId="0" fontId="3" fillId="0" borderId="3" xfId="3" applyFont="1" applyBorder="1" applyAlignment="1">
      <alignment vertical="center"/>
    </xf>
    <xf numFmtId="0" fontId="3" fillId="0" borderId="4" xfId="3" applyFont="1" applyBorder="1" applyAlignment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2" borderId="3" xfId="0" applyFont="1" applyFill="1" applyBorder="1">
      <alignment vertical="center"/>
    </xf>
    <xf numFmtId="0" fontId="3" fillId="0" borderId="4" xfId="0" applyFont="1" applyBorder="1">
      <alignment vertical="center"/>
    </xf>
    <xf numFmtId="0" fontId="3" fillId="0" borderId="3" xfId="0" applyFont="1" applyBorder="1" applyAlignment="1">
      <alignment horizontal="left" vertical="center"/>
    </xf>
    <xf numFmtId="0" fontId="2" fillId="0" borderId="0" xfId="0" applyFont="1">
      <alignment vertical="center"/>
    </xf>
    <xf numFmtId="0" fontId="2" fillId="0" borderId="1" xfId="4" applyFont="1" applyBorder="1" applyAlignment="1">
      <alignment vertical="center"/>
    </xf>
    <xf numFmtId="0" fontId="2" fillId="0" borderId="1" xfId="4" applyFont="1" applyBorder="1" applyAlignment="1">
      <alignment horizontal="left" vertical="center"/>
    </xf>
    <xf numFmtId="0" fontId="2" fillId="0" borderId="1" xfId="4" applyFont="1" applyBorder="1" applyAlignment="1">
      <alignment horizontal="center" vertical="center" wrapText="1"/>
    </xf>
    <xf numFmtId="0" fontId="2" fillId="0" borderId="1" xfId="4" applyFont="1" applyBorder="1" applyAlignment="1">
      <alignment horizontal="center" vertical="center"/>
    </xf>
    <xf numFmtId="0" fontId="3" fillId="0" borderId="0" xfId="4" applyFont="1" applyAlignment="1">
      <alignment vertical="center"/>
    </xf>
    <xf numFmtId="0" fontId="3" fillId="0" borderId="8" xfId="4" applyFont="1" applyBorder="1" applyAlignment="1">
      <alignment horizontal="center" vertical="center"/>
    </xf>
    <xf numFmtId="49" fontId="3" fillId="0" borderId="2" xfId="5" applyNumberFormat="1" applyFont="1" applyBorder="1" applyAlignment="1">
      <alignment horizontal="left" vertical="center"/>
    </xf>
    <xf numFmtId="0" fontId="3" fillId="0" borderId="2" xfId="5" applyFont="1" applyBorder="1" applyAlignment="1">
      <alignment vertical="center"/>
    </xf>
    <xf numFmtId="0" fontId="3" fillId="0" borderId="2" xfId="5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9" xfId="2" applyFont="1" applyBorder="1" applyAlignment="1">
      <alignment horizontal="left" vertical="center"/>
    </xf>
    <xf numFmtId="0" fontId="3" fillId="0" borderId="0" xfId="2" applyFont="1" applyAlignment="1">
      <alignment vertical="center"/>
    </xf>
    <xf numFmtId="0" fontId="3" fillId="0" borderId="10" xfId="6" applyFont="1" applyBorder="1" applyAlignment="1">
      <alignment horizontal="center" vertical="center"/>
    </xf>
    <xf numFmtId="49" fontId="3" fillId="0" borderId="3" xfId="2" applyNumberFormat="1" applyFont="1" applyBorder="1" applyAlignment="1">
      <alignment horizontal="left" vertical="center"/>
    </xf>
    <xf numFmtId="0" fontId="3" fillId="0" borderId="3" xfId="2" applyFont="1" applyBorder="1" applyAlignment="1">
      <alignment horizontal="center" vertical="center"/>
    </xf>
    <xf numFmtId="0" fontId="3" fillId="0" borderId="3" xfId="6" applyFont="1" applyBorder="1" applyAlignment="1">
      <alignment vertical="center"/>
    </xf>
    <xf numFmtId="0" fontId="3" fillId="0" borderId="11" xfId="2" applyFont="1" applyBorder="1" applyAlignment="1">
      <alignment horizontal="left" vertical="center"/>
    </xf>
    <xf numFmtId="49" fontId="3" fillId="0" borderId="3" xfId="5" applyNumberFormat="1" applyFont="1" applyBorder="1" applyAlignment="1">
      <alignment horizontal="left" vertical="center"/>
    </xf>
    <xf numFmtId="0" fontId="3" fillId="0" borderId="3" xfId="5" applyFont="1" applyBorder="1" applyAlignment="1">
      <alignment vertical="center"/>
    </xf>
    <xf numFmtId="0" fontId="3" fillId="0" borderId="3" xfId="4" applyFont="1" applyBorder="1" applyAlignment="1">
      <alignment horizontal="left" vertical="center"/>
    </xf>
    <xf numFmtId="0" fontId="3" fillId="0" borderId="3" xfId="4" applyFont="1" applyBorder="1" applyAlignment="1">
      <alignment vertical="center"/>
    </xf>
    <xf numFmtId="0" fontId="3" fillId="2" borderId="3" xfId="4" applyFont="1" applyFill="1" applyBorder="1" applyAlignment="1">
      <alignment horizontal="left" vertical="center"/>
    </xf>
    <xf numFmtId="0" fontId="3" fillId="2" borderId="3" xfId="4" applyFont="1" applyFill="1" applyBorder="1" applyAlignment="1">
      <alignment vertical="center"/>
    </xf>
    <xf numFmtId="0" fontId="3" fillId="0" borderId="6" xfId="5" applyFont="1" applyBorder="1" applyAlignment="1">
      <alignment vertical="center"/>
    </xf>
    <xf numFmtId="0" fontId="3" fillId="0" borderId="3" xfId="2" applyFont="1" applyBorder="1" applyAlignment="1">
      <alignment horizontal="left" vertical="center"/>
    </xf>
    <xf numFmtId="0" fontId="3" fillId="0" borderId="3" xfId="4" applyFont="1" applyBorder="1" applyAlignment="1">
      <alignment horizontal="center" vertical="center"/>
    </xf>
    <xf numFmtId="0" fontId="3" fillId="0" borderId="12" xfId="6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4" xfId="6" applyFont="1" applyBorder="1" applyAlignment="1">
      <alignment vertical="center"/>
    </xf>
    <xf numFmtId="0" fontId="3" fillId="0" borderId="4" xfId="4" applyFont="1" applyBorder="1" applyAlignment="1">
      <alignment horizontal="center" vertical="center"/>
    </xf>
    <xf numFmtId="0" fontId="3" fillId="0" borderId="13" xfId="2" applyFont="1" applyBorder="1" applyAlignment="1">
      <alignment horizontal="left" vertical="center"/>
    </xf>
    <xf numFmtId="0" fontId="11" fillId="0" borderId="0" xfId="2" applyFont="1" applyAlignment="1">
      <alignment vertical="center"/>
    </xf>
    <xf numFmtId="0" fontId="3" fillId="0" borderId="3" xfId="7" applyFont="1" applyBorder="1" applyAlignment="1">
      <alignment horizontal="left" vertical="center"/>
    </xf>
    <xf numFmtId="0" fontId="3" fillId="0" borderId="3" xfId="7" applyFont="1" applyBorder="1" applyAlignment="1">
      <alignment vertical="center"/>
    </xf>
    <xf numFmtId="0" fontId="3" fillId="0" borderId="3" xfId="8" applyFont="1" applyBorder="1" applyAlignment="1">
      <alignment horizontal="center" vertical="center"/>
    </xf>
    <xf numFmtId="0" fontId="3" fillId="0" borderId="3" xfId="9" applyFont="1" applyBorder="1" applyAlignment="1">
      <alignment horizontal="left" vertical="center"/>
    </xf>
    <xf numFmtId="0" fontId="3" fillId="0" borderId="3" xfId="9" applyFont="1" applyBorder="1" applyAlignment="1">
      <alignment vertical="center"/>
    </xf>
    <xf numFmtId="0" fontId="3" fillId="0" borderId="3" xfId="5" applyFont="1" applyBorder="1" applyAlignment="1">
      <alignment horizontal="left" vertical="center"/>
    </xf>
    <xf numFmtId="0" fontId="3" fillId="0" borderId="14" xfId="2" applyFont="1" applyBorder="1" applyAlignment="1">
      <alignment vertical="center"/>
    </xf>
    <xf numFmtId="0" fontId="3" fillId="0" borderId="6" xfId="5" applyFont="1" applyBorder="1" applyAlignment="1">
      <alignment horizontal="left" vertical="center"/>
    </xf>
    <xf numFmtId="0" fontId="3" fillId="0" borderId="11" xfId="3" applyFont="1" applyBorder="1" applyAlignment="1">
      <alignment horizontal="left" vertical="center"/>
    </xf>
    <xf numFmtId="0" fontId="3" fillId="0" borderId="11" xfId="4" applyFont="1" applyBorder="1" applyAlignment="1">
      <alignment horizontal="left" vertical="center"/>
    </xf>
    <xf numFmtId="0" fontId="3" fillId="0" borderId="3" xfId="2" quotePrefix="1" applyFont="1" applyBorder="1" applyAlignment="1">
      <alignment horizontal="center" vertical="center"/>
    </xf>
    <xf numFmtId="0" fontId="14" fillId="0" borderId="0" xfId="2" applyFont="1" applyAlignment="1">
      <alignment vertical="center"/>
    </xf>
    <xf numFmtId="0" fontId="3" fillId="0" borderId="2" xfId="3" applyFont="1" applyBorder="1" applyAlignment="1">
      <alignment horizontal="left" vertical="center"/>
    </xf>
    <xf numFmtId="0" fontId="3" fillId="0" borderId="2" xfId="3" applyFont="1" applyBorder="1" applyAlignment="1">
      <alignment horizontal="center" vertical="center"/>
    </xf>
    <xf numFmtId="0" fontId="3" fillId="0" borderId="9" xfId="3" applyFont="1" applyBorder="1" applyAlignment="1">
      <alignment horizontal="left" vertical="center"/>
    </xf>
    <xf numFmtId="0" fontId="3" fillId="0" borderId="0" xfId="3" applyFont="1" applyAlignment="1">
      <alignment vertical="center"/>
    </xf>
    <xf numFmtId="0" fontId="3" fillId="0" borderId="3" xfId="3" applyFont="1" applyBorder="1" applyAlignment="1">
      <alignment horizontal="center" vertical="center"/>
    </xf>
    <xf numFmtId="0" fontId="3" fillId="0" borderId="3" xfId="3" applyFont="1" applyBorder="1" applyAlignment="1">
      <alignment horizontal="left" vertical="center"/>
    </xf>
    <xf numFmtId="0" fontId="3" fillId="0" borderId="3" xfId="3" quotePrefix="1" applyFont="1" applyBorder="1" applyAlignment="1">
      <alignment horizontal="left" vertical="center"/>
    </xf>
    <xf numFmtId="176" fontId="3" fillId="0" borderId="3" xfId="6" quotePrefix="1" applyNumberFormat="1" applyFont="1" applyBorder="1" applyAlignment="1">
      <alignment horizontal="left" vertical="center"/>
    </xf>
    <xf numFmtId="176" fontId="3" fillId="0" borderId="3" xfId="6" applyNumberFormat="1" applyFont="1" applyBorder="1" applyAlignment="1">
      <alignment horizontal="left" vertical="center"/>
    </xf>
    <xf numFmtId="0" fontId="3" fillId="0" borderId="3" xfId="6" applyFont="1" applyBorder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3" fillId="0" borderId="4" xfId="4" applyFont="1" applyBorder="1" applyAlignment="1">
      <alignment vertical="center"/>
    </xf>
    <xf numFmtId="0" fontId="3" fillId="0" borderId="13" xfId="3" applyFont="1" applyBorder="1" applyAlignment="1">
      <alignment horizontal="left" vertical="center"/>
    </xf>
    <xf numFmtId="0" fontId="3" fillId="0" borderId="2" xfId="4" applyFont="1" applyBorder="1" applyAlignment="1">
      <alignment vertical="center"/>
    </xf>
    <xf numFmtId="0" fontId="3" fillId="0" borderId="2" xfId="4" applyFont="1" applyBorder="1" applyAlignment="1">
      <alignment horizontal="left" vertical="center"/>
    </xf>
    <xf numFmtId="0" fontId="3" fillId="0" borderId="2" xfId="4" applyFont="1" applyBorder="1" applyAlignment="1">
      <alignment horizontal="center" vertical="center"/>
    </xf>
    <xf numFmtId="0" fontId="3" fillId="0" borderId="9" xfId="4" applyFont="1" applyBorder="1" applyAlignment="1">
      <alignment horizontal="left" vertical="center"/>
    </xf>
    <xf numFmtId="0" fontId="3" fillId="0" borderId="3" xfId="4" quotePrefix="1" applyFont="1" applyBorder="1" applyAlignment="1">
      <alignment horizontal="center" vertical="center"/>
    </xf>
    <xf numFmtId="0" fontId="11" fillId="0" borderId="0" xfId="4" applyFont="1" applyAlignment="1">
      <alignment vertical="center"/>
    </xf>
    <xf numFmtId="0" fontId="3" fillId="0" borderId="3" xfId="4" quotePrefix="1" applyFont="1" applyBorder="1" applyAlignment="1">
      <alignment horizontal="left" vertical="center"/>
    </xf>
    <xf numFmtId="177" fontId="3" fillId="0" borderId="3" xfId="4" applyNumberFormat="1" applyFont="1" applyBorder="1" applyAlignment="1">
      <alignment horizontal="left" vertical="center"/>
    </xf>
    <xf numFmtId="49" fontId="3" fillId="0" borderId="3" xfId="4" applyNumberFormat="1" applyFont="1" applyBorder="1" applyAlignment="1">
      <alignment horizontal="left" vertical="center"/>
    </xf>
    <xf numFmtId="0" fontId="14" fillId="0" borderId="0" xfId="4" applyFont="1" applyAlignment="1">
      <alignment vertical="center"/>
    </xf>
    <xf numFmtId="0" fontId="3" fillId="0" borderId="6" xfId="4" applyFont="1" applyBorder="1" applyAlignment="1">
      <alignment vertical="center"/>
    </xf>
    <xf numFmtId="0" fontId="3" fillId="0" borderId="7" xfId="4" applyFont="1" applyBorder="1" applyAlignment="1">
      <alignment vertical="center"/>
    </xf>
    <xf numFmtId="0" fontId="3" fillId="0" borderId="7" xfId="4" applyFont="1" applyBorder="1" applyAlignment="1">
      <alignment horizontal="left" vertical="center"/>
    </xf>
    <xf numFmtId="0" fontId="3" fillId="0" borderId="7" xfId="4" applyFont="1" applyBorder="1" applyAlignment="1">
      <alignment horizontal="center" vertical="center"/>
    </xf>
    <xf numFmtId="0" fontId="3" fillId="0" borderId="15" xfId="4" applyFont="1" applyBorder="1" applyAlignment="1">
      <alignment horizontal="left" vertical="center"/>
    </xf>
    <xf numFmtId="0" fontId="3" fillId="0" borderId="8" xfId="3" applyFont="1" applyBorder="1" applyAlignment="1">
      <alignment horizontal="center" vertical="center"/>
    </xf>
    <xf numFmtId="0" fontId="3" fillId="0" borderId="4" xfId="3" applyFont="1" applyBorder="1" applyAlignment="1">
      <alignment horizontal="left" vertical="center"/>
    </xf>
    <xf numFmtId="0" fontId="3" fillId="2" borderId="11" xfId="4" applyFont="1" applyFill="1" applyBorder="1" applyAlignment="1">
      <alignment horizontal="left" vertical="center"/>
    </xf>
    <xf numFmtId="0" fontId="3" fillId="2" borderId="11" xfId="3" applyFont="1" applyFill="1" applyBorder="1" applyAlignment="1">
      <alignment horizontal="left" vertical="center"/>
    </xf>
    <xf numFmtId="0" fontId="3" fillId="2" borderId="3" xfId="4" applyFont="1" applyFill="1" applyBorder="1" applyAlignment="1">
      <alignment horizontal="center" vertical="center"/>
    </xf>
    <xf numFmtId="0" fontId="3" fillId="2" borderId="8" xfId="4" applyFont="1" applyFill="1" applyBorder="1" applyAlignment="1">
      <alignment horizontal="center" vertical="center"/>
    </xf>
    <xf numFmtId="0" fontId="6" fillId="0" borderId="2" xfId="4" applyFont="1" applyBorder="1" applyAlignment="1">
      <alignment horizontal="center" vertical="center"/>
    </xf>
    <xf numFmtId="0" fontId="3" fillId="2" borderId="10" xfId="6" applyFont="1" applyFill="1" applyBorder="1" applyAlignment="1">
      <alignment horizontal="center" vertical="center"/>
    </xf>
    <xf numFmtId="0" fontId="6" fillId="0" borderId="3" xfId="4" quotePrefix="1" applyFont="1" applyBorder="1" applyAlignment="1">
      <alignment horizontal="center" vertical="center"/>
    </xf>
    <xf numFmtId="0" fontId="6" fillId="0" borderId="3" xfId="4" applyFont="1" applyBorder="1" applyAlignment="1">
      <alignment horizontal="center" vertical="center"/>
    </xf>
    <xf numFmtId="0" fontId="3" fillId="0" borderId="4" xfId="4" applyFont="1" applyBorder="1" applyAlignment="1">
      <alignment horizontal="left" vertical="center"/>
    </xf>
    <xf numFmtId="0" fontId="3" fillId="0" borderId="13" xfId="4" applyFont="1" applyBorder="1" applyAlignment="1">
      <alignment horizontal="left" vertical="center"/>
    </xf>
    <xf numFmtId="0" fontId="3" fillId="0" borderId="5" xfId="4" applyFont="1" applyBorder="1" applyAlignment="1">
      <alignment vertical="center"/>
    </xf>
    <xf numFmtId="177" fontId="3" fillId="0" borderId="14" xfId="11" applyNumberFormat="1" applyFont="1" applyBorder="1" applyAlignment="1">
      <alignment horizontal="left" vertical="center"/>
    </xf>
    <xf numFmtId="0" fontId="3" fillId="0" borderId="3" xfId="11" applyFont="1" applyBorder="1" applyAlignment="1">
      <alignment horizontal="left" vertical="center"/>
    </xf>
    <xf numFmtId="0" fontId="3" fillId="2" borderId="3" xfId="2" applyFont="1" applyFill="1" applyBorder="1" applyAlignment="1">
      <alignment horizontal="left" vertical="center"/>
    </xf>
    <xf numFmtId="49" fontId="3" fillId="2" borderId="14" xfId="12" applyNumberFormat="1" applyFont="1" applyFill="1" applyBorder="1" applyAlignment="1" applyProtection="1">
      <alignment horizontal="left" vertical="center"/>
      <protection locked="0"/>
    </xf>
    <xf numFmtId="0" fontId="3" fillId="0" borderId="6" xfId="4" applyFont="1" applyBorder="1" applyAlignment="1">
      <alignment horizontal="left" vertical="center"/>
    </xf>
    <xf numFmtId="0" fontId="3" fillId="2" borderId="16" xfId="13" applyFont="1" applyFill="1" applyBorder="1" applyAlignment="1">
      <alignment vertical="center"/>
    </xf>
    <xf numFmtId="0" fontId="3" fillId="0" borderId="17" xfId="4" applyFont="1" applyBorder="1" applyAlignment="1">
      <alignment horizontal="center" vertical="center"/>
    </xf>
    <xf numFmtId="0" fontId="3" fillId="0" borderId="6" xfId="4" quotePrefix="1" applyFont="1" applyBorder="1" applyAlignment="1">
      <alignment horizontal="center" vertical="center"/>
    </xf>
    <xf numFmtId="0" fontId="3" fillId="0" borderId="6" xfId="4" applyFont="1" applyBorder="1" applyAlignment="1">
      <alignment horizontal="center" vertical="center"/>
    </xf>
    <xf numFmtId="0" fontId="3" fillId="0" borderId="18" xfId="4" applyFont="1" applyBorder="1" applyAlignment="1">
      <alignment horizontal="left" vertical="center"/>
    </xf>
    <xf numFmtId="0" fontId="3" fillId="2" borderId="11" xfId="2" applyFont="1" applyFill="1" applyBorder="1" applyAlignment="1">
      <alignment horizontal="left" vertical="center"/>
    </xf>
    <xf numFmtId="0" fontId="3" fillId="2" borderId="3" xfId="2" applyFont="1" applyFill="1" applyBorder="1" applyAlignment="1">
      <alignment vertical="center"/>
    </xf>
    <xf numFmtId="0" fontId="3" fillId="0" borderId="4" xfId="6" applyFont="1" applyBorder="1" applyAlignment="1">
      <alignment horizontal="center" vertical="center"/>
    </xf>
    <xf numFmtId="176" fontId="3" fillId="0" borderId="4" xfId="6" quotePrefix="1" applyNumberFormat="1" applyFont="1" applyBorder="1" applyAlignment="1">
      <alignment horizontal="left" vertical="center"/>
    </xf>
    <xf numFmtId="49" fontId="3" fillId="2" borderId="19" xfId="12" applyNumberFormat="1" applyFont="1" applyFill="1" applyBorder="1" applyAlignment="1" applyProtection="1">
      <alignment horizontal="left" vertical="center"/>
      <protection locked="0"/>
    </xf>
    <xf numFmtId="0" fontId="3" fillId="0" borderId="14" xfId="4" applyFont="1" applyBorder="1" applyAlignment="1">
      <alignment horizontal="center" vertical="center"/>
    </xf>
    <xf numFmtId="177" fontId="3" fillId="0" borderId="19" xfId="11" applyNumberFormat="1" applyFont="1" applyBorder="1" applyAlignment="1">
      <alignment horizontal="left" vertical="center"/>
    </xf>
    <xf numFmtId="0" fontId="3" fillId="0" borderId="6" xfId="11" applyFont="1" applyBorder="1" applyAlignment="1">
      <alignment horizontal="left" vertical="center"/>
    </xf>
    <xf numFmtId="0" fontId="3" fillId="0" borderId="20" xfId="6" applyFont="1" applyBorder="1" applyAlignment="1">
      <alignment horizontal="center" vertical="center"/>
    </xf>
    <xf numFmtId="0" fontId="3" fillId="0" borderId="5" xfId="4" applyFont="1" applyBorder="1" applyAlignment="1">
      <alignment horizontal="left" vertical="center"/>
    </xf>
    <xf numFmtId="0" fontId="3" fillId="0" borderId="5" xfId="4" applyFont="1" applyBorder="1" applyAlignment="1">
      <alignment horizontal="center" vertical="center"/>
    </xf>
    <xf numFmtId="0" fontId="3" fillId="0" borderId="21" xfId="4" applyFont="1" applyBorder="1" applyAlignment="1">
      <alignment horizontal="left" vertical="center"/>
    </xf>
    <xf numFmtId="0" fontId="3" fillId="0" borderId="18" xfId="2" applyFont="1" applyBorder="1" applyAlignment="1">
      <alignment horizontal="left" vertical="center"/>
    </xf>
    <xf numFmtId="0" fontId="3" fillId="0" borderId="2" xfId="4" quotePrefix="1" applyFont="1" applyBorder="1" applyAlignment="1">
      <alignment horizontal="center" vertical="center"/>
    </xf>
    <xf numFmtId="56" fontId="3" fillId="0" borderId="3" xfId="4" quotePrefix="1" applyNumberFormat="1" applyFont="1" applyBorder="1" applyAlignment="1">
      <alignment horizontal="center" vertical="center"/>
    </xf>
    <xf numFmtId="0" fontId="3" fillId="0" borderId="0" xfId="4" applyFont="1" applyAlignment="1">
      <alignment horizontal="left" vertical="center"/>
    </xf>
    <xf numFmtId="0" fontId="3" fillId="0" borderId="0" xfId="4" applyFont="1" applyAlignment="1">
      <alignment horizontal="center" vertical="center"/>
    </xf>
    <xf numFmtId="0" fontId="3" fillId="0" borderId="0" xfId="2" applyFont="1" applyAlignment="1">
      <alignment horizontal="left" vertical="center"/>
    </xf>
    <xf numFmtId="0" fontId="3" fillId="0" borderId="2" xfId="2" applyFont="1" applyBorder="1" applyAlignment="1">
      <alignment horizontal="left" vertical="center"/>
    </xf>
    <xf numFmtId="0" fontId="3" fillId="0" borderId="4" xfId="2" applyFont="1" applyBorder="1" applyAlignment="1">
      <alignment horizontal="left" vertical="center"/>
    </xf>
    <xf numFmtId="0" fontId="3" fillId="0" borderId="5" xfId="2" applyFont="1" applyBorder="1" applyAlignment="1">
      <alignment horizontal="left" vertical="center"/>
    </xf>
    <xf numFmtId="9" fontId="3" fillId="0" borderId="2" xfId="10" applyFont="1" applyFill="1" applyBorder="1" applyAlignment="1">
      <alignment horizontal="left" vertical="center"/>
    </xf>
    <xf numFmtId="9" fontId="3" fillId="0" borderId="3" xfId="10" applyFont="1" applyFill="1" applyBorder="1" applyAlignment="1">
      <alignment horizontal="left" vertical="center"/>
    </xf>
    <xf numFmtId="9" fontId="3" fillId="0" borderId="5" xfId="10" applyFont="1" applyFill="1" applyBorder="1" applyAlignment="1">
      <alignment horizontal="left" vertical="center"/>
    </xf>
    <xf numFmtId="0" fontId="3" fillId="2" borderId="2" xfId="4" applyFont="1" applyFill="1" applyBorder="1" applyAlignment="1">
      <alignment horizontal="left" vertical="center"/>
    </xf>
    <xf numFmtId="0" fontId="3" fillId="0" borderId="7" xfId="2" applyFont="1" applyBorder="1" applyAlignment="1">
      <alignment horizontal="left" vertical="center"/>
    </xf>
    <xf numFmtId="0" fontId="2" fillId="0" borderId="0" xfId="4" applyFont="1" applyAlignment="1">
      <alignment horizontal="left" vertical="center"/>
    </xf>
    <xf numFmtId="0" fontId="0" fillId="0" borderId="0" xfId="0" applyAlignment="1">
      <alignment horizontal="left" vertical="center"/>
    </xf>
    <xf numFmtId="9" fontId="3" fillId="0" borderId="6" xfId="10" applyFont="1" applyFill="1" applyBorder="1" applyAlignment="1">
      <alignment horizontal="left" vertical="center"/>
    </xf>
    <xf numFmtId="9" fontId="3" fillId="0" borderId="4" xfId="10" applyFont="1" applyFill="1" applyBorder="1" applyAlignment="1">
      <alignment horizontal="left" vertical="center"/>
    </xf>
    <xf numFmtId="0" fontId="3" fillId="0" borderId="14" xfId="4" applyFont="1" applyBorder="1" applyAlignment="1">
      <alignment horizontal="left" vertical="center"/>
    </xf>
    <xf numFmtId="0" fontId="3" fillId="0" borderId="19" xfId="4" applyFont="1" applyBorder="1" applyAlignment="1">
      <alignment horizontal="left" vertical="center"/>
    </xf>
    <xf numFmtId="0" fontId="18" fillId="0" borderId="1" xfId="0" applyFont="1" applyBorder="1">
      <alignment vertical="center"/>
    </xf>
    <xf numFmtId="0" fontId="10" fillId="0" borderId="2" xfId="6" applyFont="1" applyBorder="1" applyAlignment="1">
      <alignment vertical="center"/>
    </xf>
    <xf numFmtId="0" fontId="10" fillId="0" borderId="3" xfId="6" applyFont="1" applyBorder="1" applyAlignment="1">
      <alignment vertical="center"/>
    </xf>
    <xf numFmtId="0" fontId="10" fillId="0" borderId="3" xfId="0" applyFont="1" applyBorder="1">
      <alignment vertical="center"/>
    </xf>
    <xf numFmtId="0" fontId="10" fillId="0" borderId="3" xfId="2" applyFont="1" applyBorder="1" applyAlignment="1">
      <alignment vertical="center"/>
    </xf>
    <xf numFmtId="0" fontId="10" fillId="0" borderId="4" xfId="6" applyFont="1" applyBorder="1" applyAlignment="1">
      <alignment vertical="center"/>
    </xf>
    <xf numFmtId="0" fontId="10" fillId="0" borderId="0" xfId="0" applyFont="1">
      <alignment vertical="center"/>
    </xf>
    <xf numFmtId="0" fontId="10" fillId="0" borderId="4" xfId="0" applyFont="1" applyBorder="1">
      <alignment vertical="center"/>
    </xf>
    <xf numFmtId="0" fontId="10" fillId="0" borderId="6" xfId="6" applyFont="1" applyBorder="1" applyAlignment="1">
      <alignment vertical="center"/>
    </xf>
    <xf numFmtId="0" fontId="10" fillId="0" borderId="5" xfId="0" applyFont="1" applyBorder="1">
      <alignment vertical="center"/>
    </xf>
    <xf numFmtId="0" fontId="10" fillId="0" borderId="5" xfId="6" applyFont="1" applyBorder="1" applyAlignment="1">
      <alignment vertical="center"/>
    </xf>
    <xf numFmtId="0" fontId="10" fillId="0" borderId="0" xfId="6" applyFont="1" applyAlignment="1">
      <alignment vertical="center"/>
    </xf>
    <xf numFmtId="0" fontId="0" fillId="0" borderId="0" xfId="0" applyFont="1" applyAlignment="1">
      <alignment horizontal="left" vertical="center"/>
    </xf>
    <xf numFmtId="0" fontId="10" fillId="0" borderId="1" xfId="0" applyFont="1" applyBorder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 wrapText="1"/>
    </xf>
  </cellXfs>
  <cellStyles count="14">
    <cellStyle name="一般" xfId="0" builtinId="0"/>
    <cellStyle name="一般 2" xfId="4" xr:uid="{C9FE5296-8F41-4BD1-8E0F-2C4DC18F82E2}"/>
    <cellStyle name="百分比" xfId="1" builtinId="5"/>
    <cellStyle name="百分比 2" xfId="10" xr:uid="{6D325641-37CE-43C1-A906-53380D37BFC3}"/>
    <cellStyle name="標準 3" xfId="13" xr:uid="{0DEB17BF-824B-4DDF-8932-907BBF1D060C}"/>
    <cellStyle name="標準_~0023106" xfId="8" xr:uid="{EEB4A59A-2D29-42DD-BB1C-ED8D5B4C13B5}"/>
    <cellStyle name="標準_15_PM Contents List 12" xfId="11" xr:uid="{AE930D0B-7F00-41D6-AF0E-51F702A58F85}"/>
    <cellStyle name="標準_Arabama PM-Parts作成中" xfId="3" xr:uid="{3AF07AE8-43F2-4E40-9365-A7C2FAB304CE}"/>
    <cellStyle name="標準_C2-ZD MASTER" xfId="9" xr:uid="{FBAF0A9E-D76A-499F-836D-2DEAAFE0532D}"/>
    <cellStyle name="標準_Loire PM-Parts作成中" xfId="2" xr:uid="{86D89FB3-4E6A-46D4-AAAE-F495B3C5D568}"/>
    <cellStyle name="標準_Sheet1" xfId="6" xr:uid="{4806C03B-E993-4794-9AAD-7ADBBFE5C400}"/>
    <cellStyle name="標準_Sheet1 (2)" xfId="5" xr:uid="{1178E2CA-872B-451C-BD23-650CEC82462F}"/>
    <cellStyle name="標準_Sheet2_PMlist(120112)" xfId="7" xr:uid="{735DD1F7-9C87-441D-9862-22FC5CCC27E3}"/>
    <cellStyle name="標準_標準原価" xfId="12" xr:uid="{277A6706-561A-456B-94D6-FFA0727DCC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913C9-98A8-4F51-BE67-E00A5E84A6E3}">
  <sheetPr>
    <pageSetUpPr fitToPage="1"/>
  </sheetPr>
  <dimension ref="A1:I2783"/>
  <sheetViews>
    <sheetView workbookViewId="0">
      <pane ySplit="1" topLeftCell="A2" activePane="bottomLeft" state="frozen"/>
      <selection pane="bottomLeft" activeCell="G1" sqref="G1:G1048576"/>
    </sheetView>
  </sheetViews>
  <sheetFormatPr defaultColWidth="6.75" defaultRowHeight="21.6" customHeight="1"/>
  <cols>
    <col min="1" max="1" width="6.1640625" style="19" customWidth="1"/>
    <col min="2" max="2" width="23.33203125" style="136" bestFit="1" customWidth="1"/>
    <col min="3" max="3" width="23.33203125" style="136" customWidth="1"/>
    <col min="4" max="4" width="10.1640625" style="125" bestFit="1" customWidth="1"/>
    <col min="5" max="5" width="22.4140625" style="19" bestFit="1" customWidth="1"/>
    <col min="6" max="6" width="20.5" style="126" bestFit="1" customWidth="1"/>
    <col min="7" max="7" width="28.5" style="148" customWidth="1"/>
    <col min="8" max="8" width="2.9140625" style="126" customWidth="1"/>
    <col min="9" max="9" width="47.9140625" style="125" bestFit="1" customWidth="1"/>
    <col min="10" max="16384" width="6.75" style="19"/>
  </cols>
  <sheetData>
    <row r="1" spans="1:9" ht="21.6" customHeight="1">
      <c r="A1" s="15" t="s">
        <v>62</v>
      </c>
      <c r="B1" s="18" t="s">
        <v>0</v>
      </c>
      <c r="C1" s="18" t="s">
        <v>63</v>
      </c>
      <c r="D1" s="16" t="s">
        <v>63</v>
      </c>
      <c r="E1" s="15" t="s">
        <v>64</v>
      </c>
      <c r="F1" s="17" t="s">
        <v>65</v>
      </c>
      <c r="G1" s="142" t="s">
        <v>66</v>
      </c>
      <c r="H1" s="18" t="s">
        <v>67</v>
      </c>
      <c r="I1" s="16" t="s">
        <v>68</v>
      </c>
    </row>
    <row r="2" spans="1:9" s="26" customFormat="1" ht="21.6" customHeight="1">
      <c r="A2" s="20">
        <v>66</v>
      </c>
      <c r="B2" s="128">
        <v>2505</v>
      </c>
      <c r="C2" s="128" t="s">
        <v>69</v>
      </c>
      <c r="D2" s="21" t="s">
        <v>1324</v>
      </c>
      <c r="E2" s="22" t="s">
        <v>70</v>
      </c>
      <c r="F2" s="23">
        <v>55</v>
      </c>
      <c r="G2" s="143" t="s">
        <v>71</v>
      </c>
      <c r="H2" s="24">
        <v>1</v>
      </c>
      <c r="I2" s="25" t="s">
        <v>72</v>
      </c>
    </row>
    <row r="3" spans="1:9" s="26" customFormat="1" ht="21.6" customHeight="1">
      <c r="A3" s="27">
        <v>67</v>
      </c>
      <c r="B3" s="39">
        <v>2505</v>
      </c>
      <c r="C3" s="39" t="s">
        <v>73</v>
      </c>
      <c r="D3" s="28" t="s">
        <v>1325</v>
      </c>
      <c r="E3" s="3" t="s">
        <v>74</v>
      </c>
      <c r="F3" s="29">
        <v>55</v>
      </c>
      <c r="G3" s="144" t="s">
        <v>75</v>
      </c>
      <c r="H3" s="29">
        <v>1</v>
      </c>
      <c r="I3" s="31"/>
    </row>
    <row r="4" spans="1:9" s="26" customFormat="1" ht="21.6" customHeight="1">
      <c r="A4" s="27">
        <v>68</v>
      </c>
      <c r="B4" s="39">
        <v>2505</v>
      </c>
      <c r="C4" s="39" t="s">
        <v>76</v>
      </c>
      <c r="D4" s="32" t="s">
        <v>1326</v>
      </c>
      <c r="E4" s="33" t="s">
        <v>77</v>
      </c>
      <c r="F4" s="29">
        <v>55</v>
      </c>
      <c r="G4" s="144" t="s">
        <v>78</v>
      </c>
      <c r="H4" s="29">
        <v>1</v>
      </c>
      <c r="I4" s="31"/>
    </row>
    <row r="5" spans="1:9" s="26" customFormat="1" ht="21.6" customHeight="1">
      <c r="A5" s="27">
        <v>69</v>
      </c>
      <c r="B5" s="39">
        <v>2505</v>
      </c>
      <c r="C5" s="39" t="s">
        <v>79</v>
      </c>
      <c r="D5" s="32" t="s">
        <v>1327</v>
      </c>
      <c r="E5" s="33" t="s">
        <v>80</v>
      </c>
      <c r="F5" s="29">
        <v>55</v>
      </c>
      <c r="G5" s="144" t="s">
        <v>81</v>
      </c>
      <c r="H5" s="29">
        <v>1</v>
      </c>
      <c r="I5" s="31"/>
    </row>
    <row r="6" spans="1:9" s="26" customFormat="1" ht="21.6" customHeight="1">
      <c r="A6" s="27">
        <v>70</v>
      </c>
      <c r="B6" s="39">
        <v>2505</v>
      </c>
      <c r="C6" s="39" t="s">
        <v>82</v>
      </c>
      <c r="D6" s="34" t="s">
        <v>1328</v>
      </c>
      <c r="E6" s="33" t="s">
        <v>83</v>
      </c>
      <c r="F6" s="29">
        <v>165</v>
      </c>
      <c r="G6" s="145" t="s">
        <v>1775</v>
      </c>
      <c r="H6" s="29">
        <v>1</v>
      </c>
      <c r="I6" s="31" t="s">
        <v>84</v>
      </c>
    </row>
    <row r="7" spans="1:9" s="26" customFormat="1" ht="21.6" customHeight="1">
      <c r="A7" s="27">
        <v>71</v>
      </c>
      <c r="B7" s="39">
        <v>2505</v>
      </c>
      <c r="C7" s="39" t="s">
        <v>85</v>
      </c>
      <c r="D7" s="32" t="s">
        <v>1329</v>
      </c>
      <c r="E7" s="33" t="s">
        <v>86</v>
      </c>
      <c r="F7" s="29">
        <v>165</v>
      </c>
      <c r="G7" s="144" t="s">
        <v>87</v>
      </c>
      <c r="H7" s="29">
        <v>1</v>
      </c>
      <c r="I7" s="31" t="s">
        <v>84</v>
      </c>
    </row>
    <row r="8" spans="1:9" s="26" customFormat="1" ht="21.6" customHeight="1">
      <c r="A8" s="27">
        <v>72</v>
      </c>
      <c r="B8" s="39">
        <v>2505</v>
      </c>
      <c r="C8" s="39" t="s">
        <v>88</v>
      </c>
      <c r="D8" s="32" t="s">
        <v>1330</v>
      </c>
      <c r="E8" s="33" t="s">
        <v>89</v>
      </c>
      <c r="F8" s="29">
        <v>165</v>
      </c>
      <c r="G8" s="144" t="s">
        <v>90</v>
      </c>
      <c r="H8" s="29">
        <v>5</v>
      </c>
      <c r="I8" s="31" t="s">
        <v>84</v>
      </c>
    </row>
    <row r="9" spans="1:9" s="26" customFormat="1" ht="21.6" customHeight="1">
      <c r="A9" s="27">
        <v>73</v>
      </c>
      <c r="B9" s="39">
        <v>2505</v>
      </c>
      <c r="C9" s="39" t="s">
        <v>91</v>
      </c>
      <c r="D9" s="32" t="s">
        <v>1331</v>
      </c>
      <c r="E9" s="33" t="s">
        <v>92</v>
      </c>
      <c r="F9" s="29">
        <v>165</v>
      </c>
      <c r="G9" s="144" t="s">
        <v>1776</v>
      </c>
      <c r="H9" s="29">
        <v>2</v>
      </c>
      <c r="I9" s="31" t="s">
        <v>84</v>
      </c>
    </row>
    <row r="10" spans="1:9" s="26" customFormat="1" ht="21.6" customHeight="1">
      <c r="A10" s="27">
        <v>74</v>
      </c>
      <c r="B10" s="39">
        <v>2505</v>
      </c>
      <c r="C10" s="39" t="s">
        <v>93</v>
      </c>
      <c r="D10" s="32" t="s">
        <v>1332</v>
      </c>
      <c r="E10" s="33" t="s">
        <v>94</v>
      </c>
      <c r="F10" s="29">
        <v>165</v>
      </c>
      <c r="G10" s="144" t="s">
        <v>95</v>
      </c>
      <c r="H10" s="29">
        <v>2</v>
      </c>
      <c r="I10" s="31" t="s">
        <v>84</v>
      </c>
    </row>
    <row r="11" spans="1:9" s="26" customFormat="1" ht="21.6" customHeight="1">
      <c r="A11" s="27">
        <v>75</v>
      </c>
      <c r="B11" s="39">
        <v>2505</v>
      </c>
      <c r="C11" s="39" t="s">
        <v>96</v>
      </c>
      <c r="D11" s="32" t="s">
        <v>1333</v>
      </c>
      <c r="E11" s="33" t="s">
        <v>97</v>
      </c>
      <c r="F11" s="29">
        <v>165</v>
      </c>
      <c r="G11" s="144" t="s">
        <v>98</v>
      </c>
      <c r="H11" s="29">
        <v>1</v>
      </c>
      <c r="I11" s="31" t="s">
        <v>84</v>
      </c>
    </row>
    <row r="12" spans="1:9" s="26" customFormat="1" ht="21.6" customHeight="1">
      <c r="A12" s="27">
        <v>76</v>
      </c>
      <c r="B12" s="39">
        <v>2505</v>
      </c>
      <c r="C12" s="39" t="s">
        <v>99</v>
      </c>
      <c r="D12" s="36" t="s">
        <v>1334</v>
      </c>
      <c r="E12" s="37" t="s">
        <v>100</v>
      </c>
      <c r="F12" s="29">
        <v>165</v>
      </c>
      <c r="G12" s="144" t="s">
        <v>101</v>
      </c>
      <c r="H12" s="29">
        <v>1</v>
      </c>
      <c r="I12" s="31" t="s">
        <v>84</v>
      </c>
    </row>
    <row r="13" spans="1:9" s="26" customFormat="1" ht="21.6" customHeight="1">
      <c r="A13" s="27">
        <v>77</v>
      </c>
      <c r="B13" s="39">
        <v>2505</v>
      </c>
      <c r="C13" s="39" t="s">
        <v>102</v>
      </c>
      <c r="D13" s="28" t="s">
        <v>1335</v>
      </c>
      <c r="E13" s="33" t="s">
        <v>103</v>
      </c>
      <c r="F13" s="29">
        <v>165</v>
      </c>
      <c r="G13" s="145" t="s">
        <v>104</v>
      </c>
      <c r="H13" s="29">
        <v>1</v>
      </c>
      <c r="I13" s="31" t="s">
        <v>84</v>
      </c>
    </row>
    <row r="14" spans="1:9" s="26" customFormat="1" ht="21.6" customHeight="1">
      <c r="A14" s="27">
        <v>78</v>
      </c>
      <c r="B14" s="39">
        <v>2505</v>
      </c>
      <c r="C14" s="39" t="s">
        <v>105</v>
      </c>
      <c r="D14" s="28" t="s">
        <v>1336</v>
      </c>
      <c r="E14" s="3" t="s">
        <v>106</v>
      </c>
      <c r="F14" s="29">
        <v>55</v>
      </c>
      <c r="G14" s="144" t="s">
        <v>107</v>
      </c>
      <c r="H14" s="29">
        <v>1</v>
      </c>
      <c r="I14" s="31"/>
    </row>
    <row r="15" spans="1:9" s="26" customFormat="1" ht="21.6" customHeight="1">
      <c r="A15" s="27">
        <v>79</v>
      </c>
      <c r="B15" s="39">
        <v>2505</v>
      </c>
      <c r="C15" s="39" t="s">
        <v>108</v>
      </c>
      <c r="D15" s="28" t="s">
        <v>1337</v>
      </c>
      <c r="E15" s="3" t="s">
        <v>109</v>
      </c>
      <c r="F15" s="29">
        <v>80</v>
      </c>
      <c r="G15" s="144" t="s">
        <v>110</v>
      </c>
      <c r="H15" s="29">
        <v>1</v>
      </c>
      <c r="I15" s="31" t="s">
        <v>111</v>
      </c>
    </row>
    <row r="16" spans="1:9" s="26" customFormat="1" ht="21.6" customHeight="1">
      <c r="A16" s="27">
        <v>80</v>
      </c>
      <c r="B16" s="39">
        <v>2505</v>
      </c>
      <c r="C16" s="39" t="s">
        <v>112</v>
      </c>
      <c r="D16" s="34" t="s">
        <v>1338</v>
      </c>
      <c r="E16" s="38" t="s">
        <v>113</v>
      </c>
      <c r="F16" s="29">
        <v>80</v>
      </c>
      <c r="G16" s="144" t="s">
        <v>114</v>
      </c>
      <c r="H16" s="29">
        <v>1</v>
      </c>
      <c r="I16" s="31" t="s">
        <v>111</v>
      </c>
    </row>
    <row r="17" spans="1:9" s="26" customFormat="1" ht="21.6" customHeight="1">
      <c r="A17" s="27">
        <v>81</v>
      </c>
      <c r="B17" s="39">
        <v>2505</v>
      </c>
      <c r="C17" s="39" t="s">
        <v>108</v>
      </c>
      <c r="D17" s="34" t="s">
        <v>1337</v>
      </c>
      <c r="E17" s="3" t="s">
        <v>109</v>
      </c>
      <c r="F17" s="29">
        <v>80</v>
      </c>
      <c r="G17" s="144" t="s">
        <v>115</v>
      </c>
      <c r="H17" s="29">
        <v>1</v>
      </c>
      <c r="I17" s="31" t="s">
        <v>116</v>
      </c>
    </row>
    <row r="18" spans="1:9" s="26" customFormat="1" ht="21.6" customHeight="1">
      <c r="A18" s="27">
        <v>82</v>
      </c>
      <c r="B18" s="39">
        <v>2505</v>
      </c>
      <c r="C18" s="39" t="s">
        <v>117</v>
      </c>
      <c r="D18" s="28" t="s">
        <v>1339</v>
      </c>
      <c r="E18" s="3" t="s">
        <v>118</v>
      </c>
      <c r="F18" s="29">
        <v>80</v>
      </c>
      <c r="G18" s="144" t="s">
        <v>119</v>
      </c>
      <c r="H18" s="29">
        <v>1</v>
      </c>
      <c r="I18" s="31" t="s">
        <v>116</v>
      </c>
    </row>
    <row r="19" spans="1:9" s="26" customFormat="1" ht="21.6" customHeight="1">
      <c r="A19" s="27">
        <v>83</v>
      </c>
      <c r="B19" s="39">
        <v>2505</v>
      </c>
      <c r="C19" s="39" t="s">
        <v>120</v>
      </c>
      <c r="D19" s="39" t="s">
        <v>1340</v>
      </c>
      <c r="E19" s="33" t="s">
        <v>121</v>
      </c>
      <c r="F19" s="29">
        <v>55</v>
      </c>
      <c r="G19" s="144" t="s">
        <v>122</v>
      </c>
      <c r="H19" s="40" t="s">
        <v>123</v>
      </c>
      <c r="I19" s="31"/>
    </row>
    <row r="20" spans="1:9" s="26" customFormat="1" ht="21.6" customHeight="1">
      <c r="A20" s="27">
        <v>84</v>
      </c>
      <c r="B20" s="39">
        <v>2505</v>
      </c>
      <c r="C20" s="39" t="s">
        <v>124</v>
      </c>
      <c r="D20" s="34" t="s">
        <v>1341</v>
      </c>
      <c r="E20" s="33" t="s">
        <v>125</v>
      </c>
      <c r="F20" s="29">
        <v>165</v>
      </c>
      <c r="G20" s="144" t="s">
        <v>126</v>
      </c>
      <c r="H20" s="40" t="s">
        <v>123</v>
      </c>
      <c r="I20" s="31" t="s">
        <v>84</v>
      </c>
    </row>
    <row r="21" spans="1:9" s="26" customFormat="1" ht="21.6" customHeight="1">
      <c r="A21" s="27">
        <v>85</v>
      </c>
      <c r="B21" s="39">
        <v>2505</v>
      </c>
      <c r="C21" s="39" t="s">
        <v>127</v>
      </c>
      <c r="D21" s="39" t="s">
        <v>1342</v>
      </c>
      <c r="E21" s="3" t="s">
        <v>128</v>
      </c>
      <c r="F21" s="29" t="s">
        <v>123</v>
      </c>
      <c r="G21" s="144" t="s">
        <v>129</v>
      </c>
      <c r="H21" s="40" t="s">
        <v>123</v>
      </c>
      <c r="I21" s="31"/>
    </row>
    <row r="22" spans="1:9" s="26" customFormat="1" ht="21.6" customHeight="1">
      <c r="A22" s="27">
        <v>86</v>
      </c>
      <c r="B22" s="39">
        <v>2505</v>
      </c>
      <c r="C22" s="39" t="s">
        <v>130</v>
      </c>
      <c r="D22" s="39" t="s">
        <v>1343</v>
      </c>
      <c r="E22" s="3" t="s">
        <v>131</v>
      </c>
      <c r="F22" s="29" t="s">
        <v>123</v>
      </c>
      <c r="G22" s="146" t="s">
        <v>132</v>
      </c>
      <c r="H22" s="40" t="s">
        <v>123</v>
      </c>
      <c r="I22" s="31"/>
    </row>
    <row r="23" spans="1:9" s="26" customFormat="1" ht="21.6" customHeight="1">
      <c r="A23" s="27">
        <v>87</v>
      </c>
      <c r="B23" s="39">
        <v>2505</v>
      </c>
      <c r="C23" s="39" t="s">
        <v>133</v>
      </c>
      <c r="D23" s="39" t="s">
        <v>1344</v>
      </c>
      <c r="E23" s="3" t="s">
        <v>134</v>
      </c>
      <c r="F23" s="29" t="s">
        <v>123</v>
      </c>
      <c r="G23" s="144" t="s">
        <v>135</v>
      </c>
      <c r="H23" s="40" t="s">
        <v>123</v>
      </c>
      <c r="I23" s="31"/>
    </row>
    <row r="24" spans="1:9" s="26" customFormat="1" ht="21.6" customHeight="1">
      <c r="A24" s="41">
        <v>88</v>
      </c>
      <c r="B24" s="129">
        <v>2505</v>
      </c>
      <c r="C24" s="129" t="s">
        <v>136</v>
      </c>
      <c r="D24" s="34" t="s">
        <v>1345</v>
      </c>
      <c r="E24" s="4" t="s">
        <v>137</v>
      </c>
      <c r="F24" s="42" t="s">
        <v>123</v>
      </c>
      <c r="G24" s="147" t="s">
        <v>138</v>
      </c>
      <c r="H24" s="44" t="s">
        <v>123</v>
      </c>
      <c r="I24" s="45"/>
    </row>
    <row r="25" spans="1:9" s="26" customFormat="1" ht="21.6" customHeight="1">
      <c r="A25" s="20">
        <v>89</v>
      </c>
      <c r="B25" s="128" t="s">
        <v>1296</v>
      </c>
      <c r="C25" s="128" t="s">
        <v>69</v>
      </c>
      <c r="D25" s="21" t="s">
        <v>1324</v>
      </c>
      <c r="E25" s="22" t="s">
        <v>70</v>
      </c>
      <c r="F25" s="23">
        <v>64</v>
      </c>
      <c r="G25" s="143" t="s">
        <v>71</v>
      </c>
      <c r="H25" s="24">
        <v>1</v>
      </c>
      <c r="I25" s="25" t="s">
        <v>72</v>
      </c>
    </row>
    <row r="26" spans="1:9" s="26" customFormat="1" ht="21.6" customHeight="1">
      <c r="A26" s="27">
        <v>90</v>
      </c>
      <c r="B26" s="39" t="s">
        <v>1296</v>
      </c>
      <c r="C26" s="39" t="s">
        <v>73</v>
      </c>
      <c r="D26" s="28" t="s">
        <v>1325</v>
      </c>
      <c r="E26" s="3" t="s">
        <v>74</v>
      </c>
      <c r="F26" s="29">
        <v>64</v>
      </c>
      <c r="G26" s="144" t="s">
        <v>75</v>
      </c>
      <c r="H26" s="29">
        <v>1</v>
      </c>
      <c r="I26" s="31"/>
    </row>
    <row r="27" spans="1:9" s="26" customFormat="1" ht="21.6" customHeight="1">
      <c r="A27" s="27">
        <v>91</v>
      </c>
      <c r="B27" s="39" t="s">
        <v>1296</v>
      </c>
      <c r="C27" s="39" t="s">
        <v>139</v>
      </c>
      <c r="D27" s="28" t="s">
        <v>1346</v>
      </c>
      <c r="E27" s="3" t="s">
        <v>140</v>
      </c>
      <c r="F27" s="29">
        <v>64</v>
      </c>
      <c r="G27" s="148" t="s">
        <v>141</v>
      </c>
      <c r="H27" s="29">
        <v>1</v>
      </c>
      <c r="I27" s="31" t="s">
        <v>142</v>
      </c>
    </row>
    <row r="28" spans="1:9" s="26" customFormat="1" ht="21.6" customHeight="1">
      <c r="A28" s="27">
        <v>92</v>
      </c>
      <c r="B28" s="39" t="s">
        <v>1296</v>
      </c>
      <c r="C28" s="39" t="s">
        <v>76</v>
      </c>
      <c r="D28" s="32" t="s">
        <v>1326</v>
      </c>
      <c r="E28" s="33" t="s">
        <v>77</v>
      </c>
      <c r="F28" s="29">
        <v>64</v>
      </c>
      <c r="G28" s="144" t="s">
        <v>78</v>
      </c>
      <c r="H28" s="29">
        <v>1</v>
      </c>
      <c r="I28" s="31"/>
    </row>
    <row r="29" spans="1:9" s="26" customFormat="1" ht="21.6" customHeight="1">
      <c r="A29" s="27">
        <v>93</v>
      </c>
      <c r="B29" s="39" t="s">
        <v>1296</v>
      </c>
      <c r="C29" s="39" t="s">
        <v>79</v>
      </c>
      <c r="D29" s="32" t="s">
        <v>1327</v>
      </c>
      <c r="E29" s="33" t="s">
        <v>80</v>
      </c>
      <c r="F29" s="29">
        <v>64</v>
      </c>
      <c r="G29" s="144" t="s">
        <v>81</v>
      </c>
      <c r="H29" s="29">
        <v>1</v>
      </c>
      <c r="I29" s="31"/>
    </row>
    <row r="30" spans="1:9" s="26" customFormat="1" ht="21.6" customHeight="1">
      <c r="A30" s="27">
        <v>94</v>
      </c>
      <c r="B30" s="39" t="s">
        <v>1296</v>
      </c>
      <c r="C30" s="39" t="s">
        <v>82</v>
      </c>
      <c r="D30" s="34" t="s">
        <v>1328</v>
      </c>
      <c r="E30" s="33" t="s">
        <v>83</v>
      </c>
      <c r="F30" s="29">
        <v>192</v>
      </c>
      <c r="G30" s="145" t="s">
        <v>1775</v>
      </c>
      <c r="H30" s="29">
        <v>1</v>
      </c>
      <c r="I30" s="31" t="s">
        <v>84</v>
      </c>
    </row>
    <row r="31" spans="1:9" s="26" customFormat="1" ht="21.6" customHeight="1">
      <c r="A31" s="27">
        <v>95</v>
      </c>
      <c r="B31" s="39" t="s">
        <v>1296</v>
      </c>
      <c r="C31" s="39" t="s">
        <v>143</v>
      </c>
      <c r="D31" s="32" t="s">
        <v>1347</v>
      </c>
      <c r="E31" s="33" t="s">
        <v>144</v>
      </c>
      <c r="F31" s="29">
        <v>192</v>
      </c>
      <c r="G31" s="144" t="s">
        <v>87</v>
      </c>
      <c r="H31" s="29">
        <v>1</v>
      </c>
      <c r="I31" s="31" t="s">
        <v>145</v>
      </c>
    </row>
    <row r="32" spans="1:9" s="26" customFormat="1" ht="21.6" customHeight="1">
      <c r="A32" s="27">
        <v>96</v>
      </c>
      <c r="B32" s="39" t="s">
        <v>1296</v>
      </c>
      <c r="C32" s="39" t="s">
        <v>88</v>
      </c>
      <c r="D32" s="32" t="s">
        <v>1330</v>
      </c>
      <c r="E32" s="33" t="s">
        <v>89</v>
      </c>
      <c r="F32" s="29">
        <v>192</v>
      </c>
      <c r="G32" s="144" t="s">
        <v>90</v>
      </c>
      <c r="H32" s="29">
        <v>5</v>
      </c>
      <c r="I32" s="31" t="s">
        <v>84</v>
      </c>
    </row>
    <row r="33" spans="1:9" s="26" customFormat="1" ht="21.6" customHeight="1">
      <c r="A33" s="27">
        <v>97</v>
      </c>
      <c r="B33" s="39" t="s">
        <v>1296</v>
      </c>
      <c r="C33" s="39" t="s">
        <v>91</v>
      </c>
      <c r="D33" s="32" t="s">
        <v>1331</v>
      </c>
      <c r="E33" s="33" t="s">
        <v>92</v>
      </c>
      <c r="F33" s="29">
        <v>192</v>
      </c>
      <c r="G33" s="144" t="s">
        <v>1776</v>
      </c>
      <c r="H33" s="29">
        <v>2</v>
      </c>
      <c r="I33" s="31" t="s">
        <v>84</v>
      </c>
    </row>
    <row r="34" spans="1:9" s="26" customFormat="1" ht="21.6" customHeight="1">
      <c r="A34" s="27">
        <v>98</v>
      </c>
      <c r="B34" s="39" t="s">
        <v>1296</v>
      </c>
      <c r="C34" s="39" t="s">
        <v>93</v>
      </c>
      <c r="D34" s="32" t="s">
        <v>1332</v>
      </c>
      <c r="E34" s="33" t="s">
        <v>94</v>
      </c>
      <c r="F34" s="29">
        <v>192</v>
      </c>
      <c r="G34" s="144" t="s">
        <v>95</v>
      </c>
      <c r="H34" s="29">
        <v>2</v>
      </c>
      <c r="I34" s="31" t="s">
        <v>84</v>
      </c>
    </row>
    <row r="35" spans="1:9" s="26" customFormat="1" ht="21.6" customHeight="1">
      <c r="A35" s="27">
        <v>99</v>
      </c>
      <c r="B35" s="39" t="s">
        <v>1296</v>
      </c>
      <c r="C35" s="39" t="s">
        <v>96</v>
      </c>
      <c r="D35" s="32" t="s">
        <v>1333</v>
      </c>
      <c r="E35" s="33" t="s">
        <v>97</v>
      </c>
      <c r="F35" s="29">
        <v>192</v>
      </c>
      <c r="G35" s="144" t="s">
        <v>98</v>
      </c>
      <c r="H35" s="29">
        <v>1</v>
      </c>
      <c r="I35" s="31" t="s">
        <v>84</v>
      </c>
    </row>
    <row r="36" spans="1:9" s="26" customFormat="1" ht="21.6" customHeight="1">
      <c r="A36" s="27">
        <v>100</v>
      </c>
      <c r="B36" s="39" t="s">
        <v>1296</v>
      </c>
      <c r="C36" s="39" t="s">
        <v>99</v>
      </c>
      <c r="D36" s="36" t="s">
        <v>1334</v>
      </c>
      <c r="E36" s="37" t="s">
        <v>100</v>
      </c>
      <c r="F36" s="29">
        <v>192</v>
      </c>
      <c r="G36" s="144" t="s">
        <v>101</v>
      </c>
      <c r="H36" s="29">
        <v>1</v>
      </c>
      <c r="I36" s="31" t="s">
        <v>84</v>
      </c>
    </row>
    <row r="37" spans="1:9" s="26" customFormat="1" ht="21.6" customHeight="1">
      <c r="A37" s="27">
        <v>101</v>
      </c>
      <c r="B37" s="39" t="s">
        <v>1296</v>
      </c>
      <c r="C37" s="39" t="s">
        <v>102</v>
      </c>
      <c r="D37" s="28" t="s">
        <v>1335</v>
      </c>
      <c r="E37" s="33" t="s">
        <v>103</v>
      </c>
      <c r="F37" s="29">
        <v>192</v>
      </c>
      <c r="G37" s="145" t="s">
        <v>104</v>
      </c>
      <c r="H37" s="29">
        <v>1</v>
      </c>
      <c r="I37" s="31" t="s">
        <v>84</v>
      </c>
    </row>
    <row r="38" spans="1:9" s="26" customFormat="1" ht="21.6" customHeight="1">
      <c r="A38" s="27">
        <v>102</v>
      </c>
      <c r="B38" s="39" t="s">
        <v>1296</v>
      </c>
      <c r="C38" s="39" t="s">
        <v>105</v>
      </c>
      <c r="D38" s="28" t="s">
        <v>1336</v>
      </c>
      <c r="E38" s="3" t="s">
        <v>106</v>
      </c>
      <c r="F38" s="29">
        <v>64</v>
      </c>
      <c r="G38" s="144" t="s">
        <v>107</v>
      </c>
      <c r="H38" s="29">
        <v>1</v>
      </c>
      <c r="I38" s="31"/>
    </row>
    <row r="39" spans="1:9" s="26" customFormat="1" ht="21.6" customHeight="1">
      <c r="A39" s="27">
        <v>103</v>
      </c>
      <c r="B39" s="39" t="s">
        <v>1296</v>
      </c>
      <c r="C39" s="39" t="s">
        <v>108</v>
      </c>
      <c r="D39" s="28" t="s">
        <v>1337</v>
      </c>
      <c r="E39" s="3" t="s">
        <v>109</v>
      </c>
      <c r="F39" s="29">
        <v>80</v>
      </c>
      <c r="G39" s="144" t="s">
        <v>110</v>
      </c>
      <c r="H39" s="29">
        <v>1</v>
      </c>
      <c r="I39" s="31" t="s">
        <v>146</v>
      </c>
    </row>
    <row r="40" spans="1:9" s="26" customFormat="1" ht="21.6" customHeight="1">
      <c r="A40" s="27">
        <v>104</v>
      </c>
      <c r="B40" s="39" t="s">
        <v>1296</v>
      </c>
      <c r="C40" s="39" t="s">
        <v>112</v>
      </c>
      <c r="D40" s="28" t="s">
        <v>1338</v>
      </c>
      <c r="E40" s="3" t="s">
        <v>113</v>
      </c>
      <c r="F40" s="29">
        <v>80</v>
      </c>
      <c r="G40" s="144" t="s">
        <v>114</v>
      </c>
      <c r="H40" s="29">
        <v>1</v>
      </c>
      <c r="I40" s="31" t="s">
        <v>147</v>
      </c>
    </row>
    <row r="41" spans="1:9" s="26" customFormat="1" ht="21.6" customHeight="1">
      <c r="A41" s="27">
        <v>105</v>
      </c>
      <c r="B41" s="39" t="s">
        <v>1296</v>
      </c>
      <c r="C41" s="39" t="s">
        <v>148</v>
      </c>
      <c r="D41" s="34" t="s">
        <v>1348</v>
      </c>
      <c r="E41" s="3" t="s">
        <v>149</v>
      </c>
      <c r="F41" s="29">
        <v>80</v>
      </c>
      <c r="G41" s="144" t="s">
        <v>115</v>
      </c>
      <c r="H41" s="29">
        <v>1</v>
      </c>
      <c r="I41" s="31" t="s">
        <v>150</v>
      </c>
    </row>
    <row r="42" spans="1:9" s="26" customFormat="1" ht="21.6" customHeight="1">
      <c r="A42" s="27">
        <v>106</v>
      </c>
      <c r="B42" s="39" t="s">
        <v>1296</v>
      </c>
      <c r="C42" s="39" t="s">
        <v>151</v>
      </c>
      <c r="D42" s="28" t="s">
        <v>1349</v>
      </c>
      <c r="E42" s="3" t="s">
        <v>152</v>
      </c>
      <c r="F42" s="29">
        <v>80</v>
      </c>
      <c r="G42" s="144" t="s">
        <v>119</v>
      </c>
      <c r="H42" s="29">
        <v>1</v>
      </c>
      <c r="I42" s="31" t="s">
        <v>153</v>
      </c>
    </row>
    <row r="43" spans="1:9" s="26" customFormat="1" ht="21.6" customHeight="1">
      <c r="A43" s="27">
        <v>107</v>
      </c>
      <c r="B43" s="39" t="s">
        <v>1296</v>
      </c>
      <c r="C43" s="39" t="s">
        <v>154</v>
      </c>
      <c r="D43" s="28" t="s">
        <v>1350</v>
      </c>
      <c r="E43" s="3" t="s">
        <v>155</v>
      </c>
      <c r="F43" s="29">
        <v>80</v>
      </c>
      <c r="G43" s="144" t="s">
        <v>119</v>
      </c>
      <c r="H43" s="29">
        <v>1</v>
      </c>
      <c r="I43" s="31" t="s">
        <v>156</v>
      </c>
    </row>
    <row r="44" spans="1:9" s="26" customFormat="1" ht="21.6" customHeight="1">
      <c r="A44" s="27">
        <v>108</v>
      </c>
      <c r="B44" s="39" t="s">
        <v>1296</v>
      </c>
      <c r="C44" s="39" t="s">
        <v>120</v>
      </c>
      <c r="D44" s="39" t="s">
        <v>1340</v>
      </c>
      <c r="E44" s="33" t="s">
        <v>121</v>
      </c>
      <c r="F44" s="29">
        <v>64</v>
      </c>
      <c r="G44" s="144" t="s">
        <v>122</v>
      </c>
      <c r="H44" s="40" t="s">
        <v>123</v>
      </c>
      <c r="I44" s="31"/>
    </row>
    <row r="45" spans="1:9" s="26" customFormat="1" ht="21.6" customHeight="1">
      <c r="A45" s="27">
        <v>109</v>
      </c>
      <c r="B45" s="39" t="s">
        <v>1296</v>
      </c>
      <c r="C45" s="39" t="s">
        <v>157</v>
      </c>
      <c r="D45" s="34" t="s">
        <v>1351</v>
      </c>
      <c r="E45" s="33" t="s">
        <v>158</v>
      </c>
      <c r="F45" s="29">
        <v>192</v>
      </c>
      <c r="G45" s="144" t="s">
        <v>126</v>
      </c>
      <c r="H45" s="40" t="s">
        <v>123</v>
      </c>
      <c r="I45" s="31" t="s">
        <v>159</v>
      </c>
    </row>
    <row r="46" spans="1:9" s="26" customFormat="1" ht="21.6" customHeight="1">
      <c r="A46" s="27">
        <v>110</v>
      </c>
      <c r="B46" s="39" t="s">
        <v>1296</v>
      </c>
      <c r="C46" s="39" t="s">
        <v>160</v>
      </c>
      <c r="D46" s="39" t="s">
        <v>1352</v>
      </c>
      <c r="E46" s="3" t="s">
        <v>161</v>
      </c>
      <c r="F46" s="29" t="s">
        <v>123</v>
      </c>
      <c r="G46" s="144" t="s">
        <v>129</v>
      </c>
      <c r="H46" s="40" t="s">
        <v>123</v>
      </c>
      <c r="I46" s="31" t="s">
        <v>150</v>
      </c>
    </row>
    <row r="47" spans="1:9" s="26" customFormat="1" ht="21.6" customHeight="1">
      <c r="A47" s="27">
        <v>111</v>
      </c>
      <c r="B47" s="39" t="s">
        <v>1296</v>
      </c>
      <c r="C47" s="39" t="s">
        <v>130</v>
      </c>
      <c r="D47" s="39" t="s">
        <v>1343</v>
      </c>
      <c r="E47" s="3" t="s">
        <v>131</v>
      </c>
      <c r="F47" s="29" t="s">
        <v>123</v>
      </c>
      <c r="G47" s="146" t="s">
        <v>132</v>
      </c>
      <c r="H47" s="40" t="s">
        <v>123</v>
      </c>
      <c r="I47" s="31"/>
    </row>
    <row r="48" spans="1:9" s="26" customFormat="1" ht="21.6" customHeight="1">
      <c r="A48" s="27">
        <v>112</v>
      </c>
      <c r="B48" s="39" t="s">
        <v>1296</v>
      </c>
      <c r="C48" s="39" t="s">
        <v>133</v>
      </c>
      <c r="D48" s="39" t="s">
        <v>1344</v>
      </c>
      <c r="E48" s="3" t="s">
        <v>134</v>
      </c>
      <c r="F48" s="29" t="s">
        <v>123</v>
      </c>
      <c r="G48" s="144" t="s">
        <v>135</v>
      </c>
      <c r="H48" s="40" t="s">
        <v>123</v>
      </c>
      <c r="I48" s="31" t="s">
        <v>162</v>
      </c>
    </row>
    <row r="49" spans="1:9" s="26" customFormat="1" ht="21.6" customHeight="1">
      <c r="A49" s="41">
        <v>114</v>
      </c>
      <c r="B49" s="129" t="s">
        <v>1296</v>
      </c>
      <c r="C49" s="129" t="s">
        <v>163</v>
      </c>
      <c r="D49" s="34" t="s">
        <v>1353</v>
      </c>
      <c r="E49" s="4" t="s">
        <v>164</v>
      </c>
      <c r="F49" s="42" t="s">
        <v>123</v>
      </c>
      <c r="G49" s="147" t="s">
        <v>138</v>
      </c>
      <c r="H49" s="44" t="s">
        <v>123</v>
      </c>
      <c r="I49" s="45" t="s">
        <v>165</v>
      </c>
    </row>
    <row r="50" spans="1:9" s="46" customFormat="1" ht="21.6" customHeight="1">
      <c r="A50" s="20">
        <v>115</v>
      </c>
      <c r="B50" s="128" t="s">
        <v>1297</v>
      </c>
      <c r="C50" s="128" t="s">
        <v>69</v>
      </c>
      <c r="D50" s="21" t="s">
        <v>1324</v>
      </c>
      <c r="E50" s="22" t="s">
        <v>70</v>
      </c>
      <c r="F50" s="23">
        <v>55</v>
      </c>
      <c r="G50" s="143" t="s">
        <v>71</v>
      </c>
      <c r="H50" s="24">
        <v>1</v>
      </c>
      <c r="I50" s="25" t="s">
        <v>72</v>
      </c>
    </row>
    <row r="51" spans="1:9" s="46" customFormat="1" ht="21.6" customHeight="1">
      <c r="A51" s="27">
        <v>116</v>
      </c>
      <c r="B51" s="39" t="s">
        <v>1297</v>
      </c>
      <c r="C51" s="39" t="s">
        <v>73</v>
      </c>
      <c r="D51" s="28" t="s">
        <v>1325</v>
      </c>
      <c r="E51" s="3" t="s">
        <v>74</v>
      </c>
      <c r="F51" s="29">
        <v>55</v>
      </c>
      <c r="G51" s="144" t="s">
        <v>75</v>
      </c>
      <c r="H51" s="29">
        <v>1</v>
      </c>
      <c r="I51" s="31"/>
    </row>
    <row r="52" spans="1:9" s="46" customFormat="1" ht="21.6" customHeight="1">
      <c r="A52" s="27">
        <v>117</v>
      </c>
      <c r="B52" s="39" t="s">
        <v>1297</v>
      </c>
      <c r="C52" s="39" t="s">
        <v>76</v>
      </c>
      <c r="D52" s="32" t="s">
        <v>1326</v>
      </c>
      <c r="E52" s="33" t="s">
        <v>77</v>
      </c>
      <c r="F52" s="29">
        <v>55</v>
      </c>
      <c r="G52" s="144" t="s">
        <v>78</v>
      </c>
      <c r="H52" s="29">
        <v>1</v>
      </c>
      <c r="I52" s="31"/>
    </row>
    <row r="53" spans="1:9" s="46" customFormat="1" ht="21.6" customHeight="1">
      <c r="A53" s="27">
        <v>118</v>
      </c>
      <c r="B53" s="39" t="s">
        <v>1297</v>
      </c>
      <c r="C53" s="39" t="s">
        <v>79</v>
      </c>
      <c r="D53" s="32" t="s">
        <v>1327</v>
      </c>
      <c r="E53" s="33" t="s">
        <v>80</v>
      </c>
      <c r="F53" s="29">
        <v>55</v>
      </c>
      <c r="G53" s="144" t="s">
        <v>81</v>
      </c>
      <c r="H53" s="29">
        <v>1</v>
      </c>
      <c r="I53" s="31"/>
    </row>
    <row r="54" spans="1:9" s="26" customFormat="1" ht="21.6" customHeight="1">
      <c r="A54" s="27">
        <v>119</v>
      </c>
      <c r="B54" s="39" t="s">
        <v>1297</v>
      </c>
      <c r="C54" s="39" t="s">
        <v>82</v>
      </c>
      <c r="D54" s="34" t="s">
        <v>1328</v>
      </c>
      <c r="E54" s="33" t="s">
        <v>83</v>
      </c>
      <c r="F54" s="29">
        <v>165</v>
      </c>
      <c r="G54" s="145" t="s">
        <v>1775</v>
      </c>
      <c r="H54" s="29">
        <v>1</v>
      </c>
      <c r="I54" s="31" t="s">
        <v>84</v>
      </c>
    </row>
    <row r="55" spans="1:9" s="26" customFormat="1" ht="21.6" customHeight="1">
      <c r="A55" s="27">
        <v>120</v>
      </c>
      <c r="B55" s="39" t="s">
        <v>1297</v>
      </c>
      <c r="C55" s="39" t="s">
        <v>85</v>
      </c>
      <c r="D55" s="32" t="s">
        <v>1329</v>
      </c>
      <c r="E55" s="33" t="s">
        <v>86</v>
      </c>
      <c r="F55" s="29">
        <v>165</v>
      </c>
      <c r="G55" s="144" t="s">
        <v>87</v>
      </c>
      <c r="H55" s="29">
        <v>1</v>
      </c>
      <c r="I55" s="31" t="s">
        <v>84</v>
      </c>
    </row>
    <row r="56" spans="1:9" s="26" customFormat="1" ht="21.6" customHeight="1">
      <c r="A56" s="27">
        <v>121</v>
      </c>
      <c r="B56" s="39" t="s">
        <v>1297</v>
      </c>
      <c r="C56" s="39" t="s">
        <v>88</v>
      </c>
      <c r="D56" s="32" t="s">
        <v>1330</v>
      </c>
      <c r="E56" s="33" t="s">
        <v>89</v>
      </c>
      <c r="F56" s="29">
        <v>165</v>
      </c>
      <c r="G56" s="144" t="s">
        <v>90</v>
      </c>
      <c r="H56" s="29">
        <v>5</v>
      </c>
      <c r="I56" s="31" t="s">
        <v>84</v>
      </c>
    </row>
    <row r="57" spans="1:9" s="26" customFormat="1" ht="21.6" customHeight="1">
      <c r="A57" s="27">
        <v>122</v>
      </c>
      <c r="B57" s="39" t="s">
        <v>1297</v>
      </c>
      <c r="C57" s="39" t="s">
        <v>91</v>
      </c>
      <c r="D57" s="32" t="s">
        <v>1331</v>
      </c>
      <c r="E57" s="33" t="s">
        <v>92</v>
      </c>
      <c r="F57" s="29">
        <v>165</v>
      </c>
      <c r="G57" s="144" t="s">
        <v>1776</v>
      </c>
      <c r="H57" s="29">
        <v>2</v>
      </c>
      <c r="I57" s="31" t="s">
        <v>84</v>
      </c>
    </row>
    <row r="58" spans="1:9" s="26" customFormat="1" ht="21.6" customHeight="1">
      <c r="A58" s="27">
        <v>123</v>
      </c>
      <c r="B58" s="39" t="s">
        <v>1297</v>
      </c>
      <c r="C58" s="39" t="s">
        <v>93</v>
      </c>
      <c r="D58" s="32" t="s">
        <v>1332</v>
      </c>
      <c r="E58" s="33" t="s">
        <v>94</v>
      </c>
      <c r="F58" s="29">
        <v>165</v>
      </c>
      <c r="G58" s="144" t="s">
        <v>95</v>
      </c>
      <c r="H58" s="29">
        <v>2</v>
      </c>
      <c r="I58" s="31" t="s">
        <v>84</v>
      </c>
    </row>
    <row r="59" spans="1:9" s="26" customFormat="1" ht="21.6" customHeight="1">
      <c r="A59" s="27">
        <v>124</v>
      </c>
      <c r="B59" s="39" t="s">
        <v>1297</v>
      </c>
      <c r="C59" s="39" t="s">
        <v>96</v>
      </c>
      <c r="D59" s="32" t="s">
        <v>1333</v>
      </c>
      <c r="E59" s="33" t="s">
        <v>97</v>
      </c>
      <c r="F59" s="29">
        <v>165</v>
      </c>
      <c r="G59" s="144" t="s">
        <v>98</v>
      </c>
      <c r="H59" s="29">
        <v>1</v>
      </c>
      <c r="I59" s="31" t="s">
        <v>84</v>
      </c>
    </row>
    <row r="60" spans="1:9" s="26" customFormat="1" ht="21.6" customHeight="1">
      <c r="A60" s="27">
        <v>125</v>
      </c>
      <c r="B60" s="39" t="s">
        <v>1297</v>
      </c>
      <c r="C60" s="39" t="s">
        <v>99</v>
      </c>
      <c r="D60" s="36" t="s">
        <v>1334</v>
      </c>
      <c r="E60" s="37" t="s">
        <v>100</v>
      </c>
      <c r="F60" s="29">
        <v>165</v>
      </c>
      <c r="G60" s="144" t="s">
        <v>101</v>
      </c>
      <c r="H60" s="29">
        <v>1</v>
      </c>
      <c r="I60" s="31" t="s">
        <v>84</v>
      </c>
    </row>
    <row r="61" spans="1:9" s="46" customFormat="1" ht="21.6" customHeight="1">
      <c r="A61" s="27">
        <v>126</v>
      </c>
      <c r="B61" s="39" t="s">
        <v>1297</v>
      </c>
      <c r="C61" s="39" t="s">
        <v>102</v>
      </c>
      <c r="D61" s="28" t="s">
        <v>1335</v>
      </c>
      <c r="E61" s="33" t="s">
        <v>103</v>
      </c>
      <c r="F61" s="29">
        <v>165</v>
      </c>
      <c r="G61" s="145" t="s">
        <v>104</v>
      </c>
      <c r="H61" s="29">
        <v>1</v>
      </c>
      <c r="I61" s="31" t="s">
        <v>84</v>
      </c>
    </row>
    <row r="62" spans="1:9" s="46" customFormat="1" ht="21.6" customHeight="1">
      <c r="A62" s="27">
        <v>127</v>
      </c>
      <c r="B62" s="39" t="s">
        <v>1297</v>
      </c>
      <c r="C62" s="39" t="s">
        <v>105</v>
      </c>
      <c r="D62" s="28" t="s">
        <v>1336</v>
      </c>
      <c r="E62" s="3" t="s">
        <v>106</v>
      </c>
      <c r="F62" s="29">
        <v>55</v>
      </c>
      <c r="G62" s="144" t="s">
        <v>107</v>
      </c>
      <c r="H62" s="29">
        <v>1</v>
      </c>
      <c r="I62" s="31"/>
    </row>
    <row r="63" spans="1:9" s="46" customFormat="1" ht="21.6" customHeight="1">
      <c r="A63" s="27">
        <v>128</v>
      </c>
      <c r="B63" s="39" t="s">
        <v>1297</v>
      </c>
      <c r="C63" s="39" t="s">
        <v>166</v>
      </c>
      <c r="D63" s="28" t="s">
        <v>1354</v>
      </c>
      <c r="E63" s="3" t="s">
        <v>167</v>
      </c>
      <c r="F63" s="29">
        <v>80</v>
      </c>
      <c r="G63" s="144" t="s">
        <v>110</v>
      </c>
      <c r="H63" s="29">
        <v>1</v>
      </c>
      <c r="I63" s="31" t="s">
        <v>111</v>
      </c>
    </row>
    <row r="64" spans="1:9" s="46" customFormat="1" ht="21.6" customHeight="1">
      <c r="A64" s="27">
        <v>129</v>
      </c>
      <c r="B64" s="39" t="s">
        <v>1297</v>
      </c>
      <c r="C64" s="39" t="s">
        <v>168</v>
      </c>
      <c r="D64" s="34" t="s">
        <v>1355</v>
      </c>
      <c r="E64" s="3" t="s">
        <v>169</v>
      </c>
      <c r="F64" s="29">
        <v>80</v>
      </c>
      <c r="G64" s="144" t="s">
        <v>114</v>
      </c>
      <c r="H64" s="29">
        <v>1</v>
      </c>
      <c r="I64" s="31" t="s">
        <v>111</v>
      </c>
    </row>
    <row r="65" spans="1:9" s="46" customFormat="1" ht="21.6" customHeight="1">
      <c r="A65" s="27">
        <v>130</v>
      </c>
      <c r="B65" s="39" t="s">
        <v>1297</v>
      </c>
      <c r="C65" s="39" t="s">
        <v>170</v>
      </c>
      <c r="D65" s="34" t="s">
        <v>1356</v>
      </c>
      <c r="E65" s="3" t="s">
        <v>171</v>
      </c>
      <c r="F65" s="29">
        <v>80</v>
      </c>
      <c r="G65" s="144" t="s">
        <v>115</v>
      </c>
      <c r="H65" s="29">
        <v>1</v>
      </c>
      <c r="I65" s="31" t="s">
        <v>116</v>
      </c>
    </row>
    <row r="66" spans="1:9" s="46" customFormat="1" ht="21.6" customHeight="1">
      <c r="A66" s="27">
        <v>131</v>
      </c>
      <c r="B66" s="39" t="s">
        <v>1297</v>
      </c>
      <c r="C66" s="39" t="s">
        <v>172</v>
      </c>
      <c r="D66" s="28" t="s">
        <v>1357</v>
      </c>
      <c r="E66" s="3" t="s">
        <v>173</v>
      </c>
      <c r="F66" s="29">
        <v>80</v>
      </c>
      <c r="G66" s="144" t="s">
        <v>119</v>
      </c>
      <c r="H66" s="29">
        <v>1</v>
      </c>
      <c r="I66" s="31" t="s">
        <v>116</v>
      </c>
    </row>
    <row r="67" spans="1:9" s="46" customFormat="1" ht="21.6" customHeight="1">
      <c r="A67" s="27">
        <v>132</v>
      </c>
      <c r="B67" s="39" t="s">
        <v>1297</v>
      </c>
      <c r="C67" s="39" t="s">
        <v>120</v>
      </c>
      <c r="D67" s="39" t="s">
        <v>1340</v>
      </c>
      <c r="E67" s="33" t="s">
        <v>121</v>
      </c>
      <c r="F67" s="29">
        <v>55</v>
      </c>
      <c r="G67" s="144" t="s">
        <v>122</v>
      </c>
      <c r="H67" s="40" t="s">
        <v>123</v>
      </c>
      <c r="I67" s="31"/>
    </row>
    <row r="68" spans="1:9" s="26" customFormat="1" ht="21.6" customHeight="1">
      <c r="A68" s="27">
        <v>133</v>
      </c>
      <c r="B68" s="39" t="s">
        <v>1297</v>
      </c>
      <c r="C68" s="39" t="s">
        <v>124</v>
      </c>
      <c r="D68" s="34" t="s">
        <v>1341</v>
      </c>
      <c r="E68" s="33" t="s">
        <v>125</v>
      </c>
      <c r="F68" s="29">
        <v>165</v>
      </c>
      <c r="G68" s="144" t="s">
        <v>126</v>
      </c>
      <c r="H68" s="40" t="s">
        <v>123</v>
      </c>
      <c r="I68" s="31" t="s">
        <v>84</v>
      </c>
    </row>
    <row r="69" spans="1:9" s="46" customFormat="1" ht="21.6" customHeight="1">
      <c r="A69" s="27">
        <v>134</v>
      </c>
      <c r="B69" s="39" t="s">
        <v>1297</v>
      </c>
      <c r="C69" s="39" t="s">
        <v>127</v>
      </c>
      <c r="D69" s="39" t="s">
        <v>1342</v>
      </c>
      <c r="E69" s="3" t="s">
        <v>128</v>
      </c>
      <c r="F69" s="29" t="s">
        <v>123</v>
      </c>
      <c r="G69" s="144" t="s">
        <v>129</v>
      </c>
      <c r="H69" s="40" t="s">
        <v>123</v>
      </c>
      <c r="I69" s="31"/>
    </row>
    <row r="70" spans="1:9" s="46" customFormat="1" ht="21.6" customHeight="1">
      <c r="A70" s="27">
        <v>135</v>
      </c>
      <c r="B70" s="39" t="s">
        <v>1297</v>
      </c>
      <c r="C70" s="39" t="s">
        <v>130</v>
      </c>
      <c r="D70" s="39" t="s">
        <v>1343</v>
      </c>
      <c r="E70" s="3" t="s">
        <v>131</v>
      </c>
      <c r="F70" s="29" t="s">
        <v>123</v>
      </c>
      <c r="G70" s="146" t="s">
        <v>132</v>
      </c>
      <c r="H70" s="40" t="s">
        <v>123</v>
      </c>
      <c r="I70" s="31"/>
    </row>
    <row r="71" spans="1:9" s="46" customFormat="1" ht="21.6" customHeight="1">
      <c r="A71" s="27">
        <v>136</v>
      </c>
      <c r="B71" s="39" t="s">
        <v>1297</v>
      </c>
      <c r="C71" s="39" t="s">
        <v>133</v>
      </c>
      <c r="D71" s="39" t="s">
        <v>1344</v>
      </c>
      <c r="E71" s="3" t="s">
        <v>134</v>
      </c>
      <c r="F71" s="29" t="s">
        <v>123</v>
      </c>
      <c r="G71" s="144" t="s">
        <v>135</v>
      </c>
      <c r="H71" s="40" t="s">
        <v>123</v>
      </c>
      <c r="I71" s="31"/>
    </row>
    <row r="72" spans="1:9" s="46" customFormat="1" ht="21.6" customHeight="1">
      <c r="A72" s="41">
        <v>138</v>
      </c>
      <c r="B72" s="129" t="s">
        <v>1297</v>
      </c>
      <c r="C72" s="129" t="s">
        <v>174</v>
      </c>
      <c r="D72" s="34" t="s">
        <v>1358</v>
      </c>
      <c r="E72" s="3" t="s">
        <v>175</v>
      </c>
      <c r="F72" s="42" t="s">
        <v>123</v>
      </c>
      <c r="G72" s="147" t="s">
        <v>138</v>
      </c>
      <c r="H72" s="44" t="s">
        <v>123</v>
      </c>
      <c r="I72" s="45"/>
    </row>
    <row r="73" spans="1:9" s="46" customFormat="1" ht="21.6" customHeight="1">
      <c r="A73" s="20">
        <v>139</v>
      </c>
      <c r="B73" s="128" t="s">
        <v>1298</v>
      </c>
      <c r="C73" s="128" t="s">
        <v>69</v>
      </c>
      <c r="D73" s="21" t="s">
        <v>1324</v>
      </c>
      <c r="E73" s="22" t="s">
        <v>70</v>
      </c>
      <c r="F73" s="23">
        <v>59</v>
      </c>
      <c r="G73" s="143" t="s">
        <v>71</v>
      </c>
      <c r="H73" s="24">
        <v>1</v>
      </c>
      <c r="I73" s="25" t="s">
        <v>72</v>
      </c>
    </row>
    <row r="74" spans="1:9" s="46" customFormat="1" ht="21.6" customHeight="1">
      <c r="A74" s="27">
        <v>140</v>
      </c>
      <c r="B74" s="39" t="s">
        <v>1298</v>
      </c>
      <c r="C74" s="39" t="s">
        <v>73</v>
      </c>
      <c r="D74" s="28" t="s">
        <v>1325</v>
      </c>
      <c r="E74" s="3" t="s">
        <v>74</v>
      </c>
      <c r="F74" s="29">
        <v>59</v>
      </c>
      <c r="G74" s="144" t="s">
        <v>75</v>
      </c>
      <c r="H74" s="29">
        <v>1</v>
      </c>
      <c r="I74" s="31"/>
    </row>
    <row r="75" spans="1:9" s="46" customFormat="1" ht="21.6" customHeight="1">
      <c r="A75" s="27">
        <v>141</v>
      </c>
      <c r="B75" s="39" t="s">
        <v>1298</v>
      </c>
      <c r="C75" s="39" t="s">
        <v>139</v>
      </c>
      <c r="D75" s="28" t="s">
        <v>1346</v>
      </c>
      <c r="E75" s="3" t="s">
        <v>140</v>
      </c>
      <c r="F75" s="29">
        <v>59</v>
      </c>
      <c r="G75" s="148" t="s">
        <v>141</v>
      </c>
      <c r="H75" s="29">
        <v>1</v>
      </c>
      <c r="I75" s="31" t="s">
        <v>142</v>
      </c>
    </row>
    <row r="76" spans="1:9" s="46" customFormat="1" ht="21.6" customHeight="1">
      <c r="A76" s="27">
        <v>142</v>
      </c>
      <c r="B76" s="39" t="s">
        <v>1298</v>
      </c>
      <c r="C76" s="39" t="s">
        <v>76</v>
      </c>
      <c r="D76" s="32" t="s">
        <v>1326</v>
      </c>
      <c r="E76" s="33" t="s">
        <v>77</v>
      </c>
      <c r="F76" s="29">
        <v>59</v>
      </c>
      <c r="G76" s="144" t="s">
        <v>78</v>
      </c>
      <c r="H76" s="29">
        <v>1</v>
      </c>
      <c r="I76" s="31"/>
    </row>
    <row r="77" spans="1:9" s="46" customFormat="1" ht="21.6" customHeight="1">
      <c r="A77" s="27">
        <v>143</v>
      </c>
      <c r="B77" s="39" t="s">
        <v>1298</v>
      </c>
      <c r="C77" s="39" t="s">
        <v>79</v>
      </c>
      <c r="D77" s="32" t="s">
        <v>1327</v>
      </c>
      <c r="E77" s="33" t="s">
        <v>80</v>
      </c>
      <c r="F77" s="29">
        <v>59</v>
      </c>
      <c r="G77" s="144" t="s">
        <v>81</v>
      </c>
      <c r="H77" s="29">
        <v>1</v>
      </c>
      <c r="I77" s="31"/>
    </row>
    <row r="78" spans="1:9" s="26" customFormat="1" ht="21.6" customHeight="1">
      <c r="A78" s="27">
        <v>144</v>
      </c>
      <c r="B78" s="39" t="s">
        <v>1298</v>
      </c>
      <c r="C78" s="39" t="s">
        <v>82</v>
      </c>
      <c r="D78" s="34" t="s">
        <v>1328</v>
      </c>
      <c r="E78" s="33" t="s">
        <v>83</v>
      </c>
      <c r="F78" s="29">
        <v>177</v>
      </c>
      <c r="G78" s="145" t="s">
        <v>1775</v>
      </c>
      <c r="H78" s="29">
        <v>1</v>
      </c>
      <c r="I78" s="31" t="s">
        <v>84</v>
      </c>
    </row>
    <row r="79" spans="1:9" s="26" customFormat="1" ht="21.6" customHeight="1">
      <c r="A79" s="27">
        <v>145</v>
      </c>
      <c r="B79" s="39" t="s">
        <v>1298</v>
      </c>
      <c r="C79" s="39" t="s">
        <v>143</v>
      </c>
      <c r="D79" s="32" t="s">
        <v>1347</v>
      </c>
      <c r="E79" s="33" t="s">
        <v>144</v>
      </c>
      <c r="F79" s="29">
        <v>177</v>
      </c>
      <c r="G79" s="144" t="s">
        <v>87</v>
      </c>
      <c r="H79" s="29">
        <v>1</v>
      </c>
      <c r="I79" s="31" t="s">
        <v>176</v>
      </c>
    </row>
    <row r="80" spans="1:9" s="26" customFormat="1" ht="21.6" customHeight="1">
      <c r="A80" s="27">
        <v>146</v>
      </c>
      <c r="B80" s="39" t="s">
        <v>1298</v>
      </c>
      <c r="C80" s="39" t="s">
        <v>88</v>
      </c>
      <c r="D80" s="32" t="s">
        <v>1330</v>
      </c>
      <c r="E80" s="33" t="s">
        <v>89</v>
      </c>
      <c r="F80" s="29">
        <v>177</v>
      </c>
      <c r="G80" s="144" t="s">
        <v>90</v>
      </c>
      <c r="H80" s="29">
        <v>5</v>
      </c>
      <c r="I80" s="31" t="s">
        <v>84</v>
      </c>
    </row>
    <row r="81" spans="1:9" s="26" customFormat="1" ht="21.6" customHeight="1">
      <c r="A81" s="27">
        <v>147</v>
      </c>
      <c r="B81" s="39" t="s">
        <v>1298</v>
      </c>
      <c r="C81" s="39" t="s">
        <v>91</v>
      </c>
      <c r="D81" s="32" t="s">
        <v>1331</v>
      </c>
      <c r="E81" s="33" t="s">
        <v>92</v>
      </c>
      <c r="F81" s="29">
        <v>177</v>
      </c>
      <c r="G81" s="144" t="s">
        <v>1776</v>
      </c>
      <c r="H81" s="29">
        <v>2</v>
      </c>
      <c r="I81" s="31" t="s">
        <v>84</v>
      </c>
    </row>
    <row r="82" spans="1:9" s="26" customFormat="1" ht="21.6" customHeight="1">
      <c r="A82" s="27">
        <v>148</v>
      </c>
      <c r="B82" s="39" t="s">
        <v>1298</v>
      </c>
      <c r="C82" s="39" t="s">
        <v>93</v>
      </c>
      <c r="D82" s="32" t="s">
        <v>1332</v>
      </c>
      <c r="E82" s="33" t="s">
        <v>94</v>
      </c>
      <c r="F82" s="29">
        <v>177</v>
      </c>
      <c r="G82" s="144" t="s">
        <v>95</v>
      </c>
      <c r="H82" s="29">
        <v>2</v>
      </c>
      <c r="I82" s="31" t="s">
        <v>84</v>
      </c>
    </row>
    <row r="83" spans="1:9" s="26" customFormat="1" ht="21.6" customHeight="1">
      <c r="A83" s="27">
        <v>149</v>
      </c>
      <c r="B83" s="39" t="s">
        <v>1298</v>
      </c>
      <c r="C83" s="39" t="s">
        <v>96</v>
      </c>
      <c r="D83" s="32" t="s">
        <v>1333</v>
      </c>
      <c r="E83" s="33" t="s">
        <v>97</v>
      </c>
      <c r="F83" s="29">
        <v>177</v>
      </c>
      <c r="G83" s="144" t="s">
        <v>98</v>
      </c>
      <c r="H83" s="29">
        <v>1</v>
      </c>
      <c r="I83" s="31" t="s">
        <v>84</v>
      </c>
    </row>
    <row r="84" spans="1:9" s="26" customFormat="1" ht="21.6" customHeight="1">
      <c r="A84" s="27">
        <v>150</v>
      </c>
      <c r="B84" s="39" t="s">
        <v>1298</v>
      </c>
      <c r="C84" s="39" t="s">
        <v>99</v>
      </c>
      <c r="D84" s="36" t="s">
        <v>1334</v>
      </c>
      <c r="E84" s="37" t="s">
        <v>100</v>
      </c>
      <c r="F84" s="29">
        <v>177</v>
      </c>
      <c r="G84" s="144" t="s">
        <v>101</v>
      </c>
      <c r="H84" s="29">
        <v>1</v>
      </c>
      <c r="I84" s="31" t="s">
        <v>84</v>
      </c>
    </row>
    <row r="85" spans="1:9" s="46" customFormat="1" ht="21.6" customHeight="1">
      <c r="A85" s="27">
        <v>151</v>
      </c>
      <c r="B85" s="39" t="s">
        <v>1298</v>
      </c>
      <c r="C85" s="39" t="s">
        <v>102</v>
      </c>
      <c r="D85" s="28" t="s">
        <v>1335</v>
      </c>
      <c r="E85" s="33" t="s">
        <v>103</v>
      </c>
      <c r="F85" s="29">
        <v>177</v>
      </c>
      <c r="G85" s="145" t="s">
        <v>104</v>
      </c>
      <c r="H85" s="29">
        <v>1</v>
      </c>
      <c r="I85" s="31" t="s">
        <v>84</v>
      </c>
    </row>
    <row r="86" spans="1:9" s="46" customFormat="1" ht="21.6" customHeight="1">
      <c r="A86" s="27">
        <v>152</v>
      </c>
      <c r="B86" s="39" t="s">
        <v>1298</v>
      </c>
      <c r="C86" s="39" t="s">
        <v>105</v>
      </c>
      <c r="D86" s="28" t="s">
        <v>1336</v>
      </c>
      <c r="E86" s="3" t="s">
        <v>106</v>
      </c>
      <c r="F86" s="29">
        <v>59</v>
      </c>
      <c r="G86" s="144" t="s">
        <v>107</v>
      </c>
      <c r="H86" s="29">
        <v>1</v>
      </c>
      <c r="I86" s="31"/>
    </row>
    <row r="87" spans="1:9" s="46" customFormat="1" ht="21.6" customHeight="1">
      <c r="A87" s="27">
        <v>153</v>
      </c>
      <c r="B87" s="39" t="s">
        <v>1298</v>
      </c>
      <c r="C87" s="39" t="s">
        <v>166</v>
      </c>
      <c r="D87" s="28" t="s">
        <v>1354</v>
      </c>
      <c r="E87" s="3" t="s">
        <v>167</v>
      </c>
      <c r="F87" s="29">
        <v>80</v>
      </c>
      <c r="G87" s="144" t="s">
        <v>110</v>
      </c>
      <c r="H87" s="29">
        <v>1</v>
      </c>
      <c r="I87" s="31" t="s">
        <v>177</v>
      </c>
    </row>
    <row r="88" spans="1:9" s="46" customFormat="1" ht="21.6" customHeight="1">
      <c r="A88" s="27">
        <v>154</v>
      </c>
      <c r="B88" s="39" t="s">
        <v>1298</v>
      </c>
      <c r="C88" s="39" t="s">
        <v>168</v>
      </c>
      <c r="D88" s="34" t="s">
        <v>1355</v>
      </c>
      <c r="E88" s="3" t="s">
        <v>169</v>
      </c>
      <c r="F88" s="29">
        <v>80</v>
      </c>
      <c r="G88" s="144" t="s">
        <v>114</v>
      </c>
      <c r="H88" s="29">
        <v>1</v>
      </c>
      <c r="I88" s="31" t="s">
        <v>178</v>
      </c>
    </row>
    <row r="89" spans="1:9" s="46" customFormat="1" ht="21.6" customHeight="1">
      <c r="A89" s="27">
        <v>155</v>
      </c>
      <c r="B89" s="39" t="s">
        <v>1298</v>
      </c>
      <c r="C89" s="39" t="s">
        <v>170</v>
      </c>
      <c r="D89" s="34" t="s">
        <v>1356</v>
      </c>
      <c r="E89" s="3" t="s">
        <v>171</v>
      </c>
      <c r="F89" s="29">
        <v>80</v>
      </c>
      <c r="G89" s="144" t="s">
        <v>115</v>
      </c>
      <c r="H89" s="29">
        <v>1</v>
      </c>
      <c r="I89" s="31" t="s">
        <v>178</v>
      </c>
    </row>
    <row r="90" spans="1:9" s="46" customFormat="1" ht="21.6" customHeight="1">
      <c r="A90" s="27">
        <v>156</v>
      </c>
      <c r="B90" s="39" t="s">
        <v>1298</v>
      </c>
      <c r="C90" s="39" t="s">
        <v>179</v>
      </c>
      <c r="D90" s="39" t="s">
        <v>1359</v>
      </c>
      <c r="E90" s="3" t="s">
        <v>180</v>
      </c>
      <c r="F90" s="29">
        <v>80</v>
      </c>
      <c r="G90" s="144" t="s">
        <v>119</v>
      </c>
      <c r="H90" s="29">
        <v>1</v>
      </c>
      <c r="I90" s="31" t="s">
        <v>181</v>
      </c>
    </row>
    <row r="91" spans="1:9" s="46" customFormat="1" ht="21.6" customHeight="1">
      <c r="A91" s="27">
        <v>157</v>
      </c>
      <c r="B91" s="39" t="s">
        <v>1298</v>
      </c>
      <c r="C91" s="39" t="s">
        <v>182</v>
      </c>
      <c r="D91" s="39" t="s">
        <v>1360</v>
      </c>
      <c r="E91" s="3" t="s">
        <v>183</v>
      </c>
      <c r="F91" s="29">
        <v>80</v>
      </c>
      <c r="G91" s="144" t="s">
        <v>119</v>
      </c>
      <c r="H91" s="29">
        <v>1</v>
      </c>
      <c r="I91" s="31" t="s">
        <v>184</v>
      </c>
    </row>
    <row r="92" spans="1:9" s="46" customFormat="1" ht="21.6" customHeight="1">
      <c r="A92" s="27">
        <v>158</v>
      </c>
      <c r="B92" s="39" t="s">
        <v>1298</v>
      </c>
      <c r="C92" s="39" t="s">
        <v>120</v>
      </c>
      <c r="D92" s="39" t="s">
        <v>1340</v>
      </c>
      <c r="E92" s="33" t="s">
        <v>121</v>
      </c>
      <c r="F92" s="29">
        <v>59</v>
      </c>
      <c r="G92" s="144" t="s">
        <v>122</v>
      </c>
      <c r="H92" s="40" t="s">
        <v>123</v>
      </c>
      <c r="I92" s="31"/>
    </row>
    <row r="93" spans="1:9" s="26" customFormat="1" ht="21.6" customHeight="1">
      <c r="A93" s="27">
        <v>159</v>
      </c>
      <c r="B93" s="39" t="s">
        <v>1298</v>
      </c>
      <c r="C93" s="39" t="s">
        <v>157</v>
      </c>
      <c r="D93" s="34" t="s">
        <v>1351</v>
      </c>
      <c r="E93" s="33" t="s">
        <v>158</v>
      </c>
      <c r="F93" s="29">
        <v>177</v>
      </c>
      <c r="G93" s="144" t="s">
        <v>126</v>
      </c>
      <c r="H93" s="40" t="s">
        <v>123</v>
      </c>
      <c r="I93" s="31" t="s">
        <v>176</v>
      </c>
    </row>
    <row r="94" spans="1:9" s="46" customFormat="1" ht="21.6" customHeight="1">
      <c r="A94" s="27">
        <v>160</v>
      </c>
      <c r="B94" s="39" t="s">
        <v>1298</v>
      </c>
      <c r="C94" s="39" t="s">
        <v>160</v>
      </c>
      <c r="D94" s="39" t="s">
        <v>1352</v>
      </c>
      <c r="E94" s="3" t="s">
        <v>161</v>
      </c>
      <c r="F94" s="29" t="s">
        <v>123</v>
      </c>
      <c r="G94" s="144" t="s">
        <v>129</v>
      </c>
      <c r="H94" s="40" t="s">
        <v>123</v>
      </c>
      <c r="I94" s="31" t="s">
        <v>185</v>
      </c>
    </row>
    <row r="95" spans="1:9" s="46" customFormat="1" ht="21.6" customHeight="1">
      <c r="A95" s="27">
        <v>161</v>
      </c>
      <c r="B95" s="39" t="s">
        <v>1298</v>
      </c>
      <c r="C95" s="39" t="s">
        <v>130</v>
      </c>
      <c r="D95" s="39" t="s">
        <v>1343</v>
      </c>
      <c r="E95" s="3" t="s">
        <v>131</v>
      </c>
      <c r="F95" s="29" t="s">
        <v>123</v>
      </c>
      <c r="G95" s="146" t="s">
        <v>132</v>
      </c>
      <c r="H95" s="40" t="s">
        <v>123</v>
      </c>
      <c r="I95" s="31" t="s">
        <v>162</v>
      </c>
    </row>
    <row r="96" spans="1:9" s="46" customFormat="1" ht="21.6" customHeight="1">
      <c r="A96" s="27">
        <v>162</v>
      </c>
      <c r="B96" s="39" t="s">
        <v>1298</v>
      </c>
      <c r="C96" s="39" t="s">
        <v>133</v>
      </c>
      <c r="D96" s="39" t="s">
        <v>1344</v>
      </c>
      <c r="E96" s="3" t="s">
        <v>134</v>
      </c>
      <c r="F96" s="29" t="s">
        <v>123</v>
      </c>
      <c r="G96" s="144" t="s">
        <v>135</v>
      </c>
      <c r="H96" s="40" t="s">
        <v>123</v>
      </c>
      <c r="I96" s="31" t="s">
        <v>162</v>
      </c>
    </row>
    <row r="97" spans="1:9" s="46" customFormat="1" ht="21.6" customHeight="1">
      <c r="A97" s="41">
        <v>164</v>
      </c>
      <c r="B97" s="130" t="s">
        <v>1298</v>
      </c>
      <c r="C97" s="129" t="s">
        <v>163</v>
      </c>
      <c r="D97" s="34" t="s">
        <v>1353</v>
      </c>
      <c r="E97" s="4" t="s">
        <v>164</v>
      </c>
      <c r="F97" s="42" t="s">
        <v>123</v>
      </c>
      <c r="G97" s="147" t="s">
        <v>138</v>
      </c>
      <c r="H97" s="44" t="s">
        <v>123</v>
      </c>
      <c r="I97" s="45" t="s">
        <v>186</v>
      </c>
    </row>
    <row r="98" spans="1:9" s="46" customFormat="1" ht="21.6" customHeight="1">
      <c r="A98" s="20">
        <v>165</v>
      </c>
      <c r="B98" s="128" t="s">
        <v>1299</v>
      </c>
      <c r="C98" s="128" t="s">
        <v>69</v>
      </c>
      <c r="D98" s="21" t="s">
        <v>1324</v>
      </c>
      <c r="E98" s="22" t="s">
        <v>70</v>
      </c>
      <c r="F98" s="23">
        <v>61</v>
      </c>
      <c r="G98" s="143" t="s">
        <v>71</v>
      </c>
      <c r="H98" s="24">
        <v>1</v>
      </c>
      <c r="I98" s="25" t="s">
        <v>72</v>
      </c>
    </row>
    <row r="99" spans="1:9" s="46" customFormat="1" ht="21.6" customHeight="1">
      <c r="A99" s="27">
        <v>166</v>
      </c>
      <c r="B99" s="39" t="s">
        <v>1299</v>
      </c>
      <c r="C99" s="39" t="s">
        <v>73</v>
      </c>
      <c r="D99" s="28" t="s">
        <v>1325</v>
      </c>
      <c r="E99" s="3" t="s">
        <v>74</v>
      </c>
      <c r="F99" s="29">
        <v>61</v>
      </c>
      <c r="G99" s="144" t="s">
        <v>75</v>
      </c>
      <c r="H99" s="29">
        <v>1</v>
      </c>
      <c r="I99" s="31"/>
    </row>
    <row r="100" spans="1:9" s="46" customFormat="1" ht="21.6" customHeight="1">
      <c r="A100" s="27">
        <v>167</v>
      </c>
      <c r="B100" s="39" t="s">
        <v>1299</v>
      </c>
      <c r="C100" s="39" t="s">
        <v>139</v>
      </c>
      <c r="D100" s="28" t="s">
        <v>1346</v>
      </c>
      <c r="E100" s="3" t="s">
        <v>140</v>
      </c>
      <c r="F100" s="29">
        <v>61</v>
      </c>
      <c r="G100" s="148" t="s">
        <v>141</v>
      </c>
      <c r="H100" s="29">
        <v>1</v>
      </c>
      <c r="I100" s="31" t="s">
        <v>142</v>
      </c>
    </row>
    <row r="101" spans="1:9" s="46" customFormat="1" ht="21.6" customHeight="1">
      <c r="A101" s="27">
        <v>168</v>
      </c>
      <c r="B101" s="39" t="s">
        <v>1299</v>
      </c>
      <c r="C101" s="39" t="s">
        <v>76</v>
      </c>
      <c r="D101" s="32" t="s">
        <v>1326</v>
      </c>
      <c r="E101" s="33" t="s">
        <v>77</v>
      </c>
      <c r="F101" s="29">
        <v>61</v>
      </c>
      <c r="G101" s="144" t="s">
        <v>78</v>
      </c>
      <c r="H101" s="29">
        <v>1</v>
      </c>
      <c r="I101" s="31"/>
    </row>
    <row r="102" spans="1:9" s="46" customFormat="1" ht="21.6" customHeight="1">
      <c r="A102" s="27">
        <v>169</v>
      </c>
      <c r="B102" s="39" t="s">
        <v>1299</v>
      </c>
      <c r="C102" s="39" t="s">
        <v>79</v>
      </c>
      <c r="D102" s="32" t="s">
        <v>1327</v>
      </c>
      <c r="E102" s="33" t="s">
        <v>80</v>
      </c>
      <c r="F102" s="29">
        <v>61</v>
      </c>
      <c r="G102" s="144" t="s">
        <v>81</v>
      </c>
      <c r="H102" s="29">
        <v>1</v>
      </c>
      <c r="I102" s="31"/>
    </row>
    <row r="103" spans="1:9" s="26" customFormat="1" ht="21.6" customHeight="1">
      <c r="A103" s="27">
        <v>170</v>
      </c>
      <c r="B103" s="39" t="s">
        <v>1299</v>
      </c>
      <c r="C103" s="39" t="s">
        <v>82</v>
      </c>
      <c r="D103" s="34" t="s">
        <v>1328</v>
      </c>
      <c r="E103" s="33" t="s">
        <v>83</v>
      </c>
      <c r="F103" s="29">
        <v>183</v>
      </c>
      <c r="G103" s="145" t="s">
        <v>1775</v>
      </c>
      <c r="H103" s="29">
        <v>1</v>
      </c>
      <c r="I103" s="31" t="s">
        <v>84</v>
      </c>
    </row>
    <row r="104" spans="1:9" s="26" customFormat="1" ht="21.6" customHeight="1">
      <c r="A104" s="27">
        <v>171</v>
      </c>
      <c r="B104" s="39" t="s">
        <v>1299</v>
      </c>
      <c r="C104" s="39" t="s">
        <v>143</v>
      </c>
      <c r="D104" s="32" t="s">
        <v>1347</v>
      </c>
      <c r="E104" s="33" t="s">
        <v>144</v>
      </c>
      <c r="F104" s="29">
        <v>183</v>
      </c>
      <c r="G104" s="144" t="s">
        <v>87</v>
      </c>
      <c r="H104" s="29">
        <v>1</v>
      </c>
      <c r="I104" s="31" t="s">
        <v>187</v>
      </c>
    </row>
    <row r="105" spans="1:9" s="26" customFormat="1" ht="21.6" customHeight="1">
      <c r="A105" s="27">
        <v>172</v>
      </c>
      <c r="B105" s="39" t="s">
        <v>1299</v>
      </c>
      <c r="C105" s="39" t="s">
        <v>88</v>
      </c>
      <c r="D105" s="32" t="s">
        <v>1330</v>
      </c>
      <c r="E105" s="33" t="s">
        <v>89</v>
      </c>
      <c r="F105" s="29">
        <v>183</v>
      </c>
      <c r="G105" s="144" t="s">
        <v>90</v>
      </c>
      <c r="H105" s="29">
        <v>5</v>
      </c>
      <c r="I105" s="31" t="s">
        <v>84</v>
      </c>
    </row>
    <row r="106" spans="1:9" s="26" customFormat="1" ht="21.6" customHeight="1">
      <c r="A106" s="27">
        <v>173</v>
      </c>
      <c r="B106" s="39" t="s">
        <v>1299</v>
      </c>
      <c r="C106" s="39" t="s">
        <v>91</v>
      </c>
      <c r="D106" s="32" t="s">
        <v>1331</v>
      </c>
      <c r="E106" s="33" t="s">
        <v>92</v>
      </c>
      <c r="F106" s="29">
        <v>183</v>
      </c>
      <c r="G106" s="144" t="s">
        <v>1776</v>
      </c>
      <c r="H106" s="29">
        <v>2</v>
      </c>
      <c r="I106" s="31" t="s">
        <v>84</v>
      </c>
    </row>
    <row r="107" spans="1:9" s="26" customFormat="1" ht="21.6" customHeight="1">
      <c r="A107" s="27">
        <v>174</v>
      </c>
      <c r="B107" s="39" t="s">
        <v>1299</v>
      </c>
      <c r="C107" s="39" t="s">
        <v>93</v>
      </c>
      <c r="D107" s="32" t="s">
        <v>1332</v>
      </c>
      <c r="E107" s="33" t="s">
        <v>94</v>
      </c>
      <c r="F107" s="29">
        <v>183</v>
      </c>
      <c r="G107" s="144" t="s">
        <v>95</v>
      </c>
      <c r="H107" s="29">
        <v>2</v>
      </c>
      <c r="I107" s="31" t="s">
        <v>84</v>
      </c>
    </row>
    <row r="108" spans="1:9" s="26" customFormat="1" ht="21.6" customHeight="1">
      <c r="A108" s="27">
        <v>175</v>
      </c>
      <c r="B108" s="39" t="s">
        <v>1299</v>
      </c>
      <c r="C108" s="39" t="s">
        <v>96</v>
      </c>
      <c r="D108" s="32" t="s">
        <v>1333</v>
      </c>
      <c r="E108" s="33" t="s">
        <v>97</v>
      </c>
      <c r="F108" s="29">
        <v>183</v>
      </c>
      <c r="G108" s="144" t="s">
        <v>98</v>
      </c>
      <c r="H108" s="29">
        <v>1</v>
      </c>
      <c r="I108" s="31" t="s">
        <v>84</v>
      </c>
    </row>
    <row r="109" spans="1:9" s="26" customFormat="1" ht="21.6" customHeight="1">
      <c r="A109" s="27">
        <v>176</v>
      </c>
      <c r="B109" s="39" t="s">
        <v>1299</v>
      </c>
      <c r="C109" s="39" t="s">
        <v>99</v>
      </c>
      <c r="D109" s="36" t="s">
        <v>1334</v>
      </c>
      <c r="E109" s="37" t="s">
        <v>100</v>
      </c>
      <c r="F109" s="29">
        <v>183</v>
      </c>
      <c r="G109" s="144" t="s">
        <v>101</v>
      </c>
      <c r="H109" s="29">
        <v>1</v>
      </c>
      <c r="I109" s="31" t="s">
        <v>84</v>
      </c>
    </row>
    <row r="110" spans="1:9" s="46" customFormat="1" ht="21.6" customHeight="1">
      <c r="A110" s="27">
        <v>177</v>
      </c>
      <c r="B110" s="39" t="s">
        <v>1299</v>
      </c>
      <c r="C110" s="39" t="s">
        <v>102</v>
      </c>
      <c r="D110" s="28" t="s">
        <v>1335</v>
      </c>
      <c r="E110" s="33" t="s">
        <v>103</v>
      </c>
      <c r="F110" s="29">
        <v>183</v>
      </c>
      <c r="G110" s="145" t="s">
        <v>104</v>
      </c>
      <c r="H110" s="29">
        <v>1</v>
      </c>
      <c r="I110" s="31" t="s">
        <v>84</v>
      </c>
    </row>
    <row r="111" spans="1:9" s="46" customFormat="1" ht="21.6" customHeight="1">
      <c r="A111" s="27">
        <v>178</v>
      </c>
      <c r="B111" s="39" t="s">
        <v>1299</v>
      </c>
      <c r="C111" s="39" t="s">
        <v>105</v>
      </c>
      <c r="D111" s="28" t="s">
        <v>1336</v>
      </c>
      <c r="E111" s="3" t="s">
        <v>106</v>
      </c>
      <c r="F111" s="29">
        <v>61</v>
      </c>
      <c r="G111" s="144" t="s">
        <v>107</v>
      </c>
      <c r="H111" s="29">
        <v>1</v>
      </c>
      <c r="I111" s="31"/>
    </row>
    <row r="112" spans="1:9" s="46" customFormat="1" ht="21.6" customHeight="1">
      <c r="A112" s="27">
        <v>179</v>
      </c>
      <c r="B112" s="39" t="s">
        <v>1299</v>
      </c>
      <c r="C112" s="39" t="s">
        <v>166</v>
      </c>
      <c r="D112" s="28" t="s">
        <v>1354</v>
      </c>
      <c r="E112" s="3" t="s">
        <v>167</v>
      </c>
      <c r="F112" s="29">
        <v>80</v>
      </c>
      <c r="G112" s="144" t="s">
        <v>110</v>
      </c>
      <c r="H112" s="29">
        <v>1</v>
      </c>
      <c r="I112" s="31" t="s">
        <v>177</v>
      </c>
    </row>
    <row r="113" spans="1:9" s="46" customFormat="1" ht="21.6" customHeight="1">
      <c r="A113" s="27">
        <v>180</v>
      </c>
      <c r="B113" s="39" t="s">
        <v>1299</v>
      </c>
      <c r="C113" s="39" t="s">
        <v>168</v>
      </c>
      <c r="D113" s="34" t="s">
        <v>1355</v>
      </c>
      <c r="E113" s="3" t="s">
        <v>169</v>
      </c>
      <c r="F113" s="29">
        <v>80</v>
      </c>
      <c r="G113" s="144" t="s">
        <v>114</v>
      </c>
      <c r="H113" s="29">
        <v>1</v>
      </c>
      <c r="I113" s="31" t="s">
        <v>178</v>
      </c>
    </row>
    <row r="114" spans="1:9" s="46" customFormat="1" ht="21.6" customHeight="1">
      <c r="A114" s="27">
        <v>181</v>
      </c>
      <c r="B114" s="39" t="s">
        <v>1299</v>
      </c>
      <c r="C114" s="39" t="s">
        <v>170</v>
      </c>
      <c r="D114" s="34" t="s">
        <v>1356</v>
      </c>
      <c r="E114" s="3" t="s">
        <v>171</v>
      </c>
      <c r="F114" s="29">
        <v>80</v>
      </c>
      <c r="G114" s="144" t="s">
        <v>115</v>
      </c>
      <c r="H114" s="29">
        <v>1</v>
      </c>
      <c r="I114" s="31" t="s">
        <v>178</v>
      </c>
    </row>
    <row r="115" spans="1:9" s="46" customFormat="1" ht="21.6" customHeight="1">
      <c r="A115" s="27">
        <v>182</v>
      </c>
      <c r="B115" s="39" t="s">
        <v>1299</v>
      </c>
      <c r="C115" s="39" t="s">
        <v>179</v>
      </c>
      <c r="D115" s="39" t="s">
        <v>1359</v>
      </c>
      <c r="E115" s="3" t="s">
        <v>180</v>
      </c>
      <c r="F115" s="29">
        <v>80</v>
      </c>
      <c r="G115" s="144" t="s">
        <v>119</v>
      </c>
      <c r="H115" s="29">
        <v>1</v>
      </c>
      <c r="I115" s="31" t="s">
        <v>188</v>
      </c>
    </row>
    <row r="116" spans="1:9" s="46" customFormat="1" ht="21.6" customHeight="1">
      <c r="A116" s="27">
        <v>183</v>
      </c>
      <c r="B116" s="39" t="s">
        <v>1299</v>
      </c>
      <c r="C116" s="39" t="s">
        <v>182</v>
      </c>
      <c r="D116" s="39" t="s">
        <v>1360</v>
      </c>
      <c r="E116" s="3" t="s">
        <v>183</v>
      </c>
      <c r="F116" s="29">
        <v>80</v>
      </c>
      <c r="G116" s="144" t="s">
        <v>119</v>
      </c>
      <c r="H116" s="29">
        <v>1</v>
      </c>
      <c r="I116" s="31" t="s">
        <v>184</v>
      </c>
    </row>
    <row r="117" spans="1:9" s="46" customFormat="1" ht="21.6" customHeight="1">
      <c r="A117" s="27">
        <v>184</v>
      </c>
      <c r="B117" s="39" t="s">
        <v>1299</v>
      </c>
      <c r="C117" s="39" t="s">
        <v>120</v>
      </c>
      <c r="D117" s="39" t="s">
        <v>1340</v>
      </c>
      <c r="E117" s="33" t="s">
        <v>121</v>
      </c>
      <c r="F117" s="29">
        <v>61</v>
      </c>
      <c r="G117" s="144" t="s">
        <v>122</v>
      </c>
      <c r="H117" s="40" t="s">
        <v>123</v>
      </c>
      <c r="I117" s="31"/>
    </row>
    <row r="118" spans="1:9" s="26" customFormat="1" ht="21.6" customHeight="1">
      <c r="A118" s="27">
        <v>185</v>
      </c>
      <c r="B118" s="39" t="s">
        <v>1299</v>
      </c>
      <c r="C118" s="39" t="s">
        <v>157</v>
      </c>
      <c r="D118" s="34" t="s">
        <v>1351</v>
      </c>
      <c r="E118" s="33" t="s">
        <v>158</v>
      </c>
      <c r="F118" s="29">
        <v>183</v>
      </c>
      <c r="G118" s="144" t="s">
        <v>126</v>
      </c>
      <c r="H118" s="40" t="s">
        <v>123</v>
      </c>
      <c r="I118" s="31" t="s">
        <v>187</v>
      </c>
    </row>
    <row r="119" spans="1:9" s="46" customFormat="1" ht="21.6" customHeight="1">
      <c r="A119" s="27">
        <v>186</v>
      </c>
      <c r="B119" s="39" t="s">
        <v>1299</v>
      </c>
      <c r="C119" s="39" t="s">
        <v>160</v>
      </c>
      <c r="D119" s="39" t="s">
        <v>1352</v>
      </c>
      <c r="E119" s="3" t="s">
        <v>161</v>
      </c>
      <c r="F119" s="29" t="s">
        <v>123</v>
      </c>
      <c r="G119" s="144" t="s">
        <v>129</v>
      </c>
      <c r="H119" s="40" t="s">
        <v>123</v>
      </c>
      <c r="I119" s="31" t="s">
        <v>189</v>
      </c>
    </row>
    <row r="120" spans="1:9" s="46" customFormat="1" ht="21.6" customHeight="1">
      <c r="A120" s="27">
        <v>187</v>
      </c>
      <c r="B120" s="39" t="s">
        <v>1299</v>
      </c>
      <c r="C120" s="39" t="s">
        <v>130</v>
      </c>
      <c r="D120" s="39" t="s">
        <v>1343</v>
      </c>
      <c r="E120" s="3" t="s">
        <v>131</v>
      </c>
      <c r="F120" s="29" t="s">
        <v>123</v>
      </c>
      <c r="G120" s="146" t="s">
        <v>132</v>
      </c>
      <c r="H120" s="40" t="s">
        <v>123</v>
      </c>
      <c r="I120" s="31"/>
    </row>
    <row r="121" spans="1:9" s="46" customFormat="1" ht="21.6" customHeight="1">
      <c r="A121" s="27">
        <v>188</v>
      </c>
      <c r="B121" s="39" t="s">
        <v>1299</v>
      </c>
      <c r="C121" s="39" t="s">
        <v>133</v>
      </c>
      <c r="D121" s="39" t="s">
        <v>1344</v>
      </c>
      <c r="E121" s="3" t="s">
        <v>134</v>
      </c>
      <c r="F121" s="29" t="s">
        <v>123</v>
      </c>
      <c r="G121" s="144" t="s">
        <v>135</v>
      </c>
      <c r="H121" s="40" t="s">
        <v>123</v>
      </c>
      <c r="I121" s="31" t="s">
        <v>162</v>
      </c>
    </row>
    <row r="122" spans="1:9" s="46" customFormat="1" ht="21.6" customHeight="1">
      <c r="A122" s="41">
        <v>190</v>
      </c>
      <c r="B122" s="129" t="s">
        <v>1299</v>
      </c>
      <c r="C122" s="129" t="s">
        <v>163</v>
      </c>
      <c r="D122" s="34" t="s">
        <v>1353</v>
      </c>
      <c r="E122" s="4" t="s">
        <v>164</v>
      </c>
      <c r="F122" s="42" t="s">
        <v>123</v>
      </c>
      <c r="G122" s="147" t="s">
        <v>138</v>
      </c>
      <c r="H122" s="44" t="s">
        <v>123</v>
      </c>
      <c r="I122" s="45" t="s">
        <v>189</v>
      </c>
    </row>
    <row r="123" spans="1:9" s="46" customFormat="1" ht="21.6" customHeight="1">
      <c r="A123" s="20">
        <v>191</v>
      </c>
      <c r="B123" s="128" t="s">
        <v>42</v>
      </c>
      <c r="C123" s="128" t="s">
        <v>69</v>
      </c>
      <c r="D123" s="21" t="s">
        <v>1324</v>
      </c>
      <c r="E123" s="22" t="s">
        <v>70</v>
      </c>
      <c r="F123" s="23">
        <v>64</v>
      </c>
      <c r="G123" s="143" t="s">
        <v>71</v>
      </c>
      <c r="H123" s="24">
        <v>1</v>
      </c>
      <c r="I123" s="25" t="s">
        <v>72</v>
      </c>
    </row>
    <row r="124" spans="1:9" s="46" customFormat="1" ht="21.6" customHeight="1">
      <c r="A124" s="27">
        <v>192</v>
      </c>
      <c r="B124" s="39" t="s">
        <v>42</v>
      </c>
      <c r="C124" s="39" t="s">
        <v>73</v>
      </c>
      <c r="D124" s="28" t="s">
        <v>1325</v>
      </c>
      <c r="E124" s="3" t="s">
        <v>74</v>
      </c>
      <c r="F124" s="29">
        <v>64</v>
      </c>
      <c r="G124" s="144" t="s">
        <v>75</v>
      </c>
      <c r="H124" s="29">
        <v>1</v>
      </c>
      <c r="I124" s="31"/>
    </row>
    <row r="125" spans="1:9" s="46" customFormat="1" ht="21.6" customHeight="1">
      <c r="A125" s="27">
        <v>193</v>
      </c>
      <c r="B125" s="39" t="s">
        <v>42</v>
      </c>
      <c r="C125" s="39" t="s">
        <v>139</v>
      </c>
      <c r="D125" s="28" t="s">
        <v>1346</v>
      </c>
      <c r="E125" s="3" t="s">
        <v>140</v>
      </c>
      <c r="F125" s="29">
        <v>64</v>
      </c>
      <c r="G125" s="148" t="s">
        <v>141</v>
      </c>
      <c r="H125" s="29">
        <v>1</v>
      </c>
      <c r="I125" s="31" t="s">
        <v>142</v>
      </c>
    </row>
    <row r="126" spans="1:9" s="46" customFormat="1" ht="21.6" customHeight="1">
      <c r="A126" s="27">
        <v>194</v>
      </c>
      <c r="B126" s="39" t="s">
        <v>42</v>
      </c>
      <c r="C126" s="39" t="s">
        <v>76</v>
      </c>
      <c r="D126" s="32" t="s">
        <v>1326</v>
      </c>
      <c r="E126" s="33" t="s">
        <v>77</v>
      </c>
      <c r="F126" s="29">
        <v>64</v>
      </c>
      <c r="G126" s="144" t="s">
        <v>78</v>
      </c>
      <c r="H126" s="29">
        <v>1</v>
      </c>
      <c r="I126" s="31"/>
    </row>
    <row r="127" spans="1:9" s="46" customFormat="1" ht="21.6" customHeight="1">
      <c r="A127" s="27">
        <v>195</v>
      </c>
      <c r="B127" s="39" t="s">
        <v>42</v>
      </c>
      <c r="C127" s="39" t="s">
        <v>79</v>
      </c>
      <c r="D127" s="32" t="s">
        <v>1327</v>
      </c>
      <c r="E127" s="33" t="s">
        <v>80</v>
      </c>
      <c r="F127" s="29">
        <v>64</v>
      </c>
      <c r="G127" s="144" t="s">
        <v>81</v>
      </c>
      <c r="H127" s="29">
        <v>1</v>
      </c>
      <c r="I127" s="31"/>
    </row>
    <row r="128" spans="1:9" s="26" customFormat="1" ht="21.6" customHeight="1">
      <c r="A128" s="27">
        <v>196</v>
      </c>
      <c r="B128" s="39" t="s">
        <v>42</v>
      </c>
      <c r="C128" s="39" t="s">
        <v>82</v>
      </c>
      <c r="D128" s="34" t="s">
        <v>1328</v>
      </c>
      <c r="E128" s="33" t="s">
        <v>83</v>
      </c>
      <c r="F128" s="29">
        <v>192</v>
      </c>
      <c r="G128" s="145" t="s">
        <v>1775</v>
      </c>
      <c r="H128" s="29">
        <v>1</v>
      </c>
      <c r="I128" s="31" t="s">
        <v>84</v>
      </c>
    </row>
    <row r="129" spans="1:9" s="26" customFormat="1" ht="21.6" customHeight="1">
      <c r="A129" s="27">
        <v>197</v>
      </c>
      <c r="B129" s="39" t="s">
        <v>42</v>
      </c>
      <c r="C129" s="39" t="s">
        <v>143</v>
      </c>
      <c r="D129" s="32" t="s">
        <v>1347</v>
      </c>
      <c r="E129" s="33" t="s">
        <v>144</v>
      </c>
      <c r="F129" s="29">
        <v>192</v>
      </c>
      <c r="G129" s="144" t="s">
        <v>87</v>
      </c>
      <c r="H129" s="29">
        <v>1</v>
      </c>
      <c r="I129" s="31" t="s">
        <v>190</v>
      </c>
    </row>
    <row r="130" spans="1:9" s="26" customFormat="1" ht="21.6" customHeight="1">
      <c r="A130" s="27">
        <v>198</v>
      </c>
      <c r="B130" s="39" t="s">
        <v>42</v>
      </c>
      <c r="C130" s="39" t="s">
        <v>88</v>
      </c>
      <c r="D130" s="32" t="s">
        <v>1330</v>
      </c>
      <c r="E130" s="33" t="s">
        <v>89</v>
      </c>
      <c r="F130" s="29">
        <v>192</v>
      </c>
      <c r="G130" s="144" t="s">
        <v>90</v>
      </c>
      <c r="H130" s="29">
        <v>5</v>
      </c>
      <c r="I130" s="31" t="s">
        <v>84</v>
      </c>
    </row>
    <row r="131" spans="1:9" s="26" customFormat="1" ht="21.6" customHeight="1">
      <c r="A131" s="27">
        <v>199</v>
      </c>
      <c r="B131" s="39" t="s">
        <v>42</v>
      </c>
      <c r="C131" s="39" t="s">
        <v>91</v>
      </c>
      <c r="D131" s="32" t="s">
        <v>1331</v>
      </c>
      <c r="E131" s="33" t="s">
        <v>92</v>
      </c>
      <c r="F131" s="29">
        <v>192</v>
      </c>
      <c r="G131" s="144" t="s">
        <v>1776</v>
      </c>
      <c r="H131" s="29">
        <v>2</v>
      </c>
      <c r="I131" s="31" t="s">
        <v>84</v>
      </c>
    </row>
    <row r="132" spans="1:9" s="26" customFormat="1" ht="21.6" customHeight="1">
      <c r="A132" s="27">
        <v>200</v>
      </c>
      <c r="B132" s="39" t="s">
        <v>42</v>
      </c>
      <c r="C132" s="39" t="s">
        <v>93</v>
      </c>
      <c r="D132" s="32" t="s">
        <v>1332</v>
      </c>
      <c r="E132" s="33" t="s">
        <v>94</v>
      </c>
      <c r="F132" s="29">
        <v>192</v>
      </c>
      <c r="G132" s="144" t="s">
        <v>95</v>
      </c>
      <c r="H132" s="29">
        <v>2</v>
      </c>
      <c r="I132" s="31" t="s">
        <v>84</v>
      </c>
    </row>
    <row r="133" spans="1:9" s="26" customFormat="1" ht="21.6" customHeight="1">
      <c r="A133" s="27">
        <v>201</v>
      </c>
      <c r="B133" s="39" t="s">
        <v>42</v>
      </c>
      <c r="C133" s="39" t="s">
        <v>96</v>
      </c>
      <c r="D133" s="32" t="s">
        <v>1333</v>
      </c>
      <c r="E133" s="33" t="s">
        <v>97</v>
      </c>
      <c r="F133" s="29">
        <v>192</v>
      </c>
      <c r="G133" s="144" t="s">
        <v>98</v>
      </c>
      <c r="H133" s="29">
        <v>1</v>
      </c>
      <c r="I133" s="31" t="s">
        <v>84</v>
      </c>
    </row>
    <row r="134" spans="1:9" s="26" customFormat="1" ht="21.6" customHeight="1">
      <c r="A134" s="27">
        <v>202</v>
      </c>
      <c r="B134" s="39" t="s">
        <v>42</v>
      </c>
      <c r="C134" s="39" t="s">
        <v>99</v>
      </c>
      <c r="D134" s="36" t="s">
        <v>1334</v>
      </c>
      <c r="E134" s="37" t="s">
        <v>100</v>
      </c>
      <c r="F134" s="29">
        <v>192</v>
      </c>
      <c r="G134" s="144" t="s">
        <v>101</v>
      </c>
      <c r="H134" s="29">
        <v>1</v>
      </c>
      <c r="I134" s="31" t="s">
        <v>84</v>
      </c>
    </row>
    <row r="135" spans="1:9" s="46" customFormat="1" ht="21.6" customHeight="1">
      <c r="A135" s="27">
        <v>203</v>
      </c>
      <c r="B135" s="39" t="s">
        <v>42</v>
      </c>
      <c r="C135" s="39" t="s">
        <v>102</v>
      </c>
      <c r="D135" s="28" t="s">
        <v>1335</v>
      </c>
      <c r="E135" s="33" t="s">
        <v>103</v>
      </c>
      <c r="F135" s="29">
        <v>192</v>
      </c>
      <c r="G135" s="145" t="s">
        <v>104</v>
      </c>
      <c r="H135" s="29">
        <v>1</v>
      </c>
      <c r="I135" s="31" t="s">
        <v>84</v>
      </c>
    </row>
    <row r="136" spans="1:9" s="46" customFormat="1" ht="21.6" customHeight="1">
      <c r="A136" s="27">
        <v>204</v>
      </c>
      <c r="B136" s="39" t="s">
        <v>42</v>
      </c>
      <c r="C136" s="39" t="s">
        <v>105</v>
      </c>
      <c r="D136" s="28" t="s">
        <v>1336</v>
      </c>
      <c r="E136" s="3" t="s">
        <v>106</v>
      </c>
      <c r="F136" s="29">
        <v>64</v>
      </c>
      <c r="G136" s="144" t="s">
        <v>107</v>
      </c>
      <c r="H136" s="29">
        <v>1</v>
      </c>
      <c r="I136" s="31"/>
    </row>
    <row r="137" spans="1:9" s="46" customFormat="1" ht="21.6" customHeight="1">
      <c r="A137" s="27">
        <v>205</v>
      </c>
      <c r="B137" s="39" t="s">
        <v>42</v>
      </c>
      <c r="C137" s="39" t="s">
        <v>166</v>
      </c>
      <c r="D137" s="28" t="s">
        <v>1354</v>
      </c>
      <c r="E137" s="3" t="s">
        <v>167</v>
      </c>
      <c r="F137" s="29">
        <v>80</v>
      </c>
      <c r="G137" s="144" t="s">
        <v>110</v>
      </c>
      <c r="H137" s="29">
        <v>1</v>
      </c>
      <c r="I137" s="31" t="s">
        <v>177</v>
      </c>
    </row>
    <row r="138" spans="1:9" s="46" customFormat="1" ht="21.6" customHeight="1">
      <c r="A138" s="27">
        <v>206</v>
      </c>
      <c r="B138" s="39" t="s">
        <v>42</v>
      </c>
      <c r="C138" s="39" t="s">
        <v>168</v>
      </c>
      <c r="D138" s="34" t="s">
        <v>1355</v>
      </c>
      <c r="E138" s="3" t="s">
        <v>169</v>
      </c>
      <c r="F138" s="29">
        <v>80</v>
      </c>
      <c r="G138" s="144" t="s">
        <v>114</v>
      </c>
      <c r="H138" s="29">
        <v>1</v>
      </c>
      <c r="I138" s="31" t="s">
        <v>178</v>
      </c>
    </row>
    <row r="139" spans="1:9" s="46" customFormat="1" ht="21.6" customHeight="1">
      <c r="A139" s="27">
        <v>207</v>
      </c>
      <c r="B139" s="39" t="s">
        <v>42</v>
      </c>
      <c r="C139" s="39" t="s">
        <v>170</v>
      </c>
      <c r="D139" s="34" t="s">
        <v>1356</v>
      </c>
      <c r="E139" s="3" t="s">
        <v>171</v>
      </c>
      <c r="F139" s="29">
        <v>80</v>
      </c>
      <c r="G139" s="144" t="s">
        <v>115</v>
      </c>
      <c r="H139" s="29">
        <v>1</v>
      </c>
      <c r="I139" s="31" t="s">
        <v>178</v>
      </c>
    </row>
    <row r="140" spans="1:9" s="46" customFormat="1" ht="21.6" customHeight="1">
      <c r="A140" s="27">
        <v>208</v>
      </c>
      <c r="B140" s="39" t="s">
        <v>42</v>
      </c>
      <c r="C140" s="39" t="s">
        <v>179</v>
      </c>
      <c r="D140" s="39" t="s">
        <v>1359</v>
      </c>
      <c r="E140" s="3" t="s">
        <v>180</v>
      </c>
      <c r="F140" s="29">
        <v>80</v>
      </c>
      <c r="G140" s="144" t="s">
        <v>119</v>
      </c>
      <c r="H140" s="29">
        <v>1</v>
      </c>
      <c r="I140" s="31" t="s">
        <v>181</v>
      </c>
    </row>
    <row r="141" spans="1:9" s="46" customFormat="1" ht="21.6" customHeight="1">
      <c r="A141" s="27">
        <v>209</v>
      </c>
      <c r="B141" s="39" t="s">
        <v>42</v>
      </c>
      <c r="C141" s="39" t="s">
        <v>182</v>
      </c>
      <c r="D141" s="39" t="s">
        <v>1360</v>
      </c>
      <c r="E141" s="3" t="s">
        <v>183</v>
      </c>
      <c r="F141" s="29">
        <v>80</v>
      </c>
      <c r="G141" s="144" t="s">
        <v>119</v>
      </c>
      <c r="H141" s="29">
        <v>1</v>
      </c>
      <c r="I141" s="31" t="s">
        <v>184</v>
      </c>
    </row>
    <row r="142" spans="1:9" s="46" customFormat="1" ht="21.6" customHeight="1">
      <c r="A142" s="27">
        <v>210</v>
      </c>
      <c r="B142" s="39" t="s">
        <v>42</v>
      </c>
      <c r="C142" s="39" t="s">
        <v>120</v>
      </c>
      <c r="D142" s="39" t="s">
        <v>1340</v>
      </c>
      <c r="E142" s="33" t="s">
        <v>121</v>
      </c>
      <c r="F142" s="29">
        <v>64</v>
      </c>
      <c r="G142" s="144" t="s">
        <v>122</v>
      </c>
      <c r="H142" s="40" t="s">
        <v>123</v>
      </c>
      <c r="I142" s="31"/>
    </row>
    <row r="143" spans="1:9" s="26" customFormat="1" ht="21.6" customHeight="1">
      <c r="A143" s="27">
        <v>211</v>
      </c>
      <c r="B143" s="39" t="s">
        <v>42</v>
      </c>
      <c r="C143" s="39" t="s">
        <v>157</v>
      </c>
      <c r="D143" s="34" t="s">
        <v>1351</v>
      </c>
      <c r="E143" s="33" t="s">
        <v>158</v>
      </c>
      <c r="F143" s="29">
        <v>192</v>
      </c>
      <c r="G143" s="144" t="s">
        <v>126</v>
      </c>
      <c r="H143" s="40" t="s">
        <v>123</v>
      </c>
      <c r="I143" s="31" t="s">
        <v>190</v>
      </c>
    </row>
    <row r="144" spans="1:9" s="46" customFormat="1" ht="21.6" customHeight="1">
      <c r="A144" s="27">
        <v>212</v>
      </c>
      <c r="B144" s="39" t="s">
        <v>42</v>
      </c>
      <c r="C144" s="39" t="s">
        <v>160</v>
      </c>
      <c r="D144" s="39" t="s">
        <v>1352</v>
      </c>
      <c r="E144" s="3" t="s">
        <v>161</v>
      </c>
      <c r="F144" s="29" t="s">
        <v>123</v>
      </c>
      <c r="G144" s="144" t="s">
        <v>129</v>
      </c>
      <c r="H144" s="40" t="s">
        <v>123</v>
      </c>
      <c r="I144" s="31" t="s">
        <v>189</v>
      </c>
    </row>
    <row r="145" spans="1:9" s="46" customFormat="1" ht="21.6" customHeight="1">
      <c r="A145" s="27">
        <v>213</v>
      </c>
      <c r="B145" s="39" t="s">
        <v>42</v>
      </c>
      <c r="C145" s="39" t="s">
        <v>130</v>
      </c>
      <c r="D145" s="39" t="s">
        <v>1343</v>
      </c>
      <c r="E145" s="3" t="s">
        <v>131</v>
      </c>
      <c r="F145" s="29" t="s">
        <v>123</v>
      </c>
      <c r="G145" s="146" t="s">
        <v>132</v>
      </c>
      <c r="H145" s="40" t="s">
        <v>123</v>
      </c>
      <c r="I145" s="31"/>
    </row>
    <row r="146" spans="1:9" s="46" customFormat="1" ht="21.6" customHeight="1">
      <c r="A146" s="27">
        <v>214</v>
      </c>
      <c r="B146" s="39" t="s">
        <v>42</v>
      </c>
      <c r="C146" s="39" t="s">
        <v>133</v>
      </c>
      <c r="D146" s="39" t="s">
        <v>1344</v>
      </c>
      <c r="E146" s="3" t="s">
        <v>134</v>
      </c>
      <c r="F146" s="29" t="s">
        <v>123</v>
      </c>
      <c r="G146" s="144" t="s">
        <v>135</v>
      </c>
      <c r="H146" s="40" t="s">
        <v>123</v>
      </c>
      <c r="I146" s="31" t="s">
        <v>162</v>
      </c>
    </row>
    <row r="147" spans="1:9" s="46" customFormat="1" ht="21.6" customHeight="1">
      <c r="A147" s="41">
        <v>216</v>
      </c>
      <c r="B147" s="130" t="s">
        <v>42</v>
      </c>
      <c r="C147" s="129" t="s">
        <v>163</v>
      </c>
      <c r="D147" s="34" t="s">
        <v>1353</v>
      </c>
      <c r="E147" s="4" t="s">
        <v>164</v>
      </c>
      <c r="F147" s="42" t="s">
        <v>123</v>
      </c>
      <c r="G147" s="147" t="s">
        <v>138</v>
      </c>
      <c r="H147" s="44" t="s">
        <v>123</v>
      </c>
      <c r="I147" s="45" t="s">
        <v>189</v>
      </c>
    </row>
    <row r="148" spans="1:9" s="26" customFormat="1" ht="21.6" customHeight="1">
      <c r="A148" s="20">
        <v>217</v>
      </c>
      <c r="B148" s="128">
        <v>257</v>
      </c>
      <c r="C148" s="128" t="s">
        <v>191</v>
      </c>
      <c r="D148" s="21" t="s">
        <v>1361</v>
      </c>
      <c r="E148" s="22" t="s">
        <v>192</v>
      </c>
      <c r="F148" s="23">
        <v>100</v>
      </c>
      <c r="G148" s="143" t="s">
        <v>193</v>
      </c>
      <c r="H148" s="24">
        <v>1</v>
      </c>
      <c r="I148" s="25" t="s">
        <v>194</v>
      </c>
    </row>
    <row r="149" spans="1:9" s="26" customFormat="1" ht="21.6" customHeight="1">
      <c r="A149" s="27">
        <v>218</v>
      </c>
      <c r="B149" s="39">
        <v>257</v>
      </c>
      <c r="C149" s="39" t="s">
        <v>195</v>
      </c>
      <c r="D149" s="28" t="s">
        <v>1362</v>
      </c>
      <c r="E149" s="3" t="s">
        <v>196</v>
      </c>
      <c r="F149" s="29">
        <v>100</v>
      </c>
      <c r="G149" s="144" t="s">
        <v>75</v>
      </c>
      <c r="H149" s="29">
        <v>1</v>
      </c>
      <c r="I149" s="31"/>
    </row>
    <row r="150" spans="1:9" s="26" customFormat="1" ht="21.6" customHeight="1">
      <c r="A150" s="27">
        <v>219</v>
      </c>
      <c r="B150" s="39">
        <v>257</v>
      </c>
      <c r="C150" s="39" t="s">
        <v>76</v>
      </c>
      <c r="D150" s="32" t="s">
        <v>1326</v>
      </c>
      <c r="E150" s="33" t="s">
        <v>77</v>
      </c>
      <c r="F150" s="29">
        <v>100</v>
      </c>
      <c r="G150" s="144" t="s">
        <v>78</v>
      </c>
      <c r="H150" s="29">
        <v>1</v>
      </c>
      <c r="I150" s="31"/>
    </row>
    <row r="151" spans="1:9" s="26" customFormat="1" ht="21.6" customHeight="1">
      <c r="A151" s="27">
        <v>220</v>
      </c>
      <c r="B151" s="39">
        <v>257</v>
      </c>
      <c r="C151" s="39" t="s">
        <v>197</v>
      </c>
      <c r="D151" s="34" t="s">
        <v>1363</v>
      </c>
      <c r="E151" s="3" t="s">
        <v>198</v>
      </c>
      <c r="F151" s="29">
        <v>200</v>
      </c>
      <c r="G151" s="145" t="s">
        <v>1775</v>
      </c>
      <c r="H151" s="29">
        <v>1</v>
      </c>
      <c r="I151" s="31"/>
    </row>
    <row r="152" spans="1:9" s="26" customFormat="1" ht="21.6" customHeight="1">
      <c r="A152" s="27">
        <v>221</v>
      </c>
      <c r="B152" s="39">
        <v>257</v>
      </c>
      <c r="C152" s="39" t="s">
        <v>199</v>
      </c>
      <c r="D152" s="32" t="s">
        <v>1364</v>
      </c>
      <c r="E152" s="33" t="s">
        <v>200</v>
      </c>
      <c r="F152" s="29">
        <v>200</v>
      </c>
      <c r="G152" s="144" t="s">
        <v>87</v>
      </c>
      <c r="H152" s="29">
        <v>1</v>
      </c>
      <c r="I152" s="31"/>
    </row>
    <row r="153" spans="1:9" s="26" customFormat="1" ht="21.6" customHeight="1">
      <c r="A153" s="27">
        <v>222</v>
      </c>
      <c r="B153" s="39">
        <v>257</v>
      </c>
      <c r="C153" s="39" t="s">
        <v>201</v>
      </c>
      <c r="D153" s="28" t="s">
        <v>1365</v>
      </c>
      <c r="E153" s="3" t="s">
        <v>202</v>
      </c>
      <c r="F153" s="29">
        <v>100</v>
      </c>
      <c r="G153" s="144" t="s">
        <v>81</v>
      </c>
      <c r="H153" s="29">
        <v>1</v>
      </c>
      <c r="I153" s="31"/>
    </row>
    <row r="154" spans="1:9" s="26" customFormat="1" ht="21.6" customHeight="1">
      <c r="A154" s="27">
        <v>223</v>
      </c>
      <c r="B154" s="39">
        <v>257</v>
      </c>
      <c r="C154" s="39" t="s">
        <v>93</v>
      </c>
      <c r="D154" s="28" t="s">
        <v>1332</v>
      </c>
      <c r="E154" s="3" t="s">
        <v>94</v>
      </c>
      <c r="F154" s="29">
        <v>100</v>
      </c>
      <c r="G154" s="144" t="s">
        <v>95</v>
      </c>
      <c r="H154" s="29">
        <v>2</v>
      </c>
      <c r="I154" s="31"/>
    </row>
    <row r="155" spans="1:9" s="26" customFormat="1" ht="21.6" customHeight="1">
      <c r="A155" s="27">
        <v>224</v>
      </c>
      <c r="B155" s="39">
        <v>257</v>
      </c>
      <c r="C155" s="39" t="s">
        <v>203</v>
      </c>
      <c r="D155" s="28" t="s">
        <v>1366</v>
      </c>
      <c r="E155" s="3" t="s">
        <v>204</v>
      </c>
      <c r="F155" s="29">
        <v>100</v>
      </c>
      <c r="G155" s="144" t="s">
        <v>98</v>
      </c>
      <c r="H155" s="29">
        <v>1</v>
      </c>
      <c r="I155" s="31"/>
    </row>
    <row r="156" spans="1:9" s="26" customFormat="1" ht="21.6" customHeight="1">
      <c r="A156" s="27">
        <v>225</v>
      </c>
      <c r="B156" s="39">
        <v>257</v>
      </c>
      <c r="C156" s="39" t="s">
        <v>205</v>
      </c>
      <c r="D156" s="28" t="s">
        <v>1367</v>
      </c>
      <c r="E156" s="3" t="s">
        <v>206</v>
      </c>
      <c r="F156" s="29">
        <v>100</v>
      </c>
      <c r="G156" s="144" t="s">
        <v>107</v>
      </c>
      <c r="H156" s="29">
        <v>1</v>
      </c>
      <c r="I156" s="31"/>
    </row>
    <row r="157" spans="1:9" s="26" customFormat="1" ht="21.6" customHeight="1">
      <c r="A157" s="27">
        <v>226</v>
      </c>
      <c r="B157" s="39">
        <v>257</v>
      </c>
      <c r="C157" s="39" t="s">
        <v>207</v>
      </c>
      <c r="D157" s="28" t="s">
        <v>1368</v>
      </c>
      <c r="E157" s="3" t="s">
        <v>208</v>
      </c>
      <c r="F157" s="29">
        <v>100</v>
      </c>
      <c r="G157" s="145" t="s">
        <v>104</v>
      </c>
      <c r="H157" s="29">
        <v>1</v>
      </c>
      <c r="I157" s="31"/>
    </row>
    <row r="158" spans="1:9" s="26" customFormat="1" ht="21.6" customHeight="1">
      <c r="A158" s="27">
        <v>227</v>
      </c>
      <c r="B158" s="39">
        <v>257</v>
      </c>
      <c r="C158" s="39" t="s">
        <v>209</v>
      </c>
      <c r="D158" s="47" t="s">
        <v>1369</v>
      </c>
      <c r="E158" s="48" t="s">
        <v>210</v>
      </c>
      <c r="F158" s="49">
        <v>200</v>
      </c>
      <c r="G158" s="144" t="s">
        <v>90</v>
      </c>
      <c r="H158" s="29">
        <v>5</v>
      </c>
      <c r="I158" s="31"/>
    </row>
    <row r="159" spans="1:9" s="26" customFormat="1" ht="21.6" customHeight="1">
      <c r="A159" s="27">
        <v>228</v>
      </c>
      <c r="B159" s="39">
        <v>257</v>
      </c>
      <c r="C159" s="39" t="s">
        <v>211</v>
      </c>
      <c r="D159" s="28" t="s">
        <v>1370</v>
      </c>
      <c r="E159" s="3" t="s">
        <v>212</v>
      </c>
      <c r="F159" s="29">
        <v>200</v>
      </c>
      <c r="G159" s="144" t="s">
        <v>101</v>
      </c>
      <c r="H159" s="29">
        <v>1</v>
      </c>
      <c r="I159" s="31"/>
    </row>
    <row r="160" spans="1:9" s="26" customFormat="1" ht="21.6" customHeight="1">
      <c r="A160" s="27">
        <v>229</v>
      </c>
      <c r="B160" s="39">
        <v>257</v>
      </c>
      <c r="C160" s="39" t="s">
        <v>213</v>
      </c>
      <c r="D160" s="50" t="s">
        <v>1371</v>
      </c>
      <c r="E160" s="51" t="s">
        <v>214</v>
      </c>
      <c r="F160" s="29">
        <v>80</v>
      </c>
      <c r="G160" s="144" t="s">
        <v>1777</v>
      </c>
      <c r="H160" s="29">
        <v>1</v>
      </c>
      <c r="I160" s="31" t="s">
        <v>216</v>
      </c>
    </row>
    <row r="161" spans="1:9" s="26" customFormat="1" ht="21.6" customHeight="1">
      <c r="A161" s="27">
        <v>230</v>
      </c>
      <c r="B161" s="39">
        <v>257</v>
      </c>
      <c r="C161" s="39" t="s">
        <v>217</v>
      </c>
      <c r="D161" s="50" t="s">
        <v>1372</v>
      </c>
      <c r="E161" s="51" t="s">
        <v>218</v>
      </c>
      <c r="F161" s="29">
        <v>80</v>
      </c>
      <c r="G161" s="144" t="s">
        <v>219</v>
      </c>
      <c r="H161" s="29">
        <v>1</v>
      </c>
      <c r="I161" s="31" t="s">
        <v>216</v>
      </c>
    </row>
    <row r="162" spans="1:9" s="26" customFormat="1" ht="21.6" customHeight="1">
      <c r="A162" s="27">
        <v>231</v>
      </c>
      <c r="B162" s="39">
        <v>257</v>
      </c>
      <c r="C162" s="39" t="s">
        <v>220</v>
      </c>
      <c r="D162" s="50" t="s">
        <v>1373</v>
      </c>
      <c r="E162" s="51" t="s">
        <v>221</v>
      </c>
      <c r="F162" s="29">
        <v>80</v>
      </c>
      <c r="G162" s="144" t="s">
        <v>215</v>
      </c>
      <c r="H162" s="29">
        <v>1</v>
      </c>
      <c r="I162" s="31" t="s">
        <v>216</v>
      </c>
    </row>
    <row r="163" spans="1:9" s="26" customFormat="1" ht="21.6" customHeight="1">
      <c r="A163" s="27">
        <v>232</v>
      </c>
      <c r="B163" s="39">
        <v>257</v>
      </c>
      <c r="C163" s="39" t="s">
        <v>170</v>
      </c>
      <c r="D163" s="39" t="s">
        <v>1356</v>
      </c>
      <c r="E163" s="3" t="s">
        <v>171</v>
      </c>
      <c r="F163" s="29">
        <v>80</v>
      </c>
      <c r="G163" s="144" t="s">
        <v>115</v>
      </c>
      <c r="H163" s="29">
        <v>1</v>
      </c>
      <c r="I163" s="31" t="s">
        <v>116</v>
      </c>
    </row>
    <row r="164" spans="1:9" s="26" customFormat="1" ht="21.6" customHeight="1">
      <c r="A164" s="27">
        <v>233</v>
      </c>
      <c r="B164" s="39">
        <v>257</v>
      </c>
      <c r="C164" s="39" t="s">
        <v>222</v>
      </c>
      <c r="D164" s="39" t="s">
        <v>1374</v>
      </c>
      <c r="E164" s="3" t="s">
        <v>223</v>
      </c>
      <c r="F164" s="29">
        <v>80</v>
      </c>
      <c r="G164" s="144" t="s">
        <v>224</v>
      </c>
      <c r="H164" s="29">
        <v>1</v>
      </c>
      <c r="I164" s="31" t="s">
        <v>116</v>
      </c>
    </row>
    <row r="165" spans="1:9" s="26" customFormat="1" ht="21.6" customHeight="1">
      <c r="A165" s="27">
        <v>234</v>
      </c>
      <c r="B165" s="39">
        <v>257</v>
      </c>
      <c r="C165" s="39" t="s">
        <v>225</v>
      </c>
      <c r="D165" s="39" t="s">
        <v>1375</v>
      </c>
      <c r="E165" s="3" t="s">
        <v>226</v>
      </c>
      <c r="F165" s="29">
        <v>120</v>
      </c>
      <c r="G165" s="144" t="s">
        <v>1778</v>
      </c>
      <c r="H165" s="29">
        <v>2</v>
      </c>
      <c r="I165" s="31" t="s">
        <v>228</v>
      </c>
    </row>
    <row r="166" spans="1:9" s="26" customFormat="1" ht="21.6" customHeight="1">
      <c r="A166" s="27">
        <v>235</v>
      </c>
      <c r="B166" s="39">
        <v>257</v>
      </c>
      <c r="C166" s="39" t="s">
        <v>229</v>
      </c>
      <c r="D166" s="39" t="s">
        <v>1376</v>
      </c>
      <c r="E166" s="51" t="s">
        <v>230</v>
      </c>
      <c r="F166" s="29">
        <v>120</v>
      </c>
      <c r="G166" s="144" t="s">
        <v>227</v>
      </c>
      <c r="H166" s="29">
        <v>1</v>
      </c>
      <c r="I166" s="31" t="s">
        <v>228</v>
      </c>
    </row>
    <row r="167" spans="1:9" s="26" customFormat="1" ht="21.6" customHeight="1">
      <c r="A167" s="27">
        <v>236</v>
      </c>
      <c r="B167" s="39">
        <v>257</v>
      </c>
      <c r="C167" s="39" t="s">
        <v>231</v>
      </c>
      <c r="D167" s="39" t="s">
        <v>1377</v>
      </c>
      <c r="E167" s="51" t="s">
        <v>232</v>
      </c>
      <c r="F167" s="29">
        <v>160</v>
      </c>
      <c r="G167" s="144" t="s">
        <v>1779</v>
      </c>
      <c r="H167" s="29">
        <v>1</v>
      </c>
      <c r="I167" s="31" t="s">
        <v>234</v>
      </c>
    </row>
    <row r="168" spans="1:9" s="26" customFormat="1" ht="21.6" customHeight="1">
      <c r="A168" s="27">
        <v>237</v>
      </c>
      <c r="B168" s="39">
        <v>257</v>
      </c>
      <c r="C168" s="39" t="s">
        <v>235</v>
      </c>
      <c r="D168" s="50" t="s">
        <v>1378</v>
      </c>
      <c r="E168" s="51" t="s">
        <v>236</v>
      </c>
      <c r="F168" s="29">
        <v>160</v>
      </c>
      <c r="G168" s="144" t="s">
        <v>237</v>
      </c>
      <c r="H168" s="29">
        <v>1</v>
      </c>
      <c r="I168" s="31" t="s">
        <v>234</v>
      </c>
    </row>
    <row r="169" spans="1:9" s="26" customFormat="1" ht="21.6" customHeight="1">
      <c r="A169" s="27">
        <v>238</v>
      </c>
      <c r="B169" s="39">
        <v>257</v>
      </c>
      <c r="C169" s="39" t="s">
        <v>238</v>
      </c>
      <c r="D169" s="50" t="s">
        <v>1379</v>
      </c>
      <c r="E169" s="51" t="s">
        <v>239</v>
      </c>
      <c r="F169" s="29">
        <v>160</v>
      </c>
      <c r="G169" s="144" t="s">
        <v>233</v>
      </c>
      <c r="H169" s="29">
        <v>1</v>
      </c>
      <c r="I169" s="31" t="s">
        <v>234</v>
      </c>
    </row>
    <row r="170" spans="1:9" s="26" customFormat="1" ht="21.6" customHeight="1">
      <c r="A170" s="27">
        <v>239</v>
      </c>
      <c r="B170" s="39">
        <v>257</v>
      </c>
      <c r="C170" s="39" t="s">
        <v>240</v>
      </c>
      <c r="D170" s="39" t="s">
        <v>1380</v>
      </c>
      <c r="E170" s="3" t="s">
        <v>241</v>
      </c>
      <c r="F170" s="29">
        <v>100</v>
      </c>
      <c r="G170" s="144" t="s">
        <v>122</v>
      </c>
      <c r="H170" s="40" t="s">
        <v>123</v>
      </c>
      <c r="I170" s="31"/>
    </row>
    <row r="171" spans="1:9" s="26" customFormat="1" ht="21.6" customHeight="1">
      <c r="A171" s="27">
        <v>240</v>
      </c>
      <c r="B171" s="39">
        <v>257</v>
      </c>
      <c r="C171" s="39" t="s">
        <v>242</v>
      </c>
      <c r="D171" s="34" t="s">
        <v>1381</v>
      </c>
      <c r="E171" s="3" t="s">
        <v>243</v>
      </c>
      <c r="F171" s="29">
        <v>200</v>
      </c>
      <c r="G171" s="145" t="s">
        <v>244</v>
      </c>
      <c r="H171" s="40" t="s">
        <v>123</v>
      </c>
      <c r="I171" s="31"/>
    </row>
    <row r="172" spans="1:9" s="26" customFormat="1" ht="21.6" customHeight="1">
      <c r="A172" s="27">
        <v>241</v>
      </c>
      <c r="B172" s="39">
        <v>257</v>
      </c>
      <c r="C172" s="39" t="s">
        <v>245</v>
      </c>
      <c r="D172" s="39" t="s">
        <v>1382</v>
      </c>
      <c r="E172" s="3" t="s">
        <v>246</v>
      </c>
      <c r="F172" s="29">
        <v>80</v>
      </c>
      <c r="G172" s="144" t="s">
        <v>247</v>
      </c>
      <c r="H172" s="40" t="s">
        <v>123</v>
      </c>
      <c r="I172" s="31" t="s">
        <v>216</v>
      </c>
    </row>
    <row r="173" spans="1:9" s="26" customFormat="1" ht="21.6" customHeight="1">
      <c r="A173" s="27">
        <v>242</v>
      </c>
      <c r="B173" s="39">
        <v>257</v>
      </c>
      <c r="C173" s="39" t="s">
        <v>248</v>
      </c>
      <c r="D173" s="39" t="s">
        <v>1383</v>
      </c>
      <c r="E173" s="3" t="s">
        <v>249</v>
      </c>
      <c r="F173" s="29">
        <v>120</v>
      </c>
      <c r="G173" s="144" t="s">
        <v>250</v>
      </c>
      <c r="H173" s="40" t="s">
        <v>123</v>
      </c>
      <c r="I173" s="31" t="s">
        <v>228</v>
      </c>
    </row>
    <row r="174" spans="1:9" s="26" customFormat="1" ht="21.6" customHeight="1">
      <c r="A174" s="27">
        <v>243</v>
      </c>
      <c r="B174" s="39">
        <v>257</v>
      </c>
      <c r="C174" s="39" t="s">
        <v>251</v>
      </c>
      <c r="D174" s="39" t="s">
        <v>1384</v>
      </c>
      <c r="E174" s="3" t="s">
        <v>252</v>
      </c>
      <c r="F174" s="29">
        <v>160</v>
      </c>
      <c r="G174" s="144" t="s">
        <v>253</v>
      </c>
      <c r="H174" s="40" t="s">
        <v>123</v>
      </c>
      <c r="I174" s="31" t="s">
        <v>234</v>
      </c>
    </row>
    <row r="175" spans="1:9" s="26" customFormat="1" ht="21.6" customHeight="1">
      <c r="A175" s="27">
        <v>244</v>
      </c>
      <c r="B175" s="39">
        <v>257</v>
      </c>
      <c r="C175" s="39" t="s">
        <v>254</v>
      </c>
      <c r="D175" s="39" t="s">
        <v>1385</v>
      </c>
      <c r="E175" s="3" t="s">
        <v>255</v>
      </c>
      <c r="F175" s="29" t="s">
        <v>123</v>
      </c>
      <c r="G175" s="146" t="s">
        <v>129</v>
      </c>
      <c r="H175" s="40" t="s">
        <v>123</v>
      </c>
      <c r="I175" s="31"/>
    </row>
    <row r="176" spans="1:9" s="26" customFormat="1" ht="21.6" customHeight="1">
      <c r="A176" s="27">
        <v>246</v>
      </c>
      <c r="B176" s="39">
        <v>257</v>
      </c>
      <c r="C176" s="39" t="s">
        <v>256</v>
      </c>
      <c r="D176" s="34" t="s">
        <v>1386</v>
      </c>
      <c r="E176" s="3" t="s">
        <v>257</v>
      </c>
      <c r="F176" s="29" t="s">
        <v>123</v>
      </c>
      <c r="G176" s="144" t="s">
        <v>258</v>
      </c>
      <c r="H176" s="40" t="s">
        <v>123</v>
      </c>
      <c r="I176" s="31"/>
    </row>
    <row r="177" spans="1:9" s="26" customFormat="1" ht="21.6" customHeight="1">
      <c r="A177" s="20">
        <v>247</v>
      </c>
      <c r="B177" s="131" t="s">
        <v>40</v>
      </c>
      <c r="C177" s="131" t="s">
        <v>191</v>
      </c>
      <c r="D177" s="21" t="s">
        <v>1361</v>
      </c>
      <c r="E177" s="22" t="s">
        <v>192</v>
      </c>
      <c r="F177" s="23">
        <v>100</v>
      </c>
      <c r="G177" s="143" t="s">
        <v>193</v>
      </c>
      <c r="H177" s="24">
        <v>1</v>
      </c>
      <c r="I177" s="25" t="s">
        <v>194</v>
      </c>
    </row>
    <row r="178" spans="1:9" s="26" customFormat="1" ht="21.6" customHeight="1">
      <c r="A178" s="27">
        <v>248</v>
      </c>
      <c r="B178" s="132" t="s">
        <v>40</v>
      </c>
      <c r="C178" s="132" t="s">
        <v>195</v>
      </c>
      <c r="D178" s="28" t="s">
        <v>1362</v>
      </c>
      <c r="E178" s="3" t="s">
        <v>196</v>
      </c>
      <c r="F178" s="29">
        <v>100</v>
      </c>
      <c r="G178" s="144" t="s">
        <v>75</v>
      </c>
      <c r="H178" s="29">
        <v>1</v>
      </c>
      <c r="I178" s="31"/>
    </row>
    <row r="179" spans="1:9" s="26" customFormat="1" ht="21.6" customHeight="1">
      <c r="A179" s="27">
        <v>249</v>
      </c>
      <c r="B179" s="132" t="s">
        <v>40</v>
      </c>
      <c r="C179" s="132" t="s">
        <v>76</v>
      </c>
      <c r="D179" s="32" t="s">
        <v>1326</v>
      </c>
      <c r="E179" s="33" t="s">
        <v>77</v>
      </c>
      <c r="F179" s="29">
        <v>100</v>
      </c>
      <c r="G179" s="144" t="s">
        <v>78</v>
      </c>
      <c r="H179" s="29">
        <v>1</v>
      </c>
      <c r="I179" s="31"/>
    </row>
    <row r="180" spans="1:9" s="26" customFormat="1" ht="21.6" customHeight="1">
      <c r="A180" s="27">
        <v>250</v>
      </c>
      <c r="B180" s="132" t="s">
        <v>40</v>
      </c>
      <c r="C180" s="132" t="s">
        <v>259</v>
      </c>
      <c r="D180" s="52" t="s">
        <v>1387</v>
      </c>
      <c r="E180" s="3" t="s">
        <v>260</v>
      </c>
      <c r="F180" s="29">
        <v>200</v>
      </c>
      <c r="G180" s="145" t="s">
        <v>1775</v>
      </c>
      <c r="H180" s="29">
        <v>1</v>
      </c>
      <c r="I180" s="31"/>
    </row>
    <row r="181" spans="1:9" s="26" customFormat="1" ht="21.6" customHeight="1">
      <c r="A181" s="27">
        <v>251</v>
      </c>
      <c r="B181" s="132" t="s">
        <v>40</v>
      </c>
      <c r="C181" s="132" t="s">
        <v>261</v>
      </c>
      <c r="D181" s="32" t="s">
        <v>1388</v>
      </c>
      <c r="E181" s="33" t="s">
        <v>262</v>
      </c>
      <c r="F181" s="29">
        <v>200</v>
      </c>
      <c r="G181" s="144" t="s">
        <v>87</v>
      </c>
      <c r="H181" s="29">
        <v>1</v>
      </c>
      <c r="I181" s="31"/>
    </row>
    <row r="182" spans="1:9" s="26" customFormat="1" ht="21.6" customHeight="1">
      <c r="A182" s="27">
        <v>252</v>
      </c>
      <c r="B182" s="132" t="s">
        <v>40</v>
      </c>
      <c r="C182" s="132" t="s">
        <v>201</v>
      </c>
      <c r="D182" s="28" t="s">
        <v>1365</v>
      </c>
      <c r="E182" s="3" t="s">
        <v>202</v>
      </c>
      <c r="F182" s="29">
        <v>100</v>
      </c>
      <c r="G182" s="144" t="s">
        <v>81</v>
      </c>
      <c r="H182" s="29">
        <v>1</v>
      </c>
      <c r="I182" s="31"/>
    </row>
    <row r="183" spans="1:9" s="26" customFormat="1" ht="21.6" customHeight="1">
      <c r="A183" s="27">
        <v>253</v>
      </c>
      <c r="B183" s="132" t="s">
        <v>40</v>
      </c>
      <c r="C183" s="132" t="s">
        <v>93</v>
      </c>
      <c r="D183" s="28" t="s">
        <v>1332</v>
      </c>
      <c r="E183" s="3" t="s">
        <v>94</v>
      </c>
      <c r="F183" s="29">
        <v>100</v>
      </c>
      <c r="G183" s="144" t="s">
        <v>95</v>
      </c>
      <c r="H183" s="29">
        <v>3</v>
      </c>
      <c r="I183" s="31"/>
    </row>
    <row r="184" spans="1:9" s="26" customFormat="1" ht="21.6" customHeight="1">
      <c r="A184" s="27">
        <v>254</v>
      </c>
      <c r="B184" s="132" t="s">
        <v>40</v>
      </c>
      <c r="C184" s="132" t="s">
        <v>203</v>
      </c>
      <c r="D184" s="28" t="s">
        <v>1366</v>
      </c>
      <c r="E184" s="3" t="s">
        <v>204</v>
      </c>
      <c r="F184" s="29">
        <v>100</v>
      </c>
      <c r="G184" s="144" t="s">
        <v>98</v>
      </c>
      <c r="H184" s="29">
        <v>1</v>
      </c>
      <c r="I184" s="31"/>
    </row>
    <row r="185" spans="1:9" s="26" customFormat="1" ht="21.6" customHeight="1">
      <c r="A185" s="27">
        <v>255</v>
      </c>
      <c r="B185" s="132" t="s">
        <v>40</v>
      </c>
      <c r="C185" s="132" t="s">
        <v>205</v>
      </c>
      <c r="D185" s="28" t="s">
        <v>1367</v>
      </c>
      <c r="E185" s="3" t="s">
        <v>206</v>
      </c>
      <c r="F185" s="29">
        <v>100</v>
      </c>
      <c r="G185" s="144" t="s">
        <v>107</v>
      </c>
      <c r="H185" s="29">
        <v>1</v>
      </c>
      <c r="I185" s="31"/>
    </row>
    <row r="186" spans="1:9" s="26" customFormat="1" ht="21.6" customHeight="1">
      <c r="A186" s="27">
        <v>256</v>
      </c>
      <c r="B186" s="132" t="s">
        <v>40</v>
      </c>
      <c r="C186" s="132" t="s">
        <v>207</v>
      </c>
      <c r="D186" s="28" t="s">
        <v>1368</v>
      </c>
      <c r="E186" s="3" t="s">
        <v>208</v>
      </c>
      <c r="F186" s="29">
        <v>100</v>
      </c>
      <c r="G186" s="145" t="s">
        <v>104</v>
      </c>
      <c r="H186" s="29">
        <v>1</v>
      </c>
      <c r="I186" s="31"/>
    </row>
    <row r="187" spans="1:9" s="26" customFormat="1" ht="21.6" customHeight="1">
      <c r="A187" s="27">
        <v>257</v>
      </c>
      <c r="B187" s="132" t="s">
        <v>40</v>
      </c>
      <c r="C187" s="132" t="s">
        <v>88</v>
      </c>
      <c r="D187" s="47" t="s">
        <v>1330</v>
      </c>
      <c r="E187" s="48" t="s">
        <v>89</v>
      </c>
      <c r="F187" s="29">
        <v>200</v>
      </c>
      <c r="G187" s="144" t="s">
        <v>90</v>
      </c>
      <c r="H187" s="29">
        <v>5</v>
      </c>
      <c r="I187" s="31"/>
    </row>
    <row r="188" spans="1:9" s="26" customFormat="1" ht="21.6" customHeight="1">
      <c r="A188" s="27">
        <v>258</v>
      </c>
      <c r="B188" s="132" t="s">
        <v>40</v>
      </c>
      <c r="C188" s="132" t="s">
        <v>211</v>
      </c>
      <c r="D188" s="28" t="s">
        <v>1370</v>
      </c>
      <c r="E188" s="3" t="s">
        <v>212</v>
      </c>
      <c r="F188" s="29">
        <v>200</v>
      </c>
      <c r="G188" s="144" t="s">
        <v>263</v>
      </c>
      <c r="H188" s="29">
        <v>1</v>
      </c>
      <c r="I188" s="31"/>
    </row>
    <row r="189" spans="1:9" s="26" customFormat="1" ht="21.6" customHeight="1">
      <c r="A189" s="27">
        <v>259</v>
      </c>
      <c r="B189" s="132" t="s">
        <v>40</v>
      </c>
      <c r="C189" s="132" t="s">
        <v>264</v>
      </c>
      <c r="D189" s="50" t="s">
        <v>1389</v>
      </c>
      <c r="E189" s="51" t="s">
        <v>265</v>
      </c>
      <c r="F189" s="29">
        <v>80</v>
      </c>
      <c r="G189" s="144" t="s">
        <v>1780</v>
      </c>
      <c r="H189" s="29">
        <v>1</v>
      </c>
      <c r="I189" s="31" t="s">
        <v>267</v>
      </c>
    </row>
    <row r="190" spans="1:9" s="26" customFormat="1" ht="21.6" customHeight="1">
      <c r="A190" s="27">
        <v>260</v>
      </c>
      <c r="B190" s="132" t="s">
        <v>40</v>
      </c>
      <c r="C190" s="132" t="s">
        <v>268</v>
      </c>
      <c r="D190" s="50" t="s">
        <v>1390</v>
      </c>
      <c r="E190" s="51" t="s">
        <v>269</v>
      </c>
      <c r="F190" s="29">
        <v>80</v>
      </c>
      <c r="G190" s="144" t="s">
        <v>270</v>
      </c>
      <c r="H190" s="29">
        <v>1</v>
      </c>
      <c r="I190" s="31" t="s">
        <v>267</v>
      </c>
    </row>
    <row r="191" spans="1:9" s="26" customFormat="1" ht="21.6" customHeight="1">
      <c r="A191" s="27">
        <v>261</v>
      </c>
      <c r="B191" s="132" t="s">
        <v>40</v>
      </c>
      <c r="C191" s="132" t="s">
        <v>271</v>
      </c>
      <c r="D191" s="50" t="s">
        <v>1391</v>
      </c>
      <c r="E191" s="51" t="s">
        <v>272</v>
      </c>
      <c r="F191" s="29">
        <v>80</v>
      </c>
      <c r="G191" s="144" t="s">
        <v>266</v>
      </c>
      <c r="H191" s="29">
        <v>1</v>
      </c>
      <c r="I191" s="31" t="s">
        <v>267</v>
      </c>
    </row>
    <row r="192" spans="1:9" s="26" customFormat="1" ht="21.6" customHeight="1">
      <c r="A192" s="27">
        <v>262</v>
      </c>
      <c r="B192" s="132" t="s">
        <v>40</v>
      </c>
      <c r="C192" s="132" t="s">
        <v>273</v>
      </c>
      <c r="D192" s="39" t="s">
        <v>1392</v>
      </c>
      <c r="E192" s="3" t="s">
        <v>274</v>
      </c>
      <c r="F192" s="29">
        <v>80</v>
      </c>
      <c r="G192" s="144" t="s">
        <v>275</v>
      </c>
      <c r="H192" s="29">
        <v>1</v>
      </c>
      <c r="I192" s="31" t="s">
        <v>116</v>
      </c>
    </row>
    <row r="193" spans="1:9" s="26" customFormat="1" ht="21.6" customHeight="1">
      <c r="A193" s="27">
        <v>263</v>
      </c>
      <c r="B193" s="132" t="s">
        <v>40</v>
      </c>
      <c r="C193" s="132" t="s">
        <v>276</v>
      </c>
      <c r="D193" s="39" t="s">
        <v>1393</v>
      </c>
      <c r="E193" s="3" t="s">
        <v>277</v>
      </c>
      <c r="F193" s="29">
        <v>80</v>
      </c>
      <c r="G193" s="144" t="s">
        <v>224</v>
      </c>
      <c r="H193" s="29">
        <v>1</v>
      </c>
      <c r="I193" s="31" t="s">
        <v>116</v>
      </c>
    </row>
    <row r="194" spans="1:9" s="26" customFormat="1" ht="21.6" customHeight="1">
      <c r="A194" s="27">
        <v>264</v>
      </c>
      <c r="B194" s="132" t="s">
        <v>40</v>
      </c>
      <c r="C194" s="132" t="s">
        <v>225</v>
      </c>
      <c r="D194" s="39" t="s">
        <v>1375</v>
      </c>
      <c r="E194" s="3" t="s">
        <v>226</v>
      </c>
      <c r="F194" s="29">
        <v>120</v>
      </c>
      <c r="G194" s="144" t="s">
        <v>1781</v>
      </c>
      <c r="H194" s="29">
        <v>2</v>
      </c>
      <c r="I194" s="31" t="s">
        <v>279</v>
      </c>
    </row>
    <row r="195" spans="1:9" s="26" customFormat="1" ht="21.6" customHeight="1">
      <c r="A195" s="27">
        <v>265</v>
      </c>
      <c r="B195" s="132" t="s">
        <v>40</v>
      </c>
      <c r="C195" s="132" t="s">
        <v>229</v>
      </c>
      <c r="D195" s="39" t="s">
        <v>1376</v>
      </c>
      <c r="E195" s="51" t="s">
        <v>230</v>
      </c>
      <c r="F195" s="29">
        <v>120</v>
      </c>
      <c r="G195" s="144" t="s">
        <v>278</v>
      </c>
      <c r="H195" s="29">
        <v>1</v>
      </c>
      <c r="I195" s="31" t="s">
        <v>279</v>
      </c>
    </row>
    <row r="196" spans="1:9" s="26" customFormat="1" ht="21.6" customHeight="1">
      <c r="A196" s="27">
        <v>266</v>
      </c>
      <c r="B196" s="132" t="s">
        <v>40</v>
      </c>
      <c r="C196" s="132" t="s">
        <v>280</v>
      </c>
      <c r="D196" s="39" t="s">
        <v>1394</v>
      </c>
      <c r="E196" s="51" t="s">
        <v>281</v>
      </c>
      <c r="F196" s="29">
        <v>120</v>
      </c>
      <c r="G196" s="144" t="s">
        <v>1782</v>
      </c>
      <c r="H196" s="29">
        <v>1</v>
      </c>
      <c r="I196" s="31" t="s">
        <v>283</v>
      </c>
    </row>
    <row r="197" spans="1:9" s="26" customFormat="1" ht="21.6" customHeight="1">
      <c r="A197" s="27">
        <v>267</v>
      </c>
      <c r="B197" s="132" t="s">
        <v>40</v>
      </c>
      <c r="C197" s="132" t="s">
        <v>284</v>
      </c>
      <c r="D197" s="50" t="s">
        <v>1395</v>
      </c>
      <c r="E197" s="51" t="s">
        <v>226</v>
      </c>
      <c r="F197" s="29">
        <v>120</v>
      </c>
      <c r="G197" s="144" t="s">
        <v>285</v>
      </c>
      <c r="H197" s="29">
        <v>1</v>
      </c>
      <c r="I197" s="31" t="s">
        <v>286</v>
      </c>
    </row>
    <row r="198" spans="1:9" s="26" customFormat="1" ht="21.6" customHeight="1">
      <c r="A198" s="27">
        <v>268</v>
      </c>
      <c r="B198" s="132" t="s">
        <v>40</v>
      </c>
      <c r="C198" s="132" t="s">
        <v>287</v>
      </c>
      <c r="D198" s="50" t="s">
        <v>1396</v>
      </c>
      <c r="E198" s="51" t="s">
        <v>288</v>
      </c>
      <c r="F198" s="29">
        <v>120</v>
      </c>
      <c r="G198" s="144" t="s">
        <v>282</v>
      </c>
      <c r="H198" s="29">
        <v>1</v>
      </c>
      <c r="I198" s="31" t="s">
        <v>286</v>
      </c>
    </row>
    <row r="199" spans="1:9" s="26" customFormat="1" ht="21.6" customHeight="1">
      <c r="A199" s="27">
        <v>269</v>
      </c>
      <c r="B199" s="132" t="s">
        <v>40</v>
      </c>
      <c r="C199" s="132" t="s">
        <v>231</v>
      </c>
      <c r="D199" s="39" t="s">
        <v>1377</v>
      </c>
      <c r="E199" s="51" t="s">
        <v>232</v>
      </c>
      <c r="F199" s="29">
        <v>160</v>
      </c>
      <c r="G199" s="144" t="s">
        <v>1783</v>
      </c>
      <c r="H199" s="29">
        <v>1</v>
      </c>
      <c r="I199" s="31" t="s">
        <v>290</v>
      </c>
    </row>
    <row r="200" spans="1:9" s="26" customFormat="1" ht="21.6" customHeight="1">
      <c r="A200" s="27">
        <v>270</v>
      </c>
      <c r="B200" s="132" t="s">
        <v>40</v>
      </c>
      <c r="C200" s="132" t="s">
        <v>235</v>
      </c>
      <c r="D200" s="50" t="s">
        <v>1378</v>
      </c>
      <c r="E200" s="51" t="s">
        <v>236</v>
      </c>
      <c r="F200" s="29">
        <v>160</v>
      </c>
      <c r="G200" s="144" t="s">
        <v>237</v>
      </c>
      <c r="H200" s="29">
        <v>1</v>
      </c>
      <c r="I200" s="31" t="s">
        <v>290</v>
      </c>
    </row>
    <row r="201" spans="1:9" s="26" customFormat="1" ht="21.6" customHeight="1">
      <c r="A201" s="27">
        <v>271</v>
      </c>
      <c r="B201" s="132" t="s">
        <v>40</v>
      </c>
      <c r="C201" s="132" t="s">
        <v>238</v>
      </c>
      <c r="D201" s="50" t="s">
        <v>1379</v>
      </c>
      <c r="E201" s="51" t="s">
        <v>239</v>
      </c>
      <c r="F201" s="29">
        <v>160</v>
      </c>
      <c r="G201" s="144" t="s">
        <v>289</v>
      </c>
      <c r="H201" s="29">
        <v>1</v>
      </c>
      <c r="I201" s="31" t="s">
        <v>290</v>
      </c>
    </row>
    <row r="202" spans="1:9" s="26" customFormat="1" ht="21.6" customHeight="1">
      <c r="A202" s="27">
        <v>272</v>
      </c>
      <c r="B202" s="132" t="s">
        <v>40</v>
      </c>
      <c r="C202" s="132" t="s">
        <v>291</v>
      </c>
      <c r="D202" s="34" t="s">
        <v>1397</v>
      </c>
      <c r="E202" s="53" t="s">
        <v>292</v>
      </c>
      <c r="F202" s="29">
        <v>100</v>
      </c>
      <c r="G202" s="144" t="s">
        <v>122</v>
      </c>
      <c r="H202" s="40" t="s">
        <v>123</v>
      </c>
      <c r="I202" s="31"/>
    </row>
    <row r="203" spans="1:9" s="26" customFormat="1" ht="21.6" customHeight="1">
      <c r="A203" s="27">
        <v>273</v>
      </c>
      <c r="B203" s="132" t="s">
        <v>40</v>
      </c>
      <c r="C203" s="138" t="s">
        <v>293</v>
      </c>
      <c r="D203" s="54" t="s">
        <v>1398</v>
      </c>
      <c r="E203" s="3" t="s">
        <v>294</v>
      </c>
      <c r="F203" s="29">
        <v>200</v>
      </c>
      <c r="G203" s="145" t="s">
        <v>244</v>
      </c>
      <c r="H203" s="40" t="s">
        <v>123</v>
      </c>
      <c r="I203" s="31"/>
    </row>
    <row r="204" spans="1:9" s="26" customFormat="1" ht="21.6" customHeight="1">
      <c r="A204" s="27">
        <v>274</v>
      </c>
      <c r="B204" s="132" t="s">
        <v>40</v>
      </c>
      <c r="C204" s="132" t="s">
        <v>295</v>
      </c>
      <c r="D204" s="39" t="s">
        <v>1399</v>
      </c>
      <c r="E204" s="3" t="s">
        <v>296</v>
      </c>
      <c r="F204" s="29">
        <v>80</v>
      </c>
      <c r="G204" s="144" t="s">
        <v>247</v>
      </c>
      <c r="H204" s="40" t="s">
        <v>123</v>
      </c>
      <c r="I204" s="31" t="s">
        <v>297</v>
      </c>
    </row>
    <row r="205" spans="1:9" s="26" customFormat="1" ht="21.6" customHeight="1">
      <c r="A205" s="27">
        <v>275</v>
      </c>
      <c r="B205" s="132" t="s">
        <v>40</v>
      </c>
      <c r="C205" s="132" t="s">
        <v>298</v>
      </c>
      <c r="D205" s="39" t="s">
        <v>1400</v>
      </c>
      <c r="E205" s="3" t="s">
        <v>299</v>
      </c>
      <c r="F205" s="29">
        <v>120</v>
      </c>
      <c r="G205" s="144" t="s">
        <v>300</v>
      </c>
      <c r="H205" s="40" t="s">
        <v>123</v>
      </c>
      <c r="I205" s="31" t="s">
        <v>279</v>
      </c>
    </row>
    <row r="206" spans="1:9" s="26" customFormat="1" ht="21.6" customHeight="1">
      <c r="A206" s="27">
        <v>276</v>
      </c>
      <c r="B206" s="132" t="s">
        <v>40</v>
      </c>
      <c r="C206" s="132" t="s">
        <v>301</v>
      </c>
      <c r="D206" s="39" t="s">
        <v>1401</v>
      </c>
      <c r="E206" s="3" t="s">
        <v>302</v>
      </c>
      <c r="F206" s="29">
        <v>120</v>
      </c>
      <c r="G206" s="144" t="s">
        <v>303</v>
      </c>
      <c r="H206" s="40" t="s">
        <v>123</v>
      </c>
      <c r="I206" s="31" t="s">
        <v>283</v>
      </c>
    </row>
    <row r="207" spans="1:9" s="26" customFormat="1" ht="21.6" customHeight="1">
      <c r="A207" s="27">
        <v>277</v>
      </c>
      <c r="B207" s="132" t="s">
        <v>40</v>
      </c>
      <c r="C207" s="132" t="s">
        <v>251</v>
      </c>
      <c r="D207" s="39" t="s">
        <v>1384</v>
      </c>
      <c r="E207" s="3" t="s">
        <v>252</v>
      </c>
      <c r="F207" s="29">
        <v>160</v>
      </c>
      <c r="G207" s="144" t="s">
        <v>304</v>
      </c>
      <c r="H207" s="40" t="s">
        <v>123</v>
      </c>
      <c r="I207" s="31" t="s">
        <v>290</v>
      </c>
    </row>
    <row r="208" spans="1:9" s="26" customFormat="1" ht="21.6" customHeight="1">
      <c r="A208" s="27">
        <v>278</v>
      </c>
      <c r="B208" s="132" t="s">
        <v>40</v>
      </c>
      <c r="C208" s="132" t="s">
        <v>305</v>
      </c>
      <c r="D208" s="39" t="s">
        <v>1402</v>
      </c>
      <c r="E208" s="3" t="s">
        <v>306</v>
      </c>
      <c r="F208" s="29" t="s">
        <v>123</v>
      </c>
      <c r="G208" s="146" t="s">
        <v>129</v>
      </c>
      <c r="H208" s="40" t="s">
        <v>123</v>
      </c>
      <c r="I208" s="31" t="s">
        <v>307</v>
      </c>
    </row>
    <row r="209" spans="1:9" s="26" customFormat="1" ht="21.6" customHeight="1">
      <c r="A209" s="27">
        <v>279</v>
      </c>
      <c r="B209" s="132" t="s">
        <v>40</v>
      </c>
      <c r="C209" s="132" t="s">
        <v>308</v>
      </c>
      <c r="D209" s="39" t="s">
        <v>1403</v>
      </c>
      <c r="E209" s="3" t="s">
        <v>309</v>
      </c>
      <c r="F209" s="29" t="s">
        <v>123</v>
      </c>
      <c r="G209" s="146" t="s">
        <v>129</v>
      </c>
      <c r="H209" s="40" t="s">
        <v>123</v>
      </c>
      <c r="I209" s="31" t="s">
        <v>310</v>
      </c>
    </row>
    <row r="210" spans="1:9" s="26" customFormat="1" ht="21.6" customHeight="1">
      <c r="A210" s="41">
        <v>281</v>
      </c>
      <c r="B210" s="133" t="s">
        <v>40</v>
      </c>
      <c r="C210" s="139" t="s">
        <v>311</v>
      </c>
      <c r="D210" s="52" t="s">
        <v>1404</v>
      </c>
      <c r="E210" s="3" t="s">
        <v>312</v>
      </c>
      <c r="F210" s="42" t="s">
        <v>123</v>
      </c>
      <c r="G210" s="147" t="s">
        <v>313</v>
      </c>
      <c r="H210" s="44" t="s">
        <v>123</v>
      </c>
      <c r="I210" s="45"/>
    </row>
    <row r="211" spans="1:9" s="26" customFormat="1" ht="21.6" customHeight="1">
      <c r="A211" s="20">
        <v>282</v>
      </c>
      <c r="B211" s="131" t="s">
        <v>1300</v>
      </c>
      <c r="C211" s="131" t="s">
        <v>314</v>
      </c>
      <c r="D211" s="21" t="s">
        <v>1405</v>
      </c>
      <c r="E211" s="22" t="s">
        <v>315</v>
      </c>
      <c r="F211" s="23">
        <v>100</v>
      </c>
      <c r="G211" s="143" t="s">
        <v>193</v>
      </c>
      <c r="H211" s="24">
        <v>1</v>
      </c>
      <c r="I211" s="25" t="s">
        <v>194</v>
      </c>
    </row>
    <row r="212" spans="1:9" s="26" customFormat="1" ht="21.6" customHeight="1">
      <c r="A212" s="27">
        <v>283</v>
      </c>
      <c r="B212" s="132" t="s">
        <v>1300</v>
      </c>
      <c r="C212" s="132" t="s">
        <v>316</v>
      </c>
      <c r="D212" s="28" t="s">
        <v>1406</v>
      </c>
      <c r="E212" s="3" t="s">
        <v>317</v>
      </c>
      <c r="F212" s="29">
        <v>100</v>
      </c>
      <c r="G212" s="144" t="s">
        <v>75</v>
      </c>
      <c r="H212" s="29">
        <v>1</v>
      </c>
      <c r="I212" s="31"/>
    </row>
    <row r="213" spans="1:9" s="26" customFormat="1" ht="21.6" customHeight="1">
      <c r="A213" s="27">
        <v>284</v>
      </c>
      <c r="B213" s="132" t="s">
        <v>1300</v>
      </c>
      <c r="C213" s="132" t="s">
        <v>76</v>
      </c>
      <c r="D213" s="32" t="s">
        <v>1326</v>
      </c>
      <c r="E213" s="33" t="s">
        <v>77</v>
      </c>
      <c r="F213" s="29">
        <v>100</v>
      </c>
      <c r="G213" s="144" t="s">
        <v>78</v>
      </c>
      <c r="H213" s="29">
        <v>1</v>
      </c>
      <c r="I213" s="31"/>
    </row>
    <row r="214" spans="1:9" s="26" customFormat="1" ht="21.6" customHeight="1">
      <c r="A214" s="27">
        <v>285</v>
      </c>
      <c r="B214" s="132" t="s">
        <v>1300</v>
      </c>
      <c r="C214" s="132" t="s">
        <v>259</v>
      </c>
      <c r="D214" s="52" t="s">
        <v>1387</v>
      </c>
      <c r="E214" s="3" t="s">
        <v>260</v>
      </c>
      <c r="F214" s="29">
        <v>200</v>
      </c>
      <c r="G214" s="145" t="s">
        <v>1775</v>
      </c>
      <c r="H214" s="29">
        <v>1</v>
      </c>
      <c r="I214" s="31"/>
    </row>
    <row r="215" spans="1:9" s="26" customFormat="1" ht="21.6" customHeight="1">
      <c r="A215" s="27">
        <v>286</v>
      </c>
      <c r="B215" s="132" t="s">
        <v>1300</v>
      </c>
      <c r="C215" s="132" t="s">
        <v>261</v>
      </c>
      <c r="D215" s="32" t="s">
        <v>1388</v>
      </c>
      <c r="E215" s="33" t="s">
        <v>262</v>
      </c>
      <c r="F215" s="29">
        <v>200</v>
      </c>
      <c r="G215" s="144" t="s">
        <v>87</v>
      </c>
      <c r="H215" s="29">
        <v>1</v>
      </c>
      <c r="I215" s="31"/>
    </row>
    <row r="216" spans="1:9" s="26" customFormat="1" ht="21.6" customHeight="1">
      <c r="A216" s="27">
        <v>287</v>
      </c>
      <c r="B216" s="132" t="s">
        <v>1300</v>
      </c>
      <c r="C216" s="132" t="s">
        <v>201</v>
      </c>
      <c r="D216" s="28" t="s">
        <v>1365</v>
      </c>
      <c r="E216" s="3" t="s">
        <v>202</v>
      </c>
      <c r="F216" s="29">
        <v>100</v>
      </c>
      <c r="G216" s="144" t="s">
        <v>81</v>
      </c>
      <c r="H216" s="29">
        <v>1</v>
      </c>
      <c r="I216" s="31"/>
    </row>
    <row r="217" spans="1:9" s="26" customFormat="1" ht="21.6" customHeight="1">
      <c r="A217" s="27">
        <v>288</v>
      </c>
      <c r="B217" s="132" t="s">
        <v>1300</v>
      </c>
      <c r="C217" s="132" t="s">
        <v>93</v>
      </c>
      <c r="D217" s="28" t="s">
        <v>1332</v>
      </c>
      <c r="E217" s="3" t="s">
        <v>94</v>
      </c>
      <c r="F217" s="29">
        <v>100</v>
      </c>
      <c r="G217" s="144" t="s">
        <v>95</v>
      </c>
      <c r="H217" s="29">
        <v>3</v>
      </c>
      <c r="I217" s="31"/>
    </row>
    <row r="218" spans="1:9" s="26" customFormat="1" ht="21.6" customHeight="1">
      <c r="A218" s="27">
        <v>289</v>
      </c>
      <c r="B218" s="132" t="s">
        <v>1300</v>
      </c>
      <c r="C218" s="132" t="s">
        <v>203</v>
      </c>
      <c r="D218" s="28" t="s">
        <v>1366</v>
      </c>
      <c r="E218" s="3" t="s">
        <v>204</v>
      </c>
      <c r="F218" s="29">
        <v>100</v>
      </c>
      <c r="G218" s="144" t="s">
        <v>98</v>
      </c>
      <c r="H218" s="29">
        <v>1</v>
      </c>
      <c r="I218" s="31"/>
    </row>
    <row r="219" spans="1:9" s="26" customFormat="1" ht="21.6" customHeight="1">
      <c r="A219" s="27">
        <v>290</v>
      </c>
      <c r="B219" s="132" t="s">
        <v>1300</v>
      </c>
      <c r="C219" s="132" t="s">
        <v>205</v>
      </c>
      <c r="D219" s="28" t="s">
        <v>1367</v>
      </c>
      <c r="E219" s="3" t="s">
        <v>206</v>
      </c>
      <c r="F219" s="29">
        <v>100</v>
      </c>
      <c r="G219" s="144" t="s">
        <v>107</v>
      </c>
      <c r="H219" s="29">
        <v>1</v>
      </c>
      <c r="I219" s="31"/>
    </row>
    <row r="220" spans="1:9" s="26" customFormat="1" ht="21.6" customHeight="1">
      <c r="A220" s="27">
        <v>291</v>
      </c>
      <c r="B220" s="132" t="s">
        <v>1300</v>
      </c>
      <c r="C220" s="132" t="s">
        <v>207</v>
      </c>
      <c r="D220" s="28" t="s">
        <v>1368</v>
      </c>
      <c r="E220" s="3" t="s">
        <v>208</v>
      </c>
      <c r="F220" s="29">
        <v>100</v>
      </c>
      <c r="G220" s="145" t="s">
        <v>104</v>
      </c>
      <c r="H220" s="29">
        <v>1</v>
      </c>
      <c r="I220" s="31"/>
    </row>
    <row r="221" spans="1:9" s="26" customFormat="1" ht="21.6" customHeight="1">
      <c r="A221" s="27">
        <v>292</v>
      </c>
      <c r="B221" s="132" t="s">
        <v>1300</v>
      </c>
      <c r="C221" s="132" t="s">
        <v>88</v>
      </c>
      <c r="D221" s="47" t="s">
        <v>1330</v>
      </c>
      <c r="E221" s="48" t="s">
        <v>89</v>
      </c>
      <c r="F221" s="29">
        <v>200</v>
      </c>
      <c r="G221" s="144" t="s">
        <v>90</v>
      </c>
      <c r="H221" s="29">
        <v>5</v>
      </c>
      <c r="I221" s="31"/>
    </row>
    <row r="222" spans="1:9" s="26" customFormat="1" ht="21.6" customHeight="1">
      <c r="A222" s="27">
        <v>293</v>
      </c>
      <c r="B222" s="132" t="s">
        <v>1300</v>
      </c>
      <c r="C222" s="132" t="s">
        <v>211</v>
      </c>
      <c r="D222" s="28" t="s">
        <v>1370</v>
      </c>
      <c r="E222" s="3" t="s">
        <v>212</v>
      </c>
      <c r="F222" s="29">
        <v>200</v>
      </c>
      <c r="G222" s="144" t="s">
        <v>263</v>
      </c>
      <c r="H222" s="29">
        <v>1</v>
      </c>
      <c r="I222" s="31"/>
    </row>
    <row r="223" spans="1:9" s="26" customFormat="1" ht="21.6" customHeight="1">
      <c r="A223" s="27">
        <v>294</v>
      </c>
      <c r="B223" s="132" t="s">
        <v>1300</v>
      </c>
      <c r="C223" s="132" t="s">
        <v>264</v>
      </c>
      <c r="D223" s="50" t="s">
        <v>1389</v>
      </c>
      <c r="E223" s="51" t="s">
        <v>265</v>
      </c>
      <c r="F223" s="29">
        <v>80</v>
      </c>
      <c r="G223" s="144" t="s">
        <v>1780</v>
      </c>
      <c r="H223" s="29">
        <v>1</v>
      </c>
      <c r="I223" s="31" t="s">
        <v>318</v>
      </c>
    </row>
    <row r="224" spans="1:9" s="26" customFormat="1" ht="21.6" customHeight="1">
      <c r="A224" s="27">
        <v>295</v>
      </c>
      <c r="B224" s="132" t="s">
        <v>1300</v>
      </c>
      <c r="C224" s="132" t="s">
        <v>268</v>
      </c>
      <c r="D224" s="50" t="s">
        <v>1390</v>
      </c>
      <c r="E224" s="51" t="s">
        <v>269</v>
      </c>
      <c r="F224" s="29">
        <v>80</v>
      </c>
      <c r="G224" s="144" t="s">
        <v>270</v>
      </c>
      <c r="H224" s="29">
        <v>1</v>
      </c>
      <c r="I224" s="31" t="s">
        <v>319</v>
      </c>
    </row>
    <row r="225" spans="1:9" s="26" customFormat="1" ht="21.6" customHeight="1">
      <c r="A225" s="27">
        <v>296</v>
      </c>
      <c r="B225" s="132" t="s">
        <v>1300</v>
      </c>
      <c r="C225" s="132" t="s">
        <v>271</v>
      </c>
      <c r="D225" s="50" t="s">
        <v>1391</v>
      </c>
      <c r="E225" s="51" t="s">
        <v>272</v>
      </c>
      <c r="F225" s="29">
        <v>80</v>
      </c>
      <c r="G225" s="144" t="s">
        <v>266</v>
      </c>
      <c r="H225" s="29">
        <v>1</v>
      </c>
      <c r="I225" s="31" t="s">
        <v>319</v>
      </c>
    </row>
    <row r="226" spans="1:9" s="26" customFormat="1" ht="21.6" customHeight="1">
      <c r="A226" s="27">
        <v>297</v>
      </c>
      <c r="B226" s="132" t="s">
        <v>1300</v>
      </c>
      <c r="C226" s="132" t="s">
        <v>273</v>
      </c>
      <c r="D226" s="39" t="s">
        <v>1392</v>
      </c>
      <c r="E226" s="3" t="s">
        <v>274</v>
      </c>
      <c r="F226" s="29">
        <v>80</v>
      </c>
      <c r="G226" s="144" t="s">
        <v>275</v>
      </c>
      <c r="H226" s="29">
        <v>1</v>
      </c>
      <c r="I226" s="31" t="s">
        <v>116</v>
      </c>
    </row>
    <row r="227" spans="1:9" s="26" customFormat="1" ht="21.6" customHeight="1">
      <c r="A227" s="27">
        <v>298</v>
      </c>
      <c r="B227" s="132" t="s">
        <v>1300</v>
      </c>
      <c r="C227" s="132" t="s">
        <v>276</v>
      </c>
      <c r="D227" s="39" t="s">
        <v>1393</v>
      </c>
      <c r="E227" s="3" t="s">
        <v>277</v>
      </c>
      <c r="F227" s="29">
        <v>80</v>
      </c>
      <c r="G227" s="144" t="s">
        <v>224</v>
      </c>
      <c r="H227" s="29">
        <v>1</v>
      </c>
      <c r="I227" s="31" t="s">
        <v>116</v>
      </c>
    </row>
    <row r="228" spans="1:9" s="26" customFormat="1" ht="21.6" customHeight="1">
      <c r="A228" s="27">
        <v>299</v>
      </c>
      <c r="B228" s="132" t="s">
        <v>1300</v>
      </c>
      <c r="C228" s="132" t="s">
        <v>225</v>
      </c>
      <c r="D228" s="39" t="s">
        <v>1375</v>
      </c>
      <c r="E228" s="3" t="s">
        <v>226</v>
      </c>
      <c r="F228" s="29">
        <v>120</v>
      </c>
      <c r="G228" s="144" t="s">
        <v>320</v>
      </c>
      <c r="H228" s="29">
        <v>2</v>
      </c>
      <c r="I228" s="31" t="s">
        <v>321</v>
      </c>
    </row>
    <row r="229" spans="1:9" s="26" customFormat="1" ht="21.6" customHeight="1">
      <c r="A229" s="27">
        <v>300</v>
      </c>
      <c r="B229" s="132" t="s">
        <v>1300</v>
      </c>
      <c r="C229" s="132" t="s">
        <v>229</v>
      </c>
      <c r="D229" s="39" t="s">
        <v>1376</v>
      </c>
      <c r="E229" s="51" t="s">
        <v>322</v>
      </c>
      <c r="F229" s="29">
        <v>120</v>
      </c>
      <c r="G229" s="144" t="s">
        <v>278</v>
      </c>
      <c r="H229" s="29">
        <v>1</v>
      </c>
      <c r="I229" s="31" t="s">
        <v>321</v>
      </c>
    </row>
    <row r="230" spans="1:9" s="26" customFormat="1" ht="21.6" customHeight="1">
      <c r="A230" s="27">
        <v>301</v>
      </c>
      <c r="B230" s="132" t="s">
        <v>1300</v>
      </c>
      <c r="C230" s="132" t="s">
        <v>323</v>
      </c>
      <c r="D230" s="39" t="s">
        <v>1407</v>
      </c>
      <c r="E230" s="51" t="s">
        <v>324</v>
      </c>
      <c r="F230" s="29">
        <v>120</v>
      </c>
      <c r="G230" s="144" t="s">
        <v>1782</v>
      </c>
      <c r="H230" s="29">
        <v>1</v>
      </c>
      <c r="I230" s="31" t="s">
        <v>325</v>
      </c>
    </row>
    <row r="231" spans="1:9" s="26" customFormat="1" ht="21.6" customHeight="1">
      <c r="A231" s="27">
        <v>302</v>
      </c>
      <c r="B231" s="132" t="s">
        <v>1300</v>
      </c>
      <c r="C231" s="132" t="s">
        <v>284</v>
      </c>
      <c r="D231" s="50" t="s">
        <v>1395</v>
      </c>
      <c r="E231" s="51" t="s">
        <v>226</v>
      </c>
      <c r="F231" s="29">
        <v>120</v>
      </c>
      <c r="G231" s="144" t="s">
        <v>285</v>
      </c>
      <c r="H231" s="29">
        <v>1</v>
      </c>
      <c r="I231" s="31" t="s">
        <v>325</v>
      </c>
    </row>
    <row r="232" spans="1:9" s="26" customFormat="1" ht="21.6" customHeight="1">
      <c r="A232" s="27">
        <v>303</v>
      </c>
      <c r="B232" s="132" t="s">
        <v>1300</v>
      </c>
      <c r="C232" s="132" t="s">
        <v>287</v>
      </c>
      <c r="D232" s="50" t="s">
        <v>1396</v>
      </c>
      <c r="E232" s="51" t="s">
        <v>288</v>
      </c>
      <c r="F232" s="29">
        <v>120</v>
      </c>
      <c r="G232" s="144" t="s">
        <v>282</v>
      </c>
      <c r="H232" s="29">
        <v>1</v>
      </c>
      <c r="I232" s="31" t="s">
        <v>325</v>
      </c>
    </row>
    <row r="233" spans="1:9" s="26" customFormat="1" ht="21.6" customHeight="1">
      <c r="A233" s="27">
        <v>304</v>
      </c>
      <c r="B233" s="132" t="s">
        <v>1300</v>
      </c>
      <c r="C233" s="132" t="s">
        <v>326</v>
      </c>
      <c r="D233" s="39" t="s">
        <v>1408</v>
      </c>
      <c r="E233" s="51" t="s">
        <v>327</v>
      </c>
      <c r="F233" s="29">
        <v>320</v>
      </c>
      <c r="G233" s="144" t="s">
        <v>1783</v>
      </c>
      <c r="H233" s="29">
        <v>2</v>
      </c>
      <c r="I233" s="31" t="s">
        <v>328</v>
      </c>
    </row>
    <row r="234" spans="1:9" s="26" customFormat="1" ht="21.6" customHeight="1">
      <c r="A234" s="27">
        <v>305</v>
      </c>
      <c r="B234" s="132" t="s">
        <v>1300</v>
      </c>
      <c r="C234" s="132" t="s">
        <v>329</v>
      </c>
      <c r="D234" s="50" t="s">
        <v>1409</v>
      </c>
      <c r="E234" s="51" t="s">
        <v>330</v>
      </c>
      <c r="F234" s="29">
        <v>320</v>
      </c>
      <c r="G234" s="144" t="s">
        <v>289</v>
      </c>
      <c r="H234" s="29">
        <v>1</v>
      </c>
      <c r="I234" s="31" t="s">
        <v>331</v>
      </c>
    </row>
    <row r="235" spans="1:9" ht="21.6" customHeight="1">
      <c r="A235" s="27">
        <v>306</v>
      </c>
      <c r="B235" s="132" t="s">
        <v>1300</v>
      </c>
      <c r="C235" s="132" t="s">
        <v>332</v>
      </c>
      <c r="D235" s="34" t="s">
        <v>1410</v>
      </c>
      <c r="E235" s="35" t="s">
        <v>333</v>
      </c>
      <c r="F235" s="40">
        <v>500</v>
      </c>
      <c r="G235" s="144" t="s">
        <v>1784</v>
      </c>
      <c r="H235" s="40">
        <v>2</v>
      </c>
      <c r="I235" s="55" t="s">
        <v>334</v>
      </c>
    </row>
    <row r="236" spans="1:9" ht="21.6" customHeight="1">
      <c r="A236" s="27">
        <v>307</v>
      </c>
      <c r="B236" s="132" t="s">
        <v>1300</v>
      </c>
      <c r="C236" s="132" t="s">
        <v>335</v>
      </c>
      <c r="D236" s="34" t="s">
        <v>1411</v>
      </c>
      <c r="E236" s="35" t="s">
        <v>336</v>
      </c>
      <c r="F236" s="40">
        <v>500</v>
      </c>
      <c r="G236" s="144" t="s">
        <v>337</v>
      </c>
      <c r="H236" s="40">
        <v>1</v>
      </c>
      <c r="I236" s="55" t="s">
        <v>338</v>
      </c>
    </row>
    <row r="237" spans="1:9" ht="21.6" customHeight="1">
      <c r="A237" s="27">
        <v>308</v>
      </c>
      <c r="B237" s="132" t="s">
        <v>1300</v>
      </c>
      <c r="C237" s="132" t="s">
        <v>339</v>
      </c>
      <c r="D237" s="34" t="s">
        <v>1412</v>
      </c>
      <c r="E237" s="35" t="s">
        <v>340</v>
      </c>
      <c r="F237" s="40">
        <v>500</v>
      </c>
      <c r="G237" s="145" t="s">
        <v>341</v>
      </c>
      <c r="H237" s="40">
        <v>1</v>
      </c>
      <c r="I237" s="55" t="s">
        <v>338</v>
      </c>
    </row>
    <row r="238" spans="1:9" s="26" customFormat="1" ht="21.6" customHeight="1">
      <c r="A238" s="27">
        <v>309</v>
      </c>
      <c r="B238" s="132" t="s">
        <v>1300</v>
      </c>
      <c r="C238" s="132" t="s">
        <v>342</v>
      </c>
      <c r="D238" s="34" t="s">
        <v>1413</v>
      </c>
      <c r="E238" s="53" t="s">
        <v>343</v>
      </c>
      <c r="F238" s="29">
        <v>100</v>
      </c>
      <c r="G238" s="144" t="s">
        <v>122</v>
      </c>
      <c r="H238" s="40" t="s">
        <v>123</v>
      </c>
      <c r="I238" s="31"/>
    </row>
    <row r="239" spans="1:9" s="26" customFormat="1" ht="21.6" customHeight="1">
      <c r="A239" s="27">
        <v>310</v>
      </c>
      <c r="B239" s="132" t="s">
        <v>1300</v>
      </c>
      <c r="C239" s="138" t="s">
        <v>293</v>
      </c>
      <c r="D239" s="54" t="s">
        <v>1398</v>
      </c>
      <c r="E239" s="3" t="s">
        <v>294</v>
      </c>
      <c r="F239" s="29">
        <v>200</v>
      </c>
      <c r="G239" s="145" t="s">
        <v>244</v>
      </c>
      <c r="H239" s="40" t="s">
        <v>123</v>
      </c>
      <c r="I239" s="31"/>
    </row>
    <row r="240" spans="1:9" s="26" customFormat="1" ht="21.6" customHeight="1">
      <c r="A240" s="27">
        <v>311</v>
      </c>
      <c r="B240" s="132" t="s">
        <v>1300</v>
      </c>
      <c r="C240" s="132" t="s">
        <v>295</v>
      </c>
      <c r="D240" s="39" t="s">
        <v>1399</v>
      </c>
      <c r="E240" s="3" t="s">
        <v>296</v>
      </c>
      <c r="F240" s="29">
        <v>80</v>
      </c>
      <c r="G240" s="144" t="s">
        <v>247</v>
      </c>
      <c r="H240" s="40" t="s">
        <v>123</v>
      </c>
      <c r="I240" s="31" t="s">
        <v>344</v>
      </c>
    </row>
    <row r="241" spans="1:9" s="26" customFormat="1" ht="21.6" customHeight="1">
      <c r="A241" s="27">
        <v>312</v>
      </c>
      <c r="B241" s="132" t="s">
        <v>1300</v>
      </c>
      <c r="C241" s="132" t="s">
        <v>298</v>
      </c>
      <c r="D241" s="39" t="s">
        <v>1400</v>
      </c>
      <c r="E241" s="3" t="s">
        <v>299</v>
      </c>
      <c r="F241" s="29">
        <v>120</v>
      </c>
      <c r="G241" s="144" t="s">
        <v>300</v>
      </c>
      <c r="H241" s="40" t="s">
        <v>123</v>
      </c>
      <c r="I241" s="31" t="s">
        <v>321</v>
      </c>
    </row>
    <row r="242" spans="1:9" s="26" customFormat="1" ht="21.6" customHeight="1">
      <c r="A242" s="27">
        <v>313</v>
      </c>
      <c r="B242" s="132" t="s">
        <v>1300</v>
      </c>
      <c r="C242" s="132" t="s">
        <v>345</v>
      </c>
      <c r="D242" s="39" t="s">
        <v>1414</v>
      </c>
      <c r="E242" s="3" t="s">
        <v>346</v>
      </c>
      <c r="F242" s="29">
        <v>120</v>
      </c>
      <c r="G242" s="144" t="s">
        <v>303</v>
      </c>
      <c r="H242" s="40" t="s">
        <v>123</v>
      </c>
      <c r="I242" s="31" t="s">
        <v>325</v>
      </c>
    </row>
    <row r="243" spans="1:9" ht="21.6" customHeight="1">
      <c r="A243" s="27">
        <v>315</v>
      </c>
      <c r="B243" s="132" t="s">
        <v>1300</v>
      </c>
      <c r="C243" s="132" t="s">
        <v>347</v>
      </c>
      <c r="D243" s="34" t="s">
        <v>1415</v>
      </c>
      <c r="E243" s="35" t="s">
        <v>348</v>
      </c>
      <c r="F243" s="40">
        <v>500</v>
      </c>
      <c r="G243" s="144" t="s">
        <v>349</v>
      </c>
      <c r="H243" s="40" t="s">
        <v>123</v>
      </c>
      <c r="I243" s="55" t="s">
        <v>334</v>
      </c>
    </row>
    <row r="244" spans="1:9" s="26" customFormat="1" ht="21.6" customHeight="1">
      <c r="A244" s="27">
        <v>316</v>
      </c>
      <c r="B244" s="132" t="s">
        <v>1300</v>
      </c>
      <c r="C244" s="132" t="s">
        <v>350</v>
      </c>
      <c r="D244" s="39" t="s">
        <v>1416</v>
      </c>
      <c r="E244" s="3" t="s">
        <v>351</v>
      </c>
      <c r="F244" s="29" t="s">
        <v>123</v>
      </c>
      <c r="G244" s="146" t="s">
        <v>129</v>
      </c>
      <c r="H244" s="40" t="s">
        <v>123</v>
      </c>
      <c r="I244" s="31"/>
    </row>
    <row r="245" spans="1:9" s="26" customFormat="1" ht="21.6" customHeight="1">
      <c r="A245" s="41">
        <v>318</v>
      </c>
      <c r="B245" s="133" t="s">
        <v>1300</v>
      </c>
      <c r="C245" s="139" t="s">
        <v>352</v>
      </c>
      <c r="D245" s="52" t="s">
        <v>1417</v>
      </c>
      <c r="E245" s="3" t="s">
        <v>353</v>
      </c>
      <c r="F245" s="42" t="s">
        <v>123</v>
      </c>
      <c r="G245" s="147" t="s">
        <v>313</v>
      </c>
      <c r="H245" s="44" t="s">
        <v>123</v>
      </c>
      <c r="I245" s="45"/>
    </row>
    <row r="246" spans="1:9" s="26" customFormat="1" ht="21.6" customHeight="1">
      <c r="A246" s="20">
        <v>319</v>
      </c>
      <c r="B246" s="128">
        <v>307</v>
      </c>
      <c r="C246" s="128" t="s">
        <v>191</v>
      </c>
      <c r="D246" s="21" t="s">
        <v>1361</v>
      </c>
      <c r="E246" s="22" t="s">
        <v>192</v>
      </c>
      <c r="F246" s="23">
        <v>120</v>
      </c>
      <c r="G246" s="143" t="s">
        <v>193</v>
      </c>
      <c r="H246" s="24">
        <v>1</v>
      </c>
      <c r="I246" s="25" t="s">
        <v>194</v>
      </c>
    </row>
    <row r="247" spans="1:9" s="26" customFormat="1" ht="21.6" customHeight="1">
      <c r="A247" s="27">
        <v>320</v>
      </c>
      <c r="B247" s="39">
        <v>307</v>
      </c>
      <c r="C247" s="39" t="s">
        <v>195</v>
      </c>
      <c r="D247" s="28" t="s">
        <v>1362</v>
      </c>
      <c r="E247" s="3" t="s">
        <v>196</v>
      </c>
      <c r="F247" s="29">
        <v>120</v>
      </c>
      <c r="G247" s="144" t="s">
        <v>75</v>
      </c>
      <c r="H247" s="29">
        <v>1</v>
      </c>
      <c r="I247" s="31"/>
    </row>
    <row r="248" spans="1:9" s="26" customFormat="1" ht="21.6" customHeight="1">
      <c r="A248" s="27">
        <v>321</v>
      </c>
      <c r="B248" s="39">
        <v>307</v>
      </c>
      <c r="C248" s="39" t="s">
        <v>76</v>
      </c>
      <c r="D248" s="32" t="s">
        <v>1326</v>
      </c>
      <c r="E248" s="33" t="s">
        <v>77</v>
      </c>
      <c r="F248" s="29">
        <v>120</v>
      </c>
      <c r="G248" s="144" t="s">
        <v>78</v>
      </c>
      <c r="H248" s="29">
        <v>1</v>
      </c>
      <c r="I248" s="31"/>
    </row>
    <row r="249" spans="1:9" s="26" customFormat="1" ht="21.6" customHeight="1">
      <c r="A249" s="27">
        <v>322</v>
      </c>
      <c r="B249" s="39">
        <v>307</v>
      </c>
      <c r="C249" s="39" t="s">
        <v>197</v>
      </c>
      <c r="D249" s="34" t="s">
        <v>1363</v>
      </c>
      <c r="E249" s="3" t="s">
        <v>198</v>
      </c>
      <c r="F249" s="29">
        <v>240</v>
      </c>
      <c r="G249" s="145" t="s">
        <v>1775</v>
      </c>
      <c r="H249" s="29">
        <v>1</v>
      </c>
      <c r="I249" s="31"/>
    </row>
    <row r="250" spans="1:9" s="26" customFormat="1" ht="21.6" customHeight="1">
      <c r="A250" s="27">
        <v>323</v>
      </c>
      <c r="B250" s="39">
        <v>307</v>
      </c>
      <c r="C250" s="39" t="s">
        <v>199</v>
      </c>
      <c r="D250" s="32" t="s">
        <v>1364</v>
      </c>
      <c r="E250" s="33" t="s">
        <v>200</v>
      </c>
      <c r="F250" s="29">
        <v>240</v>
      </c>
      <c r="G250" s="144" t="s">
        <v>87</v>
      </c>
      <c r="H250" s="29">
        <v>1</v>
      </c>
      <c r="I250" s="31"/>
    </row>
    <row r="251" spans="1:9" s="26" customFormat="1" ht="21.6" customHeight="1">
      <c r="A251" s="27">
        <v>324</v>
      </c>
      <c r="B251" s="39">
        <v>307</v>
      </c>
      <c r="C251" s="39" t="s">
        <v>201</v>
      </c>
      <c r="D251" s="28" t="s">
        <v>1365</v>
      </c>
      <c r="E251" s="3" t="s">
        <v>202</v>
      </c>
      <c r="F251" s="29">
        <v>120</v>
      </c>
      <c r="G251" s="144" t="s">
        <v>81</v>
      </c>
      <c r="H251" s="29">
        <v>1</v>
      </c>
      <c r="I251" s="31"/>
    </row>
    <row r="252" spans="1:9" s="26" customFormat="1" ht="21.6" customHeight="1">
      <c r="A252" s="27">
        <v>325</v>
      </c>
      <c r="B252" s="39">
        <v>307</v>
      </c>
      <c r="C252" s="39" t="s">
        <v>93</v>
      </c>
      <c r="D252" s="28" t="s">
        <v>1332</v>
      </c>
      <c r="E252" s="3" t="s">
        <v>94</v>
      </c>
      <c r="F252" s="29">
        <v>120</v>
      </c>
      <c r="G252" s="144" t="s">
        <v>95</v>
      </c>
      <c r="H252" s="29">
        <v>2</v>
      </c>
      <c r="I252" s="31"/>
    </row>
    <row r="253" spans="1:9" s="26" customFormat="1" ht="21.6" customHeight="1">
      <c r="A253" s="27">
        <v>326</v>
      </c>
      <c r="B253" s="39">
        <v>307</v>
      </c>
      <c r="C253" s="39" t="s">
        <v>203</v>
      </c>
      <c r="D253" s="28" t="s">
        <v>1366</v>
      </c>
      <c r="E253" s="3" t="s">
        <v>204</v>
      </c>
      <c r="F253" s="29">
        <v>120</v>
      </c>
      <c r="G253" s="144" t="s">
        <v>98</v>
      </c>
      <c r="H253" s="29">
        <v>1</v>
      </c>
      <c r="I253" s="31"/>
    </row>
    <row r="254" spans="1:9" s="26" customFormat="1" ht="21.6" customHeight="1">
      <c r="A254" s="27">
        <v>327</v>
      </c>
      <c r="B254" s="39">
        <v>307</v>
      </c>
      <c r="C254" s="39" t="s">
        <v>205</v>
      </c>
      <c r="D254" s="28" t="s">
        <v>1367</v>
      </c>
      <c r="E254" s="3" t="s">
        <v>206</v>
      </c>
      <c r="F254" s="29">
        <v>120</v>
      </c>
      <c r="G254" s="144" t="s">
        <v>107</v>
      </c>
      <c r="H254" s="29">
        <v>1</v>
      </c>
      <c r="I254" s="31"/>
    </row>
    <row r="255" spans="1:9" s="26" customFormat="1" ht="21.6" customHeight="1">
      <c r="A255" s="27">
        <v>328</v>
      </c>
      <c r="B255" s="39">
        <v>307</v>
      </c>
      <c r="C255" s="39" t="s">
        <v>207</v>
      </c>
      <c r="D255" s="28" t="s">
        <v>1368</v>
      </c>
      <c r="E255" s="3" t="s">
        <v>208</v>
      </c>
      <c r="F255" s="29">
        <v>120</v>
      </c>
      <c r="G255" s="145" t="s">
        <v>104</v>
      </c>
      <c r="H255" s="29">
        <v>1</v>
      </c>
      <c r="I255" s="31"/>
    </row>
    <row r="256" spans="1:9" s="26" customFormat="1" ht="21.6" customHeight="1">
      <c r="A256" s="27">
        <v>329</v>
      </c>
      <c r="B256" s="39">
        <v>307</v>
      </c>
      <c r="C256" s="39" t="s">
        <v>209</v>
      </c>
      <c r="D256" s="47" t="s">
        <v>1369</v>
      </c>
      <c r="E256" s="48" t="s">
        <v>210</v>
      </c>
      <c r="F256" s="49">
        <v>240</v>
      </c>
      <c r="G256" s="144" t="s">
        <v>90</v>
      </c>
      <c r="H256" s="29">
        <v>5</v>
      </c>
      <c r="I256" s="31"/>
    </row>
    <row r="257" spans="1:9" s="26" customFormat="1" ht="21.6" customHeight="1">
      <c r="A257" s="27">
        <v>330</v>
      </c>
      <c r="B257" s="39">
        <v>307</v>
      </c>
      <c r="C257" s="39" t="s">
        <v>211</v>
      </c>
      <c r="D257" s="28" t="s">
        <v>1370</v>
      </c>
      <c r="E257" s="3" t="s">
        <v>212</v>
      </c>
      <c r="F257" s="29">
        <v>240</v>
      </c>
      <c r="G257" s="144" t="s">
        <v>101</v>
      </c>
      <c r="H257" s="29">
        <v>1</v>
      </c>
      <c r="I257" s="31"/>
    </row>
    <row r="258" spans="1:9" s="26" customFormat="1" ht="21.6" customHeight="1">
      <c r="A258" s="27">
        <v>331</v>
      </c>
      <c r="B258" s="39">
        <v>307</v>
      </c>
      <c r="C258" s="39" t="s">
        <v>213</v>
      </c>
      <c r="D258" s="50" t="s">
        <v>1371</v>
      </c>
      <c r="E258" s="51" t="s">
        <v>214</v>
      </c>
      <c r="F258" s="29">
        <v>80</v>
      </c>
      <c r="G258" s="144" t="s">
        <v>1777</v>
      </c>
      <c r="H258" s="29">
        <v>1</v>
      </c>
      <c r="I258" s="31" t="s">
        <v>216</v>
      </c>
    </row>
    <row r="259" spans="1:9" s="26" customFormat="1" ht="21.6" customHeight="1">
      <c r="A259" s="27">
        <v>332</v>
      </c>
      <c r="B259" s="39">
        <v>307</v>
      </c>
      <c r="C259" s="39" t="s">
        <v>217</v>
      </c>
      <c r="D259" s="50" t="s">
        <v>1372</v>
      </c>
      <c r="E259" s="51" t="s">
        <v>218</v>
      </c>
      <c r="F259" s="29">
        <v>80</v>
      </c>
      <c r="G259" s="144" t="s">
        <v>219</v>
      </c>
      <c r="H259" s="29">
        <v>1</v>
      </c>
      <c r="I259" s="31" t="s">
        <v>216</v>
      </c>
    </row>
    <row r="260" spans="1:9" s="26" customFormat="1" ht="21.6" customHeight="1">
      <c r="A260" s="27">
        <v>333</v>
      </c>
      <c r="B260" s="39">
        <v>307</v>
      </c>
      <c r="C260" s="39" t="s">
        <v>220</v>
      </c>
      <c r="D260" s="50" t="s">
        <v>1373</v>
      </c>
      <c r="E260" s="51" t="s">
        <v>221</v>
      </c>
      <c r="F260" s="29">
        <v>80</v>
      </c>
      <c r="G260" s="144" t="s">
        <v>215</v>
      </c>
      <c r="H260" s="29">
        <v>1</v>
      </c>
      <c r="I260" s="31" t="s">
        <v>354</v>
      </c>
    </row>
    <row r="261" spans="1:9" s="26" customFormat="1" ht="21.6" customHeight="1">
      <c r="A261" s="27">
        <v>334</v>
      </c>
      <c r="B261" s="39">
        <v>307</v>
      </c>
      <c r="C261" s="39" t="s">
        <v>170</v>
      </c>
      <c r="D261" s="39" t="s">
        <v>1356</v>
      </c>
      <c r="E261" s="3" t="s">
        <v>171</v>
      </c>
      <c r="F261" s="29">
        <v>80</v>
      </c>
      <c r="G261" s="144" t="s">
        <v>355</v>
      </c>
      <c r="H261" s="29">
        <v>1</v>
      </c>
      <c r="I261" s="31" t="s">
        <v>116</v>
      </c>
    </row>
    <row r="262" spans="1:9" s="26" customFormat="1" ht="21.6" customHeight="1">
      <c r="A262" s="27">
        <v>335</v>
      </c>
      <c r="B262" s="39">
        <v>307</v>
      </c>
      <c r="C262" s="39" t="s">
        <v>222</v>
      </c>
      <c r="D262" s="39" t="s">
        <v>1374</v>
      </c>
      <c r="E262" s="3" t="s">
        <v>223</v>
      </c>
      <c r="F262" s="29">
        <v>80</v>
      </c>
      <c r="G262" s="144" t="s">
        <v>224</v>
      </c>
      <c r="H262" s="29">
        <v>1</v>
      </c>
      <c r="I262" s="31" t="s">
        <v>116</v>
      </c>
    </row>
    <row r="263" spans="1:9" s="26" customFormat="1" ht="21.6" customHeight="1">
      <c r="A263" s="27">
        <v>336</v>
      </c>
      <c r="B263" s="39">
        <v>307</v>
      </c>
      <c r="C263" s="39" t="s">
        <v>225</v>
      </c>
      <c r="D263" s="39" t="s">
        <v>1375</v>
      </c>
      <c r="E263" s="3" t="s">
        <v>226</v>
      </c>
      <c r="F263" s="29">
        <v>120</v>
      </c>
      <c r="G263" s="145" t="s">
        <v>1778</v>
      </c>
      <c r="H263" s="29">
        <v>2</v>
      </c>
      <c r="I263" s="56" t="s">
        <v>356</v>
      </c>
    </row>
    <row r="264" spans="1:9" s="26" customFormat="1" ht="21.6" customHeight="1">
      <c r="A264" s="27">
        <v>337</v>
      </c>
      <c r="B264" s="39">
        <v>307</v>
      </c>
      <c r="C264" s="39" t="s">
        <v>229</v>
      </c>
      <c r="D264" s="39" t="s">
        <v>1376</v>
      </c>
      <c r="E264" s="51" t="s">
        <v>230</v>
      </c>
      <c r="F264" s="29">
        <v>120</v>
      </c>
      <c r="G264" s="145" t="s">
        <v>227</v>
      </c>
      <c r="H264" s="29">
        <v>1</v>
      </c>
      <c r="I264" s="56" t="s">
        <v>357</v>
      </c>
    </row>
    <row r="265" spans="1:9" s="26" customFormat="1" ht="21.6" customHeight="1">
      <c r="A265" s="27">
        <v>338</v>
      </c>
      <c r="B265" s="39">
        <v>307</v>
      </c>
      <c r="C265" s="39" t="s">
        <v>231</v>
      </c>
      <c r="D265" s="39" t="s">
        <v>1377</v>
      </c>
      <c r="E265" s="51" t="s">
        <v>232</v>
      </c>
      <c r="F265" s="29">
        <v>160</v>
      </c>
      <c r="G265" s="144" t="s">
        <v>1785</v>
      </c>
      <c r="H265" s="29">
        <v>1</v>
      </c>
      <c r="I265" s="31" t="s">
        <v>359</v>
      </c>
    </row>
    <row r="266" spans="1:9" s="26" customFormat="1" ht="21.6" customHeight="1">
      <c r="A266" s="27">
        <v>339</v>
      </c>
      <c r="B266" s="39">
        <v>307</v>
      </c>
      <c r="C266" s="39" t="s">
        <v>235</v>
      </c>
      <c r="D266" s="50" t="s">
        <v>1378</v>
      </c>
      <c r="E266" s="51" t="s">
        <v>236</v>
      </c>
      <c r="F266" s="29">
        <v>160</v>
      </c>
      <c r="G266" s="144" t="s">
        <v>360</v>
      </c>
      <c r="H266" s="29">
        <v>1</v>
      </c>
      <c r="I266" s="31" t="s">
        <v>359</v>
      </c>
    </row>
    <row r="267" spans="1:9" s="26" customFormat="1" ht="21.6" customHeight="1">
      <c r="A267" s="27">
        <v>340</v>
      </c>
      <c r="B267" s="39">
        <v>307</v>
      </c>
      <c r="C267" s="39" t="s">
        <v>238</v>
      </c>
      <c r="D267" s="50" t="s">
        <v>1379</v>
      </c>
      <c r="E267" s="51" t="s">
        <v>239</v>
      </c>
      <c r="F267" s="29">
        <v>160</v>
      </c>
      <c r="G267" s="144" t="s">
        <v>358</v>
      </c>
      <c r="H267" s="29">
        <v>1</v>
      </c>
      <c r="I267" s="31" t="s">
        <v>359</v>
      </c>
    </row>
    <row r="268" spans="1:9" s="26" customFormat="1" ht="21.6" customHeight="1">
      <c r="A268" s="27">
        <v>341</v>
      </c>
      <c r="B268" s="39">
        <v>307</v>
      </c>
      <c r="C268" s="39" t="s">
        <v>240</v>
      </c>
      <c r="D268" s="39" t="s">
        <v>1380</v>
      </c>
      <c r="E268" s="3" t="s">
        <v>241</v>
      </c>
      <c r="F268" s="29">
        <v>120</v>
      </c>
      <c r="G268" s="144" t="s">
        <v>122</v>
      </c>
      <c r="H268" s="40" t="s">
        <v>123</v>
      </c>
      <c r="I268" s="31"/>
    </row>
    <row r="269" spans="1:9" s="26" customFormat="1" ht="21.6" customHeight="1">
      <c r="A269" s="27">
        <v>342</v>
      </c>
      <c r="B269" s="39">
        <v>307</v>
      </c>
      <c r="C269" s="39" t="s">
        <v>242</v>
      </c>
      <c r="D269" s="34" t="s">
        <v>1381</v>
      </c>
      <c r="E269" s="3" t="s">
        <v>243</v>
      </c>
      <c r="F269" s="29">
        <v>240</v>
      </c>
      <c r="G269" s="145" t="s">
        <v>244</v>
      </c>
      <c r="H269" s="40" t="s">
        <v>123</v>
      </c>
      <c r="I269" s="31"/>
    </row>
    <row r="270" spans="1:9" s="26" customFormat="1" ht="21.6" customHeight="1">
      <c r="A270" s="27">
        <v>343</v>
      </c>
      <c r="B270" s="39">
        <v>307</v>
      </c>
      <c r="C270" s="39" t="s">
        <v>245</v>
      </c>
      <c r="D270" s="39" t="s">
        <v>1382</v>
      </c>
      <c r="E270" s="3" t="s">
        <v>246</v>
      </c>
      <c r="F270" s="29">
        <v>80</v>
      </c>
      <c r="G270" s="144" t="s">
        <v>247</v>
      </c>
      <c r="H270" s="40" t="s">
        <v>123</v>
      </c>
      <c r="I270" s="31" t="s">
        <v>354</v>
      </c>
    </row>
    <row r="271" spans="1:9" s="26" customFormat="1" ht="21.6" customHeight="1">
      <c r="A271" s="27">
        <v>344</v>
      </c>
      <c r="B271" s="39">
        <v>307</v>
      </c>
      <c r="C271" s="39" t="s">
        <v>248</v>
      </c>
      <c r="D271" s="39" t="s">
        <v>1383</v>
      </c>
      <c r="E271" s="3" t="s">
        <v>249</v>
      </c>
      <c r="F271" s="29">
        <v>120</v>
      </c>
      <c r="G271" s="144" t="s">
        <v>250</v>
      </c>
      <c r="H271" s="40" t="s">
        <v>123</v>
      </c>
      <c r="I271" s="56" t="s">
        <v>357</v>
      </c>
    </row>
    <row r="272" spans="1:9" s="26" customFormat="1" ht="21.6" customHeight="1">
      <c r="A272" s="27">
        <v>345</v>
      </c>
      <c r="B272" s="39">
        <v>307</v>
      </c>
      <c r="C272" s="39" t="s">
        <v>251</v>
      </c>
      <c r="D272" s="39" t="s">
        <v>1384</v>
      </c>
      <c r="E272" s="3" t="s">
        <v>252</v>
      </c>
      <c r="F272" s="29">
        <v>160</v>
      </c>
      <c r="G272" s="144" t="s">
        <v>253</v>
      </c>
      <c r="H272" s="40" t="s">
        <v>123</v>
      </c>
      <c r="I272" s="31" t="s">
        <v>361</v>
      </c>
    </row>
    <row r="273" spans="1:9" s="26" customFormat="1" ht="21.6" customHeight="1">
      <c r="A273" s="27">
        <v>346</v>
      </c>
      <c r="B273" s="39">
        <v>307</v>
      </c>
      <c r="C273" s="39" t="s">
        <v>254</v>
      </c>
      <c r="D273" s="39" t="s">
        <v>1385</v>
      </c>
      <c r="E273" s="3" t="s">
        <v>255</v>
      </c>
      <c r="F273" s="29" t="s">
        <v>123</v>
      </c>
      <c r="G273" s="146" t="s">
        <v>129</v>
      </c>
      <c r="H273" s="40" t="s">
        <v>123</v>
      </c>
      <c r="I273" s="31"/>
    </row>
    <row r="274" spans="1:9" s="26" customFormat="1" ht="21.6" customHeight="1">
      <c r="A274" s="27">
        <v>348</v>
      </c>
      <c r="B274" s="39">
        <v>307</v>
      </c>
      <c r="C274" s="39" t="s">
        <v>256</v>
      </c>
      <c r="D274" s="34" t="s">
        <v>1386</v>
      </c>
      <c r="E274" s="3" t="s">
        <v>257</v>
      </c>
      <c r="F274" s="29" t="s">
        <v>123</v>
      </c>
      <c r="G274" s="144" t="s">
        <v>258</v>
      </c>
      <c r="H274" s="40" t="s">
        <v>123</v>
      </c>
      <c r="I274" s="31"/>
    </row>
    <row r="275" spans="1:9" s="26" customFormat="1" ht="21.6" customHeight="1">
      <c r="A275" s="20">
        <v>349</v>
      </c>
      <c r="B275" s="131" t="s">
        <v>43</v>
      </c>
      <c r="C275" s="131" t="s">
        <v>191</v>
      </c>
      <c r="D275" s="21" t="s">
        <v>1361</v>
      </c>
      <c r="E275" s="22" t="s">
        <v>192</v>
      </c>
      <c r="F275" s="23">
        <v>120</v>
      </c>
      <c r="G275" s="143" t="s">
        <v>193</v>
      </c>
      <c r="H275" s="24">
        <v>1</v>
      </c>
      <c r="I275" s="25" t="s">
        <v>194</v>
      </c>
    </row>
    <row r="276" spans="1:9" s="26" customFormat="1" ht="21.6" customHeight="1">
      <c r="A276" s="27">
        <v>350</v>
      </c>
      <c r="B276" s="132" t="s">
        <v>43</v>
      </c>
      <c r="C276" s="132" t="s">
        <v>195</v>
      </c>
      <c r="D276" s="28" t="s">
        <v>1362</v>
      </c>
      <c r="E276" s="3" t="s">
        <v>196</v>
      </c>
      <c r="F276" s="29">
        <v>120</v>
      </c>
      <c r="G276" s="144" t="s">
        <v>75</v>
      </c>
      <c r="H276" s="29">
        <v>1</v>
      </c>
      <c r="I276" s="31"/>
    </row>
    <row r="277" spans="1:9" s="26" customFormat="1" ht="21.6" customHeight="1">
      <c r="A277" s="27">
        <v>351</v>
      </c>
      <c r="B277" s="132" t="s">
        <v>43</v>
      </c>
      <c r="C277" s="132" t="s">
        <v>76</v>
      </c>
      <c r="D277" s="32" t="s">
        <v>1326</v>
      </c>
      <c r="E277" s="33" t="s">
        <v>77</v>
      </c>
      <c r="F277" s="29">
        <v>120</v>
      </c>
      <c r="G277" s="144" t="s">
        <v>78</v>
      </c>
      <c r="H277" s="29">
        <v>1</v>
      </c>
      <c r="I277" s="31"/>
    </row>
    <row r="278" spans="1:9" s="26" customFormat="1" ht="21.6" customHeight="1">
      <c r="A278" s="27">
        <v>352</v>
      </c>
      <c r="B278" s="132" t="s">
        <v>43</v>
      </c>
      <c r="C278" s="132" t="s">
        <v>259</v>
      </c>
      <c r="D278" s="52" t="s">
        <v>1387</v>
      </c>
      <c r="E278" s="3" t="s">
        <v>260</v>
      </c>
      <c r="F278" s="29">
        <v>240</v>
      </c>
      <c r="G278" s="145" t="s">
        <v>1775</v>
      </c>
      <c r="H278" s="29">
        <v>1</v>
      </c>
      <c r="I278" s="31"/>
    </row>
    <row r="279" spans="1:9" s="26" customFormat="1" ht="21.6" customHeight="1">
      <c r="A279" s="27">
        <v>353</v>
      </c>
      <c r="B279" s="132" t="s">
        <v>43</v>
      </c>
      <c r="C279" s="132" t="s">
        <v>261</v>
      </c>
      <c r="D279" s="32" t="s">
        <v>1388</v>
      </c>
      <c r="E279" s="33" t="s">
        <v>262</v>
      </c>
      <c r="F279" s="29">
        <v>240</v>
      </c>
      <c r="G279" s="144" t="s">
        <v>87</v>
      </c>
      <c r="H279" s="29">
        <v>1</v>
      </c>
      <c r="I279" s="31"/>
    </row>
    <row r="280" spans="1:9" s="26" customFormat="1" ht="21.6" customHeight="1">
      <c r="A280" s="27">
        <v>354</v>
      </c>
      <c r="B280" s="132" t="s">
        <v>43</v>
      </c>
      <c r="C280" s="132" t="s">
        <v>201</v>
      </c>
      <c r="D280" s="28" t="s">
        <v>1365</v>
      </c>
      <c r="E280" s="3" t="s">
        <v>202</v>
      </c>
      <c r="F280" s="29">
        <v>120</v>
      </c>
      <c r="G280" s="144" t="s">
        <v>81</v>
      </c>
      <c r="H280" s="29">
        <v>1</v>
      </c>
      <c r="I280" s="31"/>
    </row>
    <row r="281" spans="1:9" s="26" customFormat="1" ht="21.6" customHeight="1">
      <c r="A281" s="27">
        <v>355</v>
      </c>
      <c r="B281" s="132" t="s">
        <v>43</v>
      </c>
      <c r="C281" s="132" t="s">
        <v>93</v>
      </c>
      <c r="D281" s="28" t="s">
        <v>1332</v>
      </c>
      <c r="E281" s="3" t="s">
        <v>94</v>
      </c>
      <c r="F281" s="29">
        <v>120</v>
      </c>
      <c r="G281" s="144" t="s">
        <v>95</v>
      </c>
      <c r="H281" s="29">
        <v>3</v>
      </c>
      <c r="I281" s="31"/>
    </row>
    <row r="282" spans="1:9" s="26" customFormat="1" ht="21.6" customHeight="1">
      <c r="A282" s="27">
        <v>356</v>
      </c>
      <c r="B282" s="132" t="s">
        <v>43</v>
      </c>
      <c r="C282" s="132" t="s">
        <v>203</v>
      </c>
      <c r="D282" s="28" t="s">
        <v>1366</v>
      </c>
      <c r="E282" s="3" t="s">
        <v>204</v>
      </c>
      <c r="F282" s="29">
        <v>120</v>
      </c>
      <c r="G282" s="144" t="s">
        <v>98</v>
      </c>
      <c r="H282" s="29">
        <v>1</v>
      </c>
      <c r="I282" s="31"/>
    </row>
    <row r="283" spans="1:9" s="26" customFormat="1" ht="21.6" customHeight="1">
      <c r="A283" s="27">
        <v>357</v>
      </c>
      <c r="B283" s="132" t="s">
        <v>43</v>
      </c>
      <c r="C283" s="132" t="s">
        <v>205</v>
      </c>
      <c r="D283" s="28" t="s">
        <v>1367</v>
      </c>
      <c r="E283" s="3" t="s">
        <v>206</v>
      </c>
      <c r="F283" s="29">
        <v>120</v>
      </c>
      <c r="G283" s="144" t="s">
        <v>107</v>
      </c>
      <c r="H283" s="29">
        <v>1</v>
      </c>
      <c r="I283" s="31"/>
    </row>
    <row r="284" spans="1:9" s="26" customFormat="1" ht="21.6" customHeight="1">
      <c r="A284" s="27">
        <v>358</v>
      </c>
      <c r="B284" s="132" t="s">
        <v>43</v>
      </c>
      <c r="C284" s="132" t="s">
        <v>207</v>
      </c>
      <c r="D284" s="28" t="s">
        <v>1368</v>
      </c>
      <c r="E284" s="3" t="s">
        <v>208</v>
      </c>
      <c r="F284" s="29">
        <v>120</v>
      </c>
      <c r="G284" s="145" t="s">
        <v>104</v>
      </c>
      <c r="H284" s="29">
        <v>1</v>
      </c>
      <c r="I284" s="31"/>
    </row>
    <row r="285" spans="1:9" s="26" customFormat="1" ht="21.6" customHeight="1">
      <c r="A285" s="27">
        <v>359</v>
      </c>
      <c r="B285" s="132" t="s">
        <v>43</v>
      </c>
      <c r="C285" s="132" t="s">
        <v>88</v>
      </c>
      <c r="D285" s="47" t="s">
        <v>1330</v>
      </c>
      <c r="E285" s="48" t="s">
        <v>89</v>
      </c>
      <c r="F285" s="29">
        <v>240</v>
      </c>
      <c r="G285" s="144" t="s">
        <v>90</v>
      </c>
      <c r="H285" s="29">
        <v>5</v>
      </c>
      <c r="I285" s="31"/>
    </row>
    <row r="286" spans="1:9" s="26" customFormat="1" ht="21.6" customHeight="1">
      <c r="A286" s="27">
        <v>360</v>
      </c>
      <c r="B286" s="132" t="s">
        <v>43</v>
      </c>
      <c r="C286" s="132" t="s">
        <v>211</v>
      </c>
      <c r="D286" s="28" t="s">
        <v>1370</v>
      </c>
      <c r="E286" s="3" t="s">
        <v>212</v>
      </c>
      <c r="F286" s="29">
        <v>240</v>
      </c>
      <c r="G286" s="144" t="s">
        <v>263</v>
      </c>
      <c r="H286" s="29">
        <v>1</v>
      </c>
      <c r="I286" s="31"/>
    </row>
    <row r="287" spans="1:9" s="26" customFormat="1" ht="21.6" customHeight="1">
      <c r="A287" s="27">
        <v>361</v>
      </c>
      <c r="B287" s="132" t="s">
        <v>43</v>
      </c>
      <c r="C287" s="132" t="s">
        <v>264</v>
      </c>
      <c r="D287" s="50" t="s">
        <v>1389</v>
      </c>
      <c r="E287" s="51" t="s">
        <v>265</v>
      </c>
      <c r="F287" s="29">
        <v>80</v>
      </c>
      <c r="G287" s="144" t="s">
        <v>1780</v>
      </c>
      <c r="H287" s="29">
        <v>1</v>
      </c>
      <c r="I287" s="31" t="s">
        <v>267</v>
      </c>
    </row>
    <row r="288" spans="1:9" s="26" customFormat="1" ht="21.6" customHeight="1">
      <c r="A288" s="27">
        <v>362</v>
      </c>
      <c r="B288" s="132" t="s">
        <v>43</v>
      </c>
      <c r="C288" s="132" t="s">
        <v>268</v>
      </c>
      <c r="D288" s="50" t="s">
        <v>1390</v>
      </c>
      <c r="E288" s="51" t="s">
        <v>269</v>
      </c>
      <c r="F288" s="29">
        <v>80</v>
      </c>
      <c r="G288" s="144" t="s">
        <v>270</v>
      </c>
      <c r="H288" s="29">
        <v>1</v>
      </c>
      <c r="I288" s="31" t="s">
        <v>267</v>
      </c>
    </row>
    <row r="289" spans="1:9" s="26" customFormat="1" ht="21.6" customHeight="1">
      <c r="A289" s="27">
        <v>363</v>
      </c>
      <c r="B289" s="132" t="s">
        <v>43</v>
      </c>
      <c r="C289" s="132" t="s">
        <v>271</v>
      </c>
      <c r="D289" s="50" t="s">
        <v>1391</v>
      </c>
      <c r="E289" s="51" t="s">
        <v>272</v>
      </c>
      <c r="F289" s="29">
        <v>80</v>
      </c>
      <c r="G289" s="144" t="s">
        <v>266</v>
      </c>
      <c r="H289" s="29">
        <v>1</v>
      </c>
      <c r="I289" s="31" t="s">
        <v>267</v>
      </c>
    </row>
    <row r="290" spans="1:9" s="26" customFormat="1" ht="21.6" customHeight="1">
      <c r="A290" s="27">
        <v>364</v>
      </c>
      <c r="B290" s="132" t="s">
        <v>43</v>
      </c>
      <c r="C290" s="132" t="s">
        <v>273</v>
      </c>
      <c r="D290" s="39" t="s">
        <v>1392</v>
      </c>
      <c r="E290" s="3" t="s">
        <v>274</v>
      </c>
      <c r="F290" s="29">
        <v>80</v>
      </c>
      <c r="G290" s="144" t="s">
        <v>275</v>
      </c>
      <c r="H290" s="29">
        <v>1</v>
      </c>
      <c r="I290" s="31" t="s">
        <v>116</v>
      </c>
    </row>
    <row r="291" spans="1:9" s="26" customFormat="1" ht="21.6" customHeight="1">
      <c r="A291" s="27">
        <v>365</v>
      </c>
      <c r="B291" s="132" t="s">
        <v>43</v>
      </c>
      <c r="C291" s="132" t="s">
        <v>276</v>
      </c>
      <c r="D291" s="39" t="s">
        <v>1393</v>
      </c>
      <c r="E291" s="3" t="s">
        <v>277</v>
      </c>
      <c r="F291" s="29">
        <v>80</v>
      </c>
      <c r="G291" s="144" t="s">
        <v>224</v>
      </c>
      <c r="H291" s="29">
        <v>1</v>
      </c>
      <c r="I291" s="31" t="s">
        <v>116</v>
      </c>
    </row>
    <row r="292" spans="1:9" s="26" customFormat="1" ht="21.6" customHeight="1">
      <c r="A292" s="27">
        <v>366</v>
      </c>
      <c r="B292" s="132" t="s">
        <v>43</v>
      </c>
      <c r="C292" s="132" t="s">
        <v>225</v>
      </c>
      <c r="D292" s="39" t="s">
        <v>1375</v>
      </c>
      <c r="E292" s="3" t="s">
        <v>226</v>
      </c>
      <c r="F292" s="29">
        <v>120</v>
      </c>
      <c r="G292" s="144" t="s">
        <v>1781</v>
      </c>
      <c r="H292" s="29">
        <v>2</v>
      </c>
      <c r="I292" s="31" t="s">
        <v>279</v>
      </c>
    </row>
    <row r="293" spans="1:9" s="26" customFormat="1" ht="21.6" customHeight="1">
      <c r="A293" s="27">
        <v>367</v>
      </c>
      <c r="B293" s="132" t="s">
        <v>43</v>
      </c>
      <c r="C293" s="132" t="s">
        <v>229</v>
      </c>
      <c r="D293" s="39" t="s">
        <v>1376</v>
      </c>
      <c r="E293" s="51" t="s">
        <v>230</v>
      </c>
      <c r="F293" s="29">
        <v>120</v>
      </c>
      <c r="G293" s="144" t="s">
        <v>278</v>
      </c>
      <c r="H293" s="29">
        <v>1</v>
      </c>
      <c r="I293" s="31" t="s">
        <v>279</v>
      </c>
    </row>
    <row r="294" spans="1:9" s="26" customFormat="1" ht="21.6" customHeight="1">
      <c r="A294" s="27">
        <v>368</v>
      </c>
      <c r="B294" s="132" t="s">
        <v>43</v>
      </c>
      <c r="C294" s="132" t="s">
        <v>280</v>
      </c>
      <c r="D294" s="39" t="s">
        <v>1394</v>
      </c>
      <c r="E294" s="51" t="s">
        <v>281</v>
      </c>
      <c r="F294" s="29">
        <v>120</v>
      </c>
      <c r="G294" s="144" t="s">
        <v>1782</v>
      </c>
      <c r="H294" s="29">
        <v>1</v>
      </c>
      <c r="I294" s="31" t="s">
        <v>283</v>
      </c>
    </row>
    <row r="295" spans="1:9" s="26" customFormat="1" ht="21.6" customHeight="1">
      <c r="A295" s="27">
        <v>369</v>
      </c>
      <c r="B295" s="132" t="s">
        <v>43</v>
      </c>
      <c r="C295" s="132" t="s">
        <v>284</v>
      </c>
      <c r="D295" s="50" t="s">
        <v>1395</v>
      </c>
      <c r="E295" s="51" t="s">
        <v>226</v>
      </c>
      <c r="F295" s="29">
        <v>120</v>
      </c>
      <c r="G295" s="144" t="s">
        <v>285</v>
      </c>
      <c r="H295" s="29">
        <v>1</v>
      </c>
      <c r="I295" s="31" t="s">
        <v>286</v>
      </c>
    </row>
    <row r="296" spans="1:9" s="26" customFormat="1" ht="21.6" customHeight="1">
      <c r="A296" s="27">
        <v>370</v>
      </c>
      <c r="B296" s="132" t="s">
        <v>43</v>
      </c>
      <c r="C296" s="132" t="s">
        <v>287</v>
      </c>
      <c r="D296" s="50" t="s">
        <v>1396</v>
      </c>
      <c r="E296" s="51" t="s">
        <v>288</v>
      </c>
      <c r="F296" s="29">
        <v>120</v>
      </c>
      <c r="G296" s="144" t="s">
        <v>282</v>
      </c>
      <c r="H296" s="29">
        <v>1</v>
      </c>
      <c r="I296" s="31" t="s">
        <v>286</v>
      </c>
    </row>
    <row r="297" spans="1:9" s="26" customFormat="1" ht="21.6" customHeight="1">
      <c r="A297" s="27">
        <v>371</v>
      </c>
      <c r="B297" s="132" t="s">
        <v>43</v>
      </c>
      <c r="C297" s="132" t="s">
        <v>231</v>
      </c>
      <c r="D297" s="39" t="s">
        <v>1377</v>
      </c>
      <c r="E297" s="51" t="s">
        <v>232</v>
      </c>
      <c r="F297" s="29">
        <v>160</v>
      </c>
      <c r="G297" s="144" t="s">
        <v>1783</v>
      </c>
      <c r="H297" s="29">
        <v>1</v>
      </c>
      <c r="I297" s="31" t="s">
        <v>290</v>
      </c>
    </row>
    <row r="298" spans="1:9" s="26" customFormat="1" ht="21.6" customHeight="1">
      <c r="A298" s="27">
        <v>372</v>
      </c>
      <c r="B298" s="132" t="s">
        <v>43</v>
      </c>
      <c r="C298" s="132" t="s">
        <v>235</v>
      </c>
      <c r="D298" s="50" t="s">
        <v>1378</v>
      </c>
      <c r="E298" s="51" t="s">
        <v>236</v>
      </c>
      <c r="F298" s="29">
        <v>160</v>
      </c>
      <c r="G298" s="144" t="s">
        <v>237</v>
      </c>
      <c r="H298" s="29">
        <v>1</v>
      </c>
      <c r="I298" s="31" t="s">
        <v>290</v>
      </c>
    </row>
    <row r="299" spans="1:9" s="26" customFormat="1" ht="21.6" customHeight="1">
      <c r="A299" s="27">
        <v>373</v>
      </c>
      <c r="B299" s="132" t="s">
        <v>43</v>
      </c>
      <c r="C299" s="132" t="s">
        <v>238</v>
      </c>
      <c r="D299" s="50" t="s">
        <v>1379</v>
      </c>
      <c r="E299" s="51" t="s">
        <v>239</v>
      </c>
      <c r="F299" s="29">
        <v>160</v>
      </c>
      <c r="G299" s="144" t="s">
        <v>289</v>
      </c>
      <c r="H299" s="29">
        <v>1</v>
      </c>
      <c r="I299" s="31" t="s">
        <v>290</v>
      </c>
    </row>
    <row r="300" spans="1:9" s="26" customFormat="1" ht="21.6" customHeight="1">
      <c r="A300" s="27">
        <v>374</v>
      </c>
      <c r="B300" s="132" t="s">
        <v>43</v>
      </c>
      <c r="C300" s="132" t="s">
        <v>291</v>
      </c>
      <c r="D300" s="34" t="s">
        <v>1397</v>
      </c>
      <c r="E300" s="53" t="s">
        <v>292</v>
      </c>
      <c r="F300" s="29">
        <v>120</v>
      </c>
      <c r="G300" s="144" t="s">
        <v>122</v>
      </c>
      <c r="H300" s="40" t="s">
        <v>123</v>
      </c>
      <c r="I300" s="31"/>
    </row>
    <row r="301" spans="1:9" s="26" customFormat="1" ht="21.6" customHeight="1">
      <c r="A301" s="27">
        <v>375</v>
      </c>
      <c r="B301" s="132" t="s">
        <v>43</v>
      </c>
      <c r="C301" s="138" t="s">
        <v>293</v>
      </c>
      <c r="D301" s="54" t="s">
        <v>1398</v>
      </c>
      <c r="E301" s="3" t="s">
        <v>294</v>
      </c>
      <c r="F301" s="29">
        <v>240</v>
      </c>
      <c r="G301" s="145" t="s">
        <v>244</v>
      </c>
      <c r="H301" s="40" t="s">
        <v>123</v>
      </c>
      <c r="I301" s="31"/>
    </row>
    <row r="302" spans="1:9" s="26" customFormat="1" ht="21.6" customHeight="1">
      <c r="A302" s="27">
        <v>376</v>
      </c>
      <c r="B302" s="132" t="s">
        <v>43</v>
      </c>
      <c r="C302" s="132" t="s">
        <v>295</v>
      </c>
      <c r="D302" s="39" t="s">
        <v>1399</v>
      </c>
      <c r="E302" s="3" t="s">
        <v>296</v>
      </c>
      <c r="F302" s="29">
        <v>80</v>
      </c>
      <c r="G302" s="144" t="s">
        <v>247</v>
      </c>
      <c r="H302" s="40" t="s">
        <v>123</v>
      </c>
      <c r="I302" s="31" t="s">
        <v>297</v>
      </c>
    </row>
    <row r="303" spans="1:9" s="26" customFormat="1" ht="21.6" customHeight="1">
      <c r="A303" s="27">
        <v>377</v>
      </c>
      <c r="B303" s="132" t="s">
        <v>43</v>
      </c>
      <c r="C303" s="132" t="s">
        <v>298</v>
      </c>
      <c r="D303" s="39" t="s">
        <v>1400</v>
      </c>
      <c r="E303" s="3" t="s">
        <v>299</v>
      </c>
      <c r="F303" s="29">
        <v>120</v>
      </c>
      <c r="G303" s="144" t="s">
        <v>300</v>
      </c>
      <c r="H303" s="40" t="s">
        <v>123</v>
      </c>
      <c r="I303" s="31" t="s">
        <v>279</v>
      </c>
    </row>
    <row r="304" spans="1:9" s="26" customFormat="1" ht="21.6" customHeight="1">
      <c r="A304" s="27">
        <v>378</v>
      </c>
      <c r="B304" s="132" t="s">
        <v>43</v>
      </c>
      <c r="C304" s="132" t="s">
        <v>301</v>
      </c>
      <c r="D304" s="39" t="s">
        <v>1401</v>
      </c>
      <c r="E304" s="3" t="s">
        <v>302</v>
      </c>
      <c r="F304" s="29">
        <v>120</v>
      </c>
      <c r="G304" s="144" t="s">
        <v>303</v>
      </c>
      <c r="H304" s="40" t="s">
        <v>123</v>
      </c>
      <c r="I304" s="31" t="s">
        <v>283</v>
      </c>
    </row>
    <row r="305" spans="1:9" s="26" customFormat="1" ht="21.6" customHeight="1">
      <c r="A305" s="27">
        <v>379</v>
      </c>
      <c r="B305" s="132" t="s">
        <v>43</v>
      </c>
      <c r="C305" s="132" t="s">
        <v>251</v>
      </c>
      <c r="D305" s="39" t="s">
        <v>1384</v>
      </c>
      <c r="E305" s="3" t="s">
        <v>252</v>
      </c>
      <c r="F305" s="29">
        <v>160</v>
      </c>
      <c r="G305" s="144" t="s">
        <v>304</v>
      </c>
      <c r="H305" s="40" t="s">
        <v>123</v>
      </c>
      <c r="I305" s="31" t="s">
        <v>290</v>
      </c>
    </row>
    <row r="306" spans="1:9" s="26" customFormat="1" ht="21.6" customHeight="1">
      <c r="A306" s="27">
        <v>380</v>
      </c>
      <c r="B306" s="132" t="s">
        <v>43</v>
      </c>
      <c r="C306" s="132" t="s">
        <v>305</v>
      </c>
      <c r="D306" s="39" t="s">
        <v>1402</v>
      </c>
      <c r="E306" s="3" t="s">
        <v>306</v>
      </c>
      <c r="F306" s="29" t="s">
        <v>123</v>
      </c>
      <c r="G306" s="146" t="s">
        <v>129</v>
      </c>
      <c r="H306" s="40" t="s">
        <v>123</v>
      </c>
      <c r="I306" s="31" t="s">
        <v>362</v>
      </c>
    </row>
    <row r="307" spans="1:9" s="26" customFormat="1" ht="21.6" customHeight="1">
      <c r="A307" s="27">
        <v>381</v>
      </c>
      <c r="B307" s="132" t="s">
        <v>43</v>
      </c>
      <c r="C307" s="132" t="s">
        <v>308</v>
      </c>
      <c r="D307" s="39" t="s">
        <v>1403</v>
      </c>
      <c r="E307" s="3" t="s">
        <v>309</v>
      </c>
      <c r="F307" s="29" t="s">
        <v>123</v>
      </c>
      <c r="G307" s="146" t="s">
        <v>129</v>
      </c>
      <c r="H307" s="40" t="s">
        <v>123</v>
      </c>
      <c r="I307" s="31" t="s">
        <v>363</v>
      </c>
    </row>
    <row r="308" spans="1:9" s="26" customFormat="1" ht="21.6" customHeight="1">
      <c r="A308" s="41">
        <v>383</v>
      </c>
      <c r="B308" s="133" t="s">
        <v>43</v>
      </c>
      <c r="C308" s="139" t="s">
        <v>311</v>
      </c>
      <c r="D308" s="52" t="s">
        <v>1404</v>
      </c>
      <c r="E308" s="3" t="s">
        <v>312</v>
      </c>
      <c r="F308" s="42" t="s">
        <v>123</v>
      </c>
      <c r="G308" s="147" t="s">
        <v>313</v>
      </c>
      <c r="H308" s="44" t="s">
        <v>123</v>
      </c>
      <c r="I308" s="45"/>
    </row>
    <row r="309" spans="1:9" s="26" customFormat="1" ht="21.6" customHeight="1">
      <c r="A309" s="20">
        <v>384</v>
      </c>
      <c r="B309" s="131" t="s">
        <v>45</v>
      </c>
      <c r="C309" s="131" t="s">
        <v>314</v>
      </c>
      <c r="D309" s="21" t="s">
        <v>1405</v>
      </c>
      <c r="E309" s="22" t="s">
        <v>315</v>
      </c>
      <c r="F309" s="23">
        <v>120</v>
      </c>
      <c r="G309" s="143" t="s">
        <v>193</v>
      </c>
      <c r="H309" s="24">
        <v>1</v>
      </c>
      <c r="I309" s="25" t="s">
        <v>194</v>
      </c>
    </row>
    <row r="310" spans="1:9" s="26" customFormat="1" ht="21.6" customHeight="1">
      <c r="A310" s="27">
        <v>385</v>
      </c>
      <c r="B310" s="132" t="s">
        <v>45</v>
      </c>
      <c r="C310" s="132" t="s">
        <v>316</v>
      </c>
      <c r="D310" s="28" t="s">
        <v>1406</v>
      </c>
      <c r="E310" s="3" t="s">
        <v>317</v>
      </c>
      <c r="F310" s="29">
        <v>120</v>
      </c>
      <c r="G310" s="144" t="s">
        <v>75</v>
      </c>
      <c r="H310" s="29">
        <v>1</v>
      </c>
      <c r="I310" s="31"/>
    </row>
    <row r="311" spans="1:9" s="26" customFormat="1" ht="21.6" customHeight="1">
      <c r="A311" s="27">
        <v>386</v>
      </c>
      <c r="B311" s="132" t="s">
        <v>45</v>
      </c>
      <c r="C311" s="132" t="s">
        <v>76</v>
      </c>
      <c r="D311" s="32" t="s">
        <v>1326</v>
      </c>
      <c r="E311" s="33" t="s">
        <v>77</v>
      </c>
      <c r="F311" s="29">
        <v>120</v>
      </c>
      <c r="G311" s="144" t="s">
        <v>78</v>
      </c>
      <c r="H311" s="29">
        <v>1</v>
      </c>
      <c r="I311" s="31"/>
    </row>
    <row r="312" spans="1:9" s="26" customFormat="1" ht="21.6" customHeight="1">
      <c r="A312" s="27">
        <v>387</v>
      </c>
      <c r="B312" s="132" t="s">
        <v>45</v>
      </c>
      <c r="C312" s="132" t="s">
        <v>259</v>
      </c>
      <c r="D312" s="52" t="s">
        <v>1387</v>
      </c>
      <c r="E312" s="3" t="s">
        <v>260</v>
      </c>
      <c r="F312" s="29">
        <v>240</v>
      </c>
      <c r="G312" s="145" t="s">
        <v>1775</v>
      </c>
      <c r="H312" s="29">
        <v>1</v>
      </c>
      <c r="I312" s="31"/>
    </row>
    <row r="313" spans="1:9" s="26" customFormat="1" ht="21.6" customHeight="1">
      <c r="A313" s="27">
        <v>388</v>
      </c>
      <c r="B313" s="132" t="s">
        <v>45</v>
      </c>
      <c r="C313" s="132" t="s">
        <v>261</v>
      </c>
      <c r="D313" s="32" t="s">
        <v>1388</v>
      </c>
      <c r="E313" s="33" t="s">
        <v>262</v>
      </c>
      <c r="F313" s="29">
        <v>240</v>
      </c>
      <c r="G313" s="144" t="s">
        <v>87</v>
      </c>
      <c r="H313" s="29">
        <v>1</v>
      </c>
      <c r="I313" s="31"/>
    </row>
    <row r="314" spans="1:9" s="26" customFormat="1" ht="21.6" customHeight="1">
      <c r="A314" s="27">
        <v>389</v>
      </c>
      <c r="B314" s="132" t="s">
        <v>45</v>
      </c>
      <c r="C314" s="132" t="s">
        <v>201</v>
      </c>
      <c r="D314" s="28" t="s">
        <v>1365</v>
      </c>
      <c r="E314" s="3" t="s">
        <v>202</v>
      </c>
      <c r="F314" s="29">
        <v>120</v>
      </c>
      <c r="G314" s="144" t="s">
        <v>81</v>
      </c>
      <c r="H314" s="29">
        <v>1</v>
      </c>
      <c r="I314" s="31"/>
    </row>
    <row r="315" spans="1:9" s="26" customFormat="1" ht="21.6" customHeight="1">
      <c r="A315" s="27">
        <v>390</v>
      </c>
      <c r="B315" s="132" t="s">
        <v>45</v>
      </c>
      <c r="C315" s="132" t="s">
        <v>93</v>
      </c>
      <c r="D315" s="28" t="s">
        <v>1332</v>
      </c>
      <c r="E315" s="3" t="s">
        <v>94</v>
      </c>
      <c r="F315" s="29">
        <v>120</v>
      </c>
      <c r="G315" s="144" t="s">
        <v>95</v>
      </c>
      <c r="H315" s="29">
        <v>3</v>
      </c>
      <c r="I315" s="31"/>
    </row>
    <row r="316" spans="1:9" s="26" customFormat="1" ht="21.6" customHeight="1">
      <c r="A316" s="27">
        <v>391</v>
      </c>
      <c r="B316" s="132" t="s">
        <v>45</v>
      </c>
      <c r="C316" s="132" t="s">
        <v>203</v>
      </c>
      <c r="D316" s="28" t="s">
        <v>1366</v>
      </c>
      <c r="E316" s="3" t="s">
        <v>204</v>
      </c>
      <c r="F316" s="29">
        <v>120</v>
      </c>
      <c r="G316" s="144" t="s">
        <v>98</v>
      </c>
      <c r="H316" s="29">
        <v>1</v>
      </c>
      <c r="I316" s="31"/>
    </row>
    <row r="317" spans="1:9" s="26" customFormat="1" ht="21.6" customHeight="1">
      <c r="A317" s="27">
        <v>392</v>
      </c>
      <c r="B317" s="132" t="s">
        <v>45</v>
      </c>
      <c r="C317" s="132" t="s">
        <v>205</v>
      </c>
      <c r="D317" s="28" t="s">
        <v>1367</v>
      </c>
      <c r="E317" s="3" t="s">
        <v>206</v>
      </c>
      <c r="F317" s="29">
        <v>120</v>
      </c>
      <c r="G317" s="144" t="s">
        <v>107</v>
      </c>
      <c r="H317" s="29">
        <v>1</v>
      </c>
      <c r="I317" s="31"/>
    </row>
    <row r="318" spans="1:9" s="26" customFormat="1" ht="21.6" customHeight="1">
      <c r="A318" s="27">
        <v>393</v>
      </c>
      <c r="B318" s="132" t="s">
        <v>45</v>
      </c>
      <c r="C318" s="132" t="s">
        <v>207</v>
      </c>
      <c r="D318" s="28" t="s">
        <v>1368</v>
      </c>
      <c r="E318" s="3" t="s">
        <v>208</v>
      </c>
      <c r="F318" s="29">
        <v>100</v>
      </c>
      <c r="G318" s="145" t="s">
        <v>104</v>
      </c>
      <c r="H318" s="29">
        <v>1</v>
      </c>
      <c r="I318" s="31"/>
    </row>
    <row r="319" spans="1:9" s="26" customFormat="1" ht="21.6" customHeight="1">
      <c r="A319" s="27">
        <v>394</v>
      </c>
      <c r="B319" s="132" t="s">
        <v>45</v>
      </c>
      <c r="C319" s="132" t="s">
        <v>88</v>
      </c>
      <c r="D319" s="47" t="s">
        <v>1330</v>
      </c>
      <c r="E319" s="48" t="s">
        <v>89</v>
      </c>
      <c r="F319" s="29">
        <v>240</v>
      </c>
      <c r="G319" s="144" t="s">
        <v>90</v>
      </c>
      <c r="H319" s="29">
        <v>5</v>
      </c>
      <c r="I319" s="31"/>
    </row>
    <row r="320" spans="1:9" s="26" customFormat="1" ht="21.6" customHeight="1">
      <c r="A320" s="27">
        <v>395</v>
      </c>
      <c r="B320" s="132" t="s">
        <v>45</v>
      </c>
      <c r="C320" s="132" t="s">
        <v>211</v>
      </c>
      <c r="D320" s="28" t="s">
        <v>1370</v>
      </c>
      <c r="E320" s="3" t="s">
        <v>212</v>
      </c>
      <c r="F320" s="29">
        <v>240</v>
      </c>
      <c r="G320" s="144" t="s">
        <v>263</v>
      </c>
      <c r="H320" s="29">
        <v>1</v>
      </c>
      <c r="I320" s="31"/>
    </row>
    <row r="321" spans="1:9" s="26" customFormat="1" ht="21.6" customHeight="1">
      <c r="A321" s="27">
        <v>396</v>
      </c>
      <c r="B321" s="132" t="s">
        <v>45</v>
      </c>
      <c r="C321" s="132" t="s">
        <v>264</v>
      </c>
      <c r="D321" s="50" t="s">
        <v>1389</v>
      </c>
      <c r="E321" s="51" t="s">
        <v>265</v>
      </c>
      <c r="F321" s="29">
        <v>80</v>
      </c>
      <c r="G321" s="144" t="s">
        <v>1780</v>
      </c>
      <c r="H321" s="29">
        <v>1</v>
      </c>
      <c r="I321" s="31" t="s">
        <v>318</v>
      </c>
    </row>
    <row r="322" spans="1:9" s="26" customFormat="1" ht="21.6" customHeight="1">
      <c r="A322" s="27">
        <v>397</v>
      </c>
      <c r="B322" s="132" t="s">
        <v>45</v>
      </c>
      <c r="C322" s="132" t="s">
        <v>268</v>
      </c>
      <c r="D322" s="50" t="s">
        <v>1390</v>
      </c>
      <c r="E322" s="51" t="s">
        <v>269</v>
      </c>
      <c r="F322" s="29">
        <v>80</v>
      </c>
      <c r="G322" s="144" t="s">
        <v>270</v>
      </c>
      <c r="H322" s="29">
        <v>1</v>
      </c>
      <c r="I322" s="31" t="s">
        <v>319</v>
      </c>
    </row>
    <row r="323" spans="1:9" s="26" customFormat="1" ht="21.6" customHeight="1">
      <c r="A323" s="27">
        <v>398</v>
      </c>
      <c r="B323" s="132" t="s">
        <v>45</v>
      </c>
      <c r="C323" s="132" t="s">
        <v>271</v>
      </c>
      <c r="D323" s="50" t="s">
        <v>1391</v>
      </c>
      <c r="E323" s="51" t="s">
        <v>272</v>
      </c>
      <c r="F323" s="29">
        <v>80</v>
      </c>
      <c r="G323" s="144" t="s">
        <v>266</v>
      </c>
      <c r="H323" s="29">
        <v>1</v>
      </c>
      <c r="I323" s="31" t="s">
        <v>319</v>
      </c>
    </row>
    <row r="324" spans="1:9" s="26" customFormat="1" ht="21.6" customHeight="1">
      <c r="A324" s="27">
        <v>399</v>
      </c>
      <c r="B324" s="132" t="s">
        <v>45</v>
      </c>
      <c r="C324" s="132" t="s">
        <v>273</v>
      </c>
      <c r="D324" s="39" t="s">
        <v>1392</v>
      </c>
      <c r="E324" s="3" t="s">
        <v>274</v>
      </c>
      <c r="F324" s="29">
        <v>80</v>
      </c>
      <c r="G324" s="144" t="s">
        <v>275</v>
      </c>
      <c r="H324" s="29">
        <v>1</v>
      </c>
      <c r="I324" s="31" t="s">
        <v>116</v>
      </c>
    </row>
    <row r="325" spans="1:9" s="26" customFormat="1" ht="21.6" customHeight="1">
      <c r="A325" s="27">
        <v>400</v>
      </c>
      <c r="B325" s="132" t="s">
        <v>45</v>
      </c>
      <c r="C325" s="132" t="s">
        <v>276</v>
      </c>
      <c r="D325" s="39" t="s">
        <v>1393</v>
      </c>
      <c r="E325" s="3" t="s">
        <v>277</v>
      </c>
      <c r="F325" s="29">
        <v>80</v>
      </c>
      <c r="G325" s="144" t="s">
        <v>224</v>
      </c>
      <c r="H325" s="29">
        <v>1</v>
      </c>
      <c r="I325" s="31" t="s">
        <v>116</v>
      </c>
    </row>
    <row r="326" spans="1:9" s="26" customFormat="1" ht="21.6" customHeight="1">
      <c r="A326" s="27">
        <v>401</v>
      </c>
      <c r="B326" s="132" t="s">
        <v>45</v>
      </c>
      <c r="C326" s="132" t="s">
        <v>225</v>
      </c>
      <c r="D326" s="39" t="s">
        <v>1375</v>
      </c>
      <c r="E326" s="3" t="s">
        <v>226</v>
      </c>
      <c r="F326" s="29">
        <v>120</v>
      </c>
      <c r="G326" s="144" t="s">
        <v>320</v>
      </c>
      <c r="H326" s="29">
        <v>2</v>
      </c>
      <c r="I326" s="31" t="s">
        <v>321</v>
      </c>
    </row>
    <row r="327" spans="1:9" s="26" customFormat="1" ht="21.6" customHeight="1">
      <c r="A327" s="27">
        <v>402</v>
      </c>
      <c r="B327" s="132" t="s">
        <v>45</v>
      </c>
      <c r="C327" s="132" t="s">
        <v>229</v>
      </c>
      <c r="D327" s="39" t="s">
        <v>1376</v>
      </c>
      <c r="E327" s="51" t="s">
        <v>230</v>
      </c>
      <c r="F327" s="29">
        <v>120</v>
      </c>
      <c r="G327" s="144" t="s">
        <v>278</v>
      </c>
      <c r="H327" s="29">
        <v>1</v>
      </c>
      <c r="I327" s="31" t="s">
        <v>364</v>
      </c>
    </row>
    <row r="328" spans="1:9" s="26" customFormat="1" ht="21.6" customHeight="1">
      <c r="A328" s="27">
        <v>403</v>
      </c>
      <c r="B328" s="132" t="s">
        <v>45</v>
      </c>
      <c r="C328" s="132" t="s">
        <v>323</v>
      </c>
      <c r="D328" s="39" t="s">
        <v>1407</v>
      </c>
      <c r="E328" s="51" t="s">
        <v>324</v>
      </c>
      <c r="F328" s="29">
        <v>120</v>
      </c>
      <c r="G328" s="144" t="s">
        <v>1782</v>
      </c>
      <c r="H328" s="29">
        <v>1</v>
      </c>
      <c r="I328" s="31" t="s">
        <v>325</v>
      </c>
    </row>
    <row r="329" spans="1:9" s="26" customFormat="1" ht="21.6" customHeight="1">
      <c r="A329" s="27">
        <v>404</v>
      </c>
      <c r="B329" s="132" t="s">
        <v>45</v>
      </c>
      <c r="C329" s="132" t="s">
        <v>284</v>
      </c>
      <c r="D329" s="50" t="s">
        <v>1395</v>
      </c>
      <c r="E329" s="51" t="s">
        <v>226</v>
      </c>
      <c r="F329" s="29">
        <v>120</v>
      </c>
      <c r="G329" s="144" t="s">
        <v>285</v>
      </c>
      <c r="H329" s="29">
        <v>1</v>
      </c>
      <c r="I329" s="31" t="s">
        <v>325</v>
      </c>
    </row>
    <row r="330" spans="1:9" s="26" customFormat="1" ht="21.6" customHeight="1">
      <c r="A330" s="27">
        <v>405</v>
      </c>
      <c r="B330" s="132" t="s">
        <v>45</v>
      </c>
      <c r="C330" s="132" t="s">
        <v>287</v>
      </c>
      <c r="D330" s="50" t="s">
        <v>1396</v>
      </c>
      <c r="E330" s="51" t="s">
        <v>288</v>
      </c>
      <c r="F330" s="29">
        <v>120</v>
      </c>
      <c r="G330" s="144" t="s">
        <v>282</v>
      </c>
      <c r="H330" s="29">
        <v>1</v>
      </c>
      <c r="I330" s="31" t="s">
        <v>325</v>
      </c>
    </row>
    <row r="331" spans="1:9" s="26" customFormat="1" ht="21.6" customHeight="1">
      <c r="A331" s="27">
        <v>406</v>
      </c>
      <c r="B331" s="132" t="s">
        <v>45</v>
      </c>
      <c r="C331" s="132" t="s">
        <v>326</v>
      </c>
      <c r="D331" s="39" t="s">
        <v>1408</v>
      </c>
      <c r="E331" s="51" t="s">
        <v>327</v>
      </c>
      <c r="F331" s="29">
        <v>320</v>
      </c>
      <c r="G331" s="144" t="s">
        <v>237</v>
      </c>
      <c r="H331" s="29">
        <v>2</v>
      </c>
      <c r="I331" s="31" t="s">
        <v>331</v>
      </c>
    </row>
    <row r="332" spans="1:9" s="26" customFormat="1" ht="21.6" customHeight="1">
      <c r="A332" s="27">
        <v>407</v>
      </c>
      <c r="B332" s="132" t="s">
        <v>45</v>
      </c>
      <c r="C332" s="132" t="s">
        <v>329</v>
      </c>
      <c r="D332" s="50" t="s">
        <v>1409</v>
      </c>
      <c r="E332" s="51" t="s">
        <v>330</v>
      </c>
      <c r="F332" s="29">
        <v>320</v>
      </c>
      <c r="G332" s="144" t="s">
        <v>289</v>
      </c>
      <c r="H332" s="29">
        <v>1</v>
      </c>
      <c r="I332" s="31" t="s">
        <v>331</v>
      </c>
    </row>
    <row r="333" spans="1:9" ht="21.6" customHeight="1">
      <c r="A333" s="27">
        <v>408</v>
      </c>
      <c r="B333" s="132" t="s">
        <v>45</v>
      </c>
      <c r="C333" s="132" t="s">
        <v>332</v>
      </c>
      <c r="D333" s="34" t="s">
        <v>1410</v>
      </c>
      <c r="E333" s="35" t="s">
        <v>333</v>
      </c>
      <c r="F333" s="40">
        <v>500</v>
      </c>
      <c r="G333" s="144" t="s">
        <v>1784</v>
      </c>
      <c r="H333" s="40">
        <v>2</v>
      </c>
      <c r="I333" s="55" t="s">
        <v>334</v>
      </c>
    </row>
    <row r="334" spans="1:9" ht="21.6" customHeight="1">
      <c r="A334" s="27">
        <v>409</v>
      </c>
      <c r="B334" s="132" t="s">
        <v>45</v>
      </c>
      <c r="C334" s="132" t="s">
        <v>335</v>
      </c>
      <c r="D334" s="34" t="s">
        <v>1411</v>
      </c>
      <c r="E334" s="35" t="s">
        <v>336</v>
      </c>
      <c r="F334" s="40">
        <v>500</v>
      </c>
      <c r="G334" s="144" t="s">
        <v>337</v>
      </c>
      <c r="H334" s="40">
        <v>1</v>
      </c>
      <c r="I334" s="55" t="s">
        <v>338</v>
      </c>
    </row>
    <row r="335" spans="1:9" ht="21.6" customHeight="1">
      <c r="A335" s="27">
        <v>410</v>
      </c>
      <c r="B335" s="132" t="s">
        <v>45</v>
      </c>
      <c r="C335" s="132" t="s">
        <v>339</v>
      </c>
      <c r="D335" s="34" t="s">
        <v>1412</v>
      </c>
      <c r="E335" s="35" t="s">
        <v>340</v>
      </c>
      <c r="F335" s="40">
        <v>500</v>
      </c>
      <c r="G335" s="145" t="s">
        <v>341</v>
      </c>
      <c r="H335" s="40">
        <v>1</v>
      </c>
      <c r="I335" s="55" t="s">
        <v>338</v>
      </c>
    </row>
    <row r="336" spans="1:9" s="26" customFormat="1" ht="21.6" customHeight="1">
      <c r="A336" s="27">
        <v>411</v>
      </c>
      <c r="B336" s="132" t="s">
        <v>45</v>
      </c>
      <c r="C336" s="132" t="s">
        <v>342</v>
      </c>
      <c r="D336" s="34" t="s">
        <v>1413</v>
      </c>
      <c r="E336" s="53" t="s">
        <v>343</v>
      </c>
      <c r="F336" s="29">
        <v>120</v>
      </c>
      <c r="G336" s="144" t="s">
        <v>122</v>
      </c>
      <c r="H336" s="40" t="s">
        <v>123</v>
      </c>
      <c r="I336" s="31"/>
    </row>
    <row r="337" spans="1:9" s="26" customFormat="1" ht="21.6" customHeight="1">
      <c r="A337" s="27">
        <v>412</v>
      </c>
      <c r="B337" s="132" t="s">
        <v>45</v>
      </c>
      <c r="C337" s="138" t="s">
        <v>293</v>
      </c>
      <c r="D337" s="54" t="s">
        <v>1398</v>
      </c>
      <c r="E337" s="3" t="s">
        <v>294</v>
      </c>
      <c r="F337" s="29">
        <v>240</v>
      </c>
      <c r="G337" s="145" t="s">
        <v>244</v>
      </c>
      <c r="H337" s="40" t="s">
        <v>123</v>
      </c>
      <c r="I337" s="31"/>
    </row>
    <row r="338" spans="1:9" s="26" customFormat="1" ht="21.6" customHeight="1">
      <c r="A338" s="27">
        <v>413</v>
      </c>
      <c r="B338" s="132" t="s">
        <v>45</v>
      </c>
      <c r="C338" s="132" t="s">
        <v>295</v>
      </c>
      <c r="D338" s="39" t="s">
        <v>1399</v>
      </c>
      <c r="E338" s="3" t="s">
        <v>296</v>
      </c>
      <c r="F338" s="29">
        <v>80</v>
      </c>
      <c r="G338" s="144" t="s">
        <v>247</v>
      </c>
      <c r="H338" s="40" t="s">
        <v>123</v>
      </c>
      <c r="I338" s="31" t="s">
        <v>344</v>
      </c>
    </row>
    <row r="339" spans="1:9" s="26" customFormat="1" ht="21.6" customHeight="1">
      <c r="A339" s="27">
        <v>414</v>
      </c>
      <c r="B339" s="132" t="s">
        <v>45</v>
      </c>
      <c r="C339" s="132" t="s">
        <v>298</v>
      </c>
      <c r="D339" s="39" t="s">
        <v>1400</v>
      </c>
      <c r="E339" s="3" t="s">
        <v>299</v>
      </c>
      <c r="F339" s="29">
        <v>120</v>
      </c>
      <c r="G339" s="144" t="s">
        <v>300</v>
      </c>
      <c r="H339" s="40" t="s">
        <v>123</v>
      </c>
      <c r="I339" s="31" t="s">
        <v>321</v>
      </c>
    </row>
    <row r="340" spans="1:9" s="26" customFormat="1" ht="21.6" customHeight="1">
      <c r="A340" s="27">
        <v>415</v>
      </c>
      <c r="B340" s="132" t="s">
        <v>45</v>
      </c>
      <c r="C340" s="132" t="s">
        <v>345</v>
      </c>
      <c r="D340" s="39" t="s">
        <v>1414</v>
      </c>
      <c r="E340" s="3" t="s">
        <v>346</v>
      </c>
      <c r="F340" s="29">
        <v>120</v>
      </c>
      <c r="G340" s="144" t="s">
        <v>303</v>
      </c>
      <c r="H340" s="40" t="s">
        <v>123</v>
      </c>
      <c r="I340" s="31" t="s">
        <v>325</v>
      </c>
    </row>
    <row r="341" spans="1:9" ht="21.6" customHeight="1">
      <c r="A341" s="27">
        <v>417</v>
      </c>
      <c r="B341" s="132" t="s">
        <v>45</v>
      </c>
      <c r="C341" s="132" t="s">
        <v>347</v>
      </c>
      <c r="D341" s="34" t="s">
        <v>1415</v>
      </c>
      <c r="E341" s="35" t="s">
        <v>348</v>
      </c>
      <c r="F341" s="40">
        <v>500</v>
      </c>
      <c r="G341" s="144" t="s">
        <v>349</v>
      </c>
      <c r="H341" s="40" t="s">
        <v>123</v>
      </c>
      <c r="I341" s="55" t="s">
        <v>334</v>
      </c>
    </row>
    <row r="342" spans="1:9" s="26" customFormat="1" ht="21.6" customHeight="1">
      <c r="A342" s="27">
        <v>418</v>
      </c>
      <c r="B342" s="132" t="s">
        <v>45</v>
      </c>
      <c r="C342" s="132" t="s">
        <v>350</v>
      </c>
      <c r="D342" s="39" t="s">
        <v>1416</v>
      </c>
      <c r="E342" s="3" t="s">
        <v>351</v>
      </c>
      <c r="F342" s="29" t="s">
        <v>123</v>
      </c>
      <c r="G342" s="146" t="s">
        <v>129</v>
      </c>
      <c r="H342" s="40" t="s">
        <v>123</v>
      </c>
      <c r="I342" s="31"/>
    </row>
    <row r="343" spans="1:9" s="26" customFormat="1" ht="21.6" customHeight="1">
      <c r="A343" s="41">
        <v>420</v>
      </c>
      <c r="B343" s="133" t="s">
        <v>45</v>
      </c>
      <c r="C343" s="139" t="s">
        <v>352</v>
      </c>
      <c r="D343" s="52" t="s">
        <v>1417</v>
      </c>
      <c r="E343" s="3" t="s">
        <v>353</v>
      </c>
      <c r="F343" s="42" t="s">
        <v>123</v>
      </c>
      <c r="G343" s="147" t="s">
        <v>313</v>
      </c>
      <c r="H343" s="44" t="s">
        <v>123</v>
      </c>
      <c r="I343" s="45"/>
    </row>
    <row r="344" spans="1:9" s="26" customFormat="1" ht="21.6" customHeight="1">
      <c r="A344" s="20">
        <v>421</v>
      </c>
      <c r="B344" s="128">
        <v>357</v>
      </c>
      <c r="C344" s="128" t="s">
        <v>191</v>
      </c>
      <c r="D344" s="21" t="s">
        <v>1361</v>
      </c>
      <c r="E344" s="22" t="s">
        <v>192</v>
      </c>
      <c r="F344" s="23">
        <v>125</v>
      </c>
      <c r="G344" s="143" t="s">
        <v>193</v>
      </c>
      <c r="H344" s="24">
        <v>1</v>
      </c>
      <c r="I344" s="25" t="s">
        <v>194</v>
      </c>
    </row>
    <row r="345" spans="1:9" s="26" customFormat="1" ht="21.6" customHeight="1">
      <c r="A345" s="27">
        <v>422</v>
      </c>
      <c r="B345" s="39">
        <v>357</v>
      </c>
      <c r="C345" s="39" t="s">
        <v>195</v>
      </c>
      <c r="D345" s="28" t="s">
        <v>1362</v>
      </c>
      <c r="E345" s="3" t="s">
        <v>196</v>
      </c>
      <c r="F345" s="29">
        <v>125</v>
      </c>
      <c r="G345" s="144" t="s">
        <v>75</v>
      </c>
      <c r="H345" s="29">
        <v>1</v>
      </c>
      <c r="I345" s="31"/>
    </row>
    <row r="346" spans="1:9" s="26" customFormat="1" ht="21.6" customHeight="1">
      <c r="A346" s="27">
        <v>423</v>
      </c>
      <c r="B346" s="39">
        <v>357</v>
      </c>
      <c r="C346" s="39" t="s">
        <v>76</v>
      </c>
      <c r="D346" s="32" t="s">
        <v>1326</v>
      </c>
      <c r="E346" s="33" t="s">
        <v>77</v>
      </c>
      <c r="F346" s="29">
        <v>125</v>
      </c>
      <c r="G346" s="144" t="s">
        <v>78</v>
      </c>
      <c r="H346" s="29">
        <v>1</v>
      </c>
      <c r="I346" s="31"/>
    </row>
    <row r="347" spans="1:9" s="26" customFormat="1" ht="21.6" customHeight="1">
      <c r="A347" s="27">
        <v>424</v>
      </c>
      <c r="B347" s="39">
        <v>357</v>
      </c>
      <c r="C347" s="39" t="s">
        <v>197</v>
      </c>
      <c r="D347" s="34" t="s">
        <v>1363</v>
      </c>
      <c r="E347" s="3" t="s">
        <v>198</v>
      </c>
      <c r="F347" s="29">
        <v>250</v>
      </c>
      <c r="G347" s="145" t="s">
        <v>1775</v>
      </c>
      <c r="H347" s="29">
        <v>1</v>
      </c>
      <c r="I347" s="31"/>
    </row>
    <row r="348" spans="1:9" s="26" customFormat="1" ht="21.6" customHeight="1">
      <c r="A348" s="27">
        <v>425</v>
      </c>
      <c r="B348" s="39">
        <v>357</v>
      </c>
      <c r="C348" s="39" t="s">
        <v>365</v>
      </c>
      <c r="D348" s="32" t="s">
        <v>1418</v>
      </c>
      <c r="E348" s="33" t="s">
        <v>366</v>
      </c>
      <c r="F348" s="29">
        <v>250</v>
      </c>
      <c r="G348" s="144" t="s">
        <v>87</v>
      </c>
      <c r="H348" s="29">
        <v>1</v>
      </c>
      <c r="I348" s="31"/>
    </row>
    <row r="349" spans="1:9" s="26" customFormat="1" ht="21.6" customHeight="1">
      <c r="A349" s="27">
        <v>426</v>
      </c>
      <c r="B349" s="39">
        <v>357</v>
      </c>
      <c r="C349" s="39" t="s">
        <v>201</v>
      </c>
      <c r="D349" s="28" t="s">
        <v>1365</v>
      </c>
      <c r="E349" s="3" t="s">
        <v>202</v>
      </c>
      <c r="F349" s="29">
        <v>125</v>
      </c>
      <c r="G349" s="144" t="s">
        <v>81</v>
      </c>
      <c r="H349" s="29">
        <v>1</v>
      </c>
      <c r="I349" s="31"/>
    </row>
    <row r="350" spans="1:9" s="26" customFormat="1" ht="21.6" customHeight="1">
      <c r="A350" s="27">
        <v>427</v>
      </c>
      <c r="B350" s="39">
        <v>357</v>
      </c>
      <c r="C350" s="39" t="s">
        <v>93</v>
      </c>
      <c r="D350" s="28" t="s">
        <v>1332</v>
      </c>
      <c r="E350" s="3" t="s">
        <v>94</v>
      </c>
      <c r="F350" s="29">
        <v>125</v>
      </c>
      <c r="G350" s="144" t="s">
        <v>95</v>
      </c>
      <c r="H350" s="29">
        <v>2</v>
      </c>
      <c r="I350" s="31"/>
    </row>
    <row r="351" spans="1:9" s="26" customFormat="1" ht="21.6" customHeight="1">
      <c r="A351" s="27">
        <v>428</v>
      </c>
      <c r="B351" s="39">
        <v>357</v>
      </c>
      <c r="C351" s="39" t="s">
        <v>203</v>
      </c>
      <c r="D351" s="28" t="s">
        <v>1366</v>
      </c>
      <c r="E351" s="3" t="s">
        <v>204</v>
      </c>
      <c r="F351" s="29">
        <v>125</v>
      </c>
      <c r="G351" s="144" t="s">
        <v>98</v>
      </c>
      <c r="H351" s="29">
        <v>1</v>
      </c>
      <c r="I351" s="31"/>
    </row>
    <row r="352" spans="1:9" s="26" customFormat="1" ht="21.6" customHeight="1">
      <c r="A352" s="27">
        <v>429</v>
      </c>
      <c r="B352" s="39">
        <v>357</v>
      </c>
      <c r="C352" s="39" t="s">
        <v>205</v>
      </c>
      <c r="D352" s="28" t="s">
        <v>1367</v>
      </c>
      <c r="E352" s="3" t="s">
        <v>206</v>
      </c>
      <c r="F352" s="29">
        <v>125</v>
      </c>
      <c r="G352" s="144" t="s">
        <v>107</v>
      </c>
      <c r="H352" s="29">
        <v>1</v>
      </c>
      <c r="I352" s="31"/>
    </row>
    <row r="353" spans="1:9" s="26" customFormat="1" ht="21.6" customHeight="1">
      <c r="A353" s="27">
        <v>430</v>
      </c>
      <c r="B353" s="39">
        <v>357</v>
      </c>
      <c r="C353" s="39" t="s">
        <v>367</v>
      </c>
      <c r="D353" s="28" t="s">
        <v>1419</v>
      </c>
      <c r="E353" s="3" t="s">
        <v>368</v>
      </c>
      <c r="F353" s="29">
        <v>125</v>
      </c>
      <c r="G353" s="145" t="s">
        <v>104</v>
      </c>
      <c r="H353" s="29">
        <v>1</v>
      </c>
      <c r="I353" s="31"/>
    </row>
    <row r="354" spans="1:9" s="26" customFormat="1" ht="21.6" customHeight="1">
      <c r="A354" s="27">
        <v>431</v>
      </c>
      <c r="B354" s="39">
        <v>357</v>
      </c>
      <c r="C354" s="39" t="s">
        <v>209</v>
      </c>
      <c r="D354" s="47" t="s">
        <v>1369</v>
      </c>
      <c r="E354" s="48" t="s">
        <v>210</v>
      </c>
      <c r="F354" s="29">
        <v>125</v>
      </c>
      <c r="G354" s="144" t="s">
        <v>90</v>
      </c>
      <c r="H354" s="29">
        <v>5</v>
      </c>
      <c r="I354" s="31"/>
    </row>
    <row r="355" spans="1:9" s="26" customFormat="1" ht="21.6" customHeight="1">
      <c r="A355" s="27">
        <v>432</v>
      </c>
      <c r="B355" s="39">
        <v>357</v>
      </c>
      <c r="C355" s="39" t="s">
        <v>211</v>
      </c>
      <c r="D355" s="28" t="s">
        <v>1370</v>
      </c>
      <c r="E355" s="3" t="s">
        <v>212</v>
      </c>
      <c r="F355" s="29">
        <v>250</v>
      </c>
      <c r="G355" s="144" t="s">
        <v>101</v>
      </c>
      <c r="H355" s="29">
        <v>1</v>
      </c>
      <c r="I355" s="31"/>
    </row>
    <row r="356" spans="1:9" s="26" customFormat="1" ht="21.6" customHeight="1">
      <c r="A356" s="27">
        <v>433</v>
      </c>
      <c r="B356" s="39">
        <v>357</v>
      </c>
      <c r="C356" s="39" t="s">
        <v>213</v>
      </c>
      <c r="D356" s="50" t="s">
        <v>1371</v>
      </c>
      <c r="E356" s="51" t="s">
        <v>214</v>
      </c>
      <c r="F356" s="29">
        <v>80</v>
      </c>
      <c r="G356" s="144" t="s">
        <v>1777</v>
      </c>
      <c r="H356" s="29">
        <v>1</v>
      </c>
      <c r="I356" s="31" t="s">
        <v>369</v>
      </c>
    </row>
    <row r="357" spans="1:9" s="26" customFormat="1" ht="21.6" customHeight="1">
      <c r="A357" s="27">
        <v>434</v>
      </c>
      <c r="B357" s="39">
        <v>357</v>
      </c>
      <c r="C357" s="39" t="s">
        <v>217</v>
      </c>
      <c r="D357" s="50" t="s">
        <v>1372</v>
      </c>
      <c r="E357" s="51" t="s">
        <v>218</v>
      </c>
      <c r="F357" s="29">
        <v>80</v>
      </c>
      <c r="G357" s="144" t="s">
        <v>219</v>
      </c>
      <c r="H357" s="29">
        <v>1</v>
      </c>
      <c r="I357" s="31" t="s">
        <v>369</v>
      </c>
    </row>
    <row r="358" spans="1:9" s="26" customFormat="1" ht="21.6" customHeight="1">
      <c r="A358" s="27">
        <v>435</v>
      </c>
      <c r="B358" s="39">
        <v>357</v>
      </c>
      <c r="C358" s="39" t="s">
        <v>220</v>
      </c>
      <c r="D358" s="50" t="s">
        <v>1373</v>
      </c>
      <c r="E358" s="51" t="s">
        <v>221</v>
      </c>
      <c r="F358" s="29">
        <v>80</v>
      </c>
      <c r="G358" s="144" t="s">
        <v>215</v>
      </c>
      <c r="H358" s="29">
        <v>1</v>
      </c>
      <c r="I358" s="31" t="s">
        <v>369</v>
      </c>
    </row>
    <row r="359" spans="1:9" s="26" customFormat="1" ht="21.6" customHeight="1">
      <c r="A359" s="27">
        <v>436</v>
      </c>
      <c r="B359" s="39">
        <v>357</v>
      </c>
      <c r="C359" s="39" t="s">
        <v>170</v>
      </c>
      <c r="D359" s="39" t="s">
        <v>1356</v>
      </c>
      <c r="E359" s="3" t="s">
        <v>171</v>
      </c>
      <c r="F359" s="29">
        <v>80</v>
      </c>
      <c r="G359" s="144" t="s">
        <v>115</v>
      </c>
      <c r="H359" s="29">
        <v>1</v>
      </c>
      <c r="I359" s="31" t="s">
        <v>116</v>
      </c>
    </row>
    <row r="360" spans="1:9" s="26" customFormat="1" ht="21.6" customHeight="1">
      <c r="A360" s="27">
        <v>437</v>
      </c>
      <c r="B360" s="39">
        <v>357</v>
      </c>
      <c r="C360" s="39" t="s">
        <v>222</v>
      </c>
      <c r="D360" s="39" t="s">
        <v>1374</v>
      </c>
      <c r="E360" s="3" t="s">
        <v>223</v>
      </c>
      <c r="F360" s="29">
        <v>80</v>
      </c>
      <c r="G360" s="144" t="s">
        <v>224</v>
      </c>
      <c r="H360" s="29">
        <v>1</v>
      </c>
      <c r="I360" s="31" t="s">
        <v>116</v>
      </c>
    </row>
    <row r="361" spans="1:9" s="26" customFormat="1" ht="21.6" customHeight="1">
      <c r="A361" s="27">
        <v>438</v>
      </c>
      <c r="B361" s="39">
        <v>357</v>
      </c>
      <c r="C361" s="39" t="s">
        <v>225</v>
      </c>
      <c r="D361" s="39" t="s">
        <v>1375</v>
      </c>
      <c r="E361" s="3" t="s">
        <v>226</v>
      </c>
      <c r="F361" s="29">
        <v>120</v>
      </c>
      <c r="G361" s="144" t="s">
        <v>1778</v>
      </c>
      <c r="H361" s="29">
        <v>2</v>
      </c>
      <c r="I361" s="31" t="s">
        <v>370</v>
      </c>
    </row>
    <row r="362" spans="1:9" s="26" customFormat="1" ht="21.6" customHeight="1">
      <c r="A362" s="27">
        <v>439</v>
      </c>
      <c r="B362" s="39">
        <v>357</v>
      </c>
      <c r="C362" s="39" t="s">
        <v>229</v>
      </c>
      <c r="D362" s="39" t="s">
        <v>1376</v>
      </c>
      <c r="E362" s="51" t="s">
        <v>230</v>
      </c>
      <c r="F362" s="29">
        <v>120</v>
      </c>
      <c r="G362" s="144" t="s">
        <v>227</v>
      </c>
      <c r="H362" s="29">
        <v>1</v>
      </c>
      <c r="I362" s="31" t="s">
        <v>357</v>
      </c>
    </row>
    <row r="363" spans="1:9" s="26" customFormat="1" ht="21.6" customHeight="1">
      <c r="A363" s="27">
        <v>440</v>
      </c>
      <c r="B363" s="39">
        <v>357</v>
      </c>
      <c r="C363" s="39" t="s">
        <v>231</v>
      </c>
      <c r="D363" s="39" t="s">
        <v>1377</v>
      </c>
      <c r="E363" s="51" t="s">
        <v>232</v>
      </c>
      <c r="F363" s="29">
        <v>160</v>
      </c>
      <c r="G363" s="144" t="s">
        <v>1785</v>
      </c>
      <c r="H363" s="29">
        <v>1</v>
      </c>
      <c r="I363" s="31" t="s">
        <v>234</v>
      </c>
    </row>
    <row r="364" spans="1:9" s="26" customFormat="1" ht="21.6" customHeight="1">
      <c r="A364" s="27">
        <v>441</v>
      </c>
      <c r="B364" s="39">
        <v>357</v>
      </c>
      <c r="C364" s="39" t="s">
        <v>235</v>
      </c>
      <c r="D364" s="50" t="s">
        <v>1378</v>
      </c>
      <c r="E364" s="51" t="s">
        <v>236</v>
      </c>
      <c r="F364" s="29">
        <v>160</v>
      </c>
      <c r="G364" s="144" t="s">
        <v>360</v>
      </c>
      <c r="H364" s="29">
        <v>1</v>
      </c>
      <c r="I364" s="31" t="s">
        <v>234</v>
      </c>
    </row>
    <row r="365" spans="1:9" s="26" customFormat="1" ht="21.6" customHeight="1">
      <c r="A365" s="27">
        <v>442</v>
      </c>
      <c r="B365" s="39">
        <v>357</v>
      </c>
      <c r="C365" s="39" t="s">
        <v>238</v>
      </c>
      <c r="D365" s="50" t="s">
        <v>1379</v>
      </c>
      <c r="E365" s="51" t="s">
        <v>239</v>
      </c>
      <c r="F365" s="29">
        <v>160</v>
      </c>
      <c r="G365" s="144" t="s">
        <v>358</v>
      </c>
      <c r="H365" s="29">
        <v>1</v>
      </c>
      <c r="I365" s="31" t="s">
        <v>234</v>
      </c>
    </row>
    <row r="366" spans="1:9" s="26" customFormat="1" ht="21.6" customHeight="1">
      <c r="A366" s="27">
        <v>443</v>
      </c>
      <c r="B366" s="39">
        <v>357</v>
      </c>
      <c r="C366" s="39" t="s">
        <v>240</v>
      </c>
      <c r="D366" s="39" t="s">
        <v>1380</v>
      </c>
      <c r="E366" s="3" t="s">
        <v>241</v>
      </c>
      <c r="F366" s="29">
        <v>125</v>
      </c>
      <c r="G366" s="144" t="s">
        <v>122</v>
      </c>
      <c r="H366" s="40" t="s">
        <v>123</v>
      </c>
      <c r="I366" s="31"/>
    </row>
    <row r="367" spans="1:9" s="26" customFormat="1" ht="21.6" customHeight="1">
      <c r="A367" s="27">
        <v>444</v>
      </c>
      <c r="B367" s="39">
        <v>357</v>
      </c>
      <c r="C367" s="39" t="s">
        <v>371</v>
      </c>
      <c r="D367" s="34" t="s">
        <v>1420</v>
      </c>
      <c r="E367" s="3" t="s">
        <v>372</v>
      </c>
      <c r="F367" s="29">
        <v>250</v>
      </c>
      <c r="G367" s="145" t="s">
        <v>244</v>
      </c>
      <c r="H367" s="40" t="s">
        <v>123</v>
      </c>
      <c r="I367" s="31"/>
    </row>
    <row r="368" spans="1:9" s="26" customFormat="1" ht="21.6" customHeight="1">
      <c r="A368" s="27">
        <v>445</v>
      </c>
      <c r="B368" s="39">
        <v>357</v>
      </c>
      <c r="C368" s="39" t="s">
        <v>245</v>
      </c>
      <c r="D368" s="39" t="s">
        <v>1382</v>
      </c>
      <c r="E368" s="3" t="s">
        <v>246</v>
      </c>
      <c r="F368" s="29">
        <v>80</v>
      </c>
      <c r="G368" s="144" t="s">
        <v>247</v>
      </c>
      <c r="H368" s="40" t="s">
        <v>123</v>
      </c>
      <c r="I368" s="31" t="s">
        <v>369</v>
      </c>
    </row>
    <row r="369" spans="1:9" s="26" customFormat="1" ht="21.6" customHeight="1">
      <c r="A369" s="27">
        <v>446</v>
      </c>
      <c r="B369" s="39">
        <v>357</v>
      </c>
      <c r="C369" s="39" t="s">
        <v>248</v>
      </c>
      <c r="D369" s="39" t="s">
        <v>1383</v>
      </c>
      <c r="E369" s="3" t="s">
        <v>249</v>
      </c>
      <c r="F369" s="29">
        <v>120</v>
      </c>
      <c r="G369" s="144" t="s">
        <v>250</v>
      </c>
      <c r="H369" s="40" t="s">
        <v>123</v>
      </c>
      <c r="I369" s="31" t="s">
        <v>357</v>
      </c>
    </row>
    <row r="370" spans="1:9" s="26" customFormat="1" ht="21.6" customHeight="1">
      <c r="A370" s="27">
        <v>447</v>
      </c>
      <c r="B370" s="39">
        <v>357</v>
      </c>
      <c r="C370" s="39" t="s">
        <v>251</v>
      </c>
      <c r="D370" s="39" t="s">
        <v>1384</v>
      </c>
      <c r="E370" s="3" t="s">
        <v>252</v>
      </c>
      <c r="F370" s="29">
        <v>160</v>
      </c>
      <c r="G370" s="144" t="s">
        <v>253</v>
      </c>
      <c r="H370" s="40" t="s">
        <v>123</v>
      </c>
      <c r="I370" s="31" t="s">
        <v>234</v>
      </c>
    </row>
    <row r="371" spans="1:9" s="26" customFormat="1" ht="21.6" customHeight="1">
      <c r="A371" s="27">
        <v>448</v>
      </c>
      <c r="B371" s="39">
        <v>357</v>
      </c>
      <c r="C371" s="39" t="s">
        <v>373</v>
      </c>
      <c r="D371" s="39" t="s">
        <v>1421</v>
      </c>
      <c r="E371" s="3" t="s">
        <v>374</v>
      </c>
      <c r="F371" s="29" t="s">
        <v>123</v>
      </c>
      <c r="G371" s="146" t="s">
        <v>129</v>
      </c>
      <c r="H371" s="40" t="s">
        <v>123</v>
      </c>
      <c r="I371" s="31"/>
    </row>
    <row r="372" spans="1:9" s="26" customFormat="1" ht="21.6" customHeight="1">
      <c r="A372" s="27">
        <v>450</v>
      </c>
      <c r="B372" s="39">
        <v>357</v>
      </c>
      <c r="C372" s="39" t="s">
        <v>375</v>
      </c>
      <c r="D372" s="34" t="s">
        <v>1422</v>
      </c>
      <c r="E372" s="3" t="s">
        <v>376</v>
      </c>
      <c r="F372" s="57" t="s">
        <v>123</v>
      </c>
      <c r="G372" s="144" t="s">
        <v>258</v>
      </c>
      <c r="H372" s="40" t="s">
        <v>123</v>
      </c>
      <c r="I372" s="31"/>
    </row>
    <row r="373" spans="1:9" s="26" customFormat="1" ht="21.6" customHeight="1">
      <c r="A373" s="20">
        <v>451</v>
      </c>
      <c r="B373" s="131" t="s">
        <v>47</v>
      </c>
      <c r="C373" s="131" t="s">
        <v>191</v>
      </c>
      <c r="D373" s="21" t="s">
        <v>1361</v>
      </c>
      <c r="E373" s="22" t="s">
        <v>192</v>
      </c>
      <c r="F373" s="23">
        <v>125</v>
      </c>
      <c r="G373" s="143" t="s">
        <v>193</v>
      </c>
      <c r="H373" s="24">
        <v>1</v>
      </c>
      <c r="I373" s="25" t="s">
        <v>194</v>
      </c>
    </row>
    <row r="374" spans="1:9" s="26" customFormat="1" ht="21.6" customHeight="1">
      <c r="A374" s="27">
        <v>452</v>
      </c>
      <c r="B374" s="132" t="s">
        <v>47</v>
      </c>
      <c r="C374" s="132" t="s">
        <v>195</v>
      </c>
      <c r="D374" s="28" t="s">
        <v>1362</v>
      </c>
      <c r="E374" s="3" t="s">
        <v>196</v>
      </c>
      <c r="F374" s="29">
        <v>125</v>
      </c>
      <c r="G374" s="144" t="s">
        <v>75</v>
      </c>
      <c r="H374" s="29">
        <v>1</v>
      </c>
      <c r="I374" s="31"/>
    </row>
    <row r="375" spans="1:9" s="26" customFormat="1" ht="21.6" customHeight="1">
      <c r="A375" s="27">
        <v>453</v>
      </c>
      <c r="B375" s="132" t="s">
        <v>47</v>
      </c>
      <c r="C375" s="132" t="s">
        <v>76</v>
      </c>
      <c r="D375" s="32" t="s">
        <v>1326</v>
      </c>
      <c r="E375" s="33" t="s">
        <v>77</v>
      </c>
      <c r="F375" s="29">
        <v>125</v>
      </c>
      <c r="G375" s="144" t="s">
        <v>78</v>
      </c>
      <c r="H375" s="29">
        <v>1</v>
      </c>
      <c r="I375" s="31"/>
    </row>
    <row r="376" spans="1:9" s="26" customFormat="1" ht="21.6" customHeight="1">
      <c r="A376" s="27">
        <v>454</v>
      </c>
      <c r="B376" s="132" t="s">
        <v>47</v>
      </c>
      <c r="C376" s="132" t="s">
        <v>259</v>
      </c>
      <c r="D376" s="52" t="s">
        <v>1387</v>
      </c>
      <c r="E376" s="3" t="s">
        <v>260</v>
      </c>
      <c r="F376" s="29">
        <v>250</v>
      </c>
      <c r="G376" s="145" t="s">
        <v>1775</v>
      </c>
      <c r="H376" s="29">
        <v>1</v>
      </c>
      <c r="I376" s="31"/>
    </row>
    <row r="377" spans="1:9" s="26" customFormat="1" ht="21.6" customHeight="1">
      <c r="A377" s="27">
        <v>455</v>
      </c>
      <c r="B377" s="132" t="s">
        <v>47</v>
      </c>
      <c r="C377" s="132" t="s">
        <v>377</v>
      </c>
      <c r="D377" s="32" t="s">
        <v>1423</v>
      </c>
      <c r="E377" s="33" t="s">
        <v>378</v>
      </c>
      <c r="F377" s="29">
        <v>250</v>
      </c>
      <c r="G377" s="144" t="s">
        <v>87</v>
      </c>
      <c r="H377" s="29">
        <v>1</v>
      </c>
      <c r="I377" s="31"/>
    </row>
    <row r="378" spans="1:9" s="26" customFormat="1" ht="21.6" customHeight="1">
      <c r="A378" s="27">
        <v>456</v>
      </c>
      <c r="B378" s="132" t="s">
        <v>47</v>
      </c>
      <c r="C378" s="132" t="s">
        <v>201</v>
      </c>
      <c r="D378" s="28" t="s">
        <v>1365</v>
      </c>
      <c r="E378" s="3" t="s">
        <v>202</v>
      </c>
      <c r="F378" s="29">
        <v>125</v>
      </c>
      <c r="G378" s="144" t="s">
        <v>81</v>
      </c>
      <c r="H378" s="29">
        <v>1</v>
      </c>
      <c r="I378" s="31"/>
    </row>
    <row r="379" spans="1:9" s="26" customFormat="1" ht="21.6" customHeight="1">
      <c r="A379" s="27">
        <v>457</v>
      </c>
      <c r="B379" s="132" t="s">
        <v>47</v>
      </c>
      <c r="C379" s="132" t="s">
        <v>93</v>
      </c>
      <c r="D379" s="28" t="s">
        <v>1332</v>
      </c>
      <c r="E379" s="3" t="s">
        <v>94</v>
      </c>
      <c r="F379" s="29">
        <v>125</v>
      </c>
      <c r="G379" s="144" t="s">
        <v>95</v>
      </c>
      <c r="H379" s="29">
        <v>3</v>
      </c>
      <c r="I379" s="31"/>
    </row>
    <row r="380" spans="1:9" s="26" customFormat="1" ht="21.6" customHeight="1">
      <c r="A380" s="27">
        <v>458</v>
      </c>
      <c r="B380" s="132" t="s">
        <v>47</v>
      </c>
      <c r="C380" s="132" t="s">
        <v>203</v>
      </c>
      <c r="D380" s="28" t="s">
        <v>1366</v>
      </c>
      <c r="E380" s="3" t="s">
        <v>204</v>
      </c>
      <c r="F380" s="29">
        <v>125</v>
      </c>
      <c r="G380" s="144" t="s">
        <v>98</v>
      </c>
      <c r="H380" s="29">
        <v>1</v>
      </c>
      <c r="I380" s="31"/>
    </row>
    <row r="381" spans="1:9" s="26" customFormat="1" ht="21.6" customHeight="1">
      <c r="A381" s="27">
        <v>459</v>
      </c>
      <c r="B381" s="132" t="s">
        <v>47</v>
      </c>
      <c r="C381" s="132" t="s">
        <v>205</v>
      </c>
      <c r="D381" s="28" t="s">
        <v>1367</v>
      </c>
      <c r="E381" s="3" t="s">
        <v>206</v>
      </c>
      <c r="F381" s="29">
        <v>125</v>
      </c>
      <c r="G381" s="144" t="s">
        <v>107</v>
      </c>
      <c r="H381" s="29">
        <v>1</v>
      </c>
      <c r="I381" s="31"/>
    </row>
    <row r="382" spans="1:9" s="26" customFormat="1" ht="21.6" customHeight="1">
      <c r="A382" s="27">
        <v>460</v>
      </c>
      <c r="B382" s="132" t="s">
        <v>47</v>
      </c>
      <c r="C382" s="132" t="s">
        <v>367</v>
      </c>
      <c r="D382" s="28" t="s">
        <v>1419</v>
      </c>
      <c r="E382" s="3" t="s">
        <v>368</v>
      </c>
      <c r="F382" s="29">
        <v>125</v>
      </c>
      <c r="G382" s="145" t="s">
        <v>104</v>
      </c>
      <c r="H382" s="29">
        <v>1</v>
      </c>
      <c r="I382" s="31"/>
    </row>
    <row r="383" spans="1:9" s="26" customFormat="1" ht="21.6" customHeight="1">
      <c r="A383" s="27">
        <v>461</v>
      </c>
      <c r="B383" s="132" t="s">
        <v>47</v>
      </c>
      <c r="C383" s="132" t="s">
        <v>88</v>
      </c>
      <c r="D383" s="47" t="s">
        <v>1330</v>
      </c>
      <c r="E383" s="48" t="s">
        <v>89</v>
      </c>
      <c r="F383" s="29">
        <v>250</v>
      </c>
      <c r="G383" s="144" t="s">
        <v>90</v>
      </c>
      <c r="H383" s="29">
        <v>5</v>
      </c>
      <c r="I383" s="31"/>
    </row>
    <row r="384" spans="1:9" s="26" customFormat="1" ht="21.6" customHeight="1">
      <c r="A384" s="27">
        <v>462</v>
      </c>
      <c r="B384" s="132" t="s">
        <v>47</v>
      </c>
      <c r="C384" s="132" t="s">
        <v>211</v>
      </c>
      <c r="D384" s="28" t="s">
        <v>1370</v>
      </c>
      <c r="E384" s="3" t="s">
        <v>212</v>
      </c>
      <c r="F384" s="29">
        <v>250</v>
      </c>
      <c r="G384" s="144" t="s">
        <v>263</v>
      </c>
      <c r="H384" s="29">
        <v>1</v>
      </c>
      <c r="I384" s="31"/>
    </row>
    <row r="385" spans="1:9" s="26" customFormat="1" ht="21.6" customHeight="1">
      <c r="A385" s="27">
        <v>463</v>
      </c>
      <c r="B385" s="132" t="s">
        <v>47</v>
      </c>
      <c r="C385" s="132" t="s">
        <v>264</v>
      </c>
      <c r="D385" s="50" t="s">
        <v>1389</v>
      </c>
      <c r="E385" s="51" t="s">
        <v>265</v>
      </c>
      <c r="F385" s="29">
        <v>80</v>
      </c>
      <c r="G385" s="144" t="s">
        <v>1780</v>
      </c>
      <c r="H385" s="29">
        <v>1</v>
      </c>
      <c r="I385" s="31" t="s">
        <v>267</v>
      </c>
    </row>
    <row r="386" spans="1:9" s="26" customFormat="1" ht="21.6" customHeight="1">
      <c r="A386" s="27">
        <v>464</v>
      </c>
      <c r="B386" s="132" t="s">
        <v>47</v>
      </c>
      <c r="C386" s="132" t="s">
        <v>268</v>
      </c>
      <c r="D386" s="50" t="s">
        <v>1390</v>
      </c>
      <c r="E386" s="51" t="s">
        <v>269</v>
      </c>
      <c r="F386" s="29">
        <v>80</v>
      </c>
      <c r="G386" s="144" t="s">
        <v>270</v>
      </c>
      <c r="H386" s="29">
        <v>1</v>
      </c>
      <c r="I386" s="31" t="s">
        <v>267</v>
      </c>
    </row>
    <row r="387" spans="1:9" s="26" customFormat="1" ht="21.6" customHeight="1">
      <c r="A387" s="27">
        <v>465</v>
      </c>
      <c r="B387" s="132" t="s">
        <v>47</v>
      </c>
      <c r="C387" s="132" t="s">
        <v>271</v>
      </c>
      <c r="D387" s="50" t="s">
        <v>1391</v>
      </c>
      <c r="E387" s="51" t="s">
        <v>272</v>
      </c>
      <c r="F387" s="29">
        <v>80</v>
      </c>
      <c r="G387" s="144" t="s">
        <v>266</v>
      </c>
      <c r="H387" s="29">
        <v>1</v>
      </c>
      <c r="I387" s="31" t="s">
        <v>267</v>
      </c>
    </row>
    <row r="388" spans="1:9" s="26" customFormat="1" ht="21.6" customHeight="1">
      <c r="A388" s="27">
        <v>466</v>
      </c>
      <c r="B388" s="132" t="s">
        <v>47</v>
      </c>
      <c r="C388" s="132" t="s">
        <v>273</v>
      </c>
      <c r="D388" s="39" t="s">
        <v>1392</v>
      </c>
      <c r="E388" s="3" t="s">
        <v>274</v>
      </c>
      <c r="F388" s="29">
        <v>80</v>
      </c>
      <c r="G388" s="144" t="s">
        <v>275</v>
      </c>
      <c r="H388" s="29">
        <v>1</v>
      </c>
      <c r="I388" s="31" t="s">
        <v>116</v>
      </c>
    </row>
    <row r="389" spans="1:9" s="26" customFormat="1" ht="21.6" customHeight="1">
      <c r="A389" s="27">
        <v>467</v>
      </c>
      <c r="B389" s="132" t="s">
        <v>47</v>
      </c>
      <c r="C389" s="132" t="s">
        <v>276</v>
      </c>
      <c r="D389" s="39" t="s">
        <v>1393</v>
      </c>
      <c r="E389" s="3" t="s">
        <v>277</v>
      </c>
      <c r="F389" s="29">
        <v>80</v>
      </c>
      <c r="G389" s="144" t="s">
        <v>224</v>
      </c>
      <c r="H389" s="29">
        <v>1</v>
      </c>
      <c r="I389" s="31" t="s">
        <v>116</v>
      </c>
    </row>
    <row r="390" spans="1:9" s="26" customFormat="1" ht="21.6" customHeight="1">
      <c r="A390" s="27">
        <v>468</v>
      </c>
      <c r="B390" s="132" t="s">
        <v>47</v>
      </c>
      <c r="C390" s="132" t="s">
        <v>225</v>
      </c>
      <c r="D390" s="39" t="s">
        <v>1375</v>
      </c>
      <c r="E390" s="3" t="s">
        <v>226</v>
      </c>
      <c r="F390" s="29">
        <v>120</v>
      </c>
      <c r="G390" s="144" t="s">
        <v>1781</v>
      </c>
      <c r="H390" s="29">
        <v>2</v>
      </c>
      <c r="I390" s="31" t="s">
        <v>279</v>
      </c>
    </row>
    <row r="391" spans="1:9" s="26" customFormat="1" ht="21.6" customHeight="1">
      <c r="A391" s="27">
        <v>469</v>
      </c>
      <c r="B391" s="132" t="s">
        <v>47</v>
      </c>
      <c r="C391" s="132" t="s">
        <v>229</v>
      </c>
      <c r="D391" s="39" t="s">
        <v>1376</v>
      </c>
      <c r="E391" s="51" t="s">
        <v>230</v>
      </c>
      <c r="F391" s="29">
        <v>120</v>
      </c>
      <c r="G391" s="144" t="s">
        <v>278</v>
      </c>
      <c r="H391" s="29">
        <v>1</v>
      </c>
      <c r="I391" s="31" t="s">
        <v>279</v>
      </c>
    </row>
    <row r="392" spans="1:9" s="26" customFormat="1" ht="21.6" customHeight="1">
      <c r="A392" s="27">
        <v>470</v>
      </c>
      <c r="B392" s="132" t="s">
        <v>47</v>
      </c>
      <c r="C392" s="132" t="s">
        <v>280</v>
      </c>
      <c r="D392" s="39" t="s">
        <v>1394</v>
      </c>
      <c r="E392" s="51" t="s">
        <v>281</v>
      </c>
      <c r="F392" s="29">
        <v>120</v>
      </c>
      <c r="G392" s="144" t="s">
        <v>1782</v>
      </c>
      <c r="H392" s="29">
        <v>1</v>
      </c>
      <c r="I392" s="31" t="s">
        <v>283</v>
      </c>
    </row>
    <row r="393" spans="1:9" s="26" customFormat="1" ht="21.6" customHeight="1">
      <c r="A393" s="27">
        <v>471</v>
      </c>
      <c r="B393" s="132" t="s">
        <v>47</v>
      </c>
      <c r="C393" s="132" t="s">
        <v>284</v>
      </c>
      <c r="D393" s="50" t="s">
        <v>1395</v>
      </c>
      <c r="E393" s="51" t="s">
        <v>226</v>
      </c>
      <c r="F393" s="29">
        <v>120</v>
      </c>
      <c r="G393" s="144" t="s">
        <v>285</v>
      </c>
      <c r="H393" s="29">
        <v>1</v>
      </c>
      <c r="I393" s="31" t="s">
        <v>286</v>
      </c>
    </row>
    <row r="394" spans="1:9" s="26" customFormat="1" ht="21.6" customHeight="1">
      <c r="A394" s="27">
        <v>472</v>
      </c>
      <c r="B394" s="132" t="s">
        <v>47</v>
      </c>
      <c r="C394" s="132" t="s">
        <v>287</v>
      </c>
      <c r="D394" s="50" t="s">
        <v>1396</v>
      </c>
      <c r="E394" s="51" t="s">
        <v>288</v>
      </c>
      <c r="F394" s="29">
        <v>120</v>
      </c>
      <c r="G394" s="144" t="s">
        <v>282</v>
      </c>
      <c r="H394" s="29">
        <v>1</v>
      </c>
      <c r="I394" s="31" t="s">
        <v>286</v>
      </c>
    </row>
    <row r="395" spans="1:9" s="26" customFormat="1" ht="21.6" customHeight="1">
      <c r="A395" s="27">
        <v>473</v>
      </c>
      <c r="B395" s="132" t="s">
        <v>47</v>
      </c>
      <c r="C395" s="132" t="s">
        <v>231</v>
      </c>
      <c r="D395" s="39" t="s">
        <v>1377</v>
      </c>
      <c r="E395" s="51" t="s">
        <v>232</v>
      </c>
      <c r="F395" s="29">
        <v>160</v>
      </c>
      <c r="G395" s="144" t="s">
        <v>1783</v>
      </c>
      <c r="H395" s="29">
        <v>1</v>
      </c>
      <c r="I395" s="31" t="s">
        <v>290</v>
      </c>
    </row>
    <row r="396" spans="1:9" s="26" customFormat="1" ht="21.6" customHeight="1">
      <c r="A396" s="27">
        <v>474</v>
      </c>
      <c r="B396" s="132" t="s">
        <v>47</v>
      </c>
      <c r="C396" s="132" t="s">
        <v>235</v>
      </c>
      <c r="D396" s="50" t="s">
        <v>1378</v>
      </c>
      <c r="E396" s="51" t="s">
        <v>236</v>
      </c>
      <c r="F396" s="29">
        <v>160</v>
      </c>
      <c r="G396" s="144" t="s">
        <v>237</v>
      </c>
      <c r="H396" s="29">
        <v>1</v>
      </c>
      <c r="I396" s="31" t="s">
        <v>290</v>
      </c>
    </row>
    <row r="397" spans="1:9" s="26" customFormat="1" ht="21.6" customHeight="1">
      <c r="A397" s="27">
        <v>475</v>
      </c>
      <c r="B397" s="132" t="s">
        <v>47</v>
      </c>
      <c r="C397" s="132" t="s">
        <v>238</v>
      </c>
      <c r="D397" s="50" t="s">
        <v>1379</v>
      </c>
      <c r="E397" s="51" t="s">
        <v>239</v>
      </c>
      <c r="F397" s="29">
        <v>160</v>
      </c>
      <c r="G397" s="144" t="s">
        <v>289</v>
      </c>
      <c r="H397" s="29">
        <v>1</v>
      </c>
      <c r="I397" s="31" t="s">
        <v>290</v>
      </c>
    </row>
    <row r="398" spans="1:9" s="26" customFormat="1" ht="21.6" customHeight="1">
      <c r="A398" s="27">
        <v>476</v>
      </c>
      <c r="B398" s="132" t="s">
        <v>47</v>
      </c>
      <c r="C398" s="132" t="s">
        <v>291</v>
      </c>
      <c r="D398" s="34" t="s">
        <v>1397</v>
      </c>
      <c r="E398" s="53" t="s">
        <v>292</v>
      </c>
      <c r="F398" s="29">
        <v>125</v>
      </c>
      <c r="G398" s="144" t="s">
        <v>122</v>
      </c>
      <c r="H398" s="40" t="s">
        <v>123</v>
      </c>
      <c r="I398" s="31"/>
    </row>
    <row r="399" spans="1:9" s="26" customFormat="1" ht="21.6" customHeight="1">
      <c r="A399" s="27">
        <v>477</v>
      </c>
      <c r="B399" s="132" t="s">
        <v>47</v>
      </c>
      <c r="C399" s="138" t="s">
        <v>379</v>
      </c>
      <c r="D399" s="54" t="s">
        <v>1424</v>
      </c>
      <c r="E399" s="3" t="s">
        <v>380</v>
      </c>
      <c r="F399" s="29">
        <v>250</v>
      </c>
      <c r="G399" s="145" t="s">
        <v>244</v>
      </c>
      <c r="H399" s="40" t="s">
        <v>123</v>
      </c>
      <c r="I399" s="31"/>
    </row>
    <row r="400" spans="1:9" s="26" customFormat="1" ht="21.6" customHeight="1">
      <c r="A400" s="27">
        <v>478</v>
      </c>
      <c r="B400" s="132" t="s">
        <v>47</v>
      </c>
      <c r="C400" s="132" t="s">
        <v>295</v>
      </c>
      <c r="D400" s="39" t="s">
        <v>1399</v>
      </c>
      <c r="E400" s="3" t="s">
        <v>296</v>
      </c>
      <c r="F400" s="29">
        <v>80</v>
      </c>
      <c r="G400" s="144" t="s">
        <v>247</v>
      </c>
      <c r="H400" s="40" t="s">
        <v>123</v>
      </c>
      <c r="I400" s="31" t="s">
        <v>297</v>
      </c>
    </row>
    <row r="401" spans="1:9" s="26" customFormat="1" ht="21.6" customHeight="1">
      <c r="A401" s="27">
        <v>479</v>
      </c>
      <c r="B401" s="132" t="s">
        <v>47</v>
      </c>
      <c r="C401" s="132" t="s">
        <v>298</v>
      </c>
      <c r="D401" s="39" t="s">
        <v>1400</v>
      </c>
      <c r="E401" s="3" t="s">
        <v>299</v>
      </c>
      <c r="F401" s="29">
        <v>120</v>
      </c>
      <c r="G401" s="144" t="s">
        <v>300</v>
      </c>
      <c r="H401" s="40" t="s">
        <v>123</v>
      </c>
      <c r="I401" s="31" t="s">
        <v>279</v>
      </c>
    </row>
    <row r="402" spans="1:9" s="26" customFormat="1" ht="21.6" customHeight="1">
      <c r="A402" s="27">
        <v>480</v>
      </c>
      <c r="B402" s="132" t="s">
        <v>47</v>
      </c>
      <c r="C402" s="132" t="s">
        <v>301</v>
      </c>
      <c r="D402" s="39" t="s">
        <v>1401</v>
      </c>
      <c r="E402" s="3" t="s">
        <v>302</v>
      </c>
      <c r="F402" s="29">
        <v>120</v>
      </c>
      <c r="G402" s="144" t="s">
        <v>303</v>
      </c>
      <c r="H402" s="40" t="s">
        <v>123</v>
      </c>
      <c r="I402" s="31" t="s">
        <v>283</v>
      </c>
    </row>
    <row r="403" spans="1:9" s="26" customFormat="1" ht="21.6" customHeight="1">
      <c r="A403" s="27">
        <v>481</v>
      </c>
      <c r="B403" s="132" t="s">
        <v>47</v>
      </c>
      <c r="C403" s="132" t="s">
        <v>251</v>
      </c>
      <c r="D403" s="39" t="s">
        <v>1384</v>
      </c>
      <c r="E403" s="3" t="s">
        <v>252</v>
      </c>
      <c r="F403" s="29">
        <v>160</v>
      </c>
      <c r="G403" s="144" t="s">
        <v>304</v>
      </c>
      <c r="H403" s="40" t="s">
        <v>123</v>
      </c>
      <c r="I403" s="31" t="s">
        <v>290</v>
      </c>
    </row>
    <row r="404" spans="1:9" s="26" customFormat="1" ht="21.6" customHeight="1">
      <c r="A404" s="27">
        <v>482</v>
      </c>
      <c r="B404" s="132" t="s">
        <v>47</v>
      </c>
      <c r="C404" s="132" t="s">
        <v>381</v>
      </c>
      <c r="D404" s="39" t="s">
        <v>1425</v>
      </c>
      <c r="E404" s="3" t="s">
        <v>382</v>
      </c>
      <c r="F404" s="29" t="s">
        <v>123</v>
      </c>
      <c r="G404" s="146" t="s">
        <v>129</v>
      </c>
      <c r="H404" s="40" t="s">
        <v>123</v>
      </c>
      <c r="I404" s="31" t="s">
        <v>383</v>
      </c>
    </row>
    <row r="405" spans="1:9" s="26" customFormat="1" ht="21.6" customHeight="1">
      <c r="A405" s="27">
        <v>483</v>
      </c>
      <c r="B405" s="132" t="s">
        <v>47</v>
      </c>
      <c r="C405" s="132" t="s">
        <v>384</v>
      </c>
      <c r="D405" s="39" t="s">
        <v>1426</v>
      </c>
      <c r="E405" s="3" t="s">
        <v>385</v>
      </c>
      <c r="F405" s="29" t="s">
        <v>123</v>
      </c>
      <c r="G405" s="146" t="s">
        <v>129</v>
      </c>
      <c r="H405" s="40" t="s">
        <v>123</v>
      </c>
      <c r="I405" s="31" t="s">
        <v>386</v>
      </c>
    </row>
    <row r="406" spans="1:9" s="26" customFormat="1" ht="21.6" customHeight="1">
      <c r="A406" s="41">
        <v>485</v>
      </c>
      <c r="B406" s="133" t="s">
        <v>47</v>
      </c>
      <c r="C406" s="139" t="s">
        <v>387</v>
      </c>
      <c r="D406" s="34" t="s">
        <v>1427</v>
      </c>
      <c r="E406" s="35" t="s">
        <v>388</v>
      </c>
      <c r="F406" s="42" t="s">
        <v>123</v>
      </c>
      <c r="G406" s="147" t="s">
        <v>313</v>
      </c>
      <c r="H406" s="44" t="s">
        <v>123</v>
      </c>
      <c r="I406" s="45"/>
    </row>
    <row r="407" spans="1:9" s="26" customFormat="1" ht="21.6" customHeight="1">
      <c r="A407" s="20">
        <v>486</v>
      </c>
      <c r="B407" s="131" t="s">
        <v>49</v>
      </c>
      <c r="C407" s="131" t="s">
        <v>314</v>
      </c>
      <c r="D407" s="21" t="s">
        <v>1405</v>
      </c>
      <c r="E407" s="22" t="s">
        <v>315</v>
      </c>
      <c r="F407" s="23">
        <v>125</v>
      </c>
      <c r="G407" s="143" t="s">
        <v>193</v>
      </c>
      <c r="H407" s="24">
        <v>1</v>
      </c>
      <c r="I407" s="25" t="s">
        <v>194</v>
      </c>
    </row>
    <row r="408" spans="1:9" s="26" customFormat="1" ht="21.6" customHeight="1">
      <c r="A408" s="27">
        <v>487</v>
      </c>
      <c r="B408" s="132" t="s">
        <v>49</v>
      </c>
      <c r="C408" s="132" t="s">
        <v>316</v>
      </c>
      <c r="D408" s="28" t="s">
        <v>1406</v>
      </c>
      <c r="E408" s="3" t="s">
        <v>317</v>
      </c>
      <c r="F408" s="29">
        <v>125</v>
      </c>
      <c r="G408" s="144" t="s">
        <v>75</v>
      </c>
      <c r="H408" s="29">
        <v>1</v>
      </c>
      <c r="I408" s="31"/>
    </row>
    <row r="409" spans="1:9" s="26" customFormat="1" ht="21.6" customHeight="1">
      <c r="A409" s="27">
        <v>488</v>
      </c>
      <c r="B409" s="132" t="s">
        <v>49</v>
      </c>
      <c r="C409" s="132" t="s">
        <v>76</v>
      </c>
      <c r="D409" s="32" t="s">
        <v>1326</v>
      </c>
      <c r="E409" s="33" t="s">
        <v>77</v>
      </c>
      <c r="F409" s="29">
        <v>125</v>
      </c>
      <c r="G409" s="144" t="s">
        <v>78</v>
      </c>
      <c r="H409" s="29">
        <v>1</v>
      </c>
      <c r="I409" s="31"/>
    </row>
    <row r="410" spans="1:9" s="26" customFormat="1" ht="21.6" customHeight="1">
      <c r="A410" s="27">
        <v>489</v>
      </c>
      <c r="B410" s="132" t="s">
        <v>49</v>
      </c>
      <c r="C410" s="132" t="s">
        <v>259</v>
      </c>
      <c r="D410" s="52" t="s">
        <v>1387</v>
      </c>
      <c r="E410" s="3" t="s">
        <v>260</v>
      </c>
      <c r="F410" s="29">
        <v>250</v>
      </c>
      <c r="G410" s="145" t="s">
        <v>1775</v>
      </c>
      <c r="H410" s="29">
        <v>1</v>
      </c>
      <c r="I410" s="31"/>
    </row>
    <row r="411" spans="1:9" s="26" customFormat="1" ht="21.6" customHeight="1">
      <c r="A411" s="27">
        <v>490</v>
      </c>
      <c r="B411" s="132" t="s">
        <v>49</v>
      </c>
      <c r="C411" s="132" t="s">
        <v>377</v>
      </c>
      <c r="D411" s="32" t="s">
        <v>1423</v>
      </c>
      <c r="E411" s="33" t="s">
        <v>378</v>
      </c>
      <c r="F411" s="29">
        <v>250</v>
      </c>
      <c r="G411" s="144" t="s">
        <v>87</v>
      </c>
      <c r="H411" s="29">
        <v>1</v>
      </c>
      <c r="I411" s="31"/>
    </row>
    <row r="412" spans="1:9" s="26" customFormat="1" ht="21.6" customHeight="1">
      <c r="A412" s="27">
        <v>491</v>
      </c>
      <c r="B412" s="132" t="s">
        <v>49</v>
      </c>
      <c r="C412" s="132" t="s">
        <v>201</v>
      </c>
      <c r="D412" s="28" t="s">
        <v>1365</v>
      </c>
      <c r="E412" s="3" t="s">
        <v>202</v>
      </c>
      <c r="F412" s="29">
        <v>125</v>
      </c>
      <c r="G412" s="144" t="s">
        <v>81</v>
      </c>
      <c r="H412" s="29">
        <v>1</v>
      </c>
      <c r="I412" s="31"/>
    </row>
    <row r="413" spans="1:9" s="26" customFormat="1" ht="21.6" customHeight="1">
      <c r="A413" s="27">
        <v>492</v>
      </c>
      <c r="B413" s="132" t="s">
        <v>49</v>
      </c>
      <c r="C413" s="132" t="s">
        <v>93</v>
      </c>
      <c r="D413" s="28" t="s">
        <v>1332</v>
      </c>
      <c r="E413" s="3" t="s">
        <v>94</v>
      </c>
      <c r="F413" s="29">
        <v>125</v>
      </c>
      <c r="G413" s="144" t="s">
        <v>95</v>
      </c>
      <c r="H413" s="29">
        <v>3</v>
      </c>
      <c r="I413" s="31"/>
    </row>
    <row r="414" spans="1:9" s="26" customFormat="1" ht="21.6" customHeight="1">
      <c r="A414" s="27">
        <v>493</v>
      </c>
      <c r="B414" s="132" t="s">
        <v>49</v>
      </c>
      <c r="C414" s="132" t="s">
        <v>203</v>
      </c>
      <c r="D414" s="28" t="s">
        <v>1366</v>
      </c>
      <c r="E414" s="3" t="s">
        <v>204</v>
      </c>
      <c r="F414" s="29">
        <v>125</v>
      </c>
      <c r="G414" s="144" t="s">
        <v>98</v>
      </c>
      <c r="H414" s="29">
        <v>1</v>
      </c>
      <c r="I414" s="31"/>
    </row>
    <row r="415" spans="1:9" s="26" customFormat="1" ht="21.6" customHeight="1">
      <c r="A415" s="27">
        <v>494</v>
      </c>
      <c r="B415" s="132" t="s">
        <v>49</v>
      </c>
      <c r="C415" s="132" t="s">
        <v>205</v>
      </c>
      <c r="D415" s="28" t="s">
        <v>1367</v>
      </c>
      <c r="E415" s="3" t="s">
        <v>206</v>
      </c>
      <c r="F415" s="29">
        <v>125</v>
      </c>
      <c r="G415" s="144" t="s">
        <v>107</v>
      </c>
      <c r="H415" s="29">
        <v>1</v>
      </c>
      <c r="I415" s="31"/>
    </row>
    <row r="416" spans="1:9" s="26" customFormat="1" ht="21.6" customHeight="1">
      <c r="A416" s="27">
        <v>495</v>
      </c>
      <c r="B416" s="132" t="s">
        <v>49</v>
      </c>
      <c r="C416" s="132" t="s">
        <v>389</v>
      </c>
      <c r="D416" s="28" t="s">
        <v>1428</v>
      </c>
      <c r="E416" s="3" t="s">
        <v>390</v>
      </c>
      <c r="F416" s="29">
        <v>125</v>
      </c>
      <c r="G416" s="145" t="s">
        <v>104</v>
      </c>
      <c r="H416" s="29">
        <v>1</v>
      </c>
      <c r="I416" s="31"/>
    </row>
    <row r="417" spans="1:9" s="26" customFormat="1" ht="21.6" customHeight="1">
      <c r="A417" s="27">
        <v>496</v>
      </c>
      <c r="B417" s="132" t="s">
        <v>49</v>
      </c>
      <c r="C417" s="132" t="s">
        <v>88</v>
      </c>
      <c r="D417" s="47" t="s">
        <v>1330</v>
      </c>
      <c r="E417" s="48" t="s">
        <v>89</v>
      </c>
      <c r="F417" s="29">
        <v>250</v>
      </c>
      <c r="G417" s="144" t="s">
        <v>90</v>
      </c>
      <c r="H417" s="29">
        <v>5</v>
      </c>
      <c r="I417" s="31"/>
    </row>
    <row r="418" spans="1:9" s="26" customFormat="1" ht="21.6" customHeight="1">
      <c r="A418" s="27">
        <v>497</v>
      </c>
      <c r="B418" s="132" t="s">
        <v>49</v>
      </c>
      <c r="C418" s="132" t="s">
        <v>211</v>
      </c>
      <c r="D418" s="28" t="s">
        <v>1370</v>
      </c>
      <c r="E418" s="3" t="s">
        <v>212</v>
      </c>
      <c r="F418" s="29">
        <v>250</v>
      </c>
      <c r="G418" s="144" t="s">
        <v>263</v>
      </c>
      <c r="H418" s="29">
        <v>1</v>
      </c>
      <c r="I418" s="31"/>
    </row>
    <row r="419" spans="1:9" s="26" customFormat="1" ht="21.6" customHeight="1">
      <c r="A419" s="27">
        <v>498</v>
      </c>
      <c r="B419" s="132" t="s">
        <v>49</v>
      </c>
      <c r="C419" s="132" t="s">
        <v>264</v>
      </c>
      <c r="D419" s="50" t="s">
        <v>1389</v>
      </c>
      <c r="E419" s="51" t="s">
        <v>265</v>
      </c>
      <c r="F419" s="29">
        <v>80</v>
      </c>
      <c r="G419" s="144" t="s">
        <v>1780</v>
      </c>
      <c r="H419" s="29">
        <v>1</v>
      </c>
      <c r="I419" s="31" t="s">
        <v>318</v>
      </c>
    </row>
    <row r="420" spans="1:9" s="26" customFormat="1" ht="21.6" customHeight="1">
      <c r="A420" s="27">
        <v>499</v>
      </c>
      <c r="B420" s="132" t="s">
        <v>49</v>
      </c>
      <c r="C420" s="132" t="s">
        <v>268</v>
      </c>
      <c r="D420" s="50" t="s">
        <v>1390</v>
      </c>
      <c r="E420" s="51" t="s">
        <v>269</v>
      </c>
      <c r="F420" s="29">
        <v>80</v>
      </c>
      <c r="G420" s="144" t="s">
        <v>270</v>
      </c>
      <c r="H420" s="29">
        <v>1</v>
      </c>
      <c r="I420" s="31" t="s">
        <v>319</v>
      </c>
    </row>
    <row r="421" spans="1:9" s="26" customFormat="1" ht="21.6" customHeight="1">
      <c r="A421" s="27">
        <v>500</v>
      </c>
      <c r="B421" s="132" t="s">
        <v>49</v>
      </c>
      <c r="C421" s="132" t="s">
        <v>271</v>
      </c>
      <c r="D421" s="50" t="s">
        <v>1391</v>
      </c>
      <c r="E421" s="51" t="s">
        <v>272</v>
      </c>
      <c r="F421" s="29">
        <v>80</v>
      </c>
      <c r="G421" s="144" t="s">
        <v>266</v>
      </c>
      <c r="H421" s="29">
        <v>1</v>
      </c>
      <c r="I421" s="31" t="s">
        <v>319</v>
      </c>
    </row>
    <row r="422" spans="1:9" s="26" customFormat="1" ht="21.6" customHeight="1">
      <c r="A422" s="27">
        <v>501</v>
      </c>
      <c r="B422" s="132" t="s">
        <v>49</v>
      </c>
      <c r="C422" s="132" t="s">
        <v>273</v>
      </c>
      <c r="D422" s="39" t="s">
        <v>1392</v>
      </c>
      <c r="E422" s="3" t="s">
        <v>274</v>
      </c>
      <c r="F422" s="29">
        <v>80</v>
      </c>
      <c r="G422" s="144" t="s">
        <v>275</v>
      </c>
      <c r="H422" s="29">
        <v>1</v>
      </c>
      <c r="I422" s="31" t="s">
        <v>116</v>
      </c>
    </row>
    <row r="423" spans="1:9" s="26" customFormat="1" ht="21.6" customHeight="1">
      <c r="A423" s="27">
        <v>502</v>
      </c>
      <c r="B423" s="132" t="s">
        <v>49</v>
      </c>
      <c r="C423" s="132" t="s">
        <v>276</v>
      </c>
      <c r="D423" s="39" t="s">
        <v>1393</v>
      </c>
      <c r="E423" s="3" t="s">
        <v>277</v>
      </c>
      <c r="F423" s="29">
        <v>80</v>
      </c>
      <c r="G423" s="144" t="s">
        <v>224</v>
      </c>
      <c r="H423" s="29">
        <v>1</v>
      </c>
      <c r="I423" s="31" t="s">
        <v>116</v>
      </c>
    </row>
    <row r="424" spans="1:9" s="26" customFormat="1" ht="21.6" customHeight="1">
      <c r="A424" s="27">
        <v>503</v>
      </c>
      <c r="B424" s="132" t="s">
        <v>49</v>
      </c>
      <c r="C424" s="132" t="s">
        <v>225</v>
      </c>
      <c r="D424" s="39" t="s">
        <v>1375</v>
      </c>
      <c r="E424" s="3" t="s">
        <v>226</v>
      </c>
      <c r="F424" s="29">
        <v>120</v>
      </c>
      <c r="G424" s="144" t="s">
        <v>320</v>
      </c>
      <c r="H424" s="29">
        <v>2</v>
      </c>
      <c r="I424" s="31" t="s">
        <v>321</v>
      </c>
    </row>
    <row r="425" spans="1:9" s="26" customFormat="1" ht="21.6" customHeight="1">
      <c r="A425" s="27">
        <v>504</v>
      </c>
      <c r="B425" s="132" t="s">
        <v>49</v>
      </c>
      <c r="C425" s="132" t="s">
        <v>229</v>
      </c>
      <c r="D425" s="39" t="s">
        <v>1376</v>
      </c>
      <c r="E425" s="51" t="s">
        <v>230</v>
      </c>
      <c r="F425" s="29">
        <v>120</v>
      </c>
      <c r="G425" s="144" t="s">
        <v>278</v>
      </c>
      <c r="H425" s="29">
        <v>1</v>
      </c>
      <c r="I425" s="31" t="s">
        <v>364</v>
      </c>
    </row>
    <row r="426" spans="1:9" s="26" customFormat="1" ht="21.6" customHeight="1">
      <c r="A426" s="27">
        <v>505</v>
      </c>
      <c r="B426" s="132" t="s">
        <v>49</v>
      </c>
      <c r="C426" s="132" t="s">
        <v>323</v>
      </c>
      <c r="D426" s="39" t="s">
        <v>1407</v>
      </c>
      <c r="E426" s="51" t="s">
        <v>324</v>
      </c>
      <c r="F426" s="29">
        <v>120</v>
      </c>
      <c r="G426" s="144" t="s">
        <v>1782</v>
      </c>
      <c r="H426" s="29">
        <v>1</v>
      </c>
      <c r="I426" s="31" t="s">
        <v>325</v>
      </c>
    </row>
    <row r="427" spans="1:9" s="26" customFormat="1" ht="21.6" customHeight="1">
      <c r="A427" s="27">
        <v>506</v>
      </c>
      <c r="B427" s="132" t="s">
        <v>49</v>
      </c>
      <c r="C427" s="132" t="s">
        <v>284</v>
      </c>
      <c r="D427" s="50" t="s">
        <v>1395</v>
      </c>
      <c r="E427" s="51" t="s">
        <v>226</v>
      </c>
      <c r="F427" s="29">
        <v>120</v>
      </c>
      <c r="G427" s="144" t="s">
        <v>285</v>
      </c>
      <c r="H427" s="29">
        <v>1</v>
      </c>
      <c r="I427" s="31" t="s">
        <v>325</v>
      </c>
    </row>
    <row r="428" spans="1:9" s="26" customFormat="1" ht="21.6" customHeight="1">
      <c r="A428" s="27">
        <v>507</v>
      </c>
      <c r="B428" s="132" t="s">
        <v>49</v>
      </c>
      <c r="C428" s="132" t="s">
        <v>287</v>
      </c>
      <c r="D428" s="50" t="s">
        <v>1396</v>
      </c>
      <c r="E428" s="51" t="s">
        <v>288</v>
      </c>
      <c r="F428" s="29">
        <v>120</v>
      </c>
      <c r="G428" s="144" t="s">
        <v>282</v>
      </c>
      <c r="H428" s="29">
        <v>1</v>
      </c>
      <c r="I428" s="31" t="s">
        <v>325</v>
      </c>
    </row>
    <row r="429" spans="1:9" s="26" customFormat="1" ht="21.6" customHeight="1">
      <c r="A429" s="27">
        <v>508</v>
      </c>
      <c r="B429" s="132" t="s">
        <v>49</v>
      </c>
      <c r="C429" s="132" t="s">
        <v>326</v>
      </c>
      <c r="D429" s="39" t="s">
        <v>1408</v>
      </c>
      <c r="E429" s="51" t="s">
        <v>327</v>
      </c>
      <c r="F429" s="29">
        <v>320</v>
      </c>
      <c r="G429" s="144" t="s">
        <v>237</v>
      </c>
      <c r="H429" s="29">
        <v>2</v>
      </c>
      <c r="I429" s="31" t="s">
        <v>331</v>
      </c>
    </row>
    <row r="430" spans="1:9" s="26" customFormat="1" ht="21.6" customHeight="1">
      <c r="A430" s="27">
        <v>509</v>
      </c>
      <c r="B430" s="132" t="s">
        <v>49</v>
      </c>
      <c r="C430" s="132" t="s">
        <v>329</v>
      </c>
      <c r="D430" s="50" t="s">
        <v>1409</v>
      </c>
      <c r="E430" s="51" t="s">
        <v>330</v>
      </c>
      <c r="F430" s="29">
        <v>320</v>
      </c>
      <c r="G430" s="144" t="s">
        <v>289</v>
      </c>
      <c r="H430" s="29">
        <v>1</v>
      </c>
      <c r="I430" s="31" t="s">
        <v>331</v>
      </c>
    </row>
    <row r="431" spans="1:9" ht="21.6" customHeight="1">
      <c r="A431" s="27">
        <v>510</v>
      </c>
      <c r="B431" s="132" t="s">
        <v>49</v>
      </c>
      <c r="C431" s="132" t="s">
        <v>332</v>
      </c>
      <c r="D431" s="34" t="s">
        <v>1410</v>
      </c>
      <c r="E431" s="35" t="s">
        <v>333</v>
      </c>
      <c r="F431" s="40">
        <v>500</v>
      </c>
      <c r="G431" s="144" t="s">
        <v>1784</v>
      </c>
      <c r="H431" s="40">
        <v>2</v>
      </c>
      <c r="I431" s="55" t="s">
        <v>334</v>
      </c>
    </row>
    <row r="432" spans="1:9" ht="21.6" customHeight="1">
      <c r="A432" s="27">
        <v>511</v>
      </c>
      <c r="B432" s="132" t="s">
        <v>49</v>
      </c>
      <c r="C432" s="132" t="s">
        <v>335</v>
      </c>
      <c r="D432" s="34" t="s">
        <v>1411</v>
      </c>
      <c r="E432" s="35" t="s">
        <v>336</v>
      </c>
      <c r="F432" s="40">
        <v>500</v>
      </c>
      <c r="G432" s="144" t="s">
        <v>337</v>
      </c>
      <c r="H432" s="40">
        <v>1</v>
      </c>
      <c r="I432" s="55" t="s">
        <v>338</v>
      </c>
    </row>
    <row r="433" spans="1:9" ht="21.6" customHeight="1">
      <c r="A433" s="27">
        <v>512</v>
      </c>
      <c r="B433" s="132" t="s">
        <v>49</v>
      </c>
      <c r="C433" s="132" t="s">
        <v>339</v>
      </c>
      <c r="D433" s="34" t="s">
        <v>1412</v>
      </c>
      <c r="E433" s="35" t="s">
        <v>340</v>
      </c>
      <c r="F433" s="40">
        <v>500</v>
      </c>
      <c r="G433" s="145" t="s">
        <v>341</v>
      </c>
      <c r="H433" s="40">
        <v>1</v>
      </c>
      <c r="I433" s="55" t="s">
        <v>338</v>
      </c>
    </row>
    <row r="434" spans="1:9" s="26" customFormat="1" ht="21.6" customHeight="1">
      <c r="A434" s="27">
        <v>513</v>
      </c>
      <c r="B434" s="132" t="s">
        <v>49</v>
      </c>
      <c r="C434" s="132" t="s">
        <v>342</v>
      </c>
      <c r="D434" s="34" t="s">
        <v>1413</v>
      </c>
      <c r="E434" s="53" t="s">
        <v>343</v>
      </c>
      <c r="F434" s="29">
        <v>125</v>
      </c>
      <c r="G434" s="144" t="s">
        <v>122</v>
      </c>
      <c r="H434" s="40" t="s">
        <v>123</v>
      </c>
      <c r="I434" s="31"/>
    </row>
    <row r="435" spans="1:9" s="26" customFormat="1" ht="21.6" customHeight="1">
      <c r="A435" s="27">
        <v>514</v>
      </c>
      <c r="B435" s="132" t="s">
        <v>49</v>
      </c>
      <c r="C435" s="138" t="s">
        <v>379</v>
      </c>
      <c r="D435" s="54" t="s">
        <v>1424</v>
      </c>
      <c r="E435" s="3" t="s">
        <v>380</v>
      </c>
      <c r="F435" s="29">
        <v>250</v>
      </c>
      <c r="G435" s="145" t="s">
        <v>244</v>
      </c>
      <c r="H435" s="40" t="s">
        <v>123</v>
      </c>
      <c r="I435" s="31"/>
    </row>
    <row r="436" spans="1:9" s="26" customFormat="1" ht="21.6" customHeight="1">
      <c r="A436" s="27">
        <v>515</v>
      </c>
      <c r="B436" s="132" t="s">
        <v>49</v>
      </c>
      <c r="C436" s="132" t="s">
        <v>295</v>
      </c>
      <c r="D436" s="39" t="s">
        <v>1399</v>
      </c>
      <c r="E436" s="3" t="s">
        <v>296</v>
      </c>
      <c r="F436" s="29">
        <v>80</v>
      </c>
      <c r="G436" s="144" t="s">
        <v>247</v>
      </c>
      <c r="H436" s="40" t="s">
        <v>123</v>
      </c>
      <c r="I436" s="31" t="s">
        <v>391</v>
      </c>
    </row>
    <row r="437" spans="1:9" s="26" customFormat="1" ht="21.6" customHeight="1">
      <c r="A437" s="27">
        <v>516</v>
      </c>
      <c r="B437" s="132" t="s">
        <v>49</v>
      </c>
      <c r="C437" s="132" t="s">
        <v>298</v>
      </c>
      <c r="D437" s="39" t="s">
        <v>1400</v>
      </c>
      <c r="E437" s="3" t="s">
        <v>299</v>
      </c>
      <c r="F437" s="29">
        <v>120</v>
      </c>
      <c r="G437" s="144" t="s">
        <v>300</v>
      </c>
      <c r="H437" s="40" t="s">
        <v>123</v>
      </c>
      <c r="I437" s="31" t="s">
        <v>321</v>
      </c>
    </row>
    <row r="438" spans="1:9" s="26" customFormat="1" ht="21.6" customHeight="1">
      <c r="A438" s="27">
        <v>517</v>
      </c>
      <c r="B438" s="132" t="s">
        <v>49</v>
      </c>
      <c r="C438" s="132" t="s">
        <v>345</v>
      </c>
      <c r="D438" s="39" t="s">
        <v>1414</v>
      </c>
      <c r="E438" s="3" t="s">
        <v>346</v>
      </c>
      <c r="F438" s="29">
        <v>120</v>
      </c>
      <c r="G438" s="144" t="s">
        <v>303</v>
      </c>
      <c r="H438" s="40" t="s">
        <v>123</v>
      </c>
      <c r="I438" s="31" t="s">
        <v>325</v>
      </c>
    </row>
    <row r="439" spans="1:9" ht="21.6" customHeight="1">
      <c r="A439" s="27">
        <v>519</v>
      </c>
      <c r="B439" s="132" t="s">
        <v>49</v>
      </c>
      <c r="C439" s="132" t="s">
        <v>347</v>
      </c>
      <c r="D439" s="34" t="s">
        <v>1415</v>
      </c>
      <c r="E439" s="35" t="s">
        <v>348</v>
      </c>
      <c r="F439" s="40">
        <v>500</v>
      </c>
      <c r="G439" s="144" t="s">
        <v>349</v>
      </c>
      <c r="H439" s="40" t="s">
        <v>123</v>
      </c>
      <c r="I439" s="55" t="s">
        <v>334</v>
      </c>
    </row>
    <row r="440" spans="1:9" s="26" customFormat="1" ht="21.6" customHeight="1">
      <c r="A440" s="27">
        <v>520</v>
      </c>
      <c r="B440" s="132" t="s">
        <v>49</v>
      </c>
      <c r="C440" s="132" t="s">
        <v>392</v>
      </c>
      <c r="D440" s="39" t="s">
        <v>1429</v>
      </c>
      <c r="E440" s="3" t="s">
        <v>393</v>
      </c>
      <c r="F440" s="29" t="s">
        <v>123</v>
      </c>
      <c r="G440" s="146" t="s">
        <v>129</v>
      </c>
      <c r="H440" s="40" t="s">
        <v>123</v>
      </c>
      <c r="I440" s="31"/>
    </row>
    <row r="441" spans="1:9" s="26" customFormat="1" ht="21.6" customHeight="1">
      <c r="A441" s="41">
        <v>522</v>
      </c>
      <c r="B441" s="133" t="s">
        <v>49</v>
      </c>
      <c r="C441" s="139" t="s">
        <v>394</v>
      </c>
      <c r="D441" s="52" t="s">
        <v>1430</v>
      </c>
      <c r="E441" s="3" t="s">
        <v>395</v>
      </c>
      <c r="F441" s="42" t="s">
        <v>123</v>
      </c>
      <c r="G441" s="147" t="s">
        <v>313</v>
      </c>
      <c r="H441" s="44" t="s">
        <v>123</v>
      </c>
      <c r="I441" s="45"/>
    </row>
    <row r="442" spans="1:9" s="26" customFormat="1" ht="21.6" customHeight="1">
      <c r="A442" s="20">
        <v>523</v>
      </c>
      <c r="B442" s="128">
        <v>457</v>
      </c>
      <c r="C442" s="128" t="s">
        <v>191</v>
      </c>
      <c r="D442" s="21" t="s">
        <v>1361</v>
      </c>
      <c r="E442" s="22" t="s">
        <v>192</v>
      </c>
      <c r="F442" s="23">
        <v>150</v>
      </c>
      <c r="G442" s="143" t="s">
        <v>193</v>
      </c>
      <c r="H442" s="24">
        <v>1</v>
      </c>
      <c r="I442" s="25" t="s">
        <v>194</v>
      </c>
    </row>
    <row r="443" spans="1:9" s="26" customFormat="1" ht="21.6" customHeight="1">
      <c r="A443" s="27">
        <v>524</v>
      </c>
      <c r="B443" s="39">
        <v>457</v>
      </c>
      <c r="C443" s="39" t="s">
        <v>195</v>
      </c>
      <c r="D443" s="28" t="s">
        <v>1362</v>
      </c>
      <c r="E443" s="3" t="s">
        <v>196</v>
      </c>
      <c r="F443" s="29">
        <v>150</v>
      </c>
      <c r="G443" s="144" t="s">
        <v>75</v>
      </c>
      <c r="H443" s="29">
        <v>1</v>
      </c>
      <c r="I443" s="31"/>
    </row>
    <row r="444" spans="1:9" s="26" customFormat="1" ht="21.6" customHeight="1">
      <c r="A444" s="27">
        <v>525</v>
      </c>
      <c r="B444" s="39">
        <v>457</v>
      </c>
      <c r="C444" s="39" t="s">
        <v>76</v>
      </c>
      <c r="D444" s="32" t="s">
        <v>1326</v>
      </c>
      <c r="E444" s="33" t="s">
        <v>77</v>
      </c>
      <c r="F444" s="29">
        <v>150</v>
      </c>
      <c r="G444" s="144" t="s">
        <v>78</v>
      </c>
      <c r="H444" s="29">
        <v>1</v>
      </c>
      <c r="I444" s="31"/>
    </row>
    <row r="445" spans="1:9" s="26" customFormat="1" ht="21.6" customHeight="1">
      <c r="A445" s="27">
        <v>526</v>
      </c>
      <c r="B445" s="39">
        <v>457</v>
      </c>
      <c r="C445" s="39" t="s">
        <v>197</v>
      </c>
      <c r="D445" s="34" t="s">
        <v>1363</v>
      </c>
      <c r="E445" s="3" t="s">
        <v>198</v>
      </c>
      <c r="F445" s="29">
        <v>300</v>
      </c>
      <c r="G445" s="145" t="s">
        <v>1775</v>
      </c>
      <c r="H445" s="29">
        <v>1</v>
      </c>
      <c r="I445" s="31"/>
    </row>
    <row r="446" spans="1:9" s="26" customFormat="1" ht="21.6" customHeight="1">
      <c r="A446" s="27">
        <v>527</v>
      </c>
      <c r="B446" s="39">
        <v>457</v>
      </c>
      <c r="C446" s="39" t="s">
        <v>365</v>
      </c>
      <c r="D446" s="32" t="s">
        <v>1418</v>
      </c>
      <c r="E446" s="33" t="s">
        <v>366</v>
      </c>
      <c r="F446" s="29">
        <v>300</v>
      </c>
      <c r="G446" s="144" t="s">
        <v>87</v>
      </c>
      <c r="H446" s="29">
        <v>1</v>
      </c>
      <c r="I446" s="31"/>
    </row>
    <row r="447" spans="1:9" s="26" customFormat="1" ht="21.6" customHeight="1">
      <c r="A447" s="27">
        <v>528</v>
      </c>
      <c r="B447" s="39">
        <v>457</v>
      </c>
      <c r="C447" s="39" t="s">
        <v>201</v>
      </c>
      <c r="D447" s="28" t="s">
        <v>1365</v>
      </c>
      <c r="E447" s="3" t="s">
        <v>202</v>
      </c>
      <c r="F447" s="29">
        <v>150</v>
      </c>
      <c r="G447" s="144" t="s">
        <v>81</v>
      </c>
      <c r="H447" s="29">
        <v>1</v>
      </c>
      <c r="I447" s="31"/>
    </row>
    <row r="448" spans="1:9" s="26" customFormat="1" ht="21.6" customHeight="1">
      <c r="A448" s="27">
        <v>529</v>
      </c>
      <c r="B448" s="39">
        <v>457</v>
      </c>
      <c r="C448" s="39" t="s">
        <v>93</v>
      </c>
      <c r="D448" s="28" t="s">
        <v>1332</v>
      </c>
      <c r="E448" s="3" t="s">
        <v>94</v>
      </c>
      <c r="F448" s="29">
        <v>150</v>
      </c>
      <c r="G448" s="144" t="s">
        <v>95</v>
      </c>
      <c r="H448" s="29">
        <v>2</v>
      </c>
      <c r="I448" s="31"/>
    </row>
    <row r="449" spans="1:9" s="26" customFormat="1" ht="21.6" customHeight="1">
      <c r="A449" s="27">
        <v>530</v>
      </c>
      <c r="B449" s="39">
        <v>457</v>
      </c>
      <c r="C449" s="39" t="s">
        <v>203</v>
      </c>
      <c r="D449" s="28" t="s">
        <v>1366</v>
      </c>
      <c r="E449" s="3" t="s">
        <v>204</v>
      </c>
      <c r="F449" s="29">
        <v>150</v>
      </c>
      <c r="G449" s="144" t="s">
        <v>98</v>
      </c>
      <c r="H449" s="29">
        <v>1</v>
      </c>
      <c r="I449" s="31"/>
    </row>
    <row r="450" spans="1:9" s="26" customFormat="1" ht="21.6" customHeight="1">
      <c r="A450" s="27">
        <v>531</v>
      </c>
      <c r="B450" s="39">
        <v>457</v>
      </c>
      <c r="C450" s="39" t="s">
        <v>205</v>
      </c>
      <c r="D450" s="28" t="s">
        <v>1367</v>
      </c>
      <c r="E450" s="3" t="s">
        <v>206</v>
      </c>
      <c r="F450" s="29">
        <v>150</v>
      </c>
      <c r="G450" s="144" t="s">
        <v>107</v>
      </c>
      <c r="H450" s="29">
        <v>1</v>
      </c>
      <c r="I450" s="31"/>
    </row>
    <row r="451" spans="1:9" s="26" customFormat="1" ht="21.6" customHeight="1">
      <c r="A451" s="27">
        <v>532</v>
      </c>
      <c r="B451" s="39">
        <v>457</v>
      </c>
      <c r="C451" s="39" t="s">
        <v>367</v>
      </c>
      <c r="D451" s="28" t="s">
        <v>1419</v>
      </c>
      <c r="E451" s="3" t="s">
        <v>368</v>
      </c>
      <c r="F451" s="29">
        <v>150</v>
      </c>
      <c r="G451" s="145" t="s">
        <v>104</v>
      </c>
      <c r="H451" s="29">
        <v>1</v>
      </c>
      <c r="I451" s="31"/>
    </row>
    <row r="452" spans="1:9" s="26" customFormat="1" ht="21.6" customHeight="1">
      <c r="A452" s="27">
        <v>533</v>
      </c>
      <c r="B452" s="39">
        <v>457</v>
      </c>
      <c r="C452" s="39" t="s">
        <v>209</v>
      </c>
      <c r="D452" s="47" t="s">
        <v>1369</v>
      </c>
      <c r="E452" s="48" t="s">
        <v>210</v>
      </c>
      <c r="F452" s="29">
        <v>150</v>
      </c>
      <c r="G452" s="144" t="s">
        <v>90</v>
      </c>
      <c r="H452" s="29">
        <v>5</v>
      </c>
      <c r="I452" s="31"/>
    </row>
    <row r="453" spans="1:9" s="26" customFormat="1" ht="21.6" customHeight="1">
      <c r="A453" s="27">
        <v>534</v>
      </c>
      <c r="B453" s="39">
        <v>457</v>
      </c>
      <c r="C453" s="39" t="s">
        <v>211</v>
      </c>
      <c r="D453" s="28" t="s">
        <v>1370</v>
      </c>
      <c r="E453" s="3" t="s">
        <v>212</v>
      </c>
      <c r="F453" s="29">
        <v>300</v>
      </c>
      <c r="G453" s="144" t="s">
        <v>101</v>
      </c>
      <c r="H453" s="29">
        <v>1</v>
      </c>
      <c r="I453" s="31"/>
    </row>
    <row r="454" spans="1:9" s="26" customFormat="1" ht="21.6" customHeight="1">
      <c r="A454" s="27">
        <v>535</v>
      </c>
      <c r="B454" s="39">
        <v>457</v>
      </c>
      <c r="C454" s="39" t="s">
        <v>213</v>
      </c>
      <c r="D454" s="50" t="s">
        <v>1371</v>
      </c>
      <c r="E454" s="51" t="s">
        <v>214</v>
      </c>
      <c r="F454" s="29">
        <v>80</v>
      </c>
      <c r="G454" s="144" t="s">
        <v>1777</v>
      </c>
      <c r="H454" s="29">
        <v>1</v>
      </c>
      <c r="I454" s="31" t="s">
        <v>216</v>
      </c>
    </row>
    <row r="455" spans="1:9" s="26" customFormat="1" ht="21.6" customHeight="1">
      <c r="A455" s="27">
        <v>536</v>
      </c>
      <c r="B455" s="39">
        <v>457</v>
      </c>
      <c r="C455" s="39" t="s">
        <v>217</v>
      </c>
      <c r="D455" s="50" t="s">
        <v>1372</v>
      </c>
      <c r="E455" s="51" t="s">
        <v>218</v>
      </c>
      <c r="F455" s="29">
        <v>80</v>
      </c>
      <c r="G455" s="144" t="s">
        <v>219</v>
      </c>
      <c r="H455" s="29">
        <v>1</v>
      </c>
      <c r="I455" s="31" t="s">
        <v>216</v>
      </c>
    </row>
    <row r="456" spans="1:9" s="26" customFormat="1" ht="21.6" customHeight="1">
      <c r="A456" s="27">
        <v>537</v>
      </c>
      <c r="B456" s="39">
        <v>457</v>
      </c>
      <c r="C456" s="39" t="s">
        <v>220</v>
      </c>
      <c r="D456" s="50" t="s">
        <v>1373</v>
      </c>
      <c r="E456" s="51" t="s">
        <v>221</v>
      </c>
      <c r="F456" s="29">
        <v>80</v>
      </c>
      <c r="G456" s="144" t="s">
        <v>215</v>
      </c>
      <c r="H456" s="29">
        <v>1</v>
      </c>
      <c r="I456" s="31" t="s">
        <v>216</v>
      </c>
    </row>
    <row r="457" spans="1:9" s="26" customFormat="1" ht="21.6" customHeight="1">
      <c r="A457" s="27">
        <v>538</v>
      </c>
      <c r="B457" s="39">
        <v>457</v>
      </c>
      <c r="C457" s="39" t="s">
        <v>170</v>
      </c>
      <c r="D457" s="39" t="s">
        <v>1356</v>
      </c>
      <c r="E457" s="3" t="s">
        <v>171</v>
      </c>
      <c r="F457" s="29">
        <v>80</v>
      </c>
      <c r="G457" s="144" t="s">
        <v>115</v>
      </c>
      <c r="H457" s="29">
        <v>1</v>
      </c>
      <c r="I457" s="31" t="s">
        <v>116</v>
      </c>
    </row>
    <row r="458" spans="1:9" s="26" customFormat="1" ht="21.6" customHeight="1">
      <c r="A458" s="27">
        <v>539</v>
      </c>
      <c r="B458" s="39">
        <v>457</v>
      </c>
      <c r="C458" s="39" t="s">
        <v>222</v>
      </c>
      <c r="D458" s="39" t="s">
        <v>1374</v>
      </c>
      <c r="E458" s="3" t="s">
        <v>223</v>
      </c>
      <c r="F458" s="29">
        <v>80</v>
      </c>
      <c r="G458" s="144" t="s">
        <v>224</v>
      </c>
      <c r="H458" s="29">
        <v>1</v>
      </c>
      <c r="I458" s="31" t="s">
        <v>116</v>
      </c>
    </row>
    <row r="459" spans="1:9" s="26" customFormat="1" ht="21.6" customHeight="1">
      <c r="A459" s="27">
        <v>540</v>
      </c>
      <c r="B459" s="39">
        <v>457</v>
      </c>
      <c r="C459" s="39" t="s">
        <v>225</v>
      </c>
      <c r="D459" s="39" t="s">
        <v>1375</v>
      </c>
      <c r="E459" s="3" t="s">
        <v>226</v>
      </c>
      <c r="F459" s="29">
        <v>120</v>
      </c>
      <c r="G459" s="144" t="s">
        <v>1778</v>
      </c>
      <c r="H459" s="29">
        <v>2</v>
      </c>
      <c r="I459" s="31" t="s">
        <v>357</v>
      </c>
    </row>
    <row r="460" spans="1:9" s="26" customFormat="1" ht="21.6" customHeight="1">
      <c r="A460" s="27">
        <v>541</v>
      </c>
      <c r="B460" s="39">
        <v>457</v>
      </c>
      <c r="C460" s="39" t="s">
        <v>229</v>
      </c>
      <c r="D460" s="39" t="s">
        <v>1376</v>
      </c>
      <c r="E460" s="51" t="s">
        <v>230</v>
      </c>
      <c r="F460" s="29">
        <v>120</v>
      </c>
      <c r="G460" s="144" t="s">
        <v>227</v>
      </c>
      <c r="H460" s="29">
        <v>1</v>
      </c>
      <c r="I460" s="31" t="s">
        <v>357</v>
      </c>
    </row>
    <row r="461" spans="1:9" s="26" customFormat="1" ht="21.6" customHeight="1">
      <c r="A461" s="27">
        <v>542</v>
      </c>
      <c r="B461" s="39">
        <v>457</v>
      </c>
      <c r="C461" s="39" t="s">
        <v>231</v>
      </c>
      <c r="D461" s="39" t="s">
        <v>1377</v>
      </c>
      <c r="E461" s="51" t="s">
        <v>232</v>
      </c>
      <c r="F461" s="29">
        <v>160</v>
      </c>
      <c r="G461" s="144" t="s">
        <v>1779</v>
      </c>
      <c r="H461" s="29">
        <v>1</v>
      </c>
      <c r="I461" s="31" t="s">
        <v>234</v>
      </c>
    </row>
    <row r="462" spans="1:9" s="26" customFormat="1" ht="21.6" customHeight="1">
      <c r="A462" s="27">
        <v>543</v>
      </c>
      <c r="B462" s="39">
        <v>457</v>
      </c>
      <c r="C462" s="39" t="s">
        <v>235</v>
      </c>
      <c r="D462" s="50" t="s">
        <v>1378</v>
      </c>
      <c r="E462" s="51" t="s">
        <v>236</v>
      </c>
      <c r="F462" s="29">
        <v>160</v>
      </c>
      <c r="G462" s="144" t="s">
        <v>237</v>
      </c>
      <c r="H462" s="29">
        <v>1</v>
      </c>
      <c r="I462" s="31" t="s">
        <v>234</v>
      </c>
    </row>
    <row r="463" spans="1:9" s="26" customFormat="1" ht="21.6" customHeight="1">
      <c r="A463" s="27">
        <v>544</v>
      </c>
      <c r="B463" s="39">
        <v>457</v>
      </c>
      <c r="C463" s="39" t="s">
        <v>238</v>
      </c>
      <c r="D463" s="50" t="s">
        <v>1379</v>
      </c>
      <c r="E463" s="51" t="s">
        <v>239</v>
      </c>
      <c r="F463" s="29">
        <v>160</v>
      </c>
      <c r="G463" s="144" t="s">
        <v>233</v>
      </c>
      <c r="H463" s="29">
        <v>1</v>
      </c>
      <c r="I463" s="31" t="s">
        <v>234</v>
      </c>
    </row>
    <row r="464" spans="1:9" s="26" customFormat="1" ht="21.6" customHeight="1">
      <c r="A464" s="27">
        <v>545</v>
      </c>
      <c r="B464" s="39">
        <v>457</v>
      </c>
      <c r="C464" s="39" t="s">
        <v>240</v>
      </c>
      <c r="D464" s="39" t="s">
        <v>1380</v>
      </c>
      <c r="E464" s="3" t="s">
        <v>241</v>
      </c>
      <c r="F464" s="29">
        <v>150</v>
      </c>
      <c r="G464" s="144" t="s">
        <v>122</v>
      </c>
      <c r="H464" s="40" t="s">
        <v>123</v>
      </c>
      <c r="I464" s="31"/>
    </row>
    <row r="465" spans="1:9" s="26" customFormat="1" ht="21.6" customHeight="1">
      <c r="A465" s="27">
        <v>546</v>
      </c>
      <c r="B465" s="39">
        <v>457</v>
      </c>
      <c r="C465" s="39" t="s">
        <v>371</v>
      </c>
      <c r="D465" s="34" t="s">
        <v>1420</v>
      </c>
      <c r="E465" s="3" t="s">
        <v>372</v>
      </c>
      <c r="F465" s="29">
        <v>300</v>
      </c>
      <c r="G465" s="145" t="s">
        <v>244</v>
      </c>
      <c r="H465" s="40" t="s">
        <v>123</v>
      </c>
      <c r="I465" s="31"/>
    </row>
    <row r="466" spans="1:9" s="26" customFormat="1" ht="21.6" customHeight="1">
      <c r="A466" s="27">
        <v>547</v>
      </c>
      <c r="B466" s="39">
        <v>457</v>
      </c>
      <c r="C466" s="39" t="s">
        <v>245</v>
      </c>
      <c r="D466" s="39" t="s">
        <v>1382</v>
      </c>
      <c r="E466" s="3" t="s">
        <v>246</v>
      </c>
      <c r="F466" s="29">
        <v>80</v>
      </c>
      <c r="G466" s="144" t="s">
        <v>247</v>
      </c>
      <c r="H466" s="40" t="s">
        <v>123</v>
      </c>
      <c r="I466" s="31" t="s">
        <v>216</v>
      </c>
    </row>
    <row r="467" spans="1:9" s="26" customFormat="1" ht="21.6" customHeight="1">
      <c r="A467" s="27">
        <v>548</v>
      </c>
      <c r="B467" s="39">
        <v>457</v>
      </c>
      <c r="C467" s="39" t="s">
        <v>248</v>
      </c>
      <c r="D467" s="39" t="s">
        <v>1383</v>
      </c>
      <c r="E467" s="3" t="s">
        <v>249</v>
      </c>
      <c r="F467" s="29">
        <v>120</v>
      </c>
      <c r="G467" s="144" t="s">
        <v>250</v>
      </c>
      <c r="H467" s="40" t="s">
        <v>123</v>
      </c>
      <c r="I467" s="31" t="s">
        <v>357</v>
      </c>
    </row>
    <row r="468" spans="1:9" s="26" customFormat="1" ht="21.6" customHeight="1">
      <c r="A468" s="27">
        <v>549</v>
      </c>
      <c r="B468" s="39">
        <v>457</v>
      </c>
      <c r="C468" s="39" t="s">
        <v>251</v>
      </c>
      <c r="D468" s="39" t="s">
        <v>1384</v>
      </c>
      <c r="E468" s="3" t="s">
        <v>252</v>
      </c>
      <c r="F468" s="29">
        <v>160</v>
      </c>
      <c r="G468" s="144" t="s">
        <v>253</v>
      </c>
      <c r="H468" s="40" t="s">
        <v>123</v>
      </c>
      <c r="I468" s="31" t="s">
        <v>234</v>
      </c>
    </row>
    <row r="469" spans="1:9" s="26" customFormat="1" ht="21.6" customHeight="1">
      <c r="A469" s="27">
        <v>550</v>
      </c>
      <c r="B469" s="39">
        <v>457</v>
      </c>
      <c r="C469" s="39" t="s">
        <v>373</v>
      </c>
      <c r="D469" s="39" t="s">
        <v>1421</v>
      </c>
      <c r="E469" s="3" t="s">
        <v>374</v>
      </c>
      <c r="F469" s="29" t="s">
        <v>123</v>
      </c>
      <c r="G469" s="146" t="s">
        <v>129</v>
      </c>
      <c r="H469" s="40" t="s">
        <v>123</v>
      </c>
      <c r="I469" s="31"/>
    </row>
    <row r="470" spans="1:9" s="26" customFormat="1" ht="21.6" customHeight="1">
      <c r="A470" s="27">
        <v>552</v>
      </c>
      <c r="B470" s="39">
        <v>457</v>
      </c>
      <c r="C470" s="39" t="s">
        <v>375</v>
      </c>
      <c r="D470" s="34" t="s">
        <v>1422</v>
      </c>
      <c r="E470" s="3" t="s">
        <v>376</v>
      </c>
      <c r="F470" s="57" t="s">
        <v>123</v>
      </c>
      <c r="G470" s="144" t="s">
        <v>258</v>
      </c>
      <c r="H470" s="40" t="s">
        <v>123</v>
      </c>
      <c r="I470" s="31"/>
    </row>
    <row r="471" spans="1:9" s="26" customFormat="1" ht="21.6" customHeight="1">
      <c r="A471" s="20">
        <v>553</v>
      </c>
      <c r="B471" s="131" t="s">
        <v>51</v>
      </c>
      <c r="C471" s="131" t="s">
        <v>191</v>
      </c>
      <c r="D471" s="21" t="s">
        <v>1361</v>
      </c>
      <c r="E471" s="22" t="s">
        <v>192</v>
      </c>
      <c r="F471" s="23">
        <v>150</v>
      </c>
      <c r="G471" s="143" t="s">
        <v>193</v>
      </c>
      <c r="H471" s="24">
        <v>1</v>
      </c>
      <c r="I471" s="25" t="s">
        <v>194</v>
      </c>
    </row>
    <row r="472" spans="1:9" s="26" customFormat="1" ht="21.6" customHeight="1">
      <c r="A472" s="27">
        <v>554</v>
      </c>
      <c r="B472" s="132" t="s">
        <v>51</v>
      </c>
      <c r="C472" s="132" t="s">
        <v>195</v>
      </c>
      <c r="D472" s="28" t="s">
        <v>1362</v>
      </c>
      <c r="E472" s="3" t="s">
        <v>196</v>
      </c>
      <c r="F472" s="29">
        <v>150</v>
      </c>
      <c r="G472" s="144" t="s">
        <v>75</v>
      </c>
      <c r="H472" s="29">
        <v>1</v>
      </c>
      <c r="I472" s="31"/>
    </row>
    <row r="473" spans="1:9" s="26" customFormat="1" ht="21.6" customHeight="1">
      <c r="A473" s="27">
        <v>555</v>
      </c>
      <c r="B473" s="132" t="s">
        <v>51</v>
      </c>
      <c r="C473" s="132" t="s">
        <v>76</v>
      </c>
      <c r="D473" s="32" t="s">
        <v>1326</v>
      </c>
      <c r="E473" s="33" t="s">
        <v>77</v>
      </c>
      <c r="F473" s="29">
        <v>150</v>
      </c>
      <c r="G473" s="144" t="s">
        <v>78</v>
      </c>
      <c r="H473" s="29">
        <v>1</v>
      </c>
      <c r="I473" s="31"/>
    </row>
    <row r="474" spans="1:9" s="26" customFormat="1" ht="21.6" customHeight="1">
      <c r="A474" s="27">
        <v>556</v>
      </c>
      <c r="B474" s="132" t="s">
        <v>51</v>
      </c>
      <c r="C474" s="132" t="s">
        <v>259</v>
      </c>
      <c r="D474" s="52" t="s">
        <v>1387</v>
      </c>
      <c r="E474" s="3" t="s">
        <v>260</v>
      </c>
      <c r="F474" s="29">
        <v>300</v>
      </c>
      <c r="G474" s="145" t="s">
        <v>1775</v>
      </c>
      <c r="H474" s="29">
        <v>1</v>
      </c>
      <c r="I474" s="31"/>
    </row>
    <row r="475" spans="1:9" s="26" customFormat="1" ht="21.6" customHeight="1">
      <c r="A475" s="27">
        <v>557</v>
      </c>
      <c r="B475" s="132" t="s">
        <v>51</v>
      </c>
      <c r="C475" s="132" t="s">
        <v>377</v>
      </c>
      <c r="D475" s="32" t="s">
        <v>1423</v>
      </c>
      <c r="E475" s="33" t="s">
        <v>378</v>
      </c>
      <c r="F475" s="29">
        <v>300</v>
      </c>
      <c r="G475" s="144" t="s">
        <v>87</v>
      </c>
      <c r="H475" s="29">
        <v>1</v>
      </c>
      <c r="I475" s="31"/>
    </row>
    <row r="476" spans="1:9" s="26" customFormat="1" ht="21.6" customHeight="1">
      <c r="A476" s="27">
        <v>558</v>
      </c>
      <c r="B476" s="132" t="s">
        <v>51</v>
      </c>
      <c r="C476" s="132" t="s">
        <v>201</v>
      </c>
      <c r="D476" s="28" t="s">
        <v>1365</v>
      </c>
      <c r="E476" s="3" t="s">
        <v>202</v>
      </c>
      <c r="F476" s="29">
        <v>150</v>
      </c>
      <c r="G476" s="144" t="s">
        <v>81</v>
      </c>
      <c r="H476" s="29">
        <v>1</v>
      </c>
      <c r="I476" s="31"/>
    </row>
    <row r="477" spans="1:9" s="26" customFormat="1" ht="21.6" customHeight="1">
      <c r="A477" s="27">
        <v>559</v>
      </c>
      <c r="B477" s="132" t="s">
        <v>51</v>
      </c>
      <c r="C477" s="132" t="s">
        <v>93</v>
      </c>
      <c r="D477" s="28" t="s">
        <v>1332</v>
      </c>
      <c r="E477" s="3" t="s">
        <v>94</v>
      </c>
      <c r="F477" s="29">
        <v>150</v>
      </c>
      <c r="G477" s="144" t="s">
        <v>95</v>
      </c>
      <c r="H477" s="29">
        <v>3</v>
      </c>
      <c r="I477" s="31"/>
    </row>
    <row r="478" spans="1:9" s="26" customFormat="1" ht="21.6" customHeight="1">
      <c r="A478" s="27">
        <v>560</v>
      </c>
      <c r="B478" s="132" t="s">
        <v>51</v>
      </c>
      <c r="C478" s="132" t="s">
        <v>203</v>
      </c>
      <c r="D478" s="28" t="s">
        <v>1366</v>
      </c>
      <c r="E478" s="3" t="s">
        <v>204</v>
      </c>
      <c r="F478" s="29">
        <v>150</v>
      </c>
      <c r="G478" s="144" t="s">
        <v>98</v>
      </c>
      <c r="H478" s="29">
        <v>1</v>
      </c>
      <c r="I478" s="31"/>
    </row>
    <row r="479" spans="1:9" s="26" customFormat="1" ht="21.6" customHeight="1">
      <c r="A479" s="27">
        <v>561</v>
      </c>
      <c r="B479" s="132" t="s">
        <v>51</v>
      </c>
      <c r="C479" s="132" t="s">
        <v>205</v>
      </c>
      <c r="D479" s="28" t="s">
        <v>1367</v>
      </c>
      <c r="E479" s="3" t="s">
        <v>206</v>
      </c>
      <c r="F479" s="29">
        <v>150</v>
      </c>
      <c r="G479" s="144" t="s">
        <v>107</v>
      </c>
      <c r="H479" s="29">
        <v>1</v>
      </c>
      <c r="I479" s="31"/>
    </row>
    <row r="480" spans="1:9" s="26" customFormat="1" ht="21.6" customHeight="1">
      <c r="A480" s="27">
        <v>562</v>
      </c>
      <c r="B480" s="132" t="s">
        <v>51</v>
      </c>
      <c r="C480" s="132" t="s">
        <v>367</v>
      </c>
      <c r="D480" s="28" t="s">
        <v>1419</v>
      </c>
      <c r="E480" s="3" t="s">
        <v>368</v>
      </c>
      <c r="F480" s="29">
        <v>150</v>
      </c>
      <c r="G480" s="145" t="s">
        <v>104</v>
      </c>
      <c r="H480" s="29">
        <v>1</v>
      </c>
      <c r="I480" s="31"/>
    </row>
    <row r="481" spans="1:9" s="26" customFormat="1" ht="21.6" customHeight="1">
      <c r="A481" s="27">
        <v>563</v>
      </c>
      <c r="B481" s="132" t="s">
        <v>51</v>
      </c>
      <c r="C481" s="132" t="s">
        <v>88</v>
      </c>
      <c r="D481" s="47" t="s">
        <v>1330</v>
      </c>
      <c r="E481" s="48" t="s">
        <v>89</v>
      </c>
      <c r="F481" s="29">
        <v>300</v>
      </c>
      <c r="G481" s="144" t="s">
        <v>90</v>
      </c>
      <c r="H481" s="29">
        <v>5</v>
      </c>
      <c r="I481" s="31"/>
    </row>
    <row r="482" spans="1:9" s="26" customFormat="1" ht="21.6" customHeight="1">
      <c r="A482" s="27">
        <v>564</v>
      </c>
      <c r="B482" s="132" t="s">
        <v>51</v>
      </c>
      <c r="C482" s="132" t="s">
        <v>211</v>
      </c>
      <c r="D482" s="28" t="s">
        <v>1370</v>
      </c>
      <c r="E482" s="3" t="s">
        <v>212</v>
      </c>
      <c r="F482" s="29">
        <v>300</v>
      </c>
      <c r="G482" s="144" t="s">
        <v>263</v>
      </c>
      <c r="H482" s="29">
        <v>1</v>
      </c>
      <c r="I482" s="31"/>
    </row>
    <row r="483" spans="1:9" s="26" customFormat="1" ht="21.6" customHeight="1">
      <c r="A483" s="27">
        <v>565</v>
      </c>
      <c r="B483" s="132" t="s">
        <v>51</v>
      </c>
      <c r="C483" s="132" t="s">
        <v>264</v>
      </c>
      <c r="D483" s="50" t="s">
        <v>1389</v>
      </c>
      <c r="E483" s="51" t="s">
        <v>265</v>
      </c>
      <c r="F483" s="29">
        <v>80</v>
      </c>
      <c r="G483" s="144" t="s">
        <v>1780</v>
      </c>
      <c r="H483" s="29">
        <v>1</v>
      </c>
      <c r="I483" s="31" t="s">
        <v>267</v>
      </c>
    </row>
    <row r="484" spans="1:9" s="26" customFormat="1" ht="21.6" customHeight="1">
      <c r="A484" s="27">
        <v>566</v>
      </c>
      <c r="B484" s="132" t="s">
        <v>51</v>
      </c>
      <c r="C484" s="132" t="s">
        <v>268</v>
      </c>
      <c r="D484" s="50" t="s">
        <v>1390</v>
      </c>
      <c r="E484" s="51" t="s">
        <v>269</v>
      </c>
      <c r="F484" s="29">
        <v>80</v>
      </c>
      <c r="G484" s="144" t="s">
        <v>270</v>
      </c>
      <c r="H484" s="29">
        <v>1</v>
      </c>
      <c r="I484" s="31" t="s">
        <v>267</v>
      </c>
    </row>
    <row r="485" spans="1:9" s="26" customFormat="1" ht="21.6" customHeight="1">
      <c r="A485" s="27">
        <v>567</v>
      </c>
      <c r="B485" s="132" t="s">
        <v>51</v>
      </c>
      <c r="C485" s="132" t="s">
        <v>271</v>
      </c>
      <c r="D485" s="50" t="s">
        <v>1391</v>
      </c>
      <c r="E485" s="51" t="s">
        <v>272</v>
      </c>
      <c r="F485" s="29">
        <v>80</v>
      </c>
      <c r="G485" s="144" t="s">
        <v>266</v>
      </c>
      <c r="H485" s="29">
        <v>1</v>
      </c>
      <c r="I485" s="31" t="s">
        <v>267</v>
      </c>
    </row>
    <row r="486" spans="1:9" s="26" customFormat="1" ht="21.6" customHeight="1">
      <c r="A486" s="27">
        <v>568</v>
      </c>
      <c r="B486" s="132" t="s">
        <v>51</v>
      </c>
      <c r="C486" s="132" t="s">
        <v>273</v>
      </c>
      <c r="D486" s="39" t="s">
        <v>1392</v>
      </c>
      <c r="E486" s="3" t="s">
        <v>274</v>
      </c>
      <c r="F486" s="29">
        <v>80</v>
      </c>
      <c r="G486" s="144" t="s">
        <v>275</v>
      </c>
      <c r="H486" s="29">
        <v>1</v>
      </c>
      <c r="I486" s="31" t="s">
        <v>116</v>
      </c>
    </row>
    <row r="487" spans="1:9" s="26" customFormat="1" ht="21.6" customHeight="1">
      <c r="A487" s="27">
        <v>569</v>
      </c>
      <c r="B487" s="132" t="s">
        <v>51</v>
      </c>
      <c r="C487" s="132" t="s">
        <v>276</v>
      </c>
      <c r="D487" s="39" t="s">
        <v>1393</v>
      </c>
      <c r="E487" s="3" t="s">
        <v>277</v>
      </c>
      <c r="F487" s="29">
        <v>80</v>
      </c>
      <c r="G487" s="144" t="s">
        <v>224</v>
      </c>
      <c r="H487" s="29">
        <v>1</v>
      </c>
      <c r="I487" s="31" t="s">
        <v>116</v>
      </c>
    </row>
    <row r="488" spans="1:9" s="26" customFormat="1" ht="21.6" customHeight="1">
      <c r="A488" s="27">
        <v>570</v>
      </c>
      <c r="B488" s="132" t="s">
        <v>51</v>
      </c>
      <c r="C488" s="132" t="s">
        <v>225</v>
      </c>
      <c r="D488" s="39" t="s">
        <v>1375</v>
      </c>
      <c r="E488" s="3" t="s">
        <v>226</v>
      </c>
      <c r="F488" s="29">
        <v>120</v>
      </c>
      <c r="G488" s="144" t="s">
        <v>1781</v>
      </c>
      <c r="H488" s="29">
        <v>2</v>
      </c>
      <c r="I488" s="31" t="s">
        <v>279</v>
      </c>
    </row>
    <row r="489" spans="1:9" s="26" customFormat="1" ht="21.6" customHeight="1">
      <c r="A489" s="27">
        <v>571</v>
      </c>
      <c r="B489" s="132" t="s">
        <v>51</v>
      </c>
      <c r="C489" s="132" t="s">
        <v>229</v>
      </c>
      <c r="D489" s="39" t="s">
        <v>1376</v>
      </c>
      <c r="E489" s="51" t="s">
        <v>230</v>
      </c>
      <c r="F489" s="29">
        <v>120</v>
      </c>
      <c r="G489" s="144" t="s">
        <v>278</v>
      </c>
      <c r="H489" s="29">
        <v>1</v>
      </c>
      <c r="I489" s="31" t="s">
        <v>279</v>
      </c>
    </row>
    <row r="490" spans="1:9" s="26" customFormat="1" ht="21.6" customHeight="1">
      <c r="A490" s="27">
        <v>572</v>
      </c>
      <c r="B490" s="132" t="s">
        <v>51</v>
      </c>
      <c r="C490" s="132" t="s">
        <v>280</v>
      </c>
      <c r="D490" s="39" t="s">
        <v>1394</v>
      </c>
      <c r="E490" s="51" t="s">
        <v>281</v>
      </c>
      <c r="F490" s="29">
        <v>120</v>
      </c>
      <c r="G490" s="144" t="s">
        <v>1782</v>
      </c>
      <c r="H490" s="29">
        <v>1</v>
      </c>
      <c r="I490" s="31" t="s">
        <v>283</v>
      </c>
    </row>
    <row r="491" spans="1:9" s="26" customFormat="1" ht="21.6" customHeight="1">
      <c r="A491" s="27">
        <v>573</v>
      </c>
      <c r="B491" s="132" t="s">
        <v>51</v>
      </c>
      <c r="C491" s="132" t="s">
        <v>284</v>
      </c>
      <c r="D491" s="50" t="s">
        <v>1395</v>
      </c>
      <c r="E491" s="51" t="s">
        <v>226</v>
      </c>
      <c r="F491" s="29">
        <v>120</v>
      </c>
      <c r="G491" s="144" t="s">
        <v>285</v>
      </c>
      <c r="H491" s="29">
        <v>1</v>
      </c>
      <c r="I491" s="31" t="s">
        <v>286</v>
      </c>
    </row>
    <row r="492" spans="1:9" s="26" customFormat="1" ht="21.6" customHeight="1">
      <c r="A492" s="27">
        <v>574</v>
      </c>
      <c r="B492" s="132" t="s">
        <v>51</v>
      </c>
      <c r="C492" s="132" t="s">
        <v>287</v>
      </c>
      <c r="D492" s="50" t="s">
        <v>1396</v>
      </c>
      <c r="E492" s="51" t="s">
        <v>288</v>
      </c>
      <c r="F492" s="29">
        <v>120</v>
      </c>
      <c r="G492" s="144" t="s">
        <v>282</v>
      </c>
      <c r="H492" s="29">
        <v>1</v>
      </c>
      <c r="I492" s="31" t="s">
        <v>286</v>
      </c>
    </row>
    <row r="493" spans="1:9" s="26" customFormat="1" ht="21.6" customHeight="1">
      <c r="A493" s="27">
        <v>575</v>
      </c>
      <c r="B493" s="132" t="s">
        <v>51</v>
      </c>
      <c r="C493" s="132" t="s">
        <v>231</v>
      </c>
      <c r="D493" s="39" t="s">
        <v>1377</v>
      </c>
      <c r="E493" s="51" t="s">
        <v>232</v>
      </c>
      <c r="F493" s="29">
        <v>160</v>
      </c>
      <c r="G493" s="144" t="s">
        <v>1783</v>
      </c>
      <c r="H493" s="29">
        <v>1</v>
      </c>
      <c r="I493" s="31" t="s">
        <v>290</v>
      </c>
    </row>
    <row r="494" spans="1:9" s="26" customFormat="1" ht="21.6" customHeight="1">
      <c r="A494" s="27">
        <v>576</v>
      </c>
      <c r="B494" s="132" t="s">
        <v>51</v>
      </c>
      <c r="C494" s="132" t="s">
        <v>235</v>
      </c>
      <c r="D494" s="50" t="s">
        <v>1378</v>
      </c>
      <c r="E494" s="51" t="s">
        <v>236</v>
      </c>
      <c r="F494" s="29">
        <v>160</v>
      </c>
      <c r="G494" s="144" t="s">
        <v>237</v>
      </c>
      <c r="H494" s="29">
        <v>1</v>
      </c>
      <c r="I494" s="31" t="s">
        <v>290</v>
      </c>
    </row>
    <row r="495" spans="1:9" s="26" customFormat="1" ht="21.6" customHeight="1">
      <c r="A495" s="27">
        <v>577</v>
      </c>
      <c r="B495" s="132" t="s">
        <v>51</v>
      </c>
      <c r="C495" s="132" t="s">
        <v>238</v>
      </c>
      <c r="D495" s="50" t="s">
        <v>1379</v>
      </c>
      <c r="E495" s="51" t="s">
        <v>239</v>
      </c>
      <c r="F495" s="29">
        <v>160</v>
      </c>
      <c r="G495" s="144" t="s">
        <v>289</v>
      </c>
      <c r="H495" s="29">
        <v>1</v>
      </c>
      <c r="I495" s="31" t="s">
        <v>290</v>
      </c>
    </row>
    <row r="496" spans="1:9" s="26" customFormat="1" ht="21.6" customHeight="1">
      <c r="A496" s="27">
        <v>578</v>
      </c>
      <c r="B496" s="132" t="s">
        <v>51</v>
      </c>
      <c r="C496" s="132" t="s">
        <v>291</v>
      </c>
      <c r="D496" s="34" t="s">
        <v>1397</v>
      </c>
      <c r="E496" s="53" t="s">
        <v>292</v>
      </c>
      <c r="F496" s="29">
        <v>150</v>
      </c>
      <c r="G496" s="144" t="s">
        <v>122</v>
      </c>
      <c r="H496" s="40" t="s">
        <v>123</v>
      </c>
      <c r="I496" s="31"/>
    </row>
    <row r="497" spans="1:9" s="26" customFormat="1" ht="21.6" customHeight="1">
      <c r="A497" s="27">
        <v>579</v>
      </c>
      <c r="B497" s="132" t="s">
        <v>51</v>
      </c>
      <c r="C497" s="138" t="s">
        <v>379</v>
      </c>
      <c r="D497" s="54" t="s">
        <v>1424</v>
      </c>
      <c r="E497" s="3" t="s">
        <v>380</v>
      </c>
      <c r="F497" s="29">
        <v>300</v>
      </c>
      <c r="G497" s="145" t="s">
        <v>244</v>
      </c>
      <c r="H497" s="40" t="s">
        <v>123</v>
      </c>
      <c r="I497" s="31"/>
    </row>
    <row r="498" spans="1:9" s="26" customFormat="1" ht="21.6" customHeight="1">
      <c r="A498" s="27">
        <v>580</v>
      </c>
      <c r="B498" s="132" t="s">
        <v>51</v>
      </c>
      <c r="C498" s="132" t="s">
        <v>295</v>
      </c>
      <c r="D498" s="39" t="s">
        <v>1399</v>
      </c>
      <c r="E498" s="3" t="s">
        <v>296</v>
      </c>
      <c r="F498" s="29">
        <v>80</v>
      </c>
      <c r="G498" s="144" t="s">
        <v>247</v>
      </c>
      <c r="H498" s="40" t="s">
        <v>123</v>
      </c>
      <c r="I498" s="31" t="s">
        <v>297</v>
      </c>
    </row>
    <row r="499" spans="1:9" s="26" customFormat="1" ht="21.6" customHeight="1">
      <c r="A499" s="27">
        <v>581</v>
      </c>
      <c r="B499" s="132" t="s">
        <v>51</v>
      </c>
      <c r="C499" s="132" t="s">
        <v>298</v>
      </c>
      <c r="D499" s="39" t="s">
        <v>1400</v>
      </c>
      <c r="E499" s="3" t="s">
        <v>299</v>
      </c>
      <c r="F499" s="29">
        <v>120</v>
      </c>
      <c r="G499" s="144" t="s">
        <v>300</v>
      </c>
      <c r="H499" s="40" t="s">
        <v>123</v>
      </c>
      <c r="I499" s="31" t="s">
        <v>279</v>
      </c>
    </row>
    <row r="500" spans="1:9" s="26" customFormat="1" ht="21.6" customHeight="1">
      <c r="A500" s="27">
        <v>582</v>
      </c>
      <c r="B500" s="132" t="s">
        <v>51</v>
      </c>
      <c r="C500" s="132" t="s">
        <v>301</v>
      </c>
      <c r="D500" s="39" t="s">
        <v>1401</v>
      </c>
      <c r="E500" s="3" t="s">
        <v>302</v>
      </c>
      <c r="F500" s="29">
        <v>120</v>
      </c>
      <c r="G500" s="144" t="s">
        <v>303</v>
      </c>
      <c r="H500" s="40" t="s">
        <v>123</v>
      </c>
      <c r="I500" s="31" t="s">
        <v>283</v>
      </c>
    </row>
    <row r="501" spans="1:9" s="26" customFormat="1" ht="21.6" customHeight="1">
      <c r="A501" s="27">
        <v>583</v>
      </c>
      <c r="B501" s="132" t="s">
        <v>51</v>
      </c>
      <c r="C501" s="132" t="s">
        <v>251</v>
      </c>
      <c r="D501" s="39" t="s">
        <v>1384</v>
      </c>
      <c r="E501" s="3" t="s">
        <v>252</v>
      </c>
      <c r="F501" s="29">
        <v>160</v>
      </c>
      <c r="G501" s="144" t="s">
        <v>304</v>
      </c>
      <c r="H501" s="40" t="s">
        <v>123</v>
      </c>
      <c r="I501" s="31" t="s">
        <v>290</v>
      </c>
    </row>
    <row r="502" spans="1:9" s="26" customFormat="1" ht="21.6" customHeight="1">
      <c r="A502" s="27">
        <v>584</v>
      </c>
      <c r="B502" s="132" t="s">
        <v>51</v>
      </c>
      <c r="C502" s="132" t="s">
        <v>381</v>
      </c>
      <c r="D502" s="39" t="s">
        <v>1425</v>
      </c>
      <c r="E502" s="3" t="s">
        <v>382</v>
      </c>
      <c r="F502" s="29" t="s">
        <v>123</v>
      </c>
      <c r="G502" s="146" t="s">
        <v>129</v>
      </c>
      <c r="H502" s="40" t="s">
        <v>123</v>
      </c>
      <c r="I502" s="31" t="s">
        <v>396</v>
      </c>
    </row>
    <row r="503" spans="1:9" s="26" customFormat="1" ht="21.6" customHeight="1">
      <c r="A503" s="27">
        <v>585</v>
      </c>
      <c r="B503" s="132" t="s">
        <v>51</v>
      </c>
      <c r="C503" s="132" t="s">
        <v>384</v>
      </c>
      <c r="D503" s="39" t="s">
        <v>1426</v>
      </c>
      <c r="E503" s="3" t="s">
        <v>385</v>
      </c>
      <c r="F503" s="29" t="s">
        <v>123</v>
      </c>
      <c r="G503" s="146" t="s">
        <v>129</v>
      </c>
      <c r="H503" s="40" t="s">
        <v>123</v>
      </c>
      <c r="I503" s="31" t="s">
        <v>397</v>
      </c>
    </row>
    <row r="504" spans="1:9" s="26" customFormat="1" ht="21.6" customHeight="1">
      <c r="A504" s="41">
        <v>587</v>
      </c>
      <c r="B504" s="133" t="s">
        <v>51</v>
      </c>
      <c r="C504" s="139" t="s">
        <v>387</v>
      </c>
      <c r="D504" s="34" t="s">
        <v>1427</v>
      </c>
      <c r="E504" s="35" t="s">
        <v>388</v>
      </c>
      <c r="F504" s="42" t="s">
        <v>123</v>
      </c>
      <c r="G504" s="147" t="s">
        <v>313</v>
      </c>
      <c r="H504" s="44" t="s">
        <v>123</v>
      </c>
      <c r="I504" s="45"/>
    </row>
    <row r="505" spans="1:9" s="26" customFormat="1" ht="21.6" customHeight="1">
      <c r="A505" s="20">
        <v>588</v>
      </c>
      <c r="B505" s="131" t="s">
        <v>53</v>
      </c>
      <c r="C505" s="131" t="s">
        <v>314</v>
      </c>
      <c r="D505" s="21" t="s">
        <v>1405</v>
      </c>
      <c r="E505" s="22" t="s">
        <v>315</v>
      </c>
      <c r="F505" s="23">
        <v>150</v>
      </c>
      <c r="G505" s="143" t="s">
        <v>193</v>
      </c>
      <c r="H505" s="24">
        <v>1</v>
      </c>
      <c r="I505" s="25" t="s">
        <v>194</v>
      </c>
    </row>
    <row r="506" spans="1:9" s="26" customFormat="1" ht="21.6" customHeight="1">
      <c r="A506" s="27">
        <v>589</v>
      </c>
      <c r="B506" s="132" t="s">
        <v>53</v>
      </c>
      <c r="C506" s="132" t="s">
        <v>316</v>
      </c>
      <c r="D506" s="28" t="s">
        <v>1406</v>
      </c>
      <c r="E506" s="3" t="s">
        <v>317</v>
      </c>
      <c r="F506" s="29">
        <v>150</v>
      </c>
      <c r="G506" s="144" t="s">
        <v>75</v>
      </c>
      <c r="H506" s="29">
        <v>1</v>
      </c>
      <c r="I506" s="31"/>
    </row>
    <row r="507" spans="1:9" s="26" customFormat="1" ht="21.6" customHeight="1">
      <c r="A507" s="27">
        <v>590</v>
      </c>
      <c r="B507" s="132" t="s">
        <v>53</v>
      </c>
      <c r="C507" s="132" t="s">
        <v>76</v>
      </c>
      <c r="D507" s="32" t="s">
        <v>1326</v>
      </c>
      <c r="E507" s="33" t="s">
        <v>77</v>
      </c>
      <c r="F507" s="29">
        <v>150</v>
      </c>
      <c r="G507" s="144" t="s">
        <v>78</v>
      </c>
      <c r="H507" s="29">
        <v>1</v>
      </c>
      <c r="I507" s="31"/>
    </row>
    <row r="508" spans="1:9" s="26" customFormat="1" ht="21.6" customHeight="1">
      <c r="A508" s="27">
        <v>591</v>
      </c>
      <c r="B508" s="132" t="s">
        <v>53</v>
      </c>
      <c r="C508" s="132" t="s">
        <v>259</v>
      </c>
      <c r="D508" s="52" t="s">
        <v>1387</v>
      </c>
      <c r="E508" s="3" t="s">
        <v>260</v>
      </c>
      <c r="F508" s="29">
        <v>300</v>
      </c>
      <c r="G508" s="145" t="s">
        <v>1775</v>
      </c>
      <c r="H508" s="29">
        <v>1</v>
      </c>
      <c r="I508" s="31"/>
    </row>
    <row r="509" spans="1:9" s="26" customFormat="1" ht="21.6" customHeight="1">
      <c r="A509" s="27">
        <v>592</v>
      </c>
      <c r="B509" s="132" t="s">
        <v>53</v>
      </c>
      <c r="C509" s="132" t="s">
        <v>377</v>
      </c>
      <c r="D509" s="32" t="s">
        <v>1423</v>
      </c>
      <c r="E509" s="33" t="s">
        <v>378</v>
      </c>
      <c r="F509" s="29">
        <v>300</v>
      </c>
      <c r="G509" s="144" t="s">
        <v>87</v>
      </c>
      <c r="H509" s="29">
        <v>1</v>
      </c>
      <c r="I509" s="31"/>
    </row>
    <row r="510" spans="1:9" s="26" customFormat="1" ht="21.6" customHeight="1">
      <c r="A510" s="27">
        <v>593</v>
      </c>
      <c r="B510" s="132" t="s">
        <v>53</v>
      </c>
      <c r="C510" s="132" t="s">
        <v>201</v>
      </c>
      <c r="D510" s="28" t="s">
        <v>1365</v>
      </c>
      <c r="E510" s="3" t="s">
        <v>202</v>
      </c>
      <c r="F510" s="29">
        <v>150</v>
      </c>
      <c r="G510" s="144" t="s">
        <v>81</v>
      </c>
      <c r="H510" s="29">
        <v>1</v>
      </c>
      <c r="I510" s="31"/>
    </row>
    <row r="511" spans="1:9" s="26" customFormat="1" ht="21.6" customHeight="1">
      <c r="A511" s="27">
        <v>594</v>
      </c>
      <c r="B511" s="132" t="s">
        <v>53</v>
      </c>
      <c r="C511" s="132" t="s">
        <v>93</v>
      </c>
      <c r="D511" s="28" t="s">
        <v>1332</v>
      </c>
      <c r="E511" s="3" t="s">
        <v>94</v>
      </c>
      <c r="F511" s="29">
        <v>150</v>
      </c>
      <c r="G511" s="144" t="s">
        <v>95</v>
      </c>
      <c r="H511" s="29">
        <v>3</v>
      </c>
      <c r="I511" s="31"/>
    </row>
    <row r="512" spans="1:9" s="26" customFormat="1" ht="21.6" customHeight="1">
      <c r="A512" s="27">
        <v>595</v>
      </c>
      <c r="B512" s="132" t="s">
        <v>53</v>
      </c>
      <c r="C512" s="132" t="s">
        <v>203</v>
      </c>
      <c r="D512" s="28" t="s">
        <v>1366</v>
      </c>
      <c r="E512" s="3" t="s">
        <v>204</v>
      </c>
      <c r="F512" s="29">
        <v>150</v>
      </c>
      <c r="G512" s="144" t="s">
        <v>98</v>
      </c>
      <c r="H512" s="29">
        <v>1</v>
      </c>
      <c r="I512" s="31"/>
    </row>
    <row r="513" spans="1:9" s="26" customFormat="1" ht="21.6" customHeight="1">
      <c r="A513" s="27">
        <v>596</v>
      </c>
      <c r="B513" s="132" t="s">
        <v>53</v>
      </c>
      <c r="C513" s="132" t="s">
        <v>205</v>
      </c>
      <c r="D513" s="28" t="s">
        <v>1367</v>
      </c>
      <c r="E513" s="3" t="s">
        <v>206</v>
      </c>
      <c r="F513" s="29">
        <v>150</v>
      </c>
      <c r="G513" s="144" t="s">
        <v>107</v>
      </c>
      <c r="H513" s="29">
        <v>1</v>
      </c>
      <c r="I513" s="31"/>
    </row>
    <row r="514" spans="1:9" s="26" customFormat="1" ht="21.6" customHeight="1">
      <c r="A514" s="27">
        <v>597</v>
      </c>
      <c r="B514" s="132" t="s">
        <v>53</v>
      </c>
      <c r="C514" s="132" t="s">
        <v>389</v>
      </c>
      <c r="D514" s="28" t="s">
        <v>1428</v>
      </c>
      <c r="E514" s="3" t="s">
        <v>390</v>
      </c>
      <c r="F514" s="29">
        <v>150</v>
      </c>
      <c r="G514" s="145" t="s">
        <v>104</v>
      </c>
      <c r="H514" s="29">
        <v>1</v>
      </c>
      <c r="I514" s="31"/>
    </row>
    <row r="515" spans="1:9" s="26" customFormat="1" ht="21.6" customHeight="1">
      <c r="A515" s="27">
        <v>598</v>
      </c>
      <c r="B515" s="132" t="s">
        <v>53</v>
      </c>
      <c r="C515" s="132" t="s">
        <v>88</v>
      </c>
      <c r="D515" s="47" t="s">
        <v>1330</v>
      </c>
      <c r="E515" s="48" t="s">
        <v>89</v>
      </c>
      <c r="F515" s="29">
        <v>300</v>
      </c>
      <c r="G515" s="144" t="s">
        <v>90</v>
      </c>
      <c r="H515" s="29">
        <v>5</v>
      </c>
      <c r="I515" s="31"/>
    </row>
    <row r="516" spans="1:9" s="26" customFormat="1" ht="21.6" customHeight="1">
      <c r="A516" s="27">
        <v>599</v>
      </c>
      <c r="B516" s="132" t="s">
        <v>53</v>
      </c>
      <c r="C516" s="132" t="s">
        <v>211</v>
      </c>
      <c r="D516" s="28" t="s">
        <v>1370</v>
      </c>
      <c r="E516" s="3" t="s">
        <v>212</v>
      </c>
      <c r="F516" s="29">
        <v>300</v>
      </c>
      <c r="G516" s="144" t="s">
        <v>263</v>
      </c>
      <c r="H516" s="29">
        <v>1</v>
      </c>
      <c r="I516" s="31"/>
    </row>
    <row r="517" spans="1:9" s="26" customFormat="1" ht="21.6" customHeight="1">
      <c r="A517" s="27">
        <v>600</v>
      </c>
      <c r="B517" s="132" t="s">
        <v>53</v>
      </c>
      <c r="C517" s="132" t="s">
        <v>264</v>
      </c>
      <c r="D517" s="50" t="s">
        <v>1389</v>
      </c>
      <c r="E517" s="51" t="s">
        <v>265</v>
      </c>
      <c r="F517" s="29">
        <v>80</v>
      </c>
      <c r="G517" s="144" t="s">
        <v>1780</v>
      </c>
      <c r="H517" s="29">
        <v>1</v>
      </c>
      <c r="I517" s="31" t="s">
        <v>391</v>
      </c>
    </row>
    <row r="518" spans="1:9" s="26" customFormat="1" ht="21.6" customHeight="1">
      <c r="A518" s="27">
        <v>601</v>
      </c>
      <c r="B518" s="132" t="s">
        <v>53</v>
      </c>
      <c r="C518" s="132" t="s">
        <v>268</v>
      </c>
      <c r="D518" s="50" t="s">
        <v>1390</v>
      </c>
      <c r="E518" s="51" t="s">
        <v>269</v>
      </c>
      <c r="F518" s="29">
        <v>80</v>
      </c>
      <c r="G518" s="144" t="s">
        <v>270</v>
      </c>
      <c r="H518" s="29">
        <v>1</v>
      </c>
      <c r="I518" s="31" t="s">
        <v>398</v>
      </c>
    </row>
    <row r="519" spans="1:9" s="26" customFormat="1" ht="21.6" customHeight="1">
      <c r="A519" s="27">
        <v>602</v>
      </c>
      <c r="B519" s="132" t="s">
        <v>53</v>
      </c>
      <c r="C519" s="132" t="s">
        <v>271</v>
      </c>
      <c r="D519" s="50" t="s">
        <v>1391</v>
      </c>
      <c r="E519" s="51" t="s">
        <v>272</v>
      </c>
      <c r="F519" s="29">
        <v>80</v>
      </c>
      <c r="G519" s="144" t="s">
        <v>266</v>
      </c>
      <c r="H519" s="29">
        <v>1</v>
      </c>
      <c r="I519" s="31" t="s">
        <v>398</v>
      </c>
    </row>
    <row r="520" spans="1:9" s="26" customFormat="1" ht="21.6" customHeight="1">
      <c r="A520" s="27">
        <v>603</v>
      </c>
      <c r="B520" s="132" t="s">
        <v>53</v>
      </c>
      <c r="C520" s="132" t="s">
        <v>273</v>
      </c>
      <c r="D520" s="39" t="s">
        <v>1392</v>
      </c>
      <c r="E520" s="3" t="s">
        <v>274</v>
      </c>
      <c r="F520" s="29">
        <v>80</v>
      </c>
      <c r="G520" s="144" t="s">
        <v>275</v>
      </c>
      <c r="H520" s="29">
        <v>1</v>
      </c>
      <c r="I520" s="31" t="s">
        <v>116</v>
      </c>
    </row>
    <row r="521" spans="1:9" s="26" customFormat="1" ht="21.6" customHeight="1">
      <c r="A521" s="27">
        <v>604</v>
      </c>
      <c r="B521" s="132" t="s">
        <v>53</v>
      </c>
      <c r="C521" s="132" t="s">
        <v>276</v>
      </c>
      <c r="D521" s="39" t="s">
        <v>1393</v>
      </c>
      <c r="E521" s="3" t="s">
        <v>277</v>
      </c>
      <c r="F521" s="29">
        <v>80</v>
      </c>
      <c r="G521" s="144" t="s">
        <v>224</v>
      </c>
      <c r="H521" s="29">
        <v>1</v>
      </c>
      <c r="I521" s="31" t="s">
        <v>116</v>
      </c>
    </row>
    <row r="522" spans="1:9" s="26" customFormat="1" ht="21.6" customHeight="1">
      <c r="A522" s="27">
        <v>605</v>
      </c>
      <c r="B522" s="132" t="s">
        <v>53</v>
      </c>
      <c r="C522" s="132" t="s">
        <v>225</v>
      </c>
      <c r="D522" s="39" t="s">
        <v>1375</v>
      </c>
      <c r="E522" s="3" t="s">
        <v>226</v>
      </c>
      <c r="F522" s="29">
        <v>120</v>
      </c>
      <c r="G522" s="144" t="s">
        <v>320</v>
      </c>
      <c r="H522" s="29">
        <v>2</v>
      </c>
      <c r="I522" s="31" t="s">
        <v>321</v>
      </c>
    </row>
    <row r="523" spans="1:9" s="26" customFormat="1" ht="21.6" customHeight="1">
      <c r="A523" s="27">
        <v>606</v>
      </c>
      <c r="B523" s="132" t="s">
        <v>53</v>
      </c>
      <c r="C523" s="132" t="s">
        <v>229</v>
      </c>
      <c r="D523" s="39" t="s">
        <v>1376</v>
      </c>
      <c r="E523" s="51" t="s">
        <v>230</v>
      </c>
      <c r="F523" s="29">
        <v>120</v>
      </c>
      <c r="G523" s="144" t="s">
        <v>278</v>
      </c>
      <c r="H523" s="29">
        <v>1</v>
      </c>
      <c r="I523" s="31" t="s">
        <v>364</v>
      </c>
    </row>
    <row r="524" spans="1:9" s="26" customFormat="1" ht="21.6" customHeight="1">
      <c r="A524" s="27">
        <v>607</v>
      </c>
      <c r="B524" s="132" t="s">
        <v>53</v>
      </c>
      <c r="C524" s="132" t="s">
        <v>323</v>
      </c>
      <c r="D524" s="39" t="s">
        <v>1407</v>
      </c>
      <c r="E524" s="51" t="s">
        <v>324</v>
      </c>
      <c r="F524" s="29">
        <v>120</v>
      </c>
      <c r="G524" s="144" t="s">
        <v>1782</v>
      </c>
      <c r="H524" s="29">
        <v>1</v>
      </c>
      <c r="I524" s="31" t="s">
        <v>325</v>
      </c>
    </row>
    <row r="525" spans="1:9" s="26" customFormat="1" ht="21.6" customHeight="1">
      <c r="A525" s="27">
        <v>608</v>
      </c>
      <c r="B525" s="132" t="s">
        <v>53</v>
      </c>
      <c r="C525" s="132" t="s">
        <v>284</v>
      </c>
      <c r="D525" s="50" t="s">
        <v>1395</v>
      </c>
      <c r="E525" s="51" t="s">
        <v>226</v>
      </c>
      <c r="F525" s="29">
        <v>120</v>
      </c>
      <c r="G525" s="144" t="s">
        <v>285</v>
      </c>
      <c r="H525" s="29">
        <v>1</v>
      </c>
      <c r="I525" s="31" t="s">
        <v>325</v>
      </c>
    </row>
    <row r="526" spans="1:9" s="26" customFormat="1" ht="21.6" customHeight="1">
      <c r="A526" s="27">
        <v>609</v>
      </c>
      <c r="B526" s="132" t="s">
        <v>53</v>
      </c>
      <c r="C526" s="132" t="s">
        <v>287</v>
      </c>
      <c r="D526" s="50" t="s">
        <v>1396</v>
      </c>
      <c r="E526" s="51" t="s">
        <v>288</v>
      </c>
      <c r="F526" s="29">
        <v>120</v>
      </c>
      <c r="G526" s="144" t="s">
        <v>282</v>
      </c>
      <c r="H526" s="29">
        <v>1</v>
      </c>
      <c r="I526" s="31" t="s">
        <v>325</v>
      </c>
    </row>
    <row r="527" spans="1:9" s="26" customFormat="1" ht="21.6" customHeight="1">
      <c r="A527" s="27">
        <v>610</v>
      </c>
      <c r="B527" s="132" t="s">
        <v>53</v>
      </c>
      <c r="C527" s="132" t="s">
        <v>326</v>
      </c>
      <c r="D527" s="39" t="s">
        <v>1408</v>
      </c>
      <c r="E527" s="51" t="s">
        <v>327</v>
      </c>
      <c r="F527" s="29">
        <v>320</v>
      </c>
      <c r="G527" s="144" t="s">
        <v>237</v>
      </c>
      <c r="H527" s="29">
        <v>2</v>
      </c>
      <c r="I527" s="31" t="s">
        <v>331</v>
      </c>
    </row>
    <row r="528" spans="1:9" s="26" customFormat="1" ht="21.6" customHeight="1">
      <c r="A528" s="27">
        <v>611</v>
      </c>
      <c r="B528" s="132" t="s">
        <v>53</v>
      </c>
      <c r="C528" s="132" t="s">
        <v>329</v>
      </c>
      <c r="D528" s="50" t="s">
        <v>1409</v>
      </c>
      <c r="E528" s="51" t="s">
        <v>330</v>
      </c>
      <c r="F528" s="29">
        <v>320</v>
      </c>
      <c r="G528" s="144" t="s">
        <v>289</v>
      </c>
      <c r="H528" s="29">
        <v>1</v>
      </c>
      <c r="I528" s="31" t="s">
        <v>331</v>
      </c>
    </row>
    <row r="529" spans="1:9" ht="21.6" customHeight="1">
      <c r="A529" s="27">
        <v>612</v>
      </c>
      <c r="B529" s="132" t="s">
        <v>53</v>
      </c>
      <c r="C529" s="132" t="s">
        <v>332</v>
      </c>
      <c r="D529" s="34" t="s">
        <v>1410</v>
      </c>
      <c r="E529" s="35" t="s">
        <v>333</v>
      </c>
      <c r="F529" s="40">
        <v>500</v>
      </c>
      <c r="G529" s="144" t="s">
        <v>1784</v>
      </c>
      <c r="H529" s="40">
        <v>2</v>
      </c>
      <c r="I529" s="55" t="s">
        <v>334</v>
      </c>
    </row>
    <row r="530" spans="1:9" ht="21.6" customHeight="1">
      <c r="A530" s="27">
        <v>613</v>
      </c>
      <c r="B530" s="132" t="s">
        <v>53</v>
      </c>
      <c r="C530" s="132" t="s">
        <v>335</v>
      </c>
      <c r="D530" s="34" t="s">
        <v>1411</v>
      </c>
      <c r="E530" s="35" t="s">
        <v>336</v>
      </c>
      <c r="F530" s="40">
        <v>500</v>
      </c>
      <c r="G530" s="144" t="s">
        <v>337</v>
      </c>
      <c r="H530" s="40">
        <v>1</v>
      </c>
      <c r="I530" s="55" t="s">
        <v>338</v>
      </c>
    </row>
    <row r="531" spans="1:9" ht="21.6" customHeight="1">
      <c r="A531" s="27">
        <v>614</v>
      </c>
      <c r="B531" s="132" t="s">
        <v>53</v>
      </c>
      <c r="C531" s="132" t="s">
        <v>339</v>
      </c>
      <c r="D531" s="34" t="s">
        <v>1412</v>
      </c>
      <c r="E531" s="35" t="s">
        <v>340</v>
      </c>
      <c r="F531" s="40">
        <v>500</v>
      </c>
      <c r="G531" s="145" t="s">
        <v>341</v>
      </c>
      <c r="H531" s="40">
        <v>1</v>
      </c>
      <c r="I531" s="55" t="s">
        <v>338</v>
      </c>
    </row>
    <row r="532" spans="1:9" s="26" customFormat="1" ht="21.6" customHeight="1">
      <c r="A532" s="27">
        <v>615</v>
      </c>
      <c r="B532" s="132" t="s">
        <v>53</v>
      </c>
      <c r="C532" s="132" t="s">
        <v>342</v>
      </c>
      <c r="D532" s="34" t="s">
        <v>1413</v>
      </c>
      <c r="E532" s="53" t="s">
        <v>343</v>
      </c>
      <c r="F532" s="29">
        <v>150</v>
      </c>
      <c r="G532" s="144" t="s">
        <v>122</v>
      </c>
      <c r="H532" s="40" t="s">
        <v>123</v>
      </c>
      <c r="I532" s="31"/>
    </row>
    <row r="533" spans="1:9" s="26" customFormat="1" ht="21.6" customHeight="1">
      <c r="A533" s="27">
        <v>616</v>
      </c>
      <c r="B533" s="132" t="s">
        <v>53</v>
      </c>
      <c r="C533" s="138" t="s">
        <v>379</v>
      </c>
      <c r="D533" s="54" t="s">
        <v>1424</v>
      </c>
      <c r="E533" s="3" t="s">
        <v>380</v>
      </c>
      <c r="F533" s="29">
        <v>300</v>
      </c>
      <c r="G533" s="145" t="s">
        <v>244</v>
      </c>
      <c r="H533" s="40" t="s">
        <v>123</v>
      </c>
      <c r="I533" s="31"/>
    </row>
    <row r="534" spans="1:9" s="26" customFormat="1" ht="21.6" customHeight="1">
      <c r="A534" s="27">
        <v>617</v>
      </c>
      <c r="B534" s="132" t="s">
        <v>53</v>
      </c>
      <c r="C534" s="132" t="s">
        <v>295</v>
      </c>
      <c r="D534" s="39" t="s">
        <v>1399</v>
      </c>
      <c r="E534" s="3" t="s">
        <v>296</v>
      </c>
      <c r="F534" s="29">
        <v>80</v>
      </c>
      <c r="G534" s="144" t="s">
        <v>247</v>
      </c>
      <c r="H534" s="40" t="s">
        <v>123</v>
      </c>
      <c r="I534" s="31" t="s">
        <v>391</v>
      </c>
    </row>
    <row r="535" spans="1:9" s="26" customFormat="1" ht="21.6" customHeight="1">
      <c r="A535" s="27">
        <v>618</v>
      </c>
      <c r="B535" s="132" t="s">
        <v>53</v>
      </c>
      <c r="C535" s="132" t="s">
        <v>298</v>
      </c>
      <c r="D535" s="39" t="s">
        <v>1400</v>
      </c>
      <c r="E535" s="3" t="s">
        <v>299</v>
      </c>
      <c r="F535" s="29">
        <v>120</v>
      </c>
      <c r="G535" s="144" t="s">
        <v>300</v>
      </c>
      <c r="H535" s="40" t="s">
        <v>123</v>
      </c>
      <c r="I535" s="31" t="s">
        <v>321</v>
      </c>
    </row>
    <row r="536" spans="1:9" s="26" customFormat="1" ht="21.6" customHeight="1">
      <c r="A536" s="27">
        <v>619</v>
      </c>
      <c r="B536" s="132" t="s">
        <v>53</v>
      </c>
      <c r="C536" s="132" t="s">
        <v>345</v>
      </c>
      <c r="D536" s="39" t="s">
        <v>1414</v>
      </c>
      <c r="E536" s="3" t="s">
        <v>346</v>
      </c>
      <c r="F536" s="29">
        <v>120</v>
      </c>
      <c r="G536" s="144" t="s">
        <v>303</v>
      </c>
      <c r="H536" s="40" t="s">
        <v>123</v>
      </c>
      <c r="I536" s="31" t="s">
        <v>325</v>
      </c>
    </row>
    <row r="537" spans="1:9" ht="21.6" customHeight="1">
      <c r="A537" s="27">
        <v>621</v>
      </c>
      <c r="B537" s="132" t="s">
        <v>53</v>
      </c>
      <c r="C537" s="132" t="s">
        <v>347</v>
      </c>
      <c r="D537" s="34" t="s">
        <v>1415</v>
      </c>
      <c r="E537" s="35" t="s">
        <v>348</v>
      </c>
      <c r="F537" s="40">
        <v>500</v>
      </c>
      <c r="G537" s="144" t="s">
        <v>349</v>
      </c>
      <c r="H537" s="40" t="s">
        <v>123</v>
      </c>
      <c r="I537" s="55" t="s">
        <v>334</v>
      </c>
    </row>
    <row r="538" spans="1:9" s="26" customFormat="1" ht="21.6" customHeight="1">
      <c r="A538" s="27">
        <v>622</v>
      </c>
      <c r="B538" s="132" t="s">
        <v>53</v>
      </c>
      <c r="C538" s="132" t="s">
        <v>392</v>
      </c>
      <c r="D538" s="39" t="s">
        <v>1429</v>
      </c>
      <c r="E538" s="3" t="s">
        <v>393</v>
      </c>
      <c r="F538" s="29" t="s">
        <v>123</v>
      </c>
      <c r="G538" s="146" t="s">
        <v>129</v>
      </c>
      <c r="H538" s="40" t="s">
        <v>123</v>
      </c>
      <c r="I538" s="31"/>
    </row>
    <row r="539" spans="1:9" s="26" customFormat="1" ht="21.6" customHeight="1">
      <c r="A539" s="41">
        <v>624</v>
      </c>
      <c r="B539" s="133" t="s">
        <v>53</v>
      </c>
      <c r="C539" s="139" t="s">
        <v>394</v>
      </c>
      <c r="D539" s="52" t="s">
        <v>1430</v>
      </c>
      <c r="E539" s="3" t="s">
        <v>395</v>
      </c>
      <c r="F539" s="42" t="s">
        <v>123</v>
      </c>
      <c r="G539" s="147" t="s">
        <v>313</v>
      </c>
      <c r="H539" s="44" t="s">
        <v>123</v>
      </c>
      <c r="I539" s="45"/>
    </row>
    <row r="540" spans="1:9" s="58" customFormat="1" ht="21.6" customHeight="1">
      <c r="A540" s="20">
        <v>636</v>
      </c>
      <c r="B540" s="128">
        <v>507</v>
      </c>
      <c r="C540" s="128" t="s">
        <v>191</v>
      </c>
      <c r="D540" s="21" t="s">
        <v>1361</v>
      </c>
      <c r="E540" s="22" t="s">
        <v>192</v>
      </c>
      <c r="F540" s="23">
        <v>150</v>
      </c>
      <c r="G540" s="143" t="s">
        <v>193</v>
      </c>
      <c r="H540" s="24">
        <v>1</v>
      </c>
      <c r="I540" s="25" t="s">
        <v>194</v>
      </c>
    </row>
    <row r="541" spans="1:9" s="58" customFormat="1" ht="21.6" customHeight="1">
      <c r="A541" s="27">
        <v>637</v>
      </c>
      <c r="B541" s="39">
        <v>507</v>
      </c>
      <c r="C541" s="39" t="s">
        <v>195</v>
      </c>
      <c r="D541" s="28" t="s">
        <v>1362</v>
      </c>
      <c r="E541" s="3" t="s">
        <v>196</v>
      </c>
      <c r="F541" s="29">
        <v>150</v>
      </c>
      <c r="G541" s="144" t="s">
        <v>75</v>
      </c>
      <c r="H541" s="29">
        <v>1</v>
      </c>
      <c r="I541" s="31"/>
    </row>
    <row r="542" spans="1:9" s="58" customFormat="1" ht="21.6" customHeight="1">
      <c r="A542" s="27">
        <v>638</v>
      </c>
      <c r="B542" s="39">
        <v>507</v>
      </c>
      <c r="C542" s="39" t="s">
        <v>76</v>
      </c>
      <c r="D542" s="32" t="s">
        <v>1326</v>
      </c>
      <c r="E542" s="33" t="s">
        <v>77</v>
      </c>
      <c r="F542" s="29">
        <v>150</v>
      </c>
      <c r="G542" s="144" t="s">
        <v>78</v>
      </c>
      <c r="H542" s="29">
        <v>1</v>
      </c>
      <c r="I542" s="31"/>
    </row>
    <row r="543" spans="1:9" s="58" customFormat="1" ht="21.6" customHeight="1">
      <c r="A543" s="27">
        <v>639</v>
      </c>
      <c r="B543" s="39">
        <v>507</v>
      </c>
      <c r="C543" s="39" t="s">
        <v>197</v>
      </c>
      <c r="D543" s="34" t="s">
        <v>1363</v>
      </c>
      <c r="E543" s="3" t="s">
        <v>198</v>
      </c>
      <c r="F543" s="29">
        <v>300</v>
      </c>
      <c r="G543" s="145" t="s">
        <v>1775</v>
      </c>
      <c r="H543" s="29">
        <v>1</v>
      </c>
      <c r="I543" s="31"/>
    </row>
    <row r="544" spans="1:9" s="58" customFormat="1" ht="21.6" customHeight="1">
      <c r="A544" s="27">
        <v>640</v>
      </c>
      <c r="B544" s="39">
        <v>507</v>
      </c>
      <c r="C544" s="39" t="s">
        <v>365</v>
      </c>
      <c r="D544" s="32" t="s">
        <v>1418</v>
      </c>
      <c r="E544" s="33" t="s">
        <v>366</v>
      </c>
      <c r="F544" s="29">
        <v>300</v>
      </c>
      <c r="G544" s="144" t="s">
        <v>87</v>
      </c>
      <c r="H544" s="29">
        <v>1</v>
      </c>
      <c r="I544" s="31"/>
    </row>
    <row r="545" spans="1:9" s="58" customFormat="1" ht="21.6" customHeight="1">
      <c r="A545" s="27">
        <v>641</v>
      </c>
      <c r="B545" s="39">
        <v>507</v>
      </c>
      <c r="C545" s="39" t="s">
        <v>201</v>
      </c>
      <c r="D545" s="28" t="s">
        <v>1365</v>
      </c>
      <c r="E545" s="3" t="s">
        <v>202</v>
      </c>
      <c r="F545" s="29">
        <v>150</v>
      </c>
      <c r="G545" s="144" t="s">
        <v>81</v>
      </c>
      <c r="H545" s="29">
        <v>1</v>
      </c>
      <c r="I545" s="31"/>
    </row>
    <row r="546" spans="1:9" s="58" customFormat="1" ht="21.6" customHeight="1">
      <c r="A546" s="27">
        <v>642</v>
      </c>
      <c r="B546" s="39">
        <v>507</v>
      </c>
      <c r="C546" s="39" t="s">
        <v>93</v>
      </c>
      <c r="D546" s="28" t="s">
        <v>1332</v>
      </c>
      <c r="E546" s="3" t="s">
        <v>94</v>
      </c>
      <c r="F546" s="29">
        <v>150</v>
      </c>
      <c r="G546" s="144" t="s">
        <v>95</v>
      </c>
      <c r="H546" s="29">
        <v>2</v>
      </c>
      <c r="I546" s="31"/>
    </row>
    <row r="547" spans="1:9" s="58" customFormat="1" ht="21.6" customHeight="1">
      <c r="A547" s="27">
        <v>643</v>
      </c>
      <c r="B547" s="39">
        <v>507</v>
      </c>
      <c r="C547" s="39" t="s">
        <v>203</v>
      </c>
      <c r="D547" s="28" t="s">
        <v>1366</v>
      </c>
      <c r="E547" s="3" t="s">
        <v>204</v>
      </c>
      <c r="F547" s="29">
        <v>150</v>
      </c>
      <c r="G547" s="144" t="s">
        <v>98</v>
      </c>
      <c r="H547" s="29">
        <v>1</v>
      </c>
      <c r="I547" s="31"/>
    </row>
    <row r="548" spans="1:9" s="58" customFormat="1" ht="21.6" customHeight="1">
      <c r="A548" s="27">
        <v>644</v>
      </c>
      <c r="B548" s="39">
        <v>507</v>
      </c>
      <c r="C548" s="39" t="s">
        <v>205</v>
      </c>
      <c r="D548" s="28" t="s">
        <v>1367</v>
      </c>
      <c r="E548" s="3" t="s">
        <v>206</v>
      </c>
      <c r="F548" s="29">
        <v>150</v>
      </c>
      <c r="G548" s="144" t="s">
        <v>107</v>
      </c>
      <c r="H548" s="29">
        <v>1</v>
      </c>
      <c r="I548" s="31"/>
    </row>
    <row r="549" spans="1:9" s="58" customFormat="1" ht="21.6" customHeight="1">
      <c r="A549" s="27">
        <v>645</v>
      </c>
      <c r="B549" s="39">
        <v>507</v>
      </c>
      <c r="C549" s="39" t="s">
        <v>367</v>
      </c>
      <c r="D549" s="28" t="s">
        <v>1419</v>
      </c>
      <c r="E549" s="3" t="s">
        <v>368</v>
      </c>
      <c r="F549" s="29">
        <v>150</v>
      </c>
      <c r="G549" s="145" t="s">
        <v>104</v>
      </c>
      <c r="H549" s="29">
        <v>1</v>
      </c>
      <c r="I549" s="31"/>
    </row>
    <row r="550" spans="1:9" s="58" customFormat="1" ht="21.6" customHeight="1">
      <c r="A550" s="27">
        <v>646</v>
      </c>
      <c r="B550" s="39">
        <v>507</v>
      </c>
      <c r="C550" s="39" t="s">
        <v>209</v>
      </c>
      <c r="D550" s="28" t="s">
        <v>1369</v>
      </c>
      <c r="E550" s="3" t="s">
        <v>210</v>
      </c>
      <c r="F550" s="29">
        <v>150</v>
      </c>
      <c r="G550" s="144" t="s">
        <v>90</v>
      </c>
      <c r="H550" s="29">
        <v>5</v>
      </c>
      <c r="I550" s="31"/>
    </row>
    <row r="551" spans="1:9" s="58" customFormat="1" ht="21.6" customHeight="1">
      <c r="A551" s="27">
        <v>647</v>
      </c>
      <c r="B551" s="39">
        <v>507</v>
      </c>
      <c r="C551" s="39" t="s">
        <v>211</v>
      </c>
      <c r="D551" s="28" t="s">
        <v>1370</v>
      </c>
      <c r="E551" s="3" t="s">
        <v>212</v>
      </c>
      <c r="F551" s="29">
        <v>300</v>
      </c>
      <c r="G551" s="144" t="s">
        <v>101</v>
      </c>
      <c r="H551" s="29">
        <v>1</v>
      </c>
      <c r="I551" s="31"/>
    </row>
    <row r="552" spans="1:9" s="58" customFormat="1" ht="21.6" customHeight="1">
      <c r="A552" s="27">
        <v>648</v>
      </c>
      <c r="B552" s="39">
        <v>507</v>
      </c>
      <c r="C552" s="39" t="s">
        <v>213</v>
      </c>
      <c r="D552" s="50" t="s">
        <v>1371</v>
      </c>
      <c r="E552" s="51" t="s">
        <v>214</v>
      </c>
      <c r="F552" s="29">
        <v>80</v>
      </c>
      <c r="G552" s="144" t="s">
        <v>1786</v>
      </c>
      <c r="H552" s="29">
        <v>1</v>
      </c>
      <c r="I552" s="31"/>
    </row>
    <row r="553" spans="1:9" s="58" customFormat="1" ht="21.6" customHeight="1">
      <c r="A553" s="27">
        <v>649</v>
      </c>
      <c r="B553" s="39">
        <v>507</v>
      </c>
      <c r="C553" s="39" t="s">
        <v>217</v>
      </c>
      <c r="D553" s="50" t="s">
        <v>1372</v>
      </c>
      <c r="E553" s="51" t="s">
        <v>218</v>
      </c>
      <c r="F553" s="29">
        <v>80</v>
      </c>
      <c r="G553" s="144" t="s">
        <v>399</v>
      </c>
      <c r="H553" s="29">
        <v>1</v>
      </c>
      <c r="I553" s="31"/>
    </row>
    <row r="554" spans="1:9" s="58" customFormat="1" ht="21.6" customHeight="1">
      <c r="A554" s="27">
        <v>650</v>
      </c>
      <c r="B554" s="39">
        <v>507</v>
      </c>
      <c r="C554" s="39" t="s">
        <v>400</v>
      </c>
      <c r="D554" s="50" t="s">
        <v>1431</v>
      </c>
      <c r="E554" s="51" t="s">
        <v>401</v>
      </c>
      <c r="F554" s="29">
        <v>80</v>
      </c>
      <c r="G554" s="144" t="s">
        <v>1787</v>
      </c>
      <c r="H554" s="29">
        <v>1</v>
      </c>
      <c r="I554" s="31"/>
    </row>
    <row r="555" spans="1:9" s="58" customFormat="1" ht="21.6" customHeight="1">
      <c r="A555" s="27">
        <v>651</v>
      </c>
      <c r="B555" s="39">
        <v>507</v>
      </c>
      <c r="C555" s="39" t="s">
        <v>213</v>
      </c>
      <c r="D555" s="50" t="s">
        <v>1371</v>
      </c>
      <c r="E555" s="51" t="s">
        <v>214</v>
      </c>
      <c r="F555" s="29">
        <v>80</v>
      </c>
      <c r="G555" s="144" t="s">
        <v>1788</v>
      </c>
      <c r="H555" s="29">
        <v>1</v>
      </c>
      <c r="I555" s="31" t="s">
        <v>216</v>
      </c>
    </row>
    <row r="556" spans="1:9" s="58" customFormat="1" ht="21.6" customHeight="1">
      <c r="A556" s="27">
        <v>652</v>
      </c>
      <c r="B556" s="39">
        <v>507</v>
      </c>
      <c r="C556" s="39" t="s">
        <v>217</v>
      </c>
      <c r="D556" s="50" t="s">
        <v>1372</v>
      </c>
      <c r="E556" s="51" t="s">
        <v>218</v>
      </c>
      <c r="F556" s="29">
        <v>80</v>
      </c>
      <c r="G556" s="144" t="s">
        <v>219</v>
      </c>
      <c r="H556" s="29">
        <v>1</v>
      </c>
      <c r="I556" s="31" t="s">
        <v>216</v>
      </c>
    </row>
    <row r="557" spans="1:9" s="58" customFormat="1" ht="21.6" customHeight="1">
      <c r="A557" s="27">
        <v>653</v>
      </c>
      <c r="B557" s="39">
        <v>507</v>
      </c>
      <c r="C557" s="39" t="s">
        <v>220</v>
      </c>
      <c r="D557" s="50" t="s">
        <v>1373</v>
      </c>
      <c r="E557" s="51" t="s">
        <v>221</v>
      </c>
      <c r="F557" s="29">
        <v>80</v>
      </c>
      <c r="G557" s="144" t="s">
        <v>402</v>
      </c>
      <c r="H557" s="29">
        <v>1</v>
      </c>
      <c r="I557" s="31" t="s">
        <v>369</v>
      </c>
    </row>
    <row r="558" spans="1:9" s="58" customFormat="1" ht="21.6" customHeight="1">
      <c r="A558" s="27">
        <v>654</v>
      </c>
      <c r="B558" s="39">
        <v>507</v>
      </c>
      <c r="C558" s="39" t="s">
        <v>170</v>
      </c>
      <c r="D558" s="39" t="s">
        <v>1356</v>
      </c>
      <c r="E558" s="3" t="s">
        <v>171</v>
      </c>
      <c r="F558" s="29">
        <v>80</v>
      </c>
      <c r="G558" s="144" t="s">
        <v>115</v>
      </c>
      <c r="H558" s="29">
        <v>1</v>
      </c>
      <c r="I558" s="31" t="s">
        <v>116</v>
      </c>
    </row>
    <row r="559" spans="1:9" s="58" customFormat="1" ht="21.6" customHeight="1">
      <c r="A559" s="27">
        <v>655</v>
      </c>
      <c r="B559" s="39">
        <v>507</v>
      </c>
      <c r="C559" s="39" t="s">
        <v>222</v>
      </c>
      <c r="D559" s="39" t="s">
        <v>1374</v>
      </c>
      <c r="E559" s="3" t="s">
        <v>223</v>
      </c>
      <c r="F559" s="29">
        <v>80</v>
      </c>
      <c r="G559" s="144" t="s">
        <v>224</v>
      </c>
      <c r="H559" s="29">
        <v>1</v>
      </c>
      <c r="I559" s="31" t="s">
        <v>116</v>
      </c>
    </row>
    <row r="560" spans="1:9" s="58" customFormat="1" ht="21.6" customHeight="1">
      <c r="A560" s="27">
        <v>656</v>
      </c>
      <c r="B560" s="39">
        <v>507</v>
      </c>
      <c r="C560" s="39" t="s">
        <v>225</v>
      </c>
      <c r="D560" s="39" t="s">
        <v>1375</v>
      </c>
      <c r="E560" s="3" t="s">
        <v>226</v>
      </c>
      <c r="F560" s="29">
        <v>120</v>
      </c>
      <c r="G560" s="144" t="s">
        <v>1778</v>
      </c>
      <c r="H560" s="29">
        <v>2</v>
      </c>
      <c r="I560" s="31" t="s">
        <v>357</v>
      </c>
    </row>
    <row r="561" spans="1:9" s="58" customFormat="1" ht="21.6" customHeight="1">
      <c r="A561" s="27">
        <v>657</v>
      </c>
      <c r="B561" s="39">
        <v>507</v>
      </c>
      <c r="C561" s="39" t="s">
        <v>229</v>
      </c>
      <c r="D561" s="39" t="s">
        <v>1376</v>
      </c>
      <c r="E561" s="51" t="s">
        <v>230</v>
      </c>
      <c r="F561" s="29">
        <v>120</v>
      </c>
      <c r="G561" s="144" t="s">
        <v>227</v>
      </c>
      <c r="H561" s="29">
        <v>1</v>
      </c>
      <c r="I561" s="31" t="s">
        <v>357</v>
      </c>
    </row>
    <row r="562" spans="1:9" s="58" customFormat="1" ht="21.6" customHeight="1">
      <c r="A562" s="27">
        <v>658</v>
      </c>
      <c r="B562" s="39">
        <v>507</v>
      </c>
      <c r="C562" s="39" t="s">
        <v>231</v>
      </c>
      <c r="D562" s="39" t="s">
        <v>1377</v>
      </c>
      <c r="E562" s="51" t="s">
        <v>232</v>
      </c>
      <c r="F562" s="29">
        <v>160</v>
      </c>
      <c r="G562" s="144" t="s">
        <v>1779</v>
      </c>
      <c r="H562" s="29">
        <v>1</v>
      </c>
      <c r="I562" s="31" t="s">
        <v>403</v>
      </c>
    </row>
    <row r="563" spans="1:9" s="58" customFormat="1" ht="21.6" customHeight="1">
      <c r="A563" s="27">
        <v>659</v>
      </c>
      <c r="B563" s="39">
        <v>507</v>
      </c>
      <c r="C563" s="39" t="s">
        <v>235</v>
      </c>
      <c r="D563" s="50" t="s">
        <v>1378</v>
      </c>
      <c r="E563" s="51" t="s">
        <v>236</v>
      </c>
      <c r="F563" s="29">
        <v>160</v>
      </c>
      <c r="G563" s="144" t="s">
        <v>237</v>
      </c>
      <c r="H563" s="29">
        <v>1</v>
      </c>
      <c r="I563" s="31" t="s">
        <v>403</v>
      </c>
    </row>
    <row r="564" spans="1:9" s="58" customFormat="1" ht="21.6" customHeight="1">
      <c r="A564" s="27">
        <v>660</v>
      </c>
      <c r="B564" s="39">
        <v>507</v>
      </c>
      <c r="C564" s="39" t="s">
        <v>238</v>
      </c>
      <c r="D564" s="50" t="s">
        <v>1379</v>
      </c>
      <c r="E564" s="51" t="s">
        <v>239</v>
      </c>
      <c r="F564" s="29">
        <v>160</v>
      </c>
      <c r="G564" s="144" t="s">
        <v>233</v>
      </c>
      <c r="H564" s="29">
        <v>1</v>
      </c>
      <c r="I564" s="31" t="s">
        <v>403</v>
      </c>
    </row>
    <row r="565" spans="1:9" s="58" customFormat="1" ht="21.6" customHeight="1">
      <c r="A565" s="27">
        <v>661</v>
      </c>
      <c r="B565" s="39">
        <v>507</v>
      </c>
      <c r="C565" s="39" t="s">
        <v>240</v>
      </c>
      <c r="D565" s="39" t="s">
        <v>1380</v>
      </c>
      <c r="E565" s="3" t="s">
        <v>241</v>
      </c>
      <c r="F565" s="29">
        <v>150</v>
      </c>
      <c r="G565" s="144" t="s">
        <v>122</v>
      </c>
      <c r="H565" s="40" t="s">
        <v>123</v>
      </c>
      <c r="I565" s="31"/>
    </row>
    <row r="566" spans="1:9" s="58" customFormat="1" ht="21.6" customHeight="1">
      <c r="A566" s="27">
        <v>662</v>
      </c>
      <c r="B566" s="39">
        <v>507</v>
      </c>
      <c r="C566" s="39" t="s">
        <v>371</v>
      </c>
      <c r="D566" s="34" t="s">
        <v>1420</v>
      </c>
      <c r="E566" s="3" t="s">
        <v>372</v>
      </c>
      <c r="F566" s="29">
        <v>300</v>
      </c>
      <c r="G566" s="145" t="s">
        <v>244</v>
      </c>
      <c r="H566" s="40" t="s">
        <v>123</v>
      </c>
      <c r="I566" s="31"/>
    </row>
    <row r="567" spans="1:9" s="58" customFormat="1" ht="21.6" customHeight="1">
      <c r="A567" s="27">
        <v>663</v>
      </c>
      <c r="B567" s="39">
        <v>507</v>
      </c>
      <c r="C567" s="39" t="s">
        <v>404</v>
      </c>
      <c r="D567" s="39" t="s">
        <v>1432</v>
      </c>
      <c r="E567" s="3" t="s">
        <v>405</v>
      </c>
      <c r="F567" s="29">
        <v>80</v>
      </c>
      <c r="G567" s="144" t="s">
        <v>406</v>
      </c>
      <c r="H567" s="40" t="s">
        <v>123</v>
      </c>
      <c r="I567" s="31"/>
    </row>
    <row r="568" spans="1:9" s="58" customFormat="1" ht="21.6" customHeight="1">
      <c r="A568" s="27">
        <v>664</v>
      </c>
      <c r="B568" s="39">
        <v>507</v>
      </c>
      <c r="C568" s="39" t="s">
        <v>245</v>
      </c>
      <c r="D568" s="39" t="s">
        <v>1382</v>
      </c>
      <c r="E568" s="3" t="s">
        <v>246</v>
      </c>
      <c r="F568" s="29">
        <v>80</v>
      </c>
      <c r="G568" s="144" t="s">
        <v>247</v>
      </c>
      <c r="H568" s="40" t="s">
        <v>123</v>
      </c>
      <c r="I568" s="31" t="s">
        <v>369</v>
      </c>
    </row>
    <row r="569" spans="1:9" s="58" customFormat="1" ht="21.6" customHeight="1">
      <c r="A569" s="27">
        <v>665</v>
      </c>
      <c r="B569" s="39">
        <v>507</v>
      </c>
      <c r="C569" s="39" t="s">
        <v>248</v>
      </c>
      <c r="D569" s="39" t="s">
        <v>1383</v>
      </c>
      <c r="E569" s="3" t="s">
        <v>249</v>
      </c>
      <c r="F569" s="29">
        <v>120</v>
      </c>
      <c r="G569" s="144" t="s">
        <v>250</v>
      </c>
      <c r="H569" s="40" t="s">
        <v>123</v>
      </c>
      <c r="I569" s="31" t="s">
        <v>357</v>
      </c>
    </row>
    <row r="570" spans="1:9" s="58" customFormat="1" ht="21.6" customHeight="1">
      <c r="A570" s="27">
        <v>666</v>
      </c>
      <c r="B570" s="39">
        <v>507</v>
      </c>
      <c r="C570" s="39" t="s">
        <v>251</v>
      </c>
      <c r="D570" s="39" t="s">
        <v>1384</v>
      </c>
      <c r="E570" s="3" t="s">
        <v>252</v>
      </c>
      <c r="F570" s="29">
        <v>160</v>
      </c>
      <c r="G570" s="144" t="s">
        <v>253</v>
      </c>
      <c r="H570" s="40" t="s">
        <v>123</v>
      </c>
      <c r="I570" s="31" t="s">
        <v>403</v>
      </c>
    </row>
    <row r="571" spans="1:9" s="58" customFormat="1" ht="21.6" customHeight="1">
      <c r="A571" s="27">
        <v>667</v>
      </c>
      <c r="B571" s="39">
        <v>507</v>
      </c>
      <c r="C571" s="39" t="s">
        <v>373</v>
      </c>
      <c r="D571" s="39" t="s">
        <v>1421</v>
      </c>
      <c r="E571" s="3" t="s">
        <v>374</v>
      </c>
      <c r="F571" s="29" t="s">
        <v>123</v>
      </c>
      <c r="G571" s="146" t="s">
        <v>129</v>
      </c>
      <c r="H571" s="40" t="s">
        <v>123</v>
      </c>
      <c r="I571" s="31"/>
    </row>
    <row r="572" spans="1:9" s="58" customFormat="1" ht="21.6" customHeight="1">
      <c r="A572" s="27">
        <v>669</v>
      </c>
      <c r="B572" s="39">
        <v>507</v>
      </c>
      <c r="C572" s="39" t="s">
        <v>375</v>
      </c>
      <c r="D572" s="34" t="s">
        <v>1422</v>
      </c>
      <c r="E572" s="3" t="s">
        <v>376</v>
      </c>
      <c r="F572" s="57" t="s">
        <v>123</v>
      </c>
      <c r="G572" s="144" t="s">
        <v>258</v>
      </c>
      <c r="H572" s="40" t="s">
        <v>123</v>
      </c>
      <c r="I572" s="31"/>
    </row>
    <row r="573" spans="1:9" s="26" customFormat="1" ht="21.6" customHeight="1">
      <c r="A573" s="20">
        <v>670</v>
      </c>
      <c r="B573" s="131" t="s">
        <v>55</v>
      </c>
      <c r="C573" s="131" t="s">
        <v>191</v>
      </c>
      <c r="D573" s="21" t="s">
        <v>1361</v>
      </c>
      <c r="E573" s="22" t="s">
        <v>192</v>
      </c>
      <c r="F573" s="23">
        <v>150</v>
      </c>
      <c r="G573" s="143" t="s">
        <v>193</v>
      </c>
      <c r="H573" s="24">
        <v>1</v>
      </c>
      <c r="I573" s="25" t="s">
        <v>194</v>
      </c>
    </row>
    <row r="574" spans="1:9" s="26" customFormat="1" ht="21.6" customHeight="1">
      <c r="A574" s="27">
        <v>671</v>
      </c>
      <c r="B574" s="132" t="s">
        <v>55</v>
      </c>
      <c r="C574" s="132" t="s">
        <v>195</v>
      </c>
      <c r="D574" s="28" t="s">
        <v>1362</v>
      </c>
      <c r="E574" s="3" t="s">
        <v>196</v>
      </c>
      <c r="F574" s="29">
        <v>150</v>
      </c>
      <c r="G574" s="144" t="s">
        <v>75</v>
      </c>
      <c r="H574" s="29">
        <v>1</v>
      </c>
      <c r="I574" s="31"/>
    </row>
    <row r="575" spans="1:9" s="26" customFormat="1" ht="21.6" customHeight="1">
      <c r="A575" s="27">
        <v>672</v>
      </c>
      <c r="B575" s="132" t="s">
        <v>55</v>
      </c>
      <c r="C575" s="132" t="s">
        <v>76</v>
      </c>
      <c r="D575" s="32" t="s">
        <v>1326</v>
      </c>
      <c r="E575" s="33" t="s">
        <v>77</v>
      </c>
      <c r="F575" s="29">
        <v>150</v>
      </c>
      <c r="G575" s="144" t="s">
        <v>78</v>
      </c>
      <c r="H575" s="29">
        <v>1</v>
      </c>
      <c r="I575" s="31"/>
    </row>
    <row r="576" spans="1:9" s="26" customFormat="1" ht="21.6" customHeight="1">
      <c r="A576" s="27">
        <v>673</v>
      </c>
      <c r="B576" s="132" t="s">
        <v>55</v>
      </c>
      <c r="C576" s="132" t="s">
        <v>259</v>
      </c>
      <c r="D576" s="52" t="s">
        <v>1387</v>
      </c>
      <c r="E576" s="3" t="s">
        <v>260</v>
      </c>
      <c r="F576" s="29">
        <v>300</v>
      </c>
      <c r="G576" s="145" t="s">
        <v>1775</v>
      </c>
      <c r="H576" s="29">
        <v>1</v>
      </c>
      <c r="I576" s="31"/>
    </row>
    <row r="577" spans="1:9" s="26" customFormat="1" ht="21.6" customHeight="1">
      <c r="A577" s="27">
        <v>674</v>
      </c>
      <c r="B577" s="132" t="s">
        <v>55</v>
      </c>
      <c r="C577" s="132" t="s">
        <v>377</v>
      </c>
      <c r="D577" s="32" t="s">
        <v>1423</v>
      </c>
      <c r="E577" s="33" t="s">
        <v>378</v>
      </c>
      <c r="F577" s="29">
        <v>300</v>
      </c>
      <c r="G577" s="144" t="s">
        <v>87</v>
      </c>
      <c r="H577" s="29">
        <v>1</v>
      </c>
      <c r="I577" s="31"/>
    </row>
    <row r="578" spans="1:9" s="26" customFormat="1" ht="21.6" customHeight="1">
      <c r="A578" s="27">
        <v>675</v>
      </c>
      <c r="B578" s="132" t="s">
        <v>55</v>
      </c>
      <c r="C578" s="132" t="s">
        <v>201</v>
      </c>
      <c r="D578" s="28" t="s">
        <v>1365</v>
      </c>
      <c r="E578" s="3" t="s">
        <v>202</v>
      </c>
      <c r="F578" s="29">
        <v>150</v>
      </c>
      <c r="G578" s="144" t="s">
        <v>81</v>
      </c>
      <c r="H578" s="29">
        <v>1</v>
      </c>
      <c r="I578" s="31"/>
    </row>
    <row r="579" spans="1:9" s="26" customFormat="1" ht="21.6" customHeight="1">
      <c r="A579" s="27">
        <v>676</v>
      </c>
      <c r="B579" s="132" t="s">
        <v>55</v>
      </c>
      <c r="C579" s="132" t="s">
        <v>93</v>
      </c>
      <c r="D579" s="28" t="s">
        <v>1332</v>
      </c>
      <c r="E579" s="3" t="s">
        <v>94</v>
      </c>
      <c r="F579" s="29">
        <v>150</v>
      </c>
      <c r="G579" s="144" t="s">
        <v>95</v>
      </c>
      <c r="H579" s="29">
        <v>3</v>
      </c>
      <c r="I579" s="31"/>
    </row>
    <row r="580" spans="1:9" s="26" customFormat="1" ht="21.6" customHeight="1">
      <c r="A580" s="27">
        <v>677</v>
      </c>
      <c r="B580" s="132" t="s">
        <v>55</v>
      </c>
      <c r="C580" s="132" t="s">
        <v>203</v>
      </c>
      <c r="D580" s="28" t="s">
        <v>1366</v>
      </c>
      <c r="E580" s="3" t="s">
        <v>204</v>
      </c>
      <c r="F580" s="29">
        <v>150</v>
      </c>
      <c r="G580" s="144" t="s">
        <v>98</v>
      </c>
      <c r="H580" s="29">
        <v>1</v>
      </c>
      <c r="I580" s="31"/>
    </row>
    <row r="581" spans="1:9" s="26" customFormat="1" ht="21.6" customHeight="1">
      <c r="A581" s="27">
        <v>678</v>
      </c>
      <c r="B581" s="132" t="s">
        <v>55</v>
      </c>
      <c r="C581" s="132" t="s">
        <v>205</v>
      </c>
      <c r="D581" s="28" t="s">
        <v>1367</v>
      </c>
      <c r="E581" s="3" t="s">
        <v>206</v>
      </c>
      <c r="F581" s="29">
        <v>150</v>
      </c>
      <c r="G581" s="144" t="s">
        <v>107</v>
      </c>
      <c r="H581" s="29">
        <v>1</v>
      </c>
      <c r="I581" s="31"/>
    </row>
    <row r="582" spans="1:9" s="26" customFormat="1" ht="21.6" customHeight="1">
      <c r="A582" s="27">
        <v>679</v>
      </c>
      <c r="B582" s="132" t="s">
        <v>55</v>
      </c>
      <c r="C582" s="132" t="s">
        <v>367</v>
      </c>
      <c r="D582" s="28" t="s">
        <v>1419</v>
      </c>
      <c r="E582" s="3" t="s">
        <v>368</v>
      </c>
      <c r="F582" s="29">
        <v>150</v>
      </c>
      <c r="G582" s="145" t="s">
        <v>104</v>
      </c>
      <c r="H582" s="29">
        <v>1</v>
      </c>
      <c r="I582" s="31"/>
    </row>
    <row r="583" spans="1:9" s="26" customFormat="1" ht="21.6" customHeight="1">
      <c r="A583" s="27">
        <v>680</v>
      </c>
      <c r="B583" s="132" t="s">
        <v>55</v>
      </c>
      <c r="C583" s="132" t="s">
        <v>88</v>
      </c>
      <c r="D583" s="47" t="s">
        <v>1330</v>
      </c>
      <c r="E583" s="48" t="s">
        <v>89</v>
      </c>
      <c r="F583" s="29">
        <v>300</v>
      </c>
      <c r="G583" s="144" t="s">
        <v>90</v>
      </c>
      <c r="H583" s="29">
        <v>5</v>
      </c>
      <c r="I583" s="31"/>
    </row>
    <row r="584" spans="1:9" s="26" customFormat="1" ht="21.6" customHeight="1">
      <c r="A584" s="27">
        <v>681</v>
      </c>
      <c r="B584" s="132" t="s">
        <v>55</v>
      </c>
      <c r="C584" s="132" t="s">
        <v>211</v>
      </c>
      <c r="D584" s="28" t="s">
        <v>1370</v>
      </c>
      <c r="E584" s="3" t="s">
        <v>212</v>
      </c>
      <c r="F584" s="29">
        <v>300</v>
      </c>
      <c r="G584" s="144" t="s">
        <v>263</v>
      </c>
      <c r="H584" s="29">
        <v>1</v>
      </c>
      <c r="I584" s="31"/>
    </row>
    <row r="585" spans="1:9" s="26" customFormat="1" ht="21.6" customHeight="1">
      <c r="A585" s="27">
        <v>682</v>
      </c>
      <c r="B585" s="132" t="s">
        <v>55</v>
      </c>
      <c r="C585" s="132" t="s">
        <v>264</v>
      </c>
      <c r="D585" s="50" t="s">
        <v>1389</v>
      </c>
      <c r="E585" s="51" t="s">
        <v>265</v>
      </c>
      <c r="F585" s="29">
        <v>80</v>
      </c>
      <c r="G585" s="144" t="s">
        <v>1780</v>
      </c>
      <c r="H585" s="29">
        <v>1</v>
      </c>
      <c r="I585" s="31" t="s">
        <v>267</v>
      </c>
    </row>
    <row r="586" spans="1:9" s="26" customFormat="1" ht="21.6" customHeight="1">
      <c r="A586" s="27">
        <v>683</v>
      </c>
      <c r="B586" s="132" t="s">
        <v>55</v>
      </c>
      <c r="C586" s="132" t="s">
        <v>268</v>
      </c>
      <c r="D586" s="50" t="s">
        <v>1390</v>
      </c>
      <c r="E586" s="51" t="s">
        <v>269</v>
      </c>
      <c r="F586" s="29">
        <v>80</v>
      </c>
      <c r="G586" s="144" t="s">
        <v>270</v>
      </c>
      <c r="H586" s="29">
        <v>1</v>
      </c>
      <c r="I586" s="31" t="s">
        <v>267</v>
      </c>
    </row>
    <row r="587" spans="1:9" s="26" customFormat="1" ht="21.6" customHeight="1">
      <c r="A587" s="27">
        <v>684</v>
      </c>
      <c r="B587" s="132" t="s">
        <v>55</v>
      </c>
      <c r="C587" s="132" t="s">
        <v>271</v>
      </c>
      <c r="D587" s="50" t="s">
        <v>1391</v>
      </c>
      <c r="E587" s="51" t="s">
        <v>272</v>
      </c>
      <c r="F587" s="29">
        <v>80</v>
      </c>
      <c r="G587" s="144" t="s">
        <v>266</v>
      </c>
      <c r="H587" s="29">
        <v>1</v>
      </c>
      <c r="I587" s="31" t="s">
        <v>267</v>
      </c>
    </row>
    <row r="588" spans="1:9" s="26" customFormat="1" ht="21.6" customHeight="1">
      <c r="A588" s="27">
        <v>685</v>
      </c>
      <c r="B588" s="132" t="s">
        <v>55</v>
      </c>
      <c r="C588" s="132" t="s">
        <v>273</v>
      </c>
      <c r="D588" s="39" t="s">
        <v>1392</v>
      </c>
      <c r="E588" s="3" t="s">
        <v>274</v>
      </c>
      <c r="F588" s="29">
        <v>80</v>
      </c>
      <c r="G588" s="144" t="s">
        <v>275</v>
      </c>
      <c r="H588" s="29">
        <v>1</v>
      </c>
      <c r="I588" s="31" t="s">
        <v>116</v>
      </c>
    </row>
    <row r="589" spans="1:9" s="26" customFormat="1" ht="21.6" customHeight="1">
      <c r="A589" s="27">
        <v>686</v>
      </c>
      <c r="B589" s="132" t="s">
        <v>55</v>
      </c>
      <c r="C589" s="132" t="s">
        <v>276</v>
      </c>
      <c r="D589" s="39" t="s">
        <v>1393</v>
      </c>
      <c r="E589" s="3" t="s">
        <v>277</v>
      </c>
      <c r="F589" s="29">
        <v>80</v>
      </c>
      <c r="G589" s="144" t="s">
        <v>224</v>
      </c>
      <c r="H589" s="29">
        <v>1</v>
      </c>
      <c r="I589" s="31" t="s">
        <v>116</v>
      </c>
    </row>
    <row r="590" spans="1:9" s="26" customFormat="1" ht="21.6" customHeight="1">
      <c r="A590" s="27">
        <v>687</v>
      </c>
      <c r="B590" s="132" t="s">
        <v>55</v>
      </c>
      <c r="C590" s="132" t="s">
        <v>225</v>
      </c>
      <c r="D590" s="39" t="s">
        <v>1375</v>
      </c>
      <c r="E590" s="3" t="s">
        <v>226</v>
      </c>
      <c r="F590" s="29">
        <v>120</v>
      </c>
      <c r="G590" s="144" t="s">
        <v>1781</v>
      </c>
      <c r="H590" s="29">
        <v>2</v>
      </c>
      <c r="I590" s="31" t="s">
        <v>279</v>
      </c>
    </row>
    <row r="591" spans="1:9" s="26" customFormat="1" ht="21.6" customHeight="1">
      <c r="A591" s="27">
        <v>688</v>
      </c>
      <c r="B591" s="132" t="s">
        <v>55</v>
      </c>
      <c r="C591" s="132" t="s">
        <v>229</v>
      </c>
      <c r="D591" s="39" t="s">
        <v>1376</v>
      </c>
      <c r="E591" s="51" t="s">
        <v>230</v>
      </c>
      <c r="F591" s="29">
        <v>120</v>
      </c>
      <c r="G591" s="144" t="s">
        <v>278</v>
      </c>
      <c r="H591" s="29">
        <v>1</v>
      </c>
      <c r="I591" s="31" t="s">
        <v>279</v>
      </c>
    </row>
    <row r="592" spans="1:9" s="26" customFormat="1" ht="21.6" customHeight="1">
      <c r="A592" s="27">
        <v>689</v>
      </c>
      <c r="B592" s="132" t="s">
        <v>55</v>
      </c>
      <c r="C592" s="132" t="s">
        <v>280</v>
      </c>
      <c r="D592" s="39" t="s">
        <v>1394</v>
      </c>
      <c r="E592" s="51" t="s">
        <v>281</v>
      </c>
      <c r="F592" s="29">
        <v>120</v>
      </c>
      <c r="G592" s="144" t="s">
        <v>1782</v>
      </c>
      <c r="H592" s="29">
        <v>1</v>
      </c>
      <c r="I592" s="31" t="s">
        <v>283</v>
      </c>
    </row>
    <row r="593" spans="1:9" s="26" customFormat="1" ht="21.6" customHeight="1">
      <c r="A593" s="27">
        <v>690</v>
      </c>
      <c r="B593" s="132" t="s">
        <v>55</v>
      </c>
      <c r="C593" s="132" t="s">
        <v>284</v>
      </c>
      <c r="D593" s="50" t="s">
        <v>1395</v>
      </c>
      <c r="E593" s="51" t="s">
        <v>226</v>
      </c>
      <c r="F593" s="29">
        <v>120</v>
      </c>
      <c r="G593" s="144" t="s">
        <v>285</v>
      </c>
      <c r="H593" s="29">
        <v>1</v>
      </c>
      <c r="I593" s="31" t="s">
        <v>286</v>
      </c>
    </row>
    <row r="594" spans="1:9" s="26" customFormat="1" ht="21.6" customHeight="1">
      <c r="A594" s="27">
        <v>691</v>
      </c>
      <c r="B594" s="132" t="s">
        <v>55</v>
      </c>
      <c r="C594" s="132" t="s">
        <v>287</v>
      </c>
      <c r="D594" s="50" t="s">
        <v>1396</v>
      </c>
      <c r="E594" s="51" t="s">
        <v>288</v>
      </c>
      <c r="F594" s="29">
        <v>120</v>
      </c>
      <c r="G594" s="144" t="s">
        <v>282</v>
      </c>
      <c r="H594" s="29">
        <v>1</v>
      </c>
      <c r="I594" s="31" t="s">
        <v>286</v>
      </c>
    </row>
    <row r="595" spans="1:9" s="26" customFormat="1" ht="21.6" customHeight="1">
      <c r="A595" s="27">
        <v>692</v>
      </c>
      <c r="B595" s="132" t="s">
        <v>55</v>
      </c>
      <c r="C595" s="132" t="s">
        <v>231</v>
      </c>
      <c r="D595" s="39" t="s">
        <v>1377</v>
      </c>
      <c r="E595" s="51" t="s">
        <v>232</v>
      </c>
      <c r="F595" s="29">
        <v>160</v>
      </c>
      <c r="G595" s="144" t="s">
        <v>1783</v>
      </c>
      <c r="H595" s="29">
        <v>1</v>
      </c>
      <c r="I595" s="31" t="s">
        <v>290</v>
      </c>
    </row>
    <row r="596" spans="1:9" s="26" customFormat="1" ht="21.6" customHeight="1">
      <c r="A596" s="27">
        <v>693</v>
      </c>
      <c r="B596" s="132" t="s">
        <v>55</v>
      </c>
      <c r="C596" s="132" t="s">
        <v>235</v>
      </c>
      <c r="D596" s="50" t="s">
        <v>1378</v>
      </c>
      <c r="E596" s="51" t="s">
        <v>236</v>
      </c>
      <c r="F596" s="29">
        <v>160</v>
      </c>
      <c r="G596" s="144" t="s">
        <v>237</v>
      </c>
      <c r="H596" s="29">
        <v>1</v>
      </c>
      <c r="I596" s="31" t="s">
        <v>290</v>
      </c>
    </row>
    <row r="597" spans="1:9" s="26" customFormat="1" ht="21.6" customHeight="1">
      <c r="A597" s="27">
        <v>694</v>
      </c>
      <c r="B597" s="132" t="s">
        <v>55</v>
      </c>
      <c r="C597" s="132" t="s">
        <v>238</v>
      </c>
      <c r="D597" s="50" t="s">
        <v>1379</v>
      </c>
      <c r="E597" s="51" t="s">
        <v>239</v>
      </c>
      <c r="F597" s="29">
        <v>160</v>
      </c>
      <c r="G597" s="144" t="s">
        <v>289</v>
      </c>
      <c r="H597" s="29">
        <v>1</v>
      </c>
      <c r="I597" s="31" t="s">
        <v>290</v>
      </c>
    </row>
    <row r="598" spans="1:9" s="26" customFormat="1" ht="21.6" customHeight="1">
      <c r="A598" s="27">
        <v>695</v>
      </c>
      <c r="B598" s="132" t="s">
        <v>55</v>
      </c>
      <c r="C598" s="132" t="s">
        <v>291</v>
      </c>
      <c r="D598" s="34" t="s">
        <v>1397</v>
      </c>
      <c r="E598" s="53" t="s">
        <v>292</v>
      </c>
      <c r="F598" s="29">
        <v>150</v>
      </c>
      <c r="G598" s="144" t="s">
        <v>122</v>
      </c>
      <c r="H598" s="40" t="s">
        <v>123</v>
      </c>
      <c r="I598" s="31"/>
    </row>
    <row r="599" spans="1:9" s="26" customFormat="1" ht="21.6" customHeight="1">
      <c r="A599" s="27">
        <v>696</v>
      </c>
      <c r="B599" s="132" t="s">
        <v>55</v>
      </c>
      <c r="C599" s="138" t="s">
        <v>379</v>
      </c>
      <c r="D599" s="54" t="s">
        <v>1424</v>
      </c>
      <c r="E599" s="3" t="s">
        <v>380</v>
      </c>
      <c r="F599" s="29">
        <v>300</v>
      </c>
      <c r="G599" s="145" t="s">
        <v>244</v>
      </c>
      <c r="H599" s="40" t="s">
        <v>123</v>
      </c>
      <c r="I599" s="31"/>
    </row>
    <row r="600" spans="1:9" s="26" customFormat="1" ht="21.6" customHeight="1">
      <c r="A600" s="27">
        <v>697</v>
      </c>
      <c r="B600" s="132" t="s">
        <v>55</v>
      </c>
      <c r="C600" s="132" t="s">
        <v>295</v>
      </c>
      <c r="D600" s="39" t="s">
        <v>1399</v>
      </c>
      <c r="E600" s="3" t="s">
        <v>296</v>
      </c>
      <c r="F600" s="29">
        <v>80</v>
      </c>
      <c r="G600" s="144" t="s">
        <v>247</v>
      </c>
      <c r="H600" s="40" t="s">
        <v>123</v>
      </c>
      <c r="I600" s="31" t="s">
        <v>297</v>
      </c>
    </row>
    <row r="601" spans="1:9" s="26" customFormat="1" ht="21.6" customHeight="1">
      <c r="A601" s="27">
        <v>698</v>
      </c>
      <c r="B601" s="132" t="s">
        <v>55</v>
      </c>
      <c r="C601" s="132" t="s">
        <v>298</v>
      </c>
      <c r="D601" s="39" t="s">
        <v>1400</v>
      </c>
      <c r="E601" s="3" t="s">
        <v>299</v>
      </c>
      <c r="F601" s="29">
        <v>120</v>
      </c>
      <c r="G601" s="144" t="s">
        <v>300</v>
      </c>
      <c r="H601" s="40" t="s">
        <v>123</v>
      </c>
      <c r="I601" s="31" t="s">
        <v>279</v>
      </c>
    </row>
    <row r="602" spans="1:9" s="26" customFormat="1" ht="21.6" customHeight="1">
      <c r="A602" s="27">
        <v>699</v>
      </c>
      <c r="B602" s="132" t="s">
        <v>55</v>
      </c>
      <c r="C602" s="132" t="s">
        <v>301</v>
      </c>
      <c r="D602" s="39" t="s">
        <v>1401</v>
      </c>
      <c r="E602" s="3" t="s">
        <v>302</v>
      </c>
      <c r="F602" s="29">
        <v>120</v>
      </c>
      <c r="G602" s="144" t="s">
        <v>303</v>
      </c>
      <c r="H602" s="40" t="s">
        <v>123</v>
      </c>
      <c r="I602" s="31" t="s">
        <v>283</v>
      </c>
    </row>
    <row r="603" spans="1:9" s="26" customFormat="1" ht="21.6" customHeight="1">
      <c r="A603" s="27">
        <v>700</v>
      </c>
      <c r="B603" s="132" t="s">
        <v>55</v>
      </c>
      <c r="C603" s="132" t="s">
        <v>251</v>
      </c>
      <c r="D603" s="39" t="s">
        <v>1384</v>
      </c>
      <c r="E603" s="3" t="s">
        <v>252</v>
      </c>
      <c r="F603" s="29">
        <v>160</v>
      </c>
      <c r="G603" s="144" t="s">
        <v>304</v>
      </c>
      <c r="H603" s="40" t="s">
        <v>123</v>
      </c>
      <c r="I603" s="31" t="s">
        <v>290</v>
      </c>
    </row>
    <row r="604" spans="1:9" s="26" customFormat="1" ht="21.6" customHeight="1">
      <c r="A604" s="27">
        <v>701</v>
      </c>
      <c r="B604" s="132" t="s">
        <v>55</v>
      </c>
      <c r="C604" s="132" t="s">
        <v>381</v>
      </c>
      <c r="D604" s="39" t="s">
        <v>1425</v>
      </c>
      <c r="E604" s="3" t="s">
        <v>382</v>
      </c>
      <c r="F604" s="29" t="s">
        <v>123</v>
      </c>
      <c r="G604" s="146" t="s">
        <v>129</v>
      </c>
      <c r="H604" s="40" t="s">
        <v>123</v>
      </c>
      <c r="I604" s="31" t="s">
        <v>407</v>
      </c>
    </row>
    <row r="605" spans="1:9" s="26" customFormat="1" ht="21.6" customHeight="1">
      <c r="A605" s="27">
        <v>702</v>
      </c>
      <c r="B605" s="132" t="s">
        <v>55</v>
      </c>
      <c r="C605" s="132" t="s">
        <v>384</v>
      </c>
      <c r="D605" s="39" t="s">
        <v>1426</v>
      </c>
      <c r="E605" s="3" t="s">
        <v>385</v>
      </c>
      <c r="F605" s="29" t="s">
        <v>123</v>
      </c>
      <c r="G605" s="146" t="s">
        <v>129</v>
      </c>
      <c r="H605" s="40" t="s">
        <v>123</v>
      </c>
      <c r="I605" s="31" t="s">
        <v>408</v>
      </c>
    </row>
    <row r="606" spans="1:9" s="26" customFormat="1" ht="21.6" customHeight="1">
      <c r="A606" s="41">
        <v>704</v>
      </c>
      <c r="B606" s="133" t="s">
        <v>55</v>
      </c>
      <c r="C606" s="139" t="s">
        <v>387</v>
      </c>
      <c r="D606" s="34" t="s">
        <v>1427</v>
      </c>
      <c r="E606" s="35" t="s">
        <v>388</v>
      </c>
      <c r="F606" s="42" t="s">
        <v>123</v>
      </c>
      <c r="G606" s="147" t="s">
        <v>313</v>
      </c>
      <c r="H606" s="44" t="s">
        <v>123</v>
      </c>
      <c r="I606" s="45"/>
    </row>
    <row r="607" spans="1:9" s="62" customFormat="1" ht="21.6" customHeight="1">
      <c r="A607" s="20">
        <v>705</v>
      </c>
      <c r="B607" s="59">
        <v>557</v>
      </c>
      <c r="C607" s="59" t="s">
        <v>409</v>
      </c>
      <c r="D607" s="59" t="s">
        <v>1433</v>
      </c>
      <c r="E607" s="6" t="s">
        <v>410</v>
      </c>
      <c r="F607" s="60">
        <v>460</v>
      </c>
      <c r="G607" s="143" t="s">
        <v>193</v>
      </c>
      <c r="H607" s="60">
        <v>1</v>
      </c>
      <c r="I607" s="61"/>
    </row>
    <row r="608" spans="1:9" s="62" customFormat="1" ht="21.6" customHeight="1">
      <c r="A608" s="27">
        <v>706</v>
      </c>
      <c r="B608" s="64">
        <v>557</v>
      </c>
      <c r="C608" s="64" t="s">
        <v>411</v>
      </c>
      <c r="D608" s="34" t="s">
        <v>1434</v>
      </c>
      <c r="E608" s="7" t="s">
        <v>412</v>
      </c>
      <c r="F608" s="63">
        <v>460</v>
      </c>
      <c r="G608" s="144" t="s">
        <v>75</v>
      </c>
      <c r="H608" s="63">
        <v>1</v>
      </c>
      <c r="I608" s="55"/>
    </row>
    <row r="609" spans="1:9" s="62" customFormat="1" ht="21.6" customHeight="1">
      <c r="A609" s="27">
        <v>707</v>
      </c>
      <c r="B609" s="64">
        <v>557</v>
      </c>
      <c r="C609" s="64" t="s">
        <v>413</v>
      </c>
      <c r="D609" s="64" t="s">
        <v>1435</v>
      </c>
      <c r="E609" s="7" t="s">
        <v>414</v>
      </c>
      <c r="F609" s="63">
        <v>460</v>
      </c>
      <c r="G609" s="145" t="s">
        <v>415</v>
      </c>
      <c r="H609" s="63">
        <v>1</v>
      </c>
      <c r="I609" s="55"/>
    </row>
    <row r="610" spans="1:9" s="62" customFormat="1" ht="21.6" customHeight="1">
      <c r="A610" s="27">
        <v>708</v>
      </c>
      <c r="B610" s="64">
        <v>557</v>
      </c>
      <c r="C610" s="64" t="s">
        <v>416</v>
      </c>
      <c r="D610" s="47" t="s">
        <v>1436</v>
      </c>
      <c r="E610" s="7" t="s">
        <v>417</v>
      </c>
      <c r="F610" s="63">
        <v>460</v>
      </c>
      <c r="G610" s="144" t="s">
        <v>418</v>
      </c>
      <c r="H610" s="63">
        <v>1</v>
      </c>
      <c r="I610" s="55"/>
    </row>
    <row r="611" spans="1:9" s="62" customFormat="1" ht="21.6" customHeight="1">
      <c r="A611" s="27">
        <v>709</v>
      </c>
      <c r="B611" s="64">
        <v>557</v>
      </c>
      <c r="C611" s="64" t="s">
        <v>419</v>
      </c>
      <c r="D611" s="34" t="s">
        <v>1437</v>
      </c>
      <c r="E611" s="35" t="s">
        <v>420</v>
      </c>
      <c r="F611" s="40">
        <v>460</v>
      </c>
      <c r="G611" s="145" t="s">
        <v>1775</v>
      </c>
      <c r="H611" s="40">
        <v>1</v>
      </c>
      <c r="I611" s="56"/>
    </row>
    <row r="612" spans="1:9" s="62" customFormat="1" ht="21.6" customHeight="1">
      <c r="A612" s="27">
        <v>710</v>
      </c>
      <c r="B612" s="64">
        <v>557</v>
      </c>
      <c r="C612" s="64" t="s">
        <v>421</v>
      </c>
      <c r="D612" s="64" t="s">
        <v>1438</v>
      </c>
      <c r="E612" s="7" t="s">
        <v>422</v>
      </c>
      <c r="F612" s="63">
        <v>460</v>
      </c>
      <c r="G612" s="144" t="s">
        <v>87</v>
      </c>
      <c r="H612" s="63">
        <v>1</v>
      </c>
      <c r="I612" s="55"/>
    </row>
    <row r="613" spans="1:9" s="62" customFormat="1" ht="21.6" customHeight="1">
      <c r="A613" s="27">
        <v>711</v>
      </c>
      <c r="B613" s="64">
        <v>557</v>
      </c>
      <c r="C613" s="64" t="s">
        <v>423</v>
      </c>
      <c r="D613" s="64" t="s">
        <v>1439</v>
      </c>
      <c r="E613" s="7" t="s">
        <v>424</v>
      </c>
      <c r="F613" s="63">
        <v>460</v>
      </c>
      <c r="G613" s="144" t="s">
        <v>1789</v>
      </c>
      <c r="H613" s="63">
        <v>1</v>
      </c>
      <c r="I613" s="55"/>
    </row>
    <row r="614" spans="1:9" s="62" customFormat="1" ht="21.6" customHeight="1">
      <c r="A614" s="27">
        <v>712</v>
      </c>
      <c r="B614" s="64">
        <v>557</v>
      </c>
      <c r="C614" s="64" t="s">
        <v>425</v>
      </c>
      <c r="D614" s="64" t="s">
        <v>1440</v>
      </c>
      <c r="E614" s="7" t="s">
        <v>426</v>
      </c>
      <c r="F614" s="63">
        <v>460</v>
      </c>
      <c r="G614" s="144" t="s">
        <v>1790</v>
      </c>
      <c r="H614" s="63">
        <v>1</v>
      </c>
      <c r="I614" s="55"/>
    </row>
    <row r="615" spans="1:9" s="62" customFormat="1" ht="21.6" customHeight="1">
      <c r="A615" s="27">
        <v>713</v>
      </c>
      <c r="B615" s="64">
        <v>557</v>
      </c>
      <c r="C615" s="64" t="s">
        <v>427</v>
      </c>
      <c r="D615" s="64" t="s">
        <v>1441</v>
      </c>
      <c r="E615" s="7" t="s">
        <v>428</v>
      </c>
      <c r="F615" s="63">
        <v>460</v>
      </c>
      <c r="G615" s="144" t="s">
        <v>1791</v>
      </c>
      <c r="H615" s="63">
        <v>1</v>
      </c>
      <c r="I615" s="55"/>
    </row>
    <row r="616" spans="1:9" s="62" customFormat="1" ht="21.6" customHeight="1">
      <c r="A616" s="27">
        <v>714</v>
      </c>
      <c r="B616" s="64">
        <v>557</v>
      </c>
      <c r="C616" s="64" t="s">
        <v>429</v>
      </c>
      <c r="D616" s="64" t="s">
        <v>1442</v>
      </c>
      <c r="E616" s="7" t="s">
        <v>430</v>
      </c>
      <c r="F616" s="63">
        <v>460</v>
      </c>
      <c r="G616" s="144" t="s">
        <v>1792</v>
      </c>
      <c r="H616" s="63">
        <v>1</v>
      </c>
      <c r="I616" s="55"/>
    </row>
    <row r="617" spans="1:9" s="62" customFormat="1" ht="21.6" customHeight="1">
      <c r="A617" s="27">
        <v>715</v>
      </c>
      <c r="B617" s="64">
        <v>557</v>
      </c>
      <c r="C617" s="64" t="s">
        <v>431</v>
      </c>
      <c r="D617" s="34" t="s">
        <v>1443</v>
      </c>
      <c r="E617" s="35" t="s">
        <v>432</v>
      </c>
      <c r="F617" s="40">
        <v>460</v>
      </c>
      <c r="G617" s="144" t="s">
        <v>1793</v>
      </c>
      <c r="H617" s="40">
        <v>1</v>
      </c>
      <c r="I617" s="56"/>
    </row>
    <row r="618" spans="1:9" s="62" customFormat="1" ht="21.6" customHeight="1">
      <c r="A618" s="27">
        <v>716</v>
      </c>
      <c r="B618" s="64">
        <v>557</v>
      </c>
      <c r="C618" s="64" t="s">
        <v>433</v>
      </c>
      <c r="D618" s="64" t="s">
        <v>1444</v>
      </c>
      <c r="E618" s="7" t="s">
        <v>434</v>
      </c>
      <c r="F618" s="63">
        <v>460</v>
      </c>
      <c r="G618" s="144" t="s">
        <v>95</v>
      </c>
      <c r="H618" s="63">
        <v>3</v>
      </c>
      <c r="I618" s="55"/>
    </row>
    <row r="619" spans="1:9" s="62" customFormat="1" ht="21.6" customHeight="1">
      <c r="A619" s="27">
        <v>717</v>
      </c>
      <c r="B619" s="64">
        <v>557</v>
      </c>
      <c r="C619" s="64" t="s">
        <v>435</v>
      </c>
      <c r="D619" s="64" t="s">
        <v>1445</v>
      </c>
      <c r="E619" s="7" t="s">
        <v>436</v>
      </c>
      <c r="F619" s="63">
        <v>460</v>
      </c>
      <c r="G619" s="144" t="s">
        <v>101</v>
      </c>
      <c r="H619" s="63">
        <v>1</v>
      </c>
      <c r="I619" s="55"/>
    </row>
    <row r="620" spans="1:9" s="62" customFormat="1" ht="21.6" customHeight="1">
      <c r="A620" s="27">
        <v>718</v>
      </c>
      <c r="B620" s="64">
        <v>557</v>
      </c>
      <c r="C620" s="64" t="s">
        <v>437</v>
      </c>
      <c r="D620" s="65" t="s">
        <v>1446</v>
      </c>
      <c r="E620" s="7" t="s">
        <v>438</v>
      </c>
      <c r="F620" s="63">
        <v>460</v>
      </c>
      <c r="G620" s="144" t="s">
        <v>1794</v>
      </c>
      <c r="H620" s="63">
        <v>1</v>
      </c>
      <c r="I620" s="55"/>
    </row>
    <row r="621" spans="1:9" s="62" customFormat="1" ht="21.6" customHeight="1">
      <c r="A621" s="27">
        <v>719</v>
      </c>
      <c r="B621" s="64">
        <v>557</v>
      </c>
      <c r="C621" s="64" t="s">
        <v>439</v>
      </c>
      <c r="D621" s="34" t="s">
        <v>1447</v>
      </c>
      <c r="E621" s="35" t="s">
        <v>440</v>
      </c>
      <c r="F621" s="63">
        <v>460</v>
      </c>
      <c r="G621" s="145" t="s">
        <v>1795</v>
      </c>
      <c r="H621" s="63">
        <v>1</v>
      </c>
      <c r="I621" s="55"/>
    </row>
    <row r="622" spans="1:9" s="62" customFormat="1" ht="21.6" customHeight="1">
      <c r="A622" s="27">
        <v>720</v>
      </c>
      <c r="B622" s="64">
        <v>557</v>
      </c>
      <c r="C622" s="64" t="s">
        <v>441</v>
      </c>
      <c r="D622" s="64" t="s">
        <v>1448</v>
      </c>
      <c r="E622" s="7" t="s">
        <v>442</v>
      </c>
      <c r="F622" s="63">
        <v>460</v>
      </c>
      <c r="G622" s="144" t="s">
        <v>107</v>
      </c>
      <c r="H622" s="63">
        <v>1</v>
      </c>
      <c r="I622" s="55"/>
    </row>
    <row r="623" spans="1:9" s="62" customFormat="1" ht="21.6" customHeight="1">
      <c r="A623" s="27">
        <v>721</v>
      </c>
      <c r="B623" s="64">
        <v>557</v>
      </c>
      <c r="C623" s="64" t="s">
        <v>443</v>
      </c>
      <c r="D623" s="34" t="s">
        <v>1449</v>
      </c>
      <c r="E623" s="35" t="s">
        <v>444</v>
      </c>
      <c r="F623" s="63">
        <v>460</v>
      </c>
      <c r="G623" s="144" t="s">
        <v>445</v>
      </c>
      <c r="H623" s="63">
        <v>1</v>
      </c>
      <c r="I623" s="55"/>
    </row>
    <row r="624" spans="1:9" s="62" customFormat="1" ht="21.6" customHeight="1">
      <c r="A624" s="27">
        <v>722</v>
      </c>
      <c r="B624" s="64">
        <v>557</v>
      </c>
      <c r="C624" s="64" t="s">
        <v>446</v>
      </c>
      <c r="D624" s="66" t="s">
        <v>1450</v>
      </c>
      <c r="E624" s="7" t="s">
        <v>447</v>
      </c>
      <c r="F624" s="63">
        <v>460</v>
      </c>
      <c r="G624" s="144" t="s">
        <v>448</v>
      </c>
      <c r="H624" s="63">
        <v>6</v>
      </c>
      <c r="I624" s="55"/>
    </row>
    <row r="625" spans="1:9" s="62" customFormat="1" ht="21.6" customHeight="1">
      <c r="A625" s="27">
        <v>723</v>
      </c>
      <c r="B625" s="64">
        <v>557</v>
      </c>
      <c r="C625" s="64" t="s">
        <v>449</v>
      </c>
      <c r="D625" s="64" t="s">
        <v>1451</v>
      </c>
      <c r="E625" s="7" t="s">
        <v>450</v>
      </c>
      <c r="F625" s="63">
        <v>460</v>
      </c>
      <c r="G625" s="144" t="s">
        <v>451</v>
      </c>
      <c r="H625" s="63">
        <v>1</v>
      </c>
      <c r="I625" s="55"/>
    </row>
    <row r="626" spans="1:9" s="62" customFormat="1" ht="21.6" customHeight="1">
      <c r="A626" s="27">
        <v>724</v>
      </c>
      <c r="B626" s="64">
        <v>557</v>
      </c>
      <c r="C626" s="64" t="s">
        <v>452</v>
      </c>
      <c r="D626" s="64" t="s">
        <v>1452</v>
      </c>
      <c r="E626" s="7" t="s">
        <v>226</v>
      </c>
      <c r="F626" s="63" t="s">
        <v>453</v>
      </c>
      <c r="G626" s="144" t="s">
        <v>1796</v>
      </c>
      <c r="H626" s="63">
        <v>1</v>
      </c>
      <c r="I626" s="56" t="s">
        <v>455</v>
      </c>
    </row>
    <row r="627" spans="1:9" s="62" customFormat="1" ht="21.6" customHeight="1">
      <c r="A627" s="27">
        <v>725</v>
      </c>
      <c r="B627" s="64">
        <v>557</v>
      </c>
      <c r="C627" s="64" t="s">
        <v>452</v>
      </c>
      <c r="D627" s="64" t="s">
        <v>1452</v>
      </c>
      <c r="E627" s="7" t="s">
        <v>226</v>
      </c>
      <c r="F627" s="63" t="s">
        <v>453</v>
      </c>
      <c r="G627" s="144" t="s">
        <v>456</v>
      </c>
      <c r="H627" s="63">
        <v>1</v>
      </c>
      <c r="I627" s="56" t="s">
        <v>455</v>
      </c>
    </row>
    <row r="628" spans="1:9" s="62" customFormat="1" ht="21.6" customHeight="1">
      <c r="A628" s="27">
        <v>726</v>
      </c>
      <c r="B628" s="64">
        <v>557</v>
      </c>
      <c r="C628" s="64" t="s">
        <v>457</v>
      </c>
      <c r="D628" s="64" t="s">
        <v>1453</v>
      </c>
      <c r="E628" s="7" t="s">
        <v>458</v>
      </c>
      <c r="F628" s="63" t="s">
        <v>453</v>
      </c>
      <c r="G628" s="144" t="s">
        <v>454</v>
      </c>
      <c r="H628" s="63">
        <v>1</v>
      </c>
      <c r="I628" s="56" t="s">
        <v>455</v>
      </c>
    </row>
    <row r="629" spans="1:9" s="62" customFormat="1" ht="21.6" customHeight="1">
      <c r="A629" s="27">
        <v>727</v>
      </c>
      <c r="B629" s="64">
        <v>557</v>
      </c>
      <c r="C629" s="64" t="s">
        <v>459</v>
      </c>
      <c r="D629" s="67" t="s">
        <v>1454</v>
      </c>
      <c r="E629" s="30" t="s">
        <v>460</v>
      </c>
      <c r="F629" s="68">
        <v>100</v>
      </c>
      <c r="G629" s="144" t="s">
        <v>1797</v>
      </c>
      <c r="H629" s="63">
        <v>1</v>
      </c>
      <c r="I629" s="55" t="s">
        <v>116</v>
      </c>
    </row>
    <row r="630" spans="1:9" s="62" customFormat="1" ht="21.6" customHeight="1">
      <c r="A630" s="27">
        <v>728</v>
      </c>
      <c r="B630" s="64">
        <v>557</v>
      </c>
      <c r="C630" s="64" t="s">
        <v>461</v>
      </c>
      <c r="D630" s="66" t="s">
        <v>1455</v>
      </c>
      <c r="E630" s="30" t="s">
        <v>462</v>
      </c>
      <c r="F630" s="68">
        <v>100</v>
      </c>
      <c r="G630" s="144" t="s">
        <v>115</v>
      </c>
      <c r="H630" s="63">
        <v>1</v>
      </c>
      <c r="I630" s="55" t="s">
        <v>116</v>
      </c>
    </row>
    <row r="631" spans="1:9" s="62" customFormat="1" ht="21.6" customHeight="1">
      <c r="A631" s="27">
        <v>729</v>
      </c>
      <c r="B631" s="64">
        <v>557</v>
      </c>
      <c r="C631" s="64" t="s">
        <v>463</v>
      </c>
      <c r="D631" s="66" t="s">
        <v>1456</v>
      </c>
      <c r="E631" s="30" t="s">
        <v>464</v>
      </c>
      <c r="F631" s="68">
        <v>100</v>
      </c>
      <c r="G631" s="144" t="s">
        <v>224</v>
      </c>
      <c r="H631" s="63">
        <v>1</v>
      </c>
      <c r="I631" s="55" t="s">
        <v>116</v>
      </c>
    </row>
    <row r="632" spans="1:9" s="62" customFormat="1" ht="21.6" customHeight="1">
      <c r="A632" s="27">
        <v>730</v>
      </c>
      <c r="B632" s="64">
        <v>557</v>
      </c>
      <c r="C632" s="64" t="s">
        <v>332</v>
      </c>
      <c r="D632" s="50" t="s">
        <v>1410</v>
      </c>
      <c r="E632" s="51" t="s">
        <v>333</v>
      </c>
      <c r="F632" s="63">
        <v>500</v>
      </c>
      <c r="G632" s="144" t="s">
        <v>1798</v>
      </c>
      <c r="H632" s="63">
        <v>2</v>
      </c>
      <c r="I632" s="55" t="s">
        <v>465</v>
      </c>
    </row>
    <row r="633" spans="1:9" s="62" customFormat="1" ht="21.6" customHeight="1">
      <c r="A633" s="27">
        <v>731</v>
      </c>
      <c r="B633" s="64">
        <v>557</v>
      </c>
      <c r="C633" s="64" t="s">
        <v>452</v>
      </c>
      <c r="D633" s="50" t="s">
        <v>1452</v>
      </c>
      <c r="E633" s="51" t="s">
        <v>226</v>
      </c>
      <c r="F633" s="63">
        <v>500</v>
      </c>
      <c r="G633" s="144" t="s">
        <v>466</v>
      </c>
      <c r="H633" s="63">
        <v>1</v>
      </c>
      <c r="I633" s="55" t="s">
        <v>465</v>
      </c>
    </row>
    <row r="634" spans="1:9" s="62" customFormat="1" ht="21.6" customHeight="1">
      <c r="A634" s="27">
        <v>732</v>
      </c>
      <c r="B634" s="64">
        <v>557</v>
      </c>
      <c r="C634" s="64" t="s">
        <v>467</v>
      </c>
      <c r="D634" s="50" t="s">
        <v>1457</v>
      </c>
      <c r="E634" s="51" t="s">
        <v>468</v>
      </c>
      <c r="F634" s="63">
        <v>500</v>
      </c>
      <c r="G634" s="144" t="s">
        <v>469</v>
      </c>
      <c r="H634" s="63">
        <v>1</v>
      </c>
      <c r="I634" s="55" t="s">
        <v>465</v>
      </c>
    </row>
    <row r="635" spans="1:9" s="62" customFormat="1" ht="21.6" customHeight="1">
      <c r="A635" s="27">
        <v>733</v>
      </c>
      <c r="B635" s="64">
        <v>557</v>
      </c>
      <c r="C635" s="64" t="s">
        <v>225</v>
      </c>
      <c r="D635" s="64" t="s">
        <v>1375</v>
      </c>
      <c r="E635" s="7" t="s">
        <v>226</v>
      </c>
      <c r="F635" s="68" t="s">
        <v>470</v>
      </c>
      <c r="G635" s="144" t="s">
        <v>1799</v>
      </c>
      <c r="H635" s="63">
        <v>1</v>
      </c>
      <c r="I635" s="55" t="s">
        <v>471</v>
      </c>
    </row>
    <row r="636" spans="1:9" s="62" customFormat="1" ht="21.6" customHeight="1">
      <c r="A636" s="27">
        <v>734</v>
      </c>
      <c r="B636" s="64">
        <v>557</v>
      </c>
      <c r="C636" s="64" t="s">
        <v>225</v>
      </c>
      <c r="D636" s="64" t="s">
        <v>1375</v>
      </c>
      <c r="E636" s="7" t="s">
        <v>226</v>
      </c>
      <c r="F636" s="68" t="s">
        <v>470</v>
      </c>
      <c r="G636" s="144" t="s">
        <v>1800</v>
      </c>
      <c r="H636" s="63">
        <v>1</v>
      </c>
      <c r="I636" s="55" t="s">
        <v>471</v>
      </c>
    </row>
    <row r="637" spans="1:9" s="62" customFormat="1" ht="21.6" customHeight="1">
      <c r="A637" s="27">
        <v>735</v>
      </c>
      <c r="B637" s="64">
        <v>557</v>
      </c>
      <c r="C637" s="64" t="s">
        <v>229</v>
      </c>
      <c r="D637" s="64" t="s">
        <v>1376</v>
      </c>
      <c r="E637" s="7" t="s">
        <v>230</v>
      </c>
      <c r="F637" s="68" t="s">
        <v>470</v>
      </c>
      <c r="G637" s="144" t="s">
        <v>1801</v>
      </c>
      <c r="H637" s="63">
        <v>1</v>
      </c>
      <c r="I637" s="55" t="s">
        <v>471</v>
      </c>
    </row>
    <row r="638" spans="1:9" s="62" customFormat="1" ht="21.6" customHeight="1">
      <c r="A638" s="27">
        <v>736</v>
      </c>
      <c r="B638" s="64">
        <v>557</v>
      </c>
      <c r="C638" s="64" t="s">
        <v>472</v>
      </c>
      <c r="D638" s="64" t="s">
        <v>1458</v>
      </c>
      <c r="E638" s="7" t="s">
        <v>473</v>
      </c>
      <c r="F638" s="63">
        <v>460</v>
      </c>
      <c r="G638" s="144" t="s">
        <v>1802</v>
      </c>
      <c r="H638" s="40" t="s">
        <v>123</v>
      </c>
      <c r="I638" s="55"/>
    </row>
    <row r="639" spans="1:9" s="62" customFormat="1" ht="21.6" customHeight="1">
      <c r="A639" s="27">
        <v>737</v>
      </c>
      <c r="B639" s="64">
        <v>557</v>
      </c>
      <c r="C639" s="64" t="s">
        <v>474</v>
      </c>
      <c r="D639" s="64" t="s">
        <v>1459</v>
      </c>
      <c r="E639" s="7" t="s">
        <v>475</v>
      </c>
      <c r="F639" s="63">
        <v>460</v>
      </c>
      <c r="G639" s="145" t="s">
        <v>244</v>
      </c>
      <c r="H639" s="40" t="s">
        <v>123</v>
      </c>
      <c r="I639" s="55"/>
    </row>
    <row r="640" spans="1:9" s="62" customFormat="1" ht="21.6" customHeight="1">
      <c r="A640" s="27">
        <v>738</v>
      </c>
      <c r="B640" s="64">
        <v>557</v>
      </c>
      <c r="C640" s="64" t="s">
        <v>476</v>
      </c>
      <c r="D640" s="64" t="s">
        <v>1460</v>
      </c>
      <c r="E640" s="7" t="s">
        <v>477</v>
      </c>
      <c r="F640" s="63">
        <v>460</v>
      </c>
      <c r="G640" s="145" t="s">
        <v>478</v>
      </c>
      <c r="H640" s="40" t="s">
        <v>123</v>
      </c>
      <c r="I640" s="55"/>
    </row>
    <row r="641" spans="1:9" s="62" customFormat="1" ht="21.6" customHeight="1">
      <c r="A641" s="27">
        <v>739</v>
      </c>
      <c r="B641" s="64">
        <v>557</v>
      </c>
      <c r="C641" s="64" t="s">
        <v>479</v>
      </c>
      <c r="D641" s="67" t="s">
        <v>1461</v>
      </c>
      <c r="E641" s="30" t="s">
        <v>480</v>
      </c>
      <c r="F641" s="68">
        <v>460</v>
      </c>
      <c r="G641" s="144" t="s">
        <v>1803</v>
      </c>
      <c r="H641" s="40" t="s">
        <v>123</v>
      </c>
      <c r="I641" s="55"/>
    </row>
    <row r="642" spans="1:9" s="62" customFormat="1" ht="21.6" customHeight="1">
      <c r="A642" s="27">
        <v>740</v>
      </c>
      <c r="B642" s="64">
        <v>557</v>
      </c>
      <c r="C642" s="64" t="s">
        <v>481</v>
      </c>
      <c r="D642" s="64" t="s">
        <v>1462</v>
      </c>
      <c r="E642" s="7" t="s">
        <v>482</v>
      </c>
      <c r="F642" s="63" t="s">
        <v>453</v>
      </c>
      <c r="G642" s="144" t="s">
        <v>483</v>
      </c>
      <c r="H642" s="40" t="s">
        <v>123</v>
      </c>
      <c r="I642" s="56" t="s">
        <v>455</v>
      </c>
    </row>
    <row r="643" spans="1:9" s="62" customFormat="1" ht="21.6" customHeight="1">
      <c r="A643" s="27">
        <v>741</v>
      </c>
      <c r="B643" s="64">
        <v>557</v>
      </c>
      <c r="C643" s="64" t="s">
        <v>484</v>
      </c>
      <c r="D643" s="64" t="s">
        <v>1463</v>
      </c>
      <c r="E643" s="7" t="s">
        <v>485</v>
      </c>
      <c r="F643" s="63">
        <v>500</v>
      </c>
      <c r="G643" s="144" t="s">
        <v>486</v>
      </c>
      <c r="H643" s="40" t="s">
        <v>123</v>
      </c>
      <c r="I643" s="55" t="s">
        <v>465</v>
      </c>
    </row>
    <row r="644" spans="1:9" s="62" customFormat="1" ht="21.6" customHeight="1">
      <c r="A644" s="27">
        <v>742</v>
      </c>
      <c r="B644" s="64">
        <v>557</v>
      </c>
      <c r="C644" s="64" t="s">
        <v>248</v>
      </c>
      <c r="D644" s="67" t="s">
        <v>1383</v>
      </c>
      <c r="E644" s="30" t="s">
        <v>249</v>
      </c>
      <c r="F644" s="68" t="s">
        <v>470</v>
      </c>
      <c r="G644" s="144" t="s">
        <v>1804</v>
      </c>
      <c r="H644" s="40" t="s">
        <v>123</v>
      </c>
      <c r="I644" s="55"/>
    </row>
    <row r="645" spans="1:9" s="62" customFormat="1" ht="21.6" customHeight="1">
      <c r="A645" s="27">
        <v>743</v>
      </c>
      <c r="B645" s="64">
        <v>557</v>
      </c>
      <c r="C645" s="64" t="s">
        <v>487</v>
      </c>
      <c r="D645" s="34" t="s">
        <v>1464</v>
      </c>
      <c r="E645" s="7" t="s">
        <v>488</v>
      </c>
      <c r="F645" s="68" t="s">
        <v>123</v>
      </c>
      <c r="G645" s="145" t="s">
        <v>129</v>
      </c>
      <c r="H645" s="40" t="s">
        <v>123</v>
      </c>
      <c r="I645" s="55"/>
    </row>
    <row r="646" spans="1:9" s="62" customFormat="1" ht="21.6" customHeight="1">
      <c r="A646" s="27">
        <v>744</v>
      </c>
      <c r="B646" s="64">
        <v>557</v>
      </c>
      <c r="C646" s="64" t="s">
        <v>489</v>
      </c>
      <c r="D646" s="64" t="s">
        <v>1465</v>
      </c>
      <c r="E646" s="7" t="s">
        <v>490</v>
      </c>
      <c r="F646" s="68" t="s">
        <v>123</v>
      </c>
      <c r="G646" s="145" t="s">
        <v>132</v>
      </c>
      <c r="H646" s="40" t="s">
        <v>123</v>
      </c>
      <c r="I646" s="55"/>
    </row>
    <row r="647" spans="1:9" s="62" customFormat="1" ht="21.6" customHeight="1">
      <c r="A647" s="27">
        <v>745</v>
      </c>
      <c r="B647" s="64">
        <v>557</v>
      </c>
      <c r="C647" s="64" t="s">
        <v>491</v>
      </c>
      <c r="D647" s="64" t="s">
        <v>1466</v>
      </c>
      <c r="E647" s="7" t="s">
        <v>492</v>
      </c>
      <c r="F647" s="68" t="s">
        <v>123</v>
      </c>
      <c r="G647" s="144" t="s">
        <v>135</v>
      </c>
      <c r="H647" s="40" t="s">
        <v>123</v>
      </c>
      <c r="I647" s="55"/>
    </row>
    <row r="648" spans="1:9" s="62" customFormat="1" ht="21.6" customHeight="1">
      <c r="A648" s="27">
        <v>746</v>
      </c>
      <c r="B648" s="64">
        <v>557</v>
      </c>
      <c r="C648" s="64" t="s">
        <v>493</v>
      </c>
      <c r="D648" s="64" t="s">
        <v>1467</v>
      </c>
      <c r="E648" s="7" t="s">
        <v>494</v>
      </c>
      <c r="F648" s="68" t="s">
        <v>123</v>
      </c>
      <c r="G648" s="144" t="s">
        <v>1805</v>
      </c>
      <c r="H648" s="40" t="s">
        <v>123</v>
      </c>
      <c r="I648" s="55"/>
    </row>
    <row r="649" spans="1:9" s="62" customFormat="1" ht="21.6" customHeight="1">
      <c r="A649" s="41">
        <v>748</v>
      </c>
      <c r="B649" s="88">
        <v>557</v>
      </c>
      <c r="C649" s="88" t="s">
        <v>495</v>
      </c>
      <c r="D649" s="34" t="s">
        <v>1468</v>
      </c>
      <c r="E649" s="8" t="s">
        <v>496</v>
      </c>
      <c r="F649" s="69" t="s">
        <v>123</v>
      </c>
      <c r="G649" s="149" t="s">
        <v>497</v>
      </c>
      <c r="H649" s="44" t="s">
        <v>123</v>
      </c>
      <c r="I649" s="71"/>
    </row>
    <row r="650" spans="1:9" ht="21.6" customHeight="1">
      <c r="A650" s="20">
        <v>749</v>
      </c>
      <c r="B650" s="73" t="s">
        <v>57</v>
      </c>
      <c r="C650" s="73" t="s">
        <v>498</v>
      </c>
      <c r="D650" s="73" t="s">
        <v>1469</v>
      </c>
      <c r="E650" s="72" t="s">
        <v>499</v>
      </c>
      <c r="F650" s="74">
        <v>520</v>
      </c>
      <c r="G650" s="143" t="s">
        <v>71</v>
      </c>
      <c r="H650" s="74">
        <v>1</v>
      </c>
      <c r="I650" s="75"/>
    </row>
    <row r="651" spans="1:9" ht="21.6" customHeight="1">
      <c r="A651" s="27">
        <v>750</v>
      </c>
      <c r="B651" s="34" t="s">
        <v>57</v>
      </c>
      <c r="C651" s="34" t="s">
        <v>500</v>
      </c>
      <c r="D651" s="34" t="s">
        <v>1470</v>
      </c>
      <c r="E651" s="35" t="s">
        <v>501</v>
      </c>
      <c r="F651" s="76" t="s">
        <v>123</v>
      </c>
      <c r="G651" s="145" t="s">
        <v>502</v>
      </c>
      <c r="H651" s="40">
        <v>1</v>
      </c>
      <c r="I651" s="56" t="s">
        <v>503</v>
      </c>
    </row>
    <row r="652" spans="1:9" ht="21.6" customHeight="1">
      <c r="A652" s="27">
        <v>751</v>
      </c>
      <c r="B652" s="34" t="s">
        <v>57</v>
      </c>
      <c r="C652" s="34" t="s">
        <v>504</v>
      </c>
      <c r="D652" s="34" t="s">
        <v>1471</v>
      </c>
      <c r="E652" s="35" t="s">
        <v>505</v>
      </c>
      <c r="F652" s="40">
        <v>520</v>
      </c>
      <c r="G652" s="145" t="s">
        <v>415</v>
      </c>
      <c r="H652" s="40">
        <v>1</v>
      </c>
      <c r="I652" s="56"/>
    </row>
    <row r="653" spans="1:9" ht="21.6" customHeight="1">
      <c r="A653" s="27">
        <v>752</v>
      </c>
      <c r="B653" s="34" t="s">
        <v>57</v>
      </c>
      <c r="C653" s="34" t="s">
        <v>506</v>
      </c>
      <c r="D653" s="34" t="s">
        <v>1472</v>
      </c>
      <c r="E653" s="35" t="s">
        <v>507</v>
      </c>
      <c r="F653" s="40">
        <v>520</v>
      </c>
      <c r="G653" s="144" t="s">
        <v>107</v>
      </c>
      <c r="H653" s="40">
        <v>1</v>
      </c>
      <c r="I653" s="56"/>
    </row>
    <row r="654" spans="1:9" ht="21.6" customHeight="1">
      <c r="A654" s="27">
        <v>753</v>
      </c>
      <c r="B654" s="34" t="s">
        <v>57</v>
      </c>
      <c r="C654" s="34" t="s">
        <v>508</v>
      </c>
      <c r="D654" s="34" t="s">
        <v>1473</v>
      </c>
      <c r="E654" s="35" t="s">
        <v>509</v>
      </c>
      <c r="F654" s="40">
        <v>520</v>
      </c>
      <c r="G654" s="145" t="s">
        <v>104</v>
      </c>
      <c r="H654" s="40">
        <v>1</v>
      </c>
      <c r="I654" s="56"/>
    </row>
    <row r="655" spans="1:9" ht="21.6" customHeight="1">
      <c r="A655" s="27">
        <v>754</v>
      </c>
      <c r="B655" s="34" t="s">
        <v>57</v>
      </c>
      <c r="C655" s="34" t="s">
        <v>510</v>
      </c>
      <c r="D655" s="34" t="s">
        <v>1474</v>
      </c>
      <c r="E655" s="35" t="s">
        <v>511</v>
      </c>
      <c r="F655" s="40">
        <v>520</v>
      </c>
      <c r="G655" s="145" t="s">
        <v>1806</v>
      </c>
      <c r="H655" s="40">
        <v>1</v>
      </c>
      <c r="I655" s="56"/>
    </row>
    <row r="656" spans="1:9" ht="21.6" customHeight="1">
      <c r="A656" s="27">
        <v>755</v>
      </c>
      <c r="B656" s="34" t="s">
        <v>57</v>
      </c>
      <c r="C656" s="34" t="s">
        <v>512</v>
      </c>
      <c r="D656" s="34" t="s">
        <v>1475</v>
      </c>
      <c r="E656" s="35" t="s">
        <v>513</v>
      </c>
      <c r="F656" s="40">
        <v>520</v>
      </c>
      <c r="G656" s="145" t="s">
        <v>1807</v>
      </c>
      <c r="H656" s="40">
        <v>1</v>
      </c>
      <c r="I656" s="56"/>
    </row>
    <row r="657" spans="1:9" ht="21.6" customHeight="1">
      <c r="A657" s="27">
        <v>756</v>
      </c>
      <c r="B657" s="34" t="s">
        <v>57</v>
      </c>
      <c r="C657" s="34" t="s">
        <v>514</v>
      </c>
      <c r="D657" s="34" t="s">
        <v>1476</v>
      </c>
      <c r="E657" s="35" t="s">
        <v>515</v>
      </c>
      <c r="F657" s="40">
        <v>520</v>
      </c>
      <c r="G657" s="145" t="s">
        <v>516</v>
      </c>
      <c r="H657" s="40">
        <v>1</v>
      </c>
      <c r="I657" s="56"/>
    </row>
    <row r="658" spans="1:9" s="77" customFormat="1" ht="21.6" customHeight="1">
      <c r="A658" s="27">
        <v>757</v>
      </c>
      <c r="B658" s="34" t="s">
        <v>57</v>
      </c>
      <c r="C658" s="34" t="s">
        <v>517</v>
      </c>
      <c r="D658" s="47" t="s">
        <v>1477</v>
      </c>
      <c r="E658" s="48" t="s">
        <v>518</v>
      </c>
      <c r="F658" s="40">
        <v>520</v>
      </c>
      <c r="G658" s="145" t="s">
        <v>1808</v>
      </c>
      <c r="H658" s="40">
        <v>1</v>
      </c>
      <c r="I658" s="56"/>
    </row>
    <row r="659" spans="1:9" ht="21.6" customHeight="1">
      <c r="A659" s="27">
        <v>758</v>
      </c>
      <c r="B659" s="34" t="s">
        <v>57</v>
      </c>
      <c r="C659" s="34" t="s">
        <v>519</v>
      </c>
      <c r="D659" s="34" t="s">
        <v>1478</v>
      </c>
      <c r="E659" s="35" t="s">
        <v>520</v>
      </c>
      <c r="F659" s="40">
        <v>520</v>
      </c>
      <c r="G659" s="144" t="s">
        <v>101</v>
      </c>
      <c r="H659" s="40">
        <v>1</v>
      </c>
      <c r="I659" s="56"/>
    </row>
    <row r="660" spans="1:9" ht="21.6" customHeight="1">
      <c r="A660" s="27">
        <v>759</v>
      </c>
      <c r="B660" s="34" t="s">
        <v>57</v>
      </c>
      <c r="C660" s="34" t="s">
        <v>521</v>
      </c>
      <c r="D660" s="34" t="s">
        <v>1479</v>
      </c>
      <c r="E660" s="35" t="s">
        <v>522</v>
      </c>
      <c r="F660" s="40">
        <v>520</v>
      </c>
      <c r="G660" s="145" t="s">
        <v>523</v>
      </c>
      <c r="H660" s="40">
        <v>1</v>
      </c>
      <c r="I660" s="56"/>
    </row>
    <row r="661" spans="1:9" ht="21.6" customHeight="1">
      <c r="A661" s="27">
        <v>761</v>
      </c>
      <c r="B661" s="34" t="s">
        <v>57</v>
      </c>
      <c r="C661" s="34" t="s">
        <v>524</v>
      </c>
      <c r="D661" s="34" t="s">
        <v>1480</v>
      </c>
      <c r="E661" s="35" t="s">
        <v>525</v>
      </c>
      <c r="F661" s="40">
        <v>520</v>
      </c>
      <c r="G661" s="144" t="s">
        <v>1809</v>
      </c>
      <c r="H661" s="40">
        <v>1</v>
      </c>
      <c r="I661" s="56" t="s">
        <v>526</v>
      </c>
    </row>
    <row r="662" spans="1:9" ht="21.6" customHeight="1">
      <c r="A662" s="27">
        <v>762</v>
      </c>
      <c r="B662" s="34" t="s">
        <v>57</v>
      </c>
      <c r="C662" s="34" t="s">
        <v>527</v>
      </c>
      <c r="D662" s="34" t="s">
        <v>1481</v>
      </c>
      <c r="E662" s="35" t="s">
        <v>528</v>
      </c>
      <c r="F662" s="40">
        <v>520</v>
      </c>
      <c r="G662" s="144" t="s">
        <v>1810</v>
      </c>
      <c r="H662" s="40">
        <v>1</v>
      </c>
      <c r="I662" s="56"/>
    </row>
    <row r="663" spans="1:9" ht="21.6" customHeight="1">
      <c r="A663" s="27">
        <v>763</v>
      </c>
      <c r="B663" s="34" t="s">
        <v>57</v>
      </c>
      <c r="C663" s="34" t="s">
        <v>529</v>
      </c>
      <c r="D663" s="34" t="s">
        <v>1482</v>
      </c>
      <c r="E663" s="35" t="s">
        <v>530</v>
      </c>
      <c r="F663" s="40">
        <v>520</v>
      </c>
      <c r="G663" s="144" t="s">
        <v>1811</v>
      </c>
      <c r="H663" s="40">
        <v>1</v>
      </c>
      <c r="I663" s="56"/>
    </row>
    <row r="664" spans="1:9" ht="21.6" customHeight="1">
      <c r="A664" s="27">
        <v>764</v>
      </c>
      <c r="B664" s="34" t="s">
        <v>57</v>
      </c>
      <c r="C664" s="34" t="s">
        <v>531</v>
      </c>
      <c r="D664" s="34" t="s">
        <v>1483</v>
      </c>
      <c r="E664" s="35" t="s">
        <v>532</v>
      </c>
      <c r="F664" s="40">
        <v>520</v>
      </c>
      <c r="G664" s="144" t="s">
        <v>533</v>
      </c>
      <c r="H664" s="40">
        <v>1</v>
      </c>
      <c r="I664" s="56"/>
    </row>
    <row r="665" spans="1:9" ht="21.6" customHeight="1">
      <c r="A665" s="27">
        <v>765</v>
      </c>
      <c r="B665" s="34" t="s">
        <v>57</v>
      </c>
      <c r="C665" s="34" t="s">
        <v>534</v>
      </c>
      <c r="D665" s="34" t="s">
        <v>1484</v>
      </c>
      <c r="E665" s="35" t="s">
        <v>535</v>
      </c>
      <c r="F665" s="40">
        <v>520</v>
      </c>
      <c r="G665" s="145" t="s">
        <v>1812</v>
      </c>
      <c r="H665" s="40">
        <v>1</v>
      </c>
      <c r="I665" s="56"/>
    </row>
    <row r="666" spans="1:9" ht="21.6" customHeight="1">
      <c r="A666" s="27">
        <v>766</v>
      </c>
      <c r="B666" s="34" t="s">
        <v>57</v>
      </c>
      <c r="C666" s="34" t="s">
        <v>536</v>
      </c>
      <c r="D666" s="34" t="s">
        <v>1485</v>
      </c>
      <c r="E666" s="35" t="s">
        <v>537</v>
      </c>
      <c r="F666" s="40">
        <v>520</v>
      </c>
      <c r="G666" s="145" t="s">
        <v>1813</v>
      </c>
      <c r="H666" s="40">
        <v>1</v>
      </c>
      <c r="I666" s="56"/>
    </row>
    <row r="667" spans="1:9" ht="21.6" customHeight="1">
      <c r="A667" s="27">
        <v>767</v>
      </c>
      <c r="B667" s="34" t="s">
        <v>57</v>
      </c>
      <c r="C667" s="34" t="s">
        <v>538</v>
      </c>
      <c r="D667" s="34" t="s">
        <v>1486</v>
      </c>
      <c r="E667" s="35" t="s">
        <v>539</v>
      </c>
      <c r="F667" s="40">
        <v>520</v>
      </c>
      <c r="G667" s="145" t="s">
        <v>1814</v>
      </c>
      <c r="H667" s="40">
        <v>1</v>
      </c>
      <c r="I667" s="56"/>
    </row>
    <row r="668" spans="1:9" ht="21.6" customHeight="1">
      <c r="A668" s="27">
        <v>768</v>
      </c>
      <c r="B668" s="34" t="s">
        <v>57</v>
      </c>
      <c r="C668" s="34" t="s">
        <v>540</v>
      </c>
      <c r="D668" s="34" t="s">
        <v>1487</v>
      </c>
      <c r="E668" s="35" t="s">
        <v>541</v>
      </c>
      <c r="F668" s="40">
        <v>520</v>
      </c>
      <c r="G668" s="145" t="s">
        <v>1815</v>
      </c>
      <c r="H668" s="40">
        <v>1</v>
      </c>
      <c r="I668" s="56"/>
    </row>
    <row r="669" spans="1:9" ht="21.6" customHeight="1">
      <c r="A669" s="27">
        <v>769</v>
      </c>
      <c r="B669" s="34" t="s">
        <v>57</v>
      </c>
      <c r="C669" s="34" t="s">
        <v>542</v>
      </c>
      <c r="D669" s="34" t="s">
        <v>1488</v>
      </c>
      <c r="E669" s="35" t="s">
        <v>543</v>
      </c>
      <c r="F669" s="40" t="s">
        <v>453</v>
      </c>
      <c r="G669" s="144" t="s">
        <v>1816</v>
      </c>
      <c r="H669" s="40">
        <v>1</v>
      </c>
      <c r="I669" s="56" t="s">
        <v>455</v>
      </c>
    </row>
    <row r="670" spans="1:9" ht="21.6" customHeight="1">
      <c r="A670" s="27">
        <v>770</v>
      </c>
      <c r="B670" s="34" t="s">
        <v>57</v>
      </c>
      <c r="C670" s="34" t="s">
        <v>542</v>
      </c>
      <c r="D670" s="34" t="s">
        <v>1488</v>
      </c>
      <c r="E670" s="35" t="s">
        <v>543</v>
      </c>
      <c r="F670" s="40" t="s">
        <v>453</v>
      </c>
      <c r="G670" s="144" t="s">
        <v>1816</v>
      </c>
      <c r="H670" s="40">
        <v>1</v>
      </c>
      <c r="I670" s="56" t="s">
        <v>455</v>
      </c>
    </row>
    <row r="671" spans="1:9" ht="21.6" customHeight="1">
      <c r="A671" s="27">
        <v>771</v>
      </c>
      <c r="B671" s="34" t="s">
        <v>57</v>
      </c>
      <c r="C671" s="34" t="s">
        <v>457</v>
      </c>
      <c r="D671" s="34" t="s">
        <v>1453</v>
      </c>
      <c r="E671" s="35" t="s">
        <v>458</v>
      </c>
      <c r="F671" s="40" t="s">
        <v>453</v>
      </c>
      <c r="G671" s="144" t="s">
        <v>1817</v>
      </c>
      <c r="H671" s="40">
        <v>1</v>
      </c>
      <c r="I671" s="56" t="s">
        <v>455</v>
      </c>
    </row>
    <row r="672" spans="1:9" ht="21.6" customHeight="1">
      <c r="A672" s="27">
        <v>772</v>
      </c>
      <c r="B672" s="34" t="s">
        <v>57</v>
      </c>
      <c r="C672" s="34" t="s">
        <v>280</v>
      </c>
      <c r="D672" s="34" t="s">
        <v>1394</v>
      </c>
      <c r="E672" s="35" t="s">
        <v>281</v>
      </c>
      <c r="F672" s="68" t="s">
        <v>470</v>
      </c>
      <c r="G672" s="145" t="s">
        <v>1782</v>
      </c>
      <c r="H672" s="40">
        <v>1</v>
      </c>
      <c r="I672" s="56" t="s">
        <v>544</v>
      </c>
    </row>
    <row r="673" spans="1:9" ht="21.6" customHeight="1">
      <c r="A673" s="27">
        <v>773</v>
      </c>
      <c r="B673" s="34" t="s">
        <v>57</v>
      </c>
      <c r="C673" s="34" t="s">
        <v>284</v>
      </c>
      <c r="D673" s="34" t="s">
        <v>1395</v>
      </c>
      <c r="E673" s="35" t="s">
        <v>226</v>
      </c>
      <c r="F673" s="68" t="s">
        <v>470</v>
      </c>
      <c r="G673" s="144" t="s">
        <v>285</v>
      </c>
      <c r="H673" s="40">
        <v>1</v>
      </c>
      <c r="I673" s="56" t="s">
        <v>544</v>
      </c>
    </row>
    <row r="674" spans="1:9" ht="21.6" customHeight="1">
      <c r="A674" s="27">
        <v>774</v>
      </c>
      <c r="B674" s="34" t="s">
        <v>57</v>
      </c>
      <c r="C674" s="34" t="s">
        <v>287</v>
      </c>
      <c r="D674" s="64" t="s">
        <v>1396</v>
      </c>
      <c r="E674" s="7" t="s">
        <v>288</v>
      </c>
      <c r="F674" s="68" t="s">
        <v>470</v>
      </c>
      <c r="G674" s="145" t="s">
        <v>282</v>
      </c>
      <c r="H674" s="40">
        <v>1</v>
      </c>
      <c r="I674" s="56" t="s">
        <v>544</v>
      </c>
    </row>
    <row r="675" spans="1:9" ht="21.6" customHeight="1">
      <c r="A675" s="27">
        <v>775</v>
      </c>
      <c r="B675" s="34" t="s">
        <v>57</v>
      </c>
      <c r="C675" s="34" t="s">
        <v>332</v>
      </c>
      <c r="D675" s="34" t="s">
        <v>1410</v>
      </c>
      <c r="E675" s="35" t="s">
        <v>333</v>
      </c>
      <c r="F675" s="40">
        <v>500</v>
      </c>
      <c r="G675" s="144" t="s">
        <v>1818</v>
      </c>
      <c r="H675" s="40">
        <v>2</v>
      </c>
      <c r="I675" s="55" t="s">
        <v>545</v>
      </c>
    </row>
    <row r="676" spans="1:9" ht="21.6" customHeight="1">
      <c r="A676" s="27">
        <v>776</v>
      </c>
      <c r="B676" s="34" t="s">
        <v>57</v>
      </c>
      <c r="C676" s="34" t="s">
        <v>335</v>
      </c>
      <c r="D676" s="34" t="s">
        <v>1411</v>
      </c>
      <c r="E676" s="35" t="s">
        <v>336</v>
      </c>
      <c r="F676" s="40">
        <v>500</v>
      </c>
      <c r="G676" s="144" t="s">
        <v>546</v>
      </c>
      <c r="H676" s="40">
        <v>1</v>
      </c>
      <c r="I676" s="55" t="s">
        <v>545</v>
      </c>
    </row>
    <row r="677" spans="1:9" ht="21.6" customHeight="1">
      <c r="A677" s="27">
        <v>777</v>
      </c>
      <c r="B677" s="34" t="s">
        <v>57</v>
      </c>
      <c r="C677" s="34" t="s">
        <v>339</v>
      </c>
      <c r="D677" s="34" t="s">
        <v>1412</v>
      </c>
      <c r="E677" s="35" t="s">
        <v>340</v>
      </c>
      <c r="F677" s="40">
        <v>500</v>
      </c>
      <c r="G677" s="145" t="s">
        <v>547</v>
      </c>
      <c r="H677" s="40">
        <v>1</v>
      </c>
      <c r="I677" s="55" t="s">
        <v>545</v>
      </c>
    </row>
    <row r="678" spans="1:9" ht="21.6" customHeight="1">
      <c r="A678" s="27">
        <v>778</v>
      </c>
      <c r="B678" s="34" t="s">
        <v>57</v>
      </c>
      <c r="C678" s="34" t="s">
        <v>548</v>
      </c>
      <c r="D678" s="78" t="s">
        <v>1489</v>
      </c>
      <c r="E678" s="35" t="s">
        <v>549</v>
      </c>
      <c r="F678" s="40">
        <v>100</v>
      </c>
      <c r="G678" s="145" t="s">
        <v>1819</v>
      </c>
      <c r="H678" s="40">
        <v>1</v>
      </c>
      <c r="I678" s="56" t="s">
        <v>116</v>
      </c>
    </row>
    <row r="679" spans="1:9" ht="21.6" customHeight="1">
      <c r="A679" s="27">
        <v>779</v>
      </c>
      <c r="B679" s="34" t="s">
        <v>57</v>
      </c>
      <c r="C679" s="34" t="s">
        <v>551</v>
      </c>
      <c r="D679" s="34" t="s">
        <v>1490</v>
      </c>
      <c r="E679" s="35" t="s">
        <v>552</v>
      </c>
      <c r="F679" s="40">
        <v>100</v>
      </c>
      <c r="G679" s="144" t="s">
        <v>553</v>
      </c>
      <c r="H679" s="40">
        <v>1</v>
      </c>
      <c r="I679" s="56" t="s">
        <v>116</v>
      </c>
    </row>
    <row r="680" spans="1:9" ht="21.6" customHeight="1">
      <c r="A680" s="27">
        <v>780</v>
      </c>
      <c r="B680" s="34" t="s">
        <v>57</v>
      </c>
      <c r="C680" s="34" t="s">
        <v>554</v>
      </c>
      <c r="D680" s="34" t="s">
        <v>1491</v>
      </c>
      <c r="E680" s="35" t="s">
        <v>555</v>
      </c>
      <c r="F680" s="40">
        <v>100</v>
      </c>
      <c r="G680" s="144" t="s">
        <v>550</v>
      </c>
      <c r="H680" s="40">
        <v>1</v>
      </c>
      <c r="I680" s="56" t="s">
        <v>116</v>
      </c>
    </row>
    <row r="681" spans="1:9" ht="21.6" customHeight="1">
      <c r="A681" s="27">
        <v>781</v>
      </c>
      <c r="B681" s="34" t="s">
        <v>57</v>
      </c>
      <c r="C681" s="34" t="s">
        <v>556</v>
      </c>
      <c r="D681" s="79" t="s">
        <v>1492</v>
      </c>
      <c r="E681" s="35" t="s">
        <v>557</v>
      </c>
      <c r="F681" s="40">
        <v>520</v>
      </c>
      <c r="G681" s="145" t="s">
        <v>558</v>
      </c>
      <c r="H681" s="40" t="s">
        <v>123</v>
      </c>
      <c r="I681" s="56"/>
    </row>
    <row r="682" spans="1:9" ht="21.6" customHeight="1">
      <c r="A682" s="27">
        <v>782</v>
      </c>
      <c r="B682" s="34" t="s">
        <v>57</v>
      </c>
      <c r="C682" s="34" t="s">
        <v>559</v>
      </c>
      <c r="D682" s="80" t="s">
        <v>1493</v>
      </c>
      <c r="E682" s="35" t="s">
        <v>560</v>
      </c>
      <c r="F682" s="40">
        <v>520</v>
      </c>
      <c r="G682" s="145" t="s">
        <v>1820</v>
      </c>
      <c r="H682" s="40" t="s">
        <v>123</v>
      </c>
      <c r="I682" s="56"/>
    </row>
    <row r="683" spans="1:9" ht="21.6" customHeight="1">
      <c r="A683" s="27">
        <v>783</v>
      </c>
      <c r="B683" s="34" t="s">
        <v>57</v>
      </c>
      <c r="C683" s="34" t="s">
        <v>561</v>
      </c>
      <c r="D683" s="34" t="s">
        <v>1494</v>
      </c>
      <c r="E683" s="35" t="s">
        <v>562</v>
      </c>
      <c r="F683" s="40">
        <v>520</v>
      </c>
      <c r="G683" s="145" t="s">
        <v>244</v>
      </c>
      <c r="H683" s="40" t="s">
        <v>123</v>
      </c>
      <c r="I683" s="56"/>
    </row>
    <row r="684" spans="1:9" ht="21.6" customHeight="1">
      <c r="A684" s="27">
        <v>784</v>
      </c>
      <c r="B684" s="34" t="s">
        <v>57</v>
      </c>
      <c r="C684" s="34" t="s">
        <v>563</v>
      </c>
      <c r="D684" s="34" t="s">
        <v>1495</v>
      </c>
      <c r="E684" s="35" t="s">
        <v>564</v>
      </c>
      <c r="F684" s="40">
        <v>520</v>
      </c>
      <c r="G684" s="145" t="s">
        <v>1803</v>
      </c>
      <c r="H684" s="40" t="s">
        <v>123</v>
      </c>
      <c r="I684" s="56"/>
    </row>
    <row r="685" spans="1:9" ht="21.6" customHeight="1">
      <c r="A685" s="27">
        <v>785</v>
      </c>
      <c r="B685" s="34" t="s">
        <v>57</v>
      </c>
      <c r="C685" s="34" t="s">
        <v>565</v>
      </c>
      <c r="D685" s="34" t="s">
        <v>1496</v>
      </c>
      <c r="E685" s="35" t="s">
        <v>566</v>
      </c>
      <c r="F685" s="40" t="s">
        <v>453</v>
      </c>
      <c r="G685" s="144" t="s">
        <v>567</v>
      </c>
      <c r="H685" s="40" t="s">
        <v>123</v>
      </c>
      <c r="I685" s="56" t="s">
        <v>455</v>
      </c>
    </row>
    <row r="686" spans="1:9" ht="21.6" customHeight="1">
      <c r="A686" s="27">
        <v>786</v>
      </c>
      <c r="B686" s="34" t="s">
        <v>57</v>
      </c>
      <c r="C686" s="34" t="s">
        <v>568</v>
      </c>
      <c r="D686" s="34" t="s">
        <v>1497</v>
      </c>
      <c r="E686" s="35" t="s">
        <v>569</v>
      </c>
      <c r="F686" s="40">
        <v>500</v>
      </c>
      <c r="G686" s="144" t="s">
        <v>570</v>
      </c>
      <c r="H686" s="40" t="s">
        <v>123</v>
      </c>
      <c r="I686" s="55" t="s">
        <v>545</v>
      </c>
    </row>
    <row r="687" spans="1:9" ht="21.6" customHeight="1">
      <c r="A687" s="27">
        <v>787</v>
      </c>
      <c r="B687" s="34" t="s">
        <v>57</v>
      </c>
      <c r="C687" s="34" t="s">
        <v>301</v>
      </c>
      <c r="D687" s="67" t="s">
        <v>1401</v>
      </c>
      <c r="E687" s="30" t="s">
        <v>302</v>
      </c>
      <c r="F687" s="68" t="s">
        <v>470</v>
      </c>
      <c r="G687" s="145" t="s">
        <v>303</v>
      </c>
      <c r="H687" s="40" t="s">
        <v>123</v>
      </c>
      <c r="I687" s="56" t="s">
        <v>544</v>
      </c>
    </row>
    <row r="688" spans="1:9" ht="21.6" customHeight="1">
      <c r="A688" s="27">
        <v>788</v>
      </c>
      <c r="B688" s="34" t="s">
        <v>57</v>
      </c>
      <c r="C688" s="34" t="s">
        <v>571</v>
      </c>
      <c r="D688" s="34" t="s">
        <v>1498</v>
      </c>
      <c r="E688" s="35" t="s">
        <v>572</v>
      </c>
      <c r="F688" s="40" t="s">
        <v>123</v>
      </c>
      <c r="G688" s="145" t="s">
        <v>132</v>
      </c>
      <c r="H688" s="40" t="s">
        <v>123</v>
      </c>
      <c r="I688" s="56"/>
    </row>
    <row r="689" spans="1:9" ht="21.6" customHeight="1">
      <c r="A689" s="27">
        <v>789</v>
      </c>
      <c r="B689" s="34" t="s">
        <v>57</v>
      </c>
      <c r="C689" s="34" t="s">
        <v>573</v>
      </c>
      <c r="D689" s="34" t="s">
        <v>1499</v>
      </c>
      <c r="E689" s="35" t="s">
        <v>574</v>
      </c>
      <c r="F689" s="40" t="s">
        <v>123</v>
      </c>
      <c r="G689" s="145" t="s">
        <v>575</v>
      </c>
      <c r="H689" s="40" t="s">
        <v>123</v>
      </c>
      <c r="I689" s="56"/>
    </row>
    <row r="690" spans="1:9" ht="21.6" customHeight="1">
      <c r="A690" s="27">
        <v>790</v>
      </c>
      <c r="B690" s="34" t="s">
        <v>57</v>
      </c>
      <c r="C690" s="34" t="s">
        <v>576</v>
      </c>
      <c r="D690" s="34" t="s">
        <v>1500</v>
      </c>
      <c r="E690" s="35" t="s">
        <v>577</v>
      </c>
      <c r="F690" s="40" t="s">
        <v>123</v>
      </c>
      <c r="G690" s="144" t="s">
        <v>135</v>
      </c>
      <c r="H690" s="40" t="s">
        <v>123</v>
      </c>
      <c r="I690" s="56"/>
    </row>
    <row r="691" spans="1:9" ht="21.6" customHeight="1">
      <c r="A691" s="27">
        <v>791</v>
      </c>
      <c r="B691" s="34" t="s">
        <v>57</v>
      </c>
      <c r="C691" s="34" t="s">
        <v>578</v>
      </c>
      <c r="D691" s="34" t="s">
        <v>1501</v>
      </c>
      <c r="E691" s="35" t="s">
        <v>579</v>
      </c>
      <c r="F691" s="40" t="s">
        <v>123</v>
      </c>
      <c r="G691" s="144" t="s">
        <v>1821</v>
      </c>
      <c r="H691" s="40" t="s">
        <v>123</v>
      </c>
      <c r="I691" s="56"/>
    </row>
    <row r="692" spans="1:9" ht="21.6" customHeight="1">
      <c r="A692" s="27">
        <v>792</v>
      </c>
      <c r="B692" s="34" t="s">
        <v>57</v>
      </c>
      <c r="C692" s="34" t="s">
        <v>580</v>
      </c>
      <c r="D692" s="34" t="s">
        <v>1502</v>
      </c>
      <c r="E692" s="35" t="s">
        <v>581</v>
      </c>
      <c r="F692" s="40" t="s">
        <v>123</v>
      </c>
      <c r="G692" s="144" t="s">
        <v>582</v>
      </c>
      <c r="H692" s="40" t="s">
        <v>123</v>
      </c>
      <c r="I692" s="56"/>
    </row>
    <row r="693" spans="1:9" ht="21.6" customHeight="1">
      <c r="A693" s="27">
        <v>794</v>
      </c>
      <c r="B693" s="34" t="s">
        <v>57</v>
      </c>
      <c r="C693" s="34" t="s">
        <v>583</v>
      </c>
      <c r="D693" s="34" t="s">
        <v>1503</v>
      </c>
      <c r="E693" s="35" t="s">
        <v>584</v>
      </c>
      <c r="F693" s="40" t="s">
        <v>123</v>
      </c>
      <c r="G693" s="145" t="s">
        <v>585</v>
      </c>
      <c r="H693" s="40" t="s">
        <v>123</v>
      </c>
      <c r="I693" s="56" t="s">
        <v>586</v>
      </c>
    </row>
    <row r="694" spans="1:9" s="81" customFormat="1" ht="21.6" customHeight="1">
      <c r="A694" s="20">
        <v>796</v>
      </c>
      <c r="B694" s="73" t="s">
        <v>1301</v>
      </c>
      <c r="C694" s="73" t="s">
        <v>587</v>
      </c>
      <c r="D694" s="73" t="s">
        <v>1504</v>
      </c>
      <c r="E694" s="72" t="s">
        <v>588</v>
      </c>
      <c r="F694" s="74">
        <v>223</v>
      </c>
      <c r="G694" s="143" t="s">
        <v>589</v>
      </c>
      <c r="H694" s="74">
        <v>1</v>
      </c>
      <c r="I694" s="75" t="s">
        <v>590</v>
      </c>
    </row>
    <row r="695" spans="1:9" s="81" customFormat="1" ht="21.6" customHeight="1">
      <c r="A695" s="27">
        <v>797</v>
      </c>
      <c r="B695" s="104" t="s">
        <v>1301</v>
      </c>
      <c r="C695" s="104" t="s">
        <v>591</v>
      </c>
      <c r="D695" s="34" t="s">
        <v>1505</v>
      </c>
      <c r="E695" s="35" t="s">
        <v>592</v>
      </c>
      <c r="F695" s="40">
        <v>223</v>
      </c>
      <c r="G695" s="145" t="s">
        <v>502</v>
      </c>
      <c r="H695" s="40">
        <v>1</v>
      </c>
      <c r="I695" s="56"/>
    </row>
    <row r="696" spans="1:9" s="81" customFormat="1" ht="21.6" customHeight="1">
      <c r="A696" s="27">
        <v>798</v>
      </c>
      <c r="B696" s="104" t="s">
        <v>1301</v>
      </c>
      <c r="C696" s="104" t="s">
        <v>593</v>
      </c>
      <c r="D696" s="34" t="s">
        <v>1506</v>
      </c>
      <c r="E696" s="35" t="s">
        <v>594</v>
      </c>
      <c r="F696" s="40">
        <v>223</v>
      </c>
      <c r="G696" s="145" t="s">
        <v>415</v>
      </c>
      <c r="H696" s="40">
        <v>1</v>
      </c>
      <c r="I696" s="56"/>
    </row>
    <row r="697" spans="1:9" s="81" customFormat="1" ht="21.6" customHeight="1">
      <c r="A697" s="27">
        <v>799</v>
      </c>
      <c r="B697" s="104" t="s">
        <v>1301</v>
      </c>
      <c r="C697" s="104" t="s">
        <v>595</v>
      </c>
      <c r="D697" s="34" t="s">
        <v>1507</v>
      </c>
      <c r="E697" s="35" t="s">
        <v>596</v>
      </c>
      <c r="F697" s="40">
        <v>223</v>
      </c>
      <c r="G697" s="144" t="s">
        <v>597</v>
      </c>
      <c r="H697" s="40">
        <v>1</v>
      </c>
      <c r="I697" s="56"/>
    </row>
    <row r="698" spans="1:9" s="81" customFormat="1" ht="21.6" customHeight="1">
      <c r="A698" s="27">
        <v>800</v>
      </c>
      <c r="B698" s="104" t="s">
        <v>1301</v>
      </c>
      <c r="C698" s="104" t="s">
        <v>598</v>
      </c>
      <c r="D698" s="34" t="s">
        <v>1508</v>
      </c>
      <c r="E698" s="35" t="s">
        <v>599</v>
      </c>
      <c r="F698" s="40">
        <v>223</v>
      </c>
      <c r="G698" s="145" t="s">
        <v>600</v>
      </c>
      <c r="H698" s="40">
        <v>1</v>
      </c>
      <c r="I698" s="56"/>
    </row>
    <row r="699" spans="1:9" s="81" customFormat="1" ht="21.6" customHeight="1">
      <c r="A699" s="27">
        <v>801</v>
      </c>
      <c r="B699" s="104" t="s">
        <v>1301</v>
      </c>
      <c r="C699" s="104" t="s">
        <v>601</v>
      </c>
      <c r="D699" s="34" t="s">
        <v>1509</v>
      </c>
      <c r="E699" s="35" t="s">
        <v>602</v>
      </c>
      <c r="F699" s="40">
        <v>223</v>
      </c>
      <c r="G699" s="144" t="s">
        <v>1822</v>
      </c>
      <c r="H699" s="40">
        <v>2</v>
      </c>
      <c r="I699" s="56"/>
    </row>
    <row r="700" spans="1:9" s="81" customFormat="1" ht="21.6" customHeight="1">
      <c r="A700" s="27">
        <v>802</v>
      </c>
      <c r="B700" s="104" t="s">
        <v>1301</v>
      </c>
      <c r="C700" s="104" t="s">
        <v>603</v>
      </c>
      <c r="D700" s="34" t="s">
        <v>1510</v>
      </c>
      <c r="E700" s="35" t="s">
        <v>604</v>
      </c>
      <c r="F700" s="40">
        <v>223</v>
      </c>
      <c r="G700" s="144" t="s">
        <v>1823</v>
      </c>
      <c r="H700" s="40">
        <v>1</v>
      </c>
      <c r="I700" s="56"/>
    </row>
    <row r="701" spans="1:9" s="81" customFormat="1" ht="21.6" customHeight="1">
      <c r="A701" s="27">
        <v>803</v>
      </c>
      <c r="B701" s="104" t="s">
        <v>1301</v>
      </c>
      <c r="C701" s="104" t="s">
        <v>605</v>
      </c>
      <c r="D701" s="34" t="s">
        <v>1511</v>
      </c>
      <c r="E701" s="35" t="s">
        <v>606</v>
      </c>
      <c r="F701" s="40">
        <v>223</v>
      </c>
      <c r="G701" s="145" t="s">
        <v>533</v>
      </c>
      <c r="H701" s="40">
        <v>1</v>
      </c>
      <c r="I701" s="56"/>
    </row>
    <row r="702" spans="1:9" s="81" customFormat="1" ht="21.6" customHeight="1">
      <c r="A702" s="27">
        <v>804</v>
      </c>
      <c r="B702" s="104" t="s">
        <v>1301</v>
      </c>
      <c r="C702" s="104" t="s">
        <v>607</v>
      </c>
      <c r="D702" s="34" t="s">
        <v>1512</v>
      </c>
      <c r="E702" s="35" t="s">
        <v>608</v>
      </c>
      <c r="F702" s="40">
        <v>223</v>
      </c>
      <c r="G702" s="145" t="s">
        <v>1812</v>
      </c>
      <c r="H702" s="40">
        <v>1</v>
      </c>
      <c r="I702" s="56"/>
    </row>
    <row r="703" spans="1:9" s="81" customFormat="1" ht="21.6" customHeight="1">
      <c r="A703" s="27">
        <v>805</v>
      </c>
      <c r="B703" s="104" t="s">
        <v>1301</v>
      </c>
      <c r="C703" s="104" t="s">
        <v>609</v>
      </c>
      <c r="D703" s="34" t="s">
        <v>1513</v>
      </c>
      <c r="E703" s="35" t="s">
        <v>610</v>
      </c>
      <c r="F703" s="40">
        <v>223</v>
      </c>
      <c r="G703" s="145" t="s">
        <v>1824</v>
      </c>
      <c r="H703" s="40">
        <v>1</v>
      </c>
      <c r="I703" s="56"/>
    </row>
    <row r="704" spans="1:9" s="81" customFormat="1" ht="21.6" customHeight="1">
      <c r="A704" s="27">
        <v>806</v>
      </c>
      <c r="B704" s="104" t="s">
        <v>1301</v>
      </c>
      <c r="C704" s="104" t="s">
        <v>611</v>
      </c>
      <c r="D704" s="34" t="s">
        <v>1514</v>
      </c>
      <c r="E704" s="35" t="s">
        <v>612</v>
      </c>
      <c r="F704" s="40">
        <v>223</v>
      </c>
      <c r="G704" s="145" t="s">
        <v>1825</v>
      </c>
      <c r="H704" s="40">
        <v>1</v>
      </c>
      <c r="I704" s="56"/>
    </row>
    <row r="705" spans="1:9" s="81" customFormat="1" ht="21.6" customHeight="1">
      <c r="A705" s="27">
        <v>807</v>
      </c>
      <c r="B705" s="104" t="s">
        <v>1301</v>
      </c>
      <c r="C705" s="104" t="s">
        <v>613</v>
      </c>
      <c r="D705" s="34" t="s">
        <v>1515</v>
      </c>
      <c r="E705" s="35" t="s">
        <v>614</v>
      </c>
      <c r="F705" s="40">
        <v>223</v>
      </c>
      <c r="G705" s="145" t="s">
        <v>1826</v>
      </c>
      <c r="H705" s="40">
        <v>2</v>
      </c>
      <c r="I705" s="56"/>
    </row>
    <row r="706" spans="1:9" s="26" customFormat="1" ht="21.6" customHeight="1">
      <c r="A706" s="27">
        <v>808</v>
      </c>
      <c r="B706" s="104" t="s">
        <v>1301</v>
      </c>
      <c r="C706" s="104" t="s">
        <v>615</v>
      </c>
      <c r="D706" s="28" t="s">
        <v>1516</v>
      </c>
      <c r="E706" s="3" t="s">
        <v>616</v>
      </c>
      <c r="F706" s="29">
        <v>805.7</v>
      </c>
      <c r="G706" s="144" t="s">
        <v>263</v>
      </c>
      <c r="H706" s="29">
        <v>1</v>
      </c>
      <c r="I706" s="56" t="s">
        <v>617</v>
      </c>
    </row>
    <row r="707" spans="1:9" s="81" customFormat="1" ht="21.6" customHeight="1">
      <c r="A707" s="27">
        <v>810</v>
      </c>
      <c r="B707" s="104" t="s">
        <v>1301</v>
      </c>
      <c r="C707" s="104" t="s">
        <v>618</v>
      </c>
      <c r="D707" s="34" t="s">
        <v>1517</v>
      </c>
      <c r="E707" s="35" t="s">
        <v>619</v>
      </c>
      <c r="F707" s="40">
        <v>358</v>
      </c>
      <c r="G707" s="145" t="s">
        <v>1809</v>
      </c>
      <c r="H707" s="40">
        <v>1</v>
      </c>
      <c r="I707" s="56" t="s">
        <v>526</v>
      </c>
    </row>
    <row r="708" spans="1:9" s="81" customFormat="1" ht="21.6" customHeight="1">
      <c r="A708" s="27">
        <v>811</v>
      </c>
      <c r="B708" s="104" t="s">
        <v>1301</v>
      </c>
      <c r="C708" s="104" t="s">
        <v>620</v>
      </c>
      <c r="D708" s="34" t="s">
        <v>1518</v>
      </c>
      <c r="E708" s="35" t="s">
        <v>621</v>
      </c>
      <c r="F708" s="40">
        <v>358</v>
      </c>
      <c r="G708" s="145" t="s">
        <v>87</v>
      </c>
      <c r="H708" s="40">
        <v>1</v>
      </c>
      <c r="I708" s="56"/>
    </row>
    <row r="709" spans="1:9" s="81" customFormat="1" ht="21.6" customHeight="1">
      <c r="A709" s="27">
        <v>812</v>
      </c>
      <c r="B709" s="104" t="s">
        <v>1301</v>
      </c>
      <c r="C709" s="104" t="s">
        <v>622</v>
      </c>
      <c r="D709" s="34" t="s">
        <v>1519</v>
      </c>
      <c r="E709" s="35" t="s">
        <v>623</v>
      </c>
      <c r="F709" s="40">
        <v>358</v>
      </c>
      <c r="G709" s="144" t="s">
        <v>1827</v>
      </c>
      <c r="H709" s="40">
        <v>1</v>
      </c>
      <c r="I709" s="56"/>
    </row>
    <row r="710" spans="1:9" s="81" customFormat="1" ht="21.6" customHeight="1">
      <c r="A710" s="27">
        <v>813</v>
      </c>
      <c r="B710" s="104" t="s">
        <v>1301</v>
      </c>
      <c r="C710" s="104" t="s">
        <v>624</v>
      </c>
      <c r="D710" s="34" t="s">
        <v>1520</v>
      </c>
      <c r="E710" s="35" t="s">
        <v>625</v>
      </c>
      <c r="F710" s="40">
        <v>358</v>
      </c>
      <c r="G710" s="144" t="s">
        <v>1828</v>
      </c>
      <c r="H710" s="40">
        <v>1</v>
      </c>
      <c r="I710" s="56"/>
    </row>
    <row r="711" spans="1:9" s="81" customFormat="1" ht="21.6" customHeight="1">
      <c r="A711" s="27">
        <v>814</v>
      </c>
      <c r="B711" s="104" t="s">
        <v>1301</v>
      </c>
      <c r="C711" s="104" t="s">
        <v>626</v>
      </c>
      <c r="D711" s="34" t="s">
        <v>1521</v>
      </c>
      <c r="E711" s="35" t="s">
        <v>627</v>
      </c>
      <c r="F711" s="40">
        <v>358</v>
      </c>
      <c r="G711" s="145" t="s">
        <v>628</v>
      </c>
      <c r="H711" s="40">
        <v>2</v>
      </c>
      <c r="I711" s="56"/>
    </row>
    <row r="712" spans="1:9" s="81" customFormat="1" ht="21.6" customHeight="1">
      <c r="A712" s="27">
        <v>815</v>
      </c>
      <c r="B712" s="104" t="s">
        <v>1301</v>
      </c>
      <c r="C712" s="104" t="s">
        <v>629</v>
      </c>
      <c r="D712" s="34" t="s">
        <v>1522</v>
      </c>
      <c r="E712" s="35" t="s">
        <v>630</v>
      </c>
      <c r="F712" s="40">
        <v>120</v>
      </c>
      <c r="G712" s="144" t="s">
        <v>631</v>
      </c>
      <c r="H712" s="40">
        <v>2</v>
      </c>
      <c r="I712" s="56" t="s">
        <v>632</v>
      </c>
    </row>
    <row r="713" spans="1:9" s="81" customFormat="1" ht="21.6" customHeight="1">
      <c r="A713" s="27">
        <v>816</v>
      </c>
      <c r="B713" s="104" t="s">
        <v>1301</v>
      </c>
      <c r="C713" s="104" t="s">
        <v>329</v>
      </c>
      <c r="D713" s="80" t="s">
        <v>1409</v>
      </c>
      <c r="E713" s="35" t="s">
        <v>330</v>
      </c>
      <c r="F713" s="40">
        <v>120</v>
      </c>
      <c r="G713" s="144" t="s">
        <v>115</v>
      </c>
      <c r="H713" s="40">
        <v>1</v>
      </c>
      <c r="I713" s="56" t="s">
        <v>116</v>
      </c>
    </row>
    <row r="714" spans="1:9" s="58" customFormat="1" ht="21.6" customHeight="1">
      <c r="A714" s="27">
        <v>817</v>
      </c>
      <c r="B714" s="104" t="s">
        <v>1301</v>
      </c>
      <c r="C714" s="104" t="s">
        <v>264</v>
      </c>
      <c r="D714" s="50" t="s">
        <v>1389</v>
      </c>
      <c r="E714" s="51" t="s">
        <v>265</v>
      </c>
      <c r="F714" s="29">
        <v>80</v>
      </c>
      <c r="G714" s="144" t="s">
        <v>1829</v>
      </c>
      <c r="H714" s="29">
        <v>1</v>
      </c>
      <c r="I714" s="31" t="s">
        <v>318</v>
      </c>
    </row>
    <row r="715" spans="1:9" s="58" customFormat="1" ht="21.6" customHeight="1">
      <c r="A715" s="27">
        <v>818</v>
      </c>
      <c r="B715" s="104" t="s">
        <v>1301</v>
      </c>
      <c r="C715" s="104" t="s">
        <v>268</v>
      </c>
      <c r="D715" s="50" t="s">
        <v>1390</v>
      </c>
      <c r="E715" s="51" t="s">
        <v>269</v>
      </c>
      <c r="F715" s="29">
        <v>80</v>
      </c>
      <c r="G715" s="144" t="s">
        <v>633</v>
      </c>
      <c r="H715" s="29">
        <v>1</v>
      </c>
      <c r="I715" s="31" t="s">
        <v>318</v>
      </c>
    </row>
    <row r="716" spans="1:9" s="58" customFormat="1" ht="21.6" customHeight="1">
      <c r="A716" s="27">
        <v>819</v>
      </c>
      <c r="B716" s="104" t="s">
        <v>1301</v>
      </c>
      <c r="C716" s="104" t="s">
        <v>271</v>
      </c>
      <c r="D716" s="50" t="s">
        <v>1391</v>
      </c>
      <c r="E716" s="51" t="s">
        <v>272</v>
      </c>
      <c r="F716" s="29">
        <v>80</v>
      </c>
      <c r="G716" s="144" t="s">
        <v>1830</v>
      </c>
      <c r="H716" s="29">
        <v>1</v>
      </c>
      <c r="I716" s="31" t="s">
        <v>318</v>
      </c>
    </row>
    <row r="717" spans="1:9" s="26" customFormat="1" ht="21.6" customHeight="1">
      <c r="A717" s="27">
        <v>820</v>
      </c>
      <c r="B717" s="104" t="s">
        <v>1301</v>
      </c>
      <c r="C717" s="104" t="s">
        <v>225</v>
      </c>
      <c r="D717" s="39" t="s">
        <v>1375</v>
      </c>
      <c r="E717" s="3" t="s">
        <v>226</v>
      </c>
      <c r="F717" s="29">
        <v>120</v>
      </c>
      <c r="G717" s="144" t="s">
        <v>320</v>
      </c>
      <c r="H717" s="29">
        <v>2</v>
      </c>
      <c r="I717" s="31" t="s">
        <v>364</v>
      </c>
    </row>
    <row r="718" spans="1:9" s="26" customFormat="1" ht="21.6" customHeight="1">
      <c r="A718" s="27">
        <v>821</v>
      </c>
      <c r="B718" s="104" t="s">
        <v>1301</v>
      </c>
      <c r="C718" s="104" t="s">
        <v>229</v>
      </c>
      <c r="D718" s="39" t="s">
        <v>1376</v>
      </c>
      <c r="E718" s="51" t="s">
        <v>230</v>
      </c>
      <c r="F718" s="29">
        <v>120</v>
      </c>
      <c r="G718" s="144" t="s">
        <v>278</v>
      </c>
      <c r="H718" s="29">
        <v>1</v>
      </c>
      <c r="I718" s="31" t="s">
        <v>364</v>
      </c>
    </row>
    <row r="719" spans="1:9" s="26" customFormat="1" ht="21.6" customHeight="1">
      <c r="A719" s="27">
        <v>822</v>
      </c>
      <c r="B719" s="104" t="s">
        <v>1301</v>
      </c>
      <c r="C719" s="104" t="s">
        <v>323</v>
      </c>
      <c r="D719" s="39" t="s">
        <v>1407</v>
      </c>
      <c r="E719" s="51" t="s">
        <v>324</v>
      </c>
      <c r="F719" s="29">
        <v>120</v>
      </c>
      <c r="G719" s="144" t="s">
        <v>1782</v>
      </c>
      <c r="H719" s="29">
        <v>1</v>
      </c>
      <c r="I719" s="31" t="s">
        <v>325</v>
      </c>
    </row>
    <row r="720" spans="1:9" s="26" customFormat="1" ht="21.6" customHeight="1">
      <c r="A720" s="27">
        <v>823</v>
      </c>
      <c r="B720" s="104" t="s">
        <v>1301</v>
      </c>
      <c r="C720" s="104" t="s">
        <v>284</v>
      </c>
      <c r="D720" s="50" t="s">
        <v>1395</v>
      </c>
      <c r="E720" s="51" t="s">
        <v>226</v>
      </c>
      <c r="F720" s="29">
        <v>120</v>
      </c>
      <c r="G720" s="144" t="s">
        <v>285</v>
      </c>
      <c r="H720" s="29">
        <v>1</v>
      </c>
      <c r="I720" s="31" t="s">
        <v>325</v>
      </c>
    </row>
    <row r="721" spans="1:9" s="26" customFormat="1" ht="21.6" customHeight="1">
      <c r="A721" s="27">
        <v>824</v>
      </c>
      <c r="B721" s="104" t="s">
        <v>1301</v>
      </c>
      <c r="C721" s="104" t="s">
        <v>287</v>
      </c>
      <c r="D721" s="50" t="s">
        <v>1396</v>
      </c>
      <c r="E721" s="51" t="s">
        <v>288</v>
      </c>
      <c r="F721" s="29">
        <v>120</v>
      </c>
      <c r="G721" s="144" t="s">
        <v>282</v>
      </c>
      <c r="H721" s="29">
        <v>1</v>
      </c>
      <c r="I721" s="31" t="s">
        <v>325</v>
      </c>
    </row>
    <row r="722" spans="1:9" s="58" customFormat="1" ht="21.6" customHeight="1">
      <c r="A722" s="27">
        <v>825</v>
      </c>
      <c r="B722" s="104" t="s">
        <v>1301</v>
      </c>
      <c r="C722" s="104" t="s">
        <v>326</v>
      </c>
      <c r="D722" s="39" t="s">
        <v>1408</v>
      </c>
      <c r="E722" s="51" t="s">
        <v>327</v>
      </c>
      <c r="F722" s="29">
        <v>320</v>
      </c>
      <c r="G722" s="144" t="s">
        <v>1831</v>
      </c>
      <c r="H722" s="29">
        <v>2</v>
      </c>
      <c r="I722" s="31" t="s">
        <v>328</v>
      </c>
    </row>
    <row r="723" spans="1:9" s="58" customFormat="1" ht="21.6" customHeight="1">
      <c r="A723" s="27">
        <v>826</v>
      </c>
      <c r="B723" s="104" t="s">
        <v>1301</v>
      </c>
      <c r="C723" s="104" t="s">
        <v>329</v>
      </c>
      <c r="D723" s="50" t="s">
        <v>1409</v>
      </c>
      <c r="E723" s="51" t="s">
        <v>330</v>
      </c>
      <c r="F723" s="29">
        <v>320</v>
      </c>
      <c r="G723" s="144" t="s">
        <v>634</v>
      </c>
      <c r="H723" s="29">
        <v>1</v>
      </c>
      <c r="I723" s="31" t="s">
        <v>328</v>
      </c>
    </row>
    <row r="724" spans="1:9" ht="21.6" customHeight="1">
      <c r="A724" s="27">
        <v>827</v>
      </c>
      <c r="B724" s="132" t="s">
        <v>1301</v>
      </c>
      <c r="C724" s="132" t="s">
        <v>332</v>
      </c>
      <c r="D724" s="34" t="s">
        <v>1410</v>
      </c>
      <c r="E724" s="35" t="s">
        <v>333</v>
      </c>
      <c r="F724" s="40">
        <v>500</v>
      </c>
      <c r="G724" s="144" t="s">
        <v>1784</v>
      </c>
      <c r="H724" s="40">
        <v>2</v>
      </c>
      <c r="I724" s="55" t="s">
        <v>334</v>
      </c>
    </row>
    <row r="725" spans="1:9" ht="21.6" customHeight="1">
      <c r="A725" s="27">
        <v>828</v>
      </c>
      <c r="B725" s="132" t="s">
        <v>1301</v>
      </c>
      <c r="C725" s="132" t="s">
        <v>335</v>
      </c>
      <c r="D725" s="34" t="s">
        <v>1411</v>
      </c>
      <c r="E725" s="35" t="s">
        <v>336</v>
      </c>
      <c r="F725" s="40">
        <v>500</v>
      </c>
      <c r="G725" s="144" t="s">
        <v>337</v>
      </c>
      <c r="H725" s="40">
        <v>1</v>
      </c>
      <c r="I725" s="55" t="s">
        <v>338</v>
      </c>
    </row>
    <row r="726" spans="1:9" ht="21.6" customHeight="1">
      <c r="A726" s="27">
        <v>829</v>
      </c>
      <c r="B726" s="132" t="s">
        <v>1301</v>
      </c>
      <c r="C726" s="132" t="s">
        <v>339</v>
      </c>
      <c r="D726" s="34" t="s">
        <v>1412</v>
      </c>
      <c r="E726" s="35" t="s">
        <v>340</v>
      </c>
      <c r="F726" s="40">
        <v>500</v>
      </c>
      <c r="G726" s="145" t="s">
        <v>341</v>
      </c>
      <c r="H726" s="40">
        <v>1</v>
      </c>
      <c r="I726" s="55" t="s">
        <v>338</v>
      </c>
    </row>
    <row r="727" spans="1:9" s="81" customFormat="1" ht="21.6" customHeight="1">
      <c r="A727" s="27">
        <v>830</v>
      </c>
      <c r="B727" s="104" t="s">
        <v>1301</v>
      </c>
      <c r="C727" s="104" t="s">
        <v>635</v>
      </c>
      <c r="D727" s="80" t="s">
        <v>1523</v>
      </c>
      <c r="E727" s="35" t="s">
        <v>636</v>
      </c>
      <c r="F727" s="40">
        <v>223</v>
      </c>
      <c r="G727" s="144" t="s">
        <v>637</v>
      </c>
      <c r="H727" s="40" t="s">
        <v>123</v>
      </c>
      <c r="I727" s="56"/>
    </row>
    <row r="728" spans="1:9" s="58" customFormat="1" ht="21.6" customHeight="1">
      <c r="A728" s="27">
        <v>831</v>
      </c>
      <c r="B728" s="104" t="s">
        <v>1301</v>
      </c>
      <c r="C728" s="104" t="s">
        <v>295</v>
      </c>
      <c r="D728" s="39" t="s">
        <v>1399</v>
      </c>
      <c r="E728" s="3" t="s">
        <v>296</v>
      </c>
      <c r="F728" s="29">
        <v>80</v>
      </c>
      <c r="G728" s="144" t="s">
        <v>638</v>
      </c>
      <c r="H728" s="40" t="s">
        <v>123</v>
      </c>
      <c r="I728" s="31" t="s">
        <v>639</v>
      </c>
    </row>
    <row r="729" spans="1:9" s="26" customFormat="1" ht="21.6" customHeight="1">
      <c r="A729" s="27">
        <v>832</v>
      </c>
      <c r="B729" s="104" t="s">
        <v>1301</v>
      </c>
      <c r="C729" s="104" t="s">
        <v>298</v>
      </c>
      <c r="D729" s="39" t="s">
        <v>1400</v>
      </c>
      <c r="E729" s="3" t="s">
        <v>299</v>
      </c>
      <c r="F729" s="29">
        <v>120</v>
      </c>
      <c r="G729" s="144" t="s">
        <v>300</v>
      </c>
      <c r="H729" s="40" t="s">
        <v>123</v>
      </c>
      <c r="I729" s="31" t="s">
        <v>321</v>
      </c>
    </row>
    <row r="730" spans="1:9" s="26" customFormat="1" ht="21.6" customHeight="1">
      <c r="A730" s="27">
        <v>833</v>
      </c>
      <c r="B730" s="104" t="s">
        <v>1301</v>
      </c>
      <c r="C730" s="104" t="s">
        <v>345</v>
      </c>
      <c r="D730" s="39" t="s">
        <v>1414</v>
      </c>
      <c r="E730" s="3" t="s">
        <v>346</v>
      </c>
      <c r="F730" s="29">
        <v>120</v>
      </c>
      <c r="G730" s="144" t="s">
        <v>303</v>
      </c>
      <c r="H730" s="40" t="s">
        <v>123</v>
      </c>
      <c r="I730" s="31" t="s">
        <v>325</v>
      </c>
    </row>
    <row r="731" spans="1:9" ht="21.6" customHeight="1">
      <c r="A731" s="27">
        <v>835</v>
      </c>
      <c r="B731" s="132" t="s">
        <v>1301</v>
      </c>
      <c r="C731" s="132" t="s">
        <v>347</v>
      </c>
      <c r="D731" s="34" t="s">
        <v>1415</v>
      </c>
      <c r="E731" s="35" t="s">
        <v>348</v>
      </c>
      <c r="F731" s="40">
        <v>500</v>
      </c>
      <c r="G731" s="144" t="s">
        <v>349</v>
      </c>
      <c r="H731" s="40" t="s">
        <v>123</v>
      </c>
      <c r="I731" s="55" t="s">
        <v>334</v>
      </c>
    </row>
    <row r="732" spans="1:9" s="58" customFormat="1" ht="21.6" customHeight="1">
      <c r="A732" s="27">
        <v>837</v>
      </c>
      <c r="B732" s="104" t="s">
        <v>1301</v>
      </c>
      <c r="C732" s="104" t="s">
        <v>640</v>
      </c>
      <c r="D732" s="39" t="s">
        <v>1524</v>
      </c>
      <c r="E732" s="3" t="s">
        <v>641</v>
      </c>
      <c r="F732" s="29">
        <v>358</v>
      </c>
      <c r="G732" s="144" t="s">
        <v>642</v>
      </c>
      <c r="H732" s="40" t="s">
        <v>123</v>
      </c>
      <c r="I732" s="31" t="s">
        <v>526</v>
      </c>
    </row>
    <row r="733" spans="1:9" s="58" customFormat="1" ht="21.6" customHeight="1">
      <c r="A733" s="27">
        <v>838</v>
      </c>
      <c r="B733" s="104" t="s">
        <v>1301</v>
      </c>
      <c r="C733" s="104" t="s">
        <v>643</v>
      </c>
      <c r="D733" s="39" t="s">
        <v>1525</v>
      </c>
      <c r="E733" s="3" t="s">
        <v>644</v>
      </c>
      <c r="F733" s="29">
        <v>223</v>
      </c>
      <c r="G733" s="144" t="s">
        <v>645</v>
      </c>
      <c r="H733" s="40" t="s">
        <v>123</v>
      </c>
      <c r="I733" s="31"/>
    </row>
    <row r="734" spans="1:9" s="81" customFormat="1" ht="21.6" customHeight="1">
      <c r="A734" s="27">
        <v>839</v>
      </c>
      <c r="B734" s="104" t="s">
        <v>1301</v>
      </c>
      <c r="C734" s="104" t="s">
        <v>646</v>
      </c>
      <c r="D734" s="34" t="s">
        <v>1526</v>
      </c>
      <c r="E734" s="35" t="s">
        <v>647</v>
      </c>
      <c r="F734" s="40" t="s">
        <v>123</v>
      </c>
      <c r="G734" s="145" t="s">
        <v>585</v>
      </c>
      <c r="H734" s="40" t="s">
        <v>123</v>
      </c>
      <c r="I734" s="56"/>
    </row>
    <row r="735" spans="1:9" s="81" customFormat="1" ht="21.6" customHeight="1">
      <c r="A735" s="27">
        <v>840</v>
      </c>
      <c r="B735" s="104" t="s">
        <v>1301</v>
      </c>
      <c r="C735" s="104" t="s">
        <v>648</v>
      </c>
      <c r="D735" s="34" t="s">
        <v>1527</v>
      </c>
      <c r="E735" s="35" t="s">
        <v>649</v>
      </c>
      <c r="F735" s="40" t="s">
        <v>123</v>
      </c>
      <c r="G735" s="145" t="s">
        <v>129</v>
      </c>
      <c r="H735" s="40" t="s">
        <v>123</v>
      </c>
      <c r="I735" s="56"/>
    </row>
    <row r="736" spans="1:9" s="81" customFormat="1" ht="21.6" customHeight="1">
      <c r="A736" s="41">
        <v>841</v>
      </c>
      <c r="B736" s="104" t="s">
        <v>1301</v>
      </c>
      <c r="C736" s="104" t="s">
        <v>650</v>
      </c>
      <c r="D736" s="34" t="s">
        <v>1528</v>
      </c>
      <c r="E736" s="35" t="s">
        <v>651</v>
      </c>
      <c r="F736" s="40" t="s">
        <v>123</v>
      </c>
      <c r="G736" s="144" t="s">
        <v>1821</v>
      </c>
      <c r="H736" s="40" t="s">
        <v>123</v>
      </c>
      <c r="I736" s="56"/>
    </row>
    <row r="737" spans="1:9" s="81" customFormat="1" ht="21.6" customHeight="1">
      <c r="A737" s="41">
        <v>842</v>
      </c>
      <c r="B737" s="84" t="s">
        <v>1301</v>
      </c>
      <c r="C737" s="84" t="s">
        <v>652</v>
      </c>
      <c r="D737" s="84" t="s">
        <v>1529</v>
      </c>
      <c r="E737" s="83" t="s">
        <v>653</v>
      </c>
      <c r="F737" s="85" t="s">
        <v>654</v>
      </c>
      <c r="G737" s="150" t="s">
        <v>1805</v>
      </c>
      <c r="H737" s="85" t="s">
        <v>123</v>
      </c>
      <c r="I737" s="86"/>
    </row>
    <row r="738" spans="1:9" s="62" customFormat="1" ht="21.6" customHeight="1">
      <c r="A738" s="87">
        <v>843</v>
      </c>
      <c r="B738" s="59">
        <v>657</v>
      </c>
      <c r="C738" s="59" t="s">
        <v>409</v>
      </c>
      <c r="D738" s="59" t="s">
        <v>1433</v>
      </c>
      <c r="E738" s="6" t="s">
        <v>410</v>
      </c>
      <c r="F738" s="60">
        <v>515</v>
      </c>
      <c r="G738" s="143" t="s">
        <v>193</v>
      </c>
      <c r="H738" s="60">
        <v>1</v>
      </c>
      <c r="I738" s="61"/>
    </row>
    <row r="739" spans="1:9" s="62" customFormat="1" ht="21.6" customHeight="1">
      <c r="A739" s="27">
        <v>844</v>
      </c>
      <c r="B739" s="64">
        <v>657</v>
      </c>
      <c r="C739" s="64" t="s">
        <v>411</v>
      </c>
      <c r="D739" s="34" t="s">
        <v>1434</v>
      </c>
      <c r="E739" s="7" t="s">
        <v>412</v>
      </c>
      <c r="F739" s="63">
        <v>515</v>
      </c>
      <c r="G739" s="144" t="s">
        <v>75</v>
      </c>
      <c r="H739" s="63">
        <v>1</v>
      </c>
      <c r="I739" s="55"/>
    </row>
    <row r="740" spans="1:9" s="62" customFormat="1" ht="21.6" customHeight="1">
      <c r="A740" s="27">
        <v>845</v>
      </c>
      <c r="B740" s="64">
        <v>657</v>
      </c>
      <c r="C740" s="64" t="s">
        <v>413</v>
      </c>
      <c r="D740" s="64" t="s">
        <v>1435</v>
      </c>
      <c r="E740" s="7" t="s">
        <v>414</v>
      </c>
      <c r="F740" s="63">
        <v>515</v>
      </c>
      <c r="G740" s="145" t="s">
        <v>415</v>
      </c>
      <c r="H740" s="63">
        <v>1</v>
      </c>
      <c r="I740" s="55"/>
    </row>
    <row r="741" spans="1:9" s="62" customFormat="1" ht="21.6" customHeight="1">
      <c r="A741" s="27">
        <v>846</v>
      </c>
      <c r="B741" s="64">
        <v>657</v>
      </c>
      <c r="C741" s="64" t="s">
        <v>416</v>
      </c>
      <c r="D741" s="47" t="s">
        <v>1436</v>
      </c>
      <c r="E741" s="7" t="s">
        <v>417</v>
      </c>
      <c r="F741" s="63">
        <v>515</v>
      </c>
      <c r="G741" s="144" t="s">
        <v>418</v>
      </c>
      <c r="H741" s="63">
        <v>1</v>
      </c>
      <c r="I741" s="55"/>
    </row>
    <row r="742" spans="1:9" s="62" customFormat="1" ht="21.6" customHeight="1">
      <c r="A742" s="27">
        <v>847</v>
      </c>
      <c r="B742" s="64">
        <v>657</v>
      </c>
      <c r="C742" s="64" t="s">
        <v>419</v>
      </c>
      <c r="D742" s="34" t="s">
        <v>1437</v>
      </c>
      <c r="E742" s="35" t="s">
        <v>420</v>
      </c>
      <c r="F742" s="40">
        <v>515</v>
      </c>
      <c r="G742" s="145" t="s">
        <v>1775</v>
      </c>
      <c r="H742" s="40">
        <v>1</v>
      </c>
      <c r="I742" s="56"/>
    </row>
    <row r="743" spans="1:9" s="62" customFormat="1" ht="21.6" customHeight="1">
      <c r="A743" s="27">
        <v>848</v>
      </c>
      <c r="B743" s="64">
        <v>657</v>
      </c>
      <c r="C743" s="64" t="s">
        <v>655</v>
      </c>
      <c r="D743" s="64" t="s">
        <v>1530</v>
      </c>
      <c r="E743" s="7" t="s">
        <v>656</v>
      </c>
      <c r="F743" s="63">
        <v>1030</v>
      </c>
      <c r="G743" s="144" t="s">
        <v>87</v>
      </c>
      <c r="H743" s="63">
        <v>1</v>
      </c>
      <c r="I743" s="55"/>
    </row>
    <row r="744" spans="1:9" s="62" customFormat="1" ht="21.6" customHeight="1">
      <c r="A744" s="27">
        <v>849</v>
      </c>
      <c r="B744" s="64">
        <v>657</v>
      </c>
      <c r="C744" s="64" t="s">
        <v>423</v>
      </c>
      <c r="D744" s="64" t="s">
        <v>1439</v>
      </c>
      <c r="E744" s="7" t="s">
        <v>424</v>
      </c>
      <c r="F744" s="63">
        <v>515</v>
      </c>
      <c r="G744" s="144" t="s">
        <v>1789</v>
      </c>
      <c r="H744" s="63">
        <v>1</v>
      </c>
      <c r="I744" s="55"/>
    </row>
    <row r="745" spans="1:9" s="62" customFormat="1" ht="21.6" customHeight="1">
      <c r="A745" s="27">
        <v>850</v>
      </c>
      <c r="B745" s="64">
        <v>657</v>
      </c>
      <c r="C745" s="64" t="s">
        <v>425</v>
      </c>
      <c r="D745" s="64" t="s">
        <v>1440</v>
      </c>
      <c r="E745" s="7" t="s">
        <v>426</v>
      </c>
      <c r="F745" s="63">
        <v>515</v>
      </c>
      <c r="G745" s="144" t="s">
        <v>1790</v>
      </c>
      <c r="H745" s="63">
        <v>1</v>
      </c>
      <c r="I745" s="55"/>
    </row>
    <row r="746" spans="1:9" s="62" customFormat="1" ht="21.6" customHeight="1">
      <c r="A746" s="27">
        <v>851</v>
      </c>
      <c r="B746" s="64">
        <v>657</v>
      </c>
      <c r="C746" s="64" t="s">
        <v>427</v>
      </c>
      <c r="D746" s="64" t="s">
        <v>1441</v>
      </c>
      <c r="E746" s="7" t="s">
        <v>428</v>
      </c>
      <c r="F746" s="63">
        <v>515</v>
      </c>
      <c r="G746" s="144" t="s">
        <v>1791</v>
      </c>
      <c r="H746" s="63">
        <v>1</v>
      </c>
      <c r="I746" s="55"/>
    </row>
    <row r="747" spans="1:9" s="62" customFormat="1" ht="21.6" customHeight="1">
      <c r="A747" s="27">
        <v>852</v>
      </c>
      <c r="B747" s="64">
        <v>657</v>
      </c>
      <c r="C747" s="64" t="s">
        <v>429</v>
      </c>
      <c r="D747" s="64" t="s">
        <v>1442</v>
      </c>
      <c r="E747" s="7" t="s">
        <v>430</v>
      </c>
      <c r="F747" s="63">
        <v>515</v>
      </c>
      <c r="G747" s="144" t="s">
        <v>1792</v>
      </c>
      <c r="H747" s="63">
        <v>1</v>
      </c>
      <c r="I747" s="55"/>
    </row>
    <row r="748" spans="1:9" s="62" customFormat="1" ht="21.6" customHeight="1">
      <c r="A748" s="27">
        <v>853</v>
      </c>
      <c r="B748" s="64">
        <v>657</v>
      </c>
      <c r="C748" s="64" t="s">
        <v>431</v>
      </c>
      <c r="D748" s="34" t="s">
        <v>1443</v>
      </c>
      <c r="E748" s="35" t="s">
        <v>432</v>
      </c>
      <c r="F748" s="40">
        <v>515</v>
      </c>
      <c r="G748" s="144" t="s">
        <v>1793</v>
      </c>
      <c r="H748" s="40">
        <v>1</v>
      </c>
      <c r="I748" s="56"/>
    </row>
    <row r="749" spans="1:9" s="62" customFormat="1" ht="21.6" customHeight="1">
      <c r="A749" s="27">
        <v>854</v>
      </c>
      <c r="B749" s="64">
        <v>657</v>
      </c>
      <c r="C749" s="64" t="s">
        <v>433</v>
      </c>
      <c r="D749" s="64" t="s">
        <v>1444</v>
      </c>
      <c r="E749" s="7" t="s">
        <v>434</v>
      </c>
      <c r="F749" s="63">
        <v>515</v>
      </c>
      <c r="G749" s="144" t="s">
        <v>95</v>
      </c>
      <c r="H749" s="63">
        <v>3</v>
      </c>
      <c r="I749" s="55"/>
    </row>
    <row r="750" spans="1:9" s="62" customFormat="1" ht="21.6" customHeight="1">
      <c r="A750" s="27">
        <v>855</v>
      </c>
      <c r="B750" s="64">
        <v>657</v>
      </c>
      <c r="C750" s="64" t="s">
        <v>435</v>
      </c>
      <c r="D750" s="64" t="s">
        <v>1445</v>
      </c>
      <c r="E750" s="7" t="s">
        <v>436</v>
      </c>
      <c r="F750" s="63">
        <v>515</v>
      </c>
      <c r="G750" s="144" t="s">
        <v>101</v>
      </c>
      <c r="H750" s="63">
        <v>1</v>
      </c>
      <c r="I750" s="55"/>
    </row>
    <row r="751" spans="1:9" s="62" customFormat="1" ht="21.6" customHeight="1">
      <c r="A751" s="27">
        <v>856</v>
      </c>
      <c r="B751" s="64">
        <v>657</v>
      </c>
      <c r="C751" s="64" t="s">
        <v>437</v>
      </c>
      <c r="D751" s="65" t="s">
        <v>1446</v>
      </c>
      <c r="E751" s="7" t="s">
        <v>438</v>
      </c>
      <c r="F751" s="63">
        <v>515</v>
      </c>
      <c r="G751" s="144" t="s">
        <v>1794</v>
      </c>
      <c r="H751" s="63">
        <v>1</v>
      </c>
      <c r="I751" s="55"/>
    </row>
    <row r="752" spans="1:9" s="62" customFormat="1" ht="21.6" customHeight="1">
      <c r="A752" s="27">
        <v>857</v>
      </c>
      <c r="B752" s="64">
        <v>657</v>
      </c>
      <c r="C752" s="64" t="s">
        <v>439</v>
      </c>
      <c r="D752" s="34" t="s">
        <v>1447</v>
      </c>
      <c r="E752" s="35" t="s">
        <v>440</v>
      </c>
      <c r="F752" s="40">
        <v>515</v>
      </c>
      <c r="G752" s="145" t="s">
        <v>1795</v>
      </c>
      <c r="H752" s="63">
        <v>1</v>
      </c>
      <c r="I752" s="55"/>
    </row>
    <row r="753" spans="1:9" s="62" customFormat="1" ht="21.6" customHeight="1">
      <c r="A753" s="27">
        <v>858</v>
      </c>
      <c r="B753" s="64">
        <v>657</v>
      </c>
      <c r="C753" s="64" t="s">
        <v>441</v>
      </c>
      <c r="D753" s="64" t="s">
        <v>1448</v>
      </c>
      <c r="E753" s="7" t="s">
        <v>442</v>
      </c>
      <c r="F753" s="63">
        <v>515</v>
      </c>
      <c r="G753" s="144" t="s">
        <v>107</v>
      </c>
      <c r="H753" s="63">
        <v>1</v>
      </c>
      <c r="I753" s="55"/>
    </row>
    <row r="754" spans="1:9" s="62" customFormat="1" ht="21.6" customHeight="1">
      <c r="A754" s="27">
        <v>859</v>
      </c>
      <c r="B754" s="64">
        <v>657</v>
      </c>
      <c r="C754" s="64" t="s">
        <v>443</v>
      </c>
      <c r="D754" s="34" t="s">
        <v>1449</v>
      </c>
      <c r="E754" s="35" t="s">
        <v>444</v>
      </c>
      <c r="F754" s="63">
        <v>515</v>
      </c>
      <c r="G754" s="144" t="s">
        <v>445</v>
      </c>
      <c r="H754" s="63">
        <v>1</v>
      </c>
      <c r="I754" s="55"/>
    </row>
    <row r="755" spans="1:9" s="62" customFormat="1" ht="21.6" customHeight="1">
      <c r="A755" s="27">
        <v>860</v>
      </c>
      <c r="B755" s="64">
        <v>657</v>
      </c>
      <c r="C755" s="64" t="s">
        <v>446</v>
      </c>
      <c r="D755" s="66" t="s">
        <v>1450</v>
      </c>
      <c r="E755" s="7" t="s">
        <v>447</v>
      </c>
      <c r="F755" s="63">
        <v>515</v>
      </c>
      <c r="G755" s="144" t="s">
        <v>448</v>
      </c>
      <c r="H755" s="63">
        <v>6</v>
      </c>
      <c r="I755" s="55"/>
    </row>
    <row r="756" spans="1:9" s="62" customFormat="1" ht="21.6" customHeight="1">
      <c r="A756" s="27">
        <v>861</v>
      </c>
      <c r="B756" s="64">
        <v>657</v>
      </c>
      <c r="C756" s="64" t="s">
        <v>449</v>
      </c>
      <c r="D756" s="64" t="s">
        <v>1451</v>
      </c>
      <c r="E756" s="7" t="s">
        <v>450</v>
      </c>
      <c r="F756" s="63">
        <v>515</v>
      </c>
      <c r="G756" s="144" t="s">
        <v>451</v>
      </c>
      <c r="H756" s="63">
        <v>1</v>
      </c>
      <c r="I756" s="55"/>
    </row>
    <row r="757" spans="1:9" s="62" customFormat="1" ht="21.6" customHeight="1">
      <c r="A757" s="27">
        <v>862</v>
      </c>
      <c r="B757" s="64">
        <v>657</v>
      </c>
      <c r="C757" s="64" t="s">
        <v>452</v>
      </c>
      <c r="D757" s="64" t="s">
        <v>1452</v>
      </c>
      <c r="E757" s="7" t="s">
        <v>226</v>
      </c>
      <c r="F757" s="63" t="s">
        <v>453</v>
      </c>
      <c r="G757" s="144" t="s">
        <v>1796</v>
      </c>
      <c r="H757" s="63">
        <v>1</v>
      </c>
      <c r="I757" s="56" t="s">
        <v>455</v>
      </c>
    </row>
    <row r="758" spans="1:9" s="62" customFormat="1" ht="21.6" customHeight="1">
      <c r="A758" s="27">
        <v>863</v>
      </c>
      <c r="B758" s="64">
        <v>657</v>
      </c>
      <c r="C758" s="64" t="s">
        <v>452</v>
      </c>
      <c r="D758" s="64" t="s">
        <v>1452</v>
      </c>
      <c r="E758" s="7" t="s">
        <v>226</v>
      </c>
      <c r="F758" s="63" t="s">
        <v>453</v>
      </c>
      <c r="G758" s="144" t="s">
        <v>456</v>
      </c>
      <c r="H758" s="63">
        <v>1</v>
      </c>
      <c r="I758" s="56" t="s">
        <v>455</v>
      </c>
    </row>
    <row r="759" spans="1:9" s="62" customFormat="1" ht="21.6" customHeight="1">
      <c r="A759" s="27">
        <v>864</v>
      </c>
      <c r="B759" s="64">
        <v>657</v>
      </c>
      <c r="C759" s="64" t="s">
        <v>457</v>
      </c>
      <c r="D759" s="64" t="s">
        <v>1453</v>
      </c>
      <c r="E759" s="7" t="s">
        <v>458</v>
      </c>
      <c r="F759" s="63" t="s">
        <v>453</v>
      </c>
      <c r="G759" s="144" t="s">
        <v>454</v>
      </c>
      <c r="H759" s="63">
        <v>1</v>
      </c>
      <c r="I759" s="56" t="s">
        <v>455</v>
      </c>
    </row>
    <row r="760" spans="1:9" s="62" customFormat="1" ht="21.6" customHeight="1">
      <c r="A760" s="27">
        <v>865</v>
      </c>
      <c r="B760" s="64">
        <v>657</v>
      </c>
      <c r="C760" s="64" t="s">
        <v>459</v>
      </c>
      <c r="D760" s="67" t="s">
        <v>1454</v>
      </c>
      <c r="E760" s="30" t="s">
        <v>460</v>
      </c>
      <c r="F760" s="68">
        <v>100</v>
      </c>
      <c r="G760" s="144" t="s">
        <v>1797</v>
      </c>
      <c r="H760" s="63">
        <v>1</v>
      </c>
      <c r="I760" s="55" t="s">
        <v>116</v>
      </c>
    </row>
    <row r="761" spans="1:9" s="62" customFormat="1" ht="21.6" customHeight="1">
      <c r="A761" s="27">
        <v>866</v>
      </c>
      <c r="B761" s="64">
        <v>657</v>
      </c>
      <c r="C761" s="64" t="s">
        <v>461</v>
      </c>
      <c r="D761" s="66" t="s">
        <v>1455</v>
      </c>
      <c r="E761" s="30" t="s">
        <v>462</v>
      </c>
      <c r="F761" s="68">
        <v>100</v>
      </c>
      <c r="G761" s="144" t="s">
        <v>115</v>
      </c>
      <c r="H761" s="63">
        <v>1</v>
      </c>
      <c r="I761" s="55" t="s">
        <v>116</v>
      </c>
    </row>
    <row r="762" spans="1:9" s="62" customFormat="1" ht="21.6" customHeight="1">
      <c r="A762" s="27">
        <v>867</v>
      </c>
      <c r="B762" s="64">
        <v>657</v>
      </c>
      <c r="C762" s="64" t="s">
        <v>463</v>
      </c>
      <c r="D762" s="66" t="s">
        <v>1456</v>
      </c>
      <c r="E762" s="30" t="s">
        <v>464</v>
      </c>
      <c r="F762" s="68">
        <v>100</v>
      </c>
      <c r="G762" s="144" t="s">
        <v>224</v>
      </c>
      <c r="H762" s="63">
        <v>1</v>
      </c>
      <c r="I762" s="55" t="s">
        <v>116</v>
      </c>
    </row>
    <row r="763" spans="1:9" s="62" customFormat="1" ht="21.6" customHeight="1">
      <c r="A763" s="27">
        <v>868</v>
      </c>
      <c r="B763" s="64">
        <v>657</v>
      </c>
      <c r="C763" s="64" t="s">
        <v>332</v>
      </c>
      <c r="D763" s="50" t="s">
        <v>1410</v>
      </c>
      <c r="E763" s="51" t="s">
        <v>333</v>
      </c>
      <c r="F763" s="63">
        <v>500</v>
      </c>
      <c r="G763" s="144" t="s">
        <v>1798</v>
      </c>
      <c r="H763" s="63">
        <v>2</v>
      </c>
      <c r="I763" s="55" t="s">
        <v>465</v>
      </c>
    </row>
    <row r="764" spans="1:9" s="62" customFormat="1" ht="21.6" customHeight="1">
      <c r="A764" s="27">
        <v>869</v>
      </c>
      <c r="B764" s="64">
        <v>657</v>
      </c>
      <c r="C764" s="64" t="s">
        <v>452</v>
      </c>
      <c r="D764" s="50" t="s">
        <v>1452</v>
      </c>
      <c r="E764" s="51" t="s">
        <v>226</v>
      </c>
      <c r="F764" s="63">
        <v>500</v>
      </c>
      <c r="G764" s="144" t="s">
        <v>466</v>
      </c>
      <c r="H764" s="63">
        <v>1</v>
      </c>
      <c r="I764" s="55" t="s">
        <v>465</v>
      </c>
    </row>
    <row r="765" spans="1:9" s="62" customFormat="1" ht="21.6" customHeight="1">
      <c r="A765" s="27">
        <v>870</v>
      </c>
      <c r="B765" s="64">
        <v>657</v>
      </c>
      <c r="C765" s="64" t="s">
        <v>467</v>
      </c>
      <c r="D765" s="50" t="s">
        <v>1457</v>
      </c>
      <c r="E765" s="51" t="s">
        <v>468</v>
      </c>
      <c r="F765" s="63">
        <v>500</v>
      </c>
      <c r="G765" s="144" t="s">
        <v>469</v>
      </c>
      <c r="H765" s="63">
        <v>1</v>
      </c>
      <c r="I765" s="55" t="s">
        <v>465</v>
      </c>
    </row>
    <row r="766" spans="1:9" s="62" customFormat="1" ht="21.6" customHeight="1">
      <c r="A766" s="27">
        <v>871</v>
      </c>
      <c r="B766" s="64">
        <v>657</v>
      </c>
      <c r="C766" s="64" t="s">
        <v>225</v>
      </c>
      <c r="D766" s="64" t="s">
        <v>1375</v>
      </c>
      <c r="E766" s="7" t="s">
        <v>226</v>
      </c>
      <c r="F766" s="68" t="s">
        <v>470</v>
      </c>
      <c r="G766" s="144" t="s">
        <v>1799</v>
      </c>
      <c r="H766" s="63">
        <v>1</v>
      </c>
      <c r="I766" s="55"/>
    </row>
    <row r="767" spans="1:9" s="62" customFormat="1" ht="21.6" customHeight="1">
      <c r="A767" s="27">
        <v>872</v>
      </c>
      <c r="B767" s="64">
        <v>657</v>
      </c>
      <c r="C767" s="64" t="s">
        <v>225</v>
      </c>
      <c r="D767" s="64" t="s">
        <v>1375</v>
      </c>
      <c r="E767" s="7" t="s">
        <v>226</v>
      </c>
      <c r="F767" s="68" t="s">
        <v>470</v>
      </c>
      <c r="G767" s="144" t="s">
        <v>1800</v>
      </c>
      <c r="H767" s="63">
        <v>1</v>
      </c>
      <c r="I767" s="55"/>
    </row>
    <row r="768" spans="1:9" s="62" customFormat="1" ht="21.6" customHeight="1">
      <c r="A768" s="27">
        <v>873</v>
      </c>
      <c r="B768" s="64">
        <v>657</v>
      </c>
      <c r="C768" s="64" t="s">
        <v>229</v>
      </c>
      <c r="D768" s="64" t="s">
        <v>1376</v>
      </c>
      <c r="E768" s="7" t="s">
        <v>230</v>
      </c>
      <c r="F768" s="68" t="s">
        <v>470</v>
      </c>
      <c r="G768" s="144" t="s">
        <v>1801</v>
      </c>
      <c r="H768" s="63">
        <v>1</v>
      </c>
      <c r="I768" s="55"/>
    </row>
    <row r="769" spans="1:9" s="62" customFormat="1" ht="21.6" customHeight="1">
      <c r="A769" s="27">
        <v>874</v>
      </c>
      <c r="B769" s="64">
        <v>657</v>
      </c>
      <c r="C769" s="64" t="s">
        <v>472</v>
      </c>
      <c r="D769" s="64" t="s">
        <v>1458</v>
      </c>
      <c r="E769" s="7" t="s">
        <v>473</v>
      </c>
      <c r="F769" s="63">
        <v>515</v>
      </c>
      <c r="G769" s="144" t="s">
        <v>1802</v>
      </c>
      <c r="H769" s="40" t="s">
        <v>123</v>
      </c>
      <c r="I769" s="55"/>
    </row>
    <row r="770" spans="1:9" s="62" customFormat="1" ht="21.6" customHeight="1">
      <c r="A770" s="27">
        <v>875</v>
      </c>
      <c r="B770" s="64">
        <v>657</v>
      </c>
      <c r="C770" s="64" t="s">
        <v>657</v>
      </c>
      <c r="D770" s="64" t="s">
        <v>1531</v>
      </c>
      <c r="E770" s="7" t="s">
        <v>658</v>
      </c>
      <c r="F770" s="63">
        <v>1030</v>
      </c>
      <c r="G770" s="145" t="s">
        <v>244</v>
      </c>
      <c r="H770" s="40" t="s">
        <v>123</v>
      </c>
      <c r="I770" s="55"/>
    </row>
    <row r="771" spans="1:9" s="62" customFormat="1" ht="21.6" customHeight="1">
      <c r="A771" s="27">
        <v>876</v>
      </c>
      <c r="B771" s="64">
        <v>657</v>
      </c>
      <c r="C771" s="64" t="s">
        <v>659</v>
      </c>
      <c r="D771" s="64" t="s">
        <v>1532</v>
      </c>
      <c r="E771" s="7" t="s">
        <v>660</v>
      </c>
      <c r="F771" s="63">
        <v>515</v>
      </c>
      <c r="G771" s="145" t="s">
        <v>244</v>
      </c>
      <c r="H771" s="40" t="s">
        <v>123</v>
      </c>
      <c r="I771" s="55"/>
    </row>
    <row r="772" spans="1:9" s="62" customFormat="1" ht="21.6" customHeight="1">
      <c r="A772" s="27">
        <v>877</v>
      </c>
      <c r="B772" s="64">
        <v>657</v>
      </c>
      <c r="C772" s="64" t="s">
        <v>661</v>
      </c>
      <c r="D772" s="64" t="s">
        <v>1533</v>
      </c>
      <c r="E772" s="7" t="s">
        <v>662</v>
      </c>
      <c r="F772" s="63">
        <v>515</v>
      </c>
      <c r="G772" s="145" t="s">
        <v>478</v>
      </c>
      <c r="H772" s="40" t="s">
        <v>123</v>
      </c>
      <c r="I772" s="55"/>
    </row>
    <row r="773" spans="1:9" s="62" customFormat="1" ht="21.6" customHeight="1">
      <c r="A773" s="27">
        <v>878</v>
      </c>
      <c r="B773" s="64">
        <v>657</v>
      </c>
      <c r="C773" s="64" t="s">
        <v>479</v>
      </c>
      <c r="D773" s="67" t="s">
        <v>1461</v>
      </c>
      <c r="E773" s="30" t="s">
        <v>480</v>
      </c>
      <c r="F773" s="68">
        <v>515</v>
      </c>
      <c r="G773" s="144" t="s">
        <v>1803</v>
      </c>
      <c r="H773" s="40" t="s">
        <v>123</v>
      </c>
      <c r="I773" s="55"/>
    </row>
    <row r="774" spans="1:9" s="62" customFormat="1" ht="21.6" customHeight="1">
      <c r="A774" s="27">
        <v>879</v>
      </c>
      <c r="B774" s="64">
        <v>657</v>
      </c>
      <c r="C774" s="64" t="s">
        <v>481</v>
      </c>
      <c r="D774" s="64" t="s">
        <v>1462</v>
      </c>
      <c r="E774" s="7" t="s">
        <v>482</v>
      </c>
      <c r="F774" s="63" t="s">
        <v>453</v>
      </c>
      <c r="G774" s="144" t="s">
        <v>483</v>
      </c>
      <c r="H774" s="40" t="s">
        <v>123</v>
      </c>
      <c r="I774" s="56" t="s">
        <v>455</v>
      </c>
    </row>
    <row r="775" spans="1:9" s="62" customFormat="1" ht="21.6" customHeight="1">
      <c r="A775" s="27">
        <v>880</v>
      </c>
      <c r="B775" s="64">
        <v>657</v>
      </c>
      <c r="C775" s="64" t="s">
        <v>484</v>
      </c>
      <c r="D775" s="64" t="s">
        <v>1463</v>
      </c>
      <c r="E775" s="7" t="s">
        <v>485</v>
      </c>
      <c r="F775" s="63">
        <v>500</v>
      </c>
      <c r="G775" s="144" t="s">
        <v>486</v>
      </c>
      <c r="H775" s="40" t="s">
        <v>123</v>
      </c>
      <c r="I775" s="55" t="s">
        <v>465</v>
      </c>
    </row>
    <row r="776" spans="1:9" s="62" customFormat="1" ht="21.6" customHeight="1">
      <c r="A776" s="27">
        <v>881</v>
      </c>
      <c r="B776" s="64">
        <v>657</v>
      </c>
      <c r="C776" s="64" t="s">
        <v>248</v>
      </c>
      <c r="D776" s="67" t="s">
        <v>1383</v>
      </c>
      <c r="E776" s="30" t="s">
        <v>249</v>
      </c>
      <c r="F776" s="68" t="s">
        <v>470</v>
      </c>
      <c r="G776" s="144" t="s">
        <v>1804</v>
      </c>
      <c r="H776" s="40" t="s">
        <v>123</v>
      </c>
      <c r="I776" s="55"/>
    </row>
    <row r="777" spans="1:9" s="62" customFormat="1" ht="21.6" customHeight="1">
      <c r="A777" s="27">
        <v>882</v>
      </c>
      <c r="B777" s="64">
        <v>657</v>
      </c>
      <c r="C777" s="64" t="s">
        <v>487</v>
      </c>
      <c r="D777" s="34" t="s">
        <v>1464</v>
      </c>
      <c r="E777" s="7" t="s">
        <v>488</v>
      </c>
      <c r="F777" s="68" t="s">
        <v>123</v>
      </c>
      <c r="G777" s="145" t="s">
        <v>129</v>
      </c>
      <c r="H777" s="40" t="s">
        <v>123</v>
      </c>
      <c r="I777" s="55"/>
    </row>
    <row r="778" spans="1:9" s="62" customFormat="1" ht="21.6" customHeight="1">
      <c r="A778" s="27">
        <v>883</v>
      </c>
      <c r="B778" s="64">
        <v>657</v>
      </c>
      <c r="C778" s="64" t="s">
        <v>489</v>
      </c>
      <c r="D778" s="64" t="s">
        <v>1465</v>
      </c>
      <c r="E778" s="7" t="s">
        <v>490</v>
      </c>
      <c r="F778" s="68" t="s">
        <v>123</v>
      </c>
      <c r="G778" s="145" t="s">
        <v>132</v>
      </c>
      <c r="H778" s="40" t="s">
        <v>123</v>
      </c>
      <c r="I778" s="55"/>
    </row>
    <row r="779" spans="1:9" s="62" customFormat="1" ht="21.6" customHeight="1">
      <c r="A779" s="27">
        <v>884</v>
      </c>
      <c r="B779" s="64">
        <v>657</v>
      </c>
      <c r="C779" s="64" t="s">
        <v>491</v>
      </c>
      <c r="D779" s="64" t="s">
        <v>1466</v>
      </c>
      <c r="E779" s="7" t="s">
        <v>492</v>
      </c>
      <c r="F779" s="68" t="s">
        <v>123</v>
      </c>
      <c r="G779" s="144" t="s">
        <v>135</v>
      </c>
      <c r="H779" s="40" t="s">
        <v>123</v>
      </c>
      <c r="I779" s="55"/>
    </row>
    <row r="780" spans="1:9" s="62" customFormat="1" ht="21.6" customHeight="1">
      <c r="A780" s="27">
        <v>885</v>
      </c>
      <c r="B780" s="64">
        <v>657</v>
      </c>
      <c r="C780" s="64" t="s">
        <v>493</v>
      </c>
      <c r="D780" s="64" t="s">
        <v>1467</v>
      </c>
      <c r="E780" s="7" t="s">
        <v>494</v>
      </c>
      <c r="F780" s="68" t="s">
        <v>123</v>
      </c>
      <c r="G780" s="144" t="s">
        <v>1805</v>
      </c>
      <c r="H780" s="40" t="s">
        <v>123</v>
      </c>
      <c r="I780" s="55"/>
    </row>
    <row r="781" spans="1:9" s="62" customFormat="1" ht="21.6" customHeight="1">
      <c r="A781" s="41">
        <v>887</v>
      </c>
      <c r="B781" s="88">
        <v>657</v>
      </c>
      <c r="C781" s="88" t="s">
        <v>663</v>
      </c>
      <c r="D781" s="88" t="s">
        <v>1534</v>
      </c>
      <c r="E781" s="8" t="s">
        <v>664</v>
      </c>
      <c r="F781" s="69" t="s">
        <v>123</v>
      </c>
      <c r="G781" s="149" t="s">
        <v>497</v>
      </c>
      <c r="H781" s="44" t="s">
        <v>123</v>
      </c>
      <c r="I781" s="71"/>
    </row>
    <row r="782" spans="1:9" ht="21.6" customHeight="1">
      <c r="A782" s="20">
        <v>888</v>
      </c>
      <c r="B782" s="134" t="s">
        <v>59</v>
      </c>
      <c r="C782" s="134" t="s">
        <v>498</v>
      </c>
      <c r="D782" s="73" t="s">
        <v>1469</v>
      </c>
      <c r="E782" s="72" t="s">
        <v>499</v>
      </c>
      <c r="F782" s="74">
        <v>590</v>
      </c>
      <c r="G782" s="143" t="s">
        <v>71</v>
      </c>
      <c r="H782" s="74">
        <v>1</v>
      </c>
      <c r="I782" s="75"/>
    </row>
    <row r="783" spans="1:9" ht="21.6" customHeight="1">
      <c r="A783" s="27">
        <v>889</v>
      </c>
      <c r="B783" s="36" t="s">
        <v>59</v>
      </c>
      <c r="C783" s="36" t="s">
        <v>500</v>
      </c>
      <c r="D783" s="34" t="s">
        <v>1470</v>
      </c>
      <c r="E783" s="35" t="s">
        <v>501</v>
      </c>
      <c r="F783" s="76" t="s">
        <v>123</v>
      </c>
      <c r="G783" s="145" t="s">
        <v>502</v>
      </c>
      <c r="H783" s="40">
        <v>1</v>
      </c>
      <c r="I783" s="56" t="s">
        <v>503</v>
      </c>
    </row>
    <row r="784" spans="1:9" ht="21.6" customHeight="1">
      <c r="A784" s="27">
        <v>890</v>
      </c>
      <c r="B784" s="36" t="s">
        <v>59</v>
      </c>
      <c r="C784" s="36" t="s">
        <v>504</v>
      </c>
      <c r="D784" s="34" t="s">
        <v>1471</v>
      </c>
      <c r="E784" s="35" t="s">
        <v>505</v>
      </c>
      <c r="F784" s="40">
        <v>590</v>
      </c>
      <c r="G784" s="145" t="s">
        <v>415</v>
      </c>
      <c r="H784" s="40">
        <v>1</v>
      </c>
      <c r="I784" s="56"/>
    </row>
    <row r="785" spans="1:9" ht="21.6" customHeight="1">
      <c r="A785" s="27">
        <v>891</v>
      </c>
      <c r="B785" s="36" t="s">
        <v>59</v>
      </c>
      <c r="C785" s="36" t="s">
        <v>506</v>
      </c>
      <c r="D785" s="34" t="s">
        <v>1472</v>
      </c>
      <c r="E785" s="35" t="s">
        <v>507</v>
      </c>
      <c r="F785" s="40">
        <v>590</v>
      </c>
      <c r="G785" s="144" t="s">
        <v>107</v>
      </c>
      <c r="H785" s="40">
        <v>1</v>
      </c>
      <c r="I785" s="56"/>
    </row>
    <row r="786" spans="1:9" ht="21.6" customHeight="1">
      <c r="A786" s="27">
        <v>892</v>
      </c>
      <c r="B786" s="36" t="s">
        <v>59</v>
      </c>
      <c r="C786" s="36" t="s">
        <v>508</v>
      </c>
      <c r="D786" s="34" t="s">
        <v>1473</v>
      </c>
      <c r="E786" s="35" t="s">
        <v>509</v>
      </c>
      <c r="F786" s="40">
        <v>590</v>
      </c>
      <c r="G786" s="145" t="s">
        <v>104</v>
      </c>
      <c r="H786" s="40">
        <v>1</v>
      </c>
      <c r="I786" s="56"/>
    </row>
    <row r="787" spans="1:9" ht="21.6" customHeight="1">
      <c r="A787" s="27">
        <v>893</v>
      </c>
      <c r="B787" s="36" t="s">
        <v>59</v>
      </c>
      <c r="C787" s="36" t="s">
        <v>510</v>
      </c>
      <c r="D787" s="34" t="s">
        <v>1474</v>
      </c>
      <c r="E787" s="35" t="s">
        <v>511</v>
      </c>
      <c r="F787" s="40">
        <v>590</v>
      </c>
      <c r="G787" s="145" t="s">
        <v>1806</v>
      </c>
      <c r="H787" s="40">
        <v>1</v>
      </c>
      <c r="I787" s="56"/>
    </row>
    <row r="788" spans="1:9" ht="21.6" customHeight="1">
      <c r="A788" s="27">
        <v>894</v>
      </c>
      <c r="B788" s="36" t="s">
        <v>59</v>
      </c>
      <c r="C788" s="36" t="s">
        <v>512</v>
      </c>
      <c r="D788" s="34" t="s">
        <v>1475</v>
      </c>
      <c r="E788" s="35" t="s">
        <v>513</v>
      </c>
      <c r="F788" s="40">
        <v>590</v>
      </c>
      <c r="G788" s="145" t="s">
        <v>1807</v>
      </c>
      <c r="H788" s="40">
        <v>1</v>
      </c>
      <c r="I788" s="56"/>
    </row>
    <row r="789" spans="1:9" ht="21.6" customHeight="1">
      <c r="A789" s="27">
        <v>895</v>
      </c>
      <c r="B789" s="36" t="s">
        <v>59</v>
      </c>
      <c r="C789" s="36" t="s">
        <v>514</v>
      </c>
      <c r="D789" s="34" t="s">
        <v>1476</v>
      </c>
      <c r="E789" s="35" t="s">
        <v>515</v>
      </c>
      <c r="F789" s="40">
        <v>590</v>
      </c>
      <c r="G789" s="145" t="s">
        <v>516</v>
      </c>
      <c r="H789" s="40">
        <v>1</v>
      </c>
      <c r="I789" s="56"/>
    </row>
    <row r="790" spans="1:9" s="77" customFormat="1" ht="21.6" customHeight="1">
      <c r="A790" s="27">
        <v>896</v>
      </c>
      <c r="B790" s="36" t="s">
        <v>59</v>
      </c>
      <c r="C790" s="36" t="s">
        <v>517</v>
      </c>
      <c r="D790" s="47" t="s">
        <v>1477</v>
      </c>
      <c r="E790" s="48" t="s">
        <v>518</v>
      </c>
      <c r="F790" s="40">
        <v>590</v>
      </c>
      <c r="G790" s="145" t="s">
        <v>1808</v>
      </c>
      <c r="H790" s="40">
        <v>1</v>
      </c>
      <c r="I790" s="56"/>
    </row>
    <row r="791" spans="1:9" ht="21.6" customHeight="1">
      <c r="A791" s="27">
        <v>897</v>
      </c>
      <c r="B791" s="36" t="s">
        <v>59</v>
      </c>
      <c r="C791" s="36" t="s">
        <v>519</v>
      </c>
      <c r="D791" s="34" t="s">
        <v>1478</v>
      </c>
      <c r="E791" s="35" t="s">
        <v>520</v>
      </c>
      <c r="F791" s="40">
        <v>590</v>
      </c>
      <c r="G791" s="144" t="s">
        <v>101</v>
      </c>
      <c r="H791" s="40">
        <v>1</v>
      </c>
      <c r="I791" s="56"/>
    </row>
    <row r="792" spans="1:9" ht="21.6" customHeight="1">
      <c r="A792" s="27">
        <v>898</v>
      </c>
      <c r="B792" s="36" t="s">
        <v>59</v>
      </c>
      <c r="C792" s="36" t="s">
        <v>521</v>
      </c>
      <c r="D792" s="34" t="s">
        <v>1479</v>
      </c>
      <c r="E792" s="35" t="s">
        <v>522</v>
      </c>
      <c r="F792" s="40">
        <v>590</v>
      </c>
      <c r="G792" s="145" t="s">
        <v>523</v>
      </c>
      <c r="H792" s="40">
        <v>1</v>
      </c>
      <c r="I792" s="56"/>
    </row>
    <row r="793" spans="1:9" ht="21.6" customHeight="1">
      <c r="A793" s="27">
        <v>900</v>
      </c>
      <c r="B793" s="36" t="s">
        <v>59</v>
      </c>
      <c r="C793" s="36" t="s">
        <v>524</v>
      </c>
      <c r="D793" s="34" t="s">
        <v>1480</v>
      </c>
      <c r="E793" s="35" t="s">
        <v>525</v>
      </c>
      <c r="F793" s="40">
        <v>590</v>
      </c>
      <c r="G793" s="144" t="s">
        <v>1809</v>
      </c>
      <c r="H793" s="40">
        <v>1</v>
      </c>
      <c r="I793" s="56" t="s">
        <v>526</v>
      </c>
    </row>
    <row r="794" spans="1:9" ht="21.6" customHeight="1">
      <c r="A794" s="27">
        <v>901</v>
      </c>
      <c r="B794" s="36" t="s">
        <v>59</v>
      </c>
      <c r="C794" s="36" t="s">
        <v>527</v>
      </c>
      <c r="D794" s="34" t="s">
        <v>1481</v>
      </c>
      <c r="E794" s="35" t="s">
        <v>528</v>
      </c>
      <c r="F794" s="40">
        <v>590</v>
      </c>
      <c r="G794" s="144" t="s">
        <v>1810</v>
      </c>
      <c r="H794" s="40">
        <v>1</v>
      </c>
      <c r="I794" s="56"/>
    </row>
    <row r="795" spans="1:9" ht="21.6" customHeight="1">
      <c r="A795" s="27">
        <v>902</v>
      </c>
      <c r="B795" s="36" t="s">
        <v>59</v>
      </c>
      <c r="C795" s="36" t="s">
        <v>529</v>
      </c>
      <c r="D795" s="34" t="s">
        <v>1482</v>
      </c>
      <c r="E795" s="35" t="s">
        <v>530</v>
      </c>
      <c r="F795" s="40">
        <v>590</v>
      </c>
      <c r="G795" s="144" t="s">
        <v>1811</v>
      </c>
      <c r="H795" s="40">
        <v>1</v>
      </c>
      <c r="I795" s="56"/>
    </row>
    <row r="796" spans="1:9" ht="21.6" customHeight="1">
      <c r="A796" s="27">
        <v>903</v>
      </c>
      <c r="B796" s="36" t="s">
        <v>59</v>
      </c>
      <c r="C796" s="36" t="s">
        <v>531</v>
      </c>
      <c r="D796" s="34" t="s">
        <v>1483</v>
      </c>
      <c r="E796" s="35" t="s">
        <v>532</v>
      </c>
      <c r="F796" s="40">
        <v>590</v>
      </c>
      <c r="G796" s="144" t="s">
        <v>533</v>
      </c>
      <c r="H796" s="40">
        <v>1</v>
      </c>
      <c r="I796" s="56"/>
    </row>
    <row r="797" spans="1:9" ht="21.6" customHeight="1">
      <c r="A797" s="27">
        <v>904</v>
      </c>
      <c r="B797" s="36" t="s">
        <v>59</v>
      </c>
      <c r="C797" s="36" t="s">
        <v>534</v>
      </c>
      <c r="D797" s="34" t="s">
        <v>1484</v>
      </c>
      <c r="E797" s="35" t="s">
        <v>535</v>
      </c>
      <c r="F797" s="40">
        <v>590</v>
      </c>
      <c r="G797" s="145" t="s">
        <v>1812</v>
      </c>
      <c r="H797" s="40">
        <v>1</v>
      </c>
      <c r="I797" s="56"/>
    </row>
    <row r="798" spans="1:9" ht="21.6" customHeight="1">
      <c r="A798" s="27">
        <v>905</v>
      </c>
      <c r="B798" s="36" t="s">
        <v>59</v>
      </c>
      <c r="C798" s="36" t="s">
        <v>536</v>
      </c>
      <c r="D798" s="34" t="s">
        <v>1485</v>
      </c>
      <c r="E798" s="35" t="s">
        <v>537</v>
      </c>
      <c r="F798" s="40">
        <v>590</v>
      </c>
      <c r="G798" s="145" t="s">
        <v>1813</v>
      </c>
      <c r="H798" s="40">
        <v>1</v>
      </c>
      <c r="I798" s="56"/>
    </row>
    <row r="799" spans="1:9" ht="21.6" customHeight="1">
      <c r="A799" s="27">
        <v>906</v>
      </c>
      <c r="B799" s="36" t="s">
        <v>59</v>
      </c>
      <c r="C799" s="36" t="s">
        <v>538</v>
      </c>
      <c r="D799" s="34" t="s">
        <v>1486</v>
      </c>
      <c r="E799" s="35" t="s">
        <v>539</v>
      </c>
      <c r="F799" s="40">
        <v>590</v>
      </c>
      <c r="G799" s="145" t="s">
        <v>1814</v>
      </c>
      <c r="H799" s="40">
        <v>1</v>
      </c>
      <c r="I799" s="56"/>
    </row>
    <row r="800" spans="1:9" ht="21.6" customHeight="1">
      <c r="A800" s="27">
        <v>907</v>
      </c>
      <c r="B800" s="36" t="s">
        <v>59</v>
      </c>
      <c r="C800" s="36" t="s">
        <v>540</v>
      </c>
      <c r="D800" s="34" t="s">
        <v>1487</v>
      </c>
      <c r="E800" s="35" t="s">
        <v>541</v>
      </c>
      <c r="F800" s="40">
        <v>590</v>
      </c>
      <c r="G800" s="145" t="s">
        <v>1815</v>
      </c>
      <c r="H800" s="40">
        <v>1</v>
      </c>
      <c r="I800" s="56"/>
    </row>
    <row r="801" spans="1:9" ht="21.6" customHeight="1">
      <c r="A801" s="27">
        <v>908</v>
      </c>
      <c r="B801" s="36" t="s">
        <v>59</v>
      </c>
      <c r="C801" s="36" t="s">
        <v>542</v>
      </c>
      <c r="D801" s="34" t="s">
        <v>1488</v>
      </c>
      <c r="E801" s="35" t="s">
        <v>543</v>
      </c>
      <c r="F801" s="40">
        <v>200</v>
      </c>
      <c r="G801" s="144" t="s">
        <v>1832</v>
      </c>
      <c r="H801" s="40">
        <v>1</v>
      </c>
      <c r="I801" s="89" t="s">
        <v>111</v>
      </c>
    </row>
    <row r="802" spans="1:9" ht="21.6" customHeight="1">
      <c r="A802" s="27">
        <v>909</v>
      </c>
      <c r="B802" s="36" t="s">
        <v>59</v>
      </c>
      <c r="C802" s="36" t="s">
        <v>542</v>
      </c>
      <c r="D802" s="34" t="s">
        <v>1488</v>
      </c>
      <c r="E802" s="35" t="s">
        <v>543</v>
      </c>
      <c r="F802" s="40">
        <v>200</v>
      </c>
      <c r="G802" s="144" t="s">
        <v>110</v>
      </c>
      <c r="H802" s="40">
        <v>1</v>
      </c>
      <c r="I802" s="89" t="s">
        <v>111</v>
      </c>
    </row>
    <row r="803" spans="1:9" ht="21.6" customHeight="1">
      <c r="A803" s="27">
        <v>910</v>
      </c>
      <c r="B803" s="36" t="s">
        <v>59</v>
      </c>
      <c r="C803" s="36" t="s">
        <v>457</v>
      </c>
      <c r="D803" s="34" t="s">
        <v>1453</v>
      </c>
      <c r="E803" s="35" t="s">
        <v>458</v>
      </c>
      <c r="F803" s="40">
        <v>200</v>
      </c>
      <c r="G803" s="144" t="s">
        <v>114</v>
      </c>
      <c r="H803" s="40">
        <v>1</v>
      </c>
      <c r="I803" s="89" t="s">
        <v>111</v>
      </c>
    </row>
    <row r="804" spans="1:9" ht="21.6" customHeight="1">
      <c r="A804" s="27">
        <v>911</v>
      </c>
      <c r="B804" s="36" t="s">
        <v>59</v>
      </c>
      <c r="C804" s="36" t="s">
        <v>542</v>
      </c>
      <c r="D804" s="34" t="s">
        <v>1488</v>
      </c>
      <c r="E804" s="35" t="s">
        <v>543</v>
      </c>
      <c r="F804" s="40">
        <v>400</v>
      </c>
      <c r="G804" s="144" t="s">
        <v>1833</v>
      </c>
      <c r="H804" s="40">
        <v>1</v>
      </c>
      <c r="I804" s="89" t="s">
        <v>665</v>
      </c>
    </row>
    <row r="805" spans="1:9" ht="21.6" customHeight="1">
      <c r="A805" s="27">
        <v>912</v>
      </c>
      <c r="B805" s="36" t="s">
        <v>59</v>
      </c>
      <c r="C805" s="36" t="s">
        <v>335</v>
      </c>
      <c r="D805" s="34" t="s">
        <v>1411</v>
      </c>
      <c r="E805" s="35" t="s">
        <v>336</v>
      </c>
      <c r="F805" s="40">
        <v>400</v>
      </c>
      <c r="G805" s="144" t="s">
        <v>1833</v>
      </c>
      <c r="H805" s="40">
        <v>1</v>
      </c>
      <c r="I805" s="89" t="s">
        <v>665</v>
      </c>
    </row>
    <row r="806" spans="1:9" ht="21.6" customHeight="1">
      <c r="A806" s="27">
        <v>913</v>
      </c>
      <c r="B806" s="36" t="s">
        <v>59</v>
      </c>
      <c r="C806" s="36" t="s">
        <v>339</v>
      </c>
      <c r="D806" s="34" t="s">
        <v>1412</v>
      </c>
      <c r="E806" s="35" t="s">
        <v>340</v>
      </c>
      <c r="F806" s="40">
        <v>400</v>
      </c>
      <c r="G806" s="144" t="s">
        <v>1834</v>
      </c>
      <c r="H806" s="40">
        <v>1</v>
      </c>
      <c r="I806" s="89" t="s">
        <v>665</v>
      </c>
    </row>
    <row r="807" spans="1:9" ht="21.6" customHeight="1">
      <c r="A807" s="27">
        <v>914</v>
      </c>
      <c r="B807" s="36" t="s">
        <v>59</v>
      </c>
      <c r="C807" s="36" t="s">
        <v>280</v>
      </c>
      <c r="D807" s="34" t="s">
        <v>1394</v>
      </c>
      <c r="E807" s="35" t="s">
        <v>281</v>
      </c>
      <c r="F807" s="68" t="s">
        <v>470</v>
      </c>
      <c r="G807" s="145" t="s">
        <v>1782</v>
      </c>
      <c r="H807" s="40">
        <v>1</v>
      </c>
      <c r="I807" s="56" t="s">
        <v>544</v>
      </c>
    </row>
    <row r="808" spans="1:9" ht="21.6" customHeight="1">
      <c r="A808" s="27">
        <v>915</v>
      </c>
      <c r="B808" s="36" t="s">
        <v>59</v>
      </c>
      <c r="C808" s="36" t="s">
        <v>284</v>
      </c>
      <c r="D808" s="34" t="s">
        <v>1395</v>
      </c>
      <c r="E808" s="35" t="s">
        <v>226</v>
      </c>
      <c r="F808" s="68" t="s">
        <v>470</v>
      </c>
      <c r="G808" s="144" t="s">
        <v>285</v>
      </c>
      <c r="H808" s="40">
        <v>1</v>
      </c>
      <c r="I808" s="56" t="s">
        <v>544</v>
      </c>
    </row>
    <row r="809" spans="1:9" ht="21.6" customHeight="1">
      <c r="A809" s="27">
        <v>916</v>
      </c>
      <c r="B809" s="36" t="s">
        <v>59</v>
      </c>
      <c r="C809" s="36" t="s">
        <v>287</v>
      </c>
      <c r="D809" s="64" t="s">
        <v>1396</v>
      </c>
      <c r="E809" s="7" t="s">
        <v>288</v>
      </c>
      <c r="F809" s="68" t="s">
        <v>470</v>
      </c>
      <c r="G809" s="145" t="s">
        <v>282</v>
      </c>
      <c r="H809" s="40">
        <v>1</v>
      </c>
      <c r="I809" s="56" t="s">
        <v>544</v>
      </c>
    </row>
    <row r="810" spans="1:9" ht="21.6" customHeight="1">
      <c r="A810" s="27">
        <v>917</v>
      </c>
      <c r="B810" s="36" t="s">
        <v>59</v>
      </c>
      <c r="C810" s="36" t="s">
        <v>452</v>
      </c>
      <c r="D810" s="34" t="s">
        <v>1452</v>
      </c>
      <c r="E810" s="35" t="s">
        <v>226</v>
      </c>
      <c r="F810" s="40">
        <v>500</v>
      </c>
      <c r="G810" s="144" t="s">
        <v>1784</v>
      </c>
      <c r="H810" s="40">
        <v>2</v>
      </c>
      <c r="I810" s="90" t="s">
        <v>334</v>
      </c>
    </row>
    <row r="811" spans="1:9" ht="21.6" customHeight="1">
      <c r="A811" s="27">
        <v>918</v>
      </c>
      <c r="B811" s="36" t="s">
        <v>59</v>
      </c>
      <c r="C811" s="36" t="s">
        <v>335</v>
      </c>
      <c r="D811" s="34" t="s">
        <v>1411</v>
      </c>
      <c r="E811" s="35" t="s">
        <v>336</v>
      </c>
      <c r="F811" s="40">
        <v>500</v>
      </c>
      <c r="G811" s="144" t="s">
        <v>337</v>
      </c>
      <c r="H811" s="40">
        <v>1</v>
      </c>
      <c r="I811" s="90" t="s">
        <v>338</v>
      </c>
    </row>
    <row r="812" spans="1:9" ht="21.6" customHeight="1">
      <c r="A812" s="27">
        <v>919</v>
      </c>
      <c r="B812" s="36" t="s">
        <v>59</v>
      </c>
      <c r="C812" s="36" t="s">
        <v>339</v>
      </c>
      <c r="D812" s="34" t="s">
        <v>1412</v>
      </c>
      <c r="E812" s="35" t="s">
        <v>340</v>
      </c>
      <c r="F812" s="40">
        <v>500</v>
      </c>
      <c r="G812" s="145" t="s">
        <v>341</v>
      </c>
      <c r="H812" s="40">
        <v>1</v>
      </c>
      <c r="I812" s="90" t="s">
        <v>338</v>
      </c>
    </row>
    <row r="813" spans="1:9" ht="21.6" customHeight="1">
      <c r="A813" s="27">
        <v>920</v>
      </c>
      <c r="B813" s="36" t="s">
        <v>59</v>
      </c>
      <c r="C813" s="36" t="s">
        <v>332</v>
      </c>
      <c r="D813" s="34" t="s">
        <v>1410</v>
      </c>
      <c r="E813" s="35" t="s">
        <v>333</v>
      </c>
      <c r="F813" s="40">
        <v>500</v>
      </c>
      <c r="G813" s="144" t="s">
        <v>1818</v>
      </c>
      <c r="H813" s="40">
        <v>2</v>
      </c>
      <c r="I813" s="90" t="s">
        <v>666</v>
      </c>
    </row>
    <row r="814" spans="1:9" ht="21.6" customHeight="1">
      <c r="A814" s="27">
        <v>921</v>
      </c>
      <c r="B814" s="36" t="s">
        <v>59</v>
      </c>
      <c r="C814" s="36" t="s">
        <v>335</v>
      </c>
      <c r="D814" s="34" t="s">
        <v>1411</v>
      </c>
      <c r="E814" s="35" t="s">
        <v>336</v>
      </c>
      <c r="F814" s="40">
        <v>500</v>
      </c>
      <c r="G814" s="144" t="s">
        <v>546</v>
      </c>
      <c r="H814" s="40">
        <v>1</v>
      </c>
      <c r="I814" s="90" t="s">
        <v>666</v>
      </c>
    </row>
    <row r="815" spans="1:9" ht="21.6" customHeight="1">
      <c r="A815" s="27">
        <v>922</v>
      </c>
      <c r="B815" s="36" t="s">
        <v>59</v>
      </c>
      <c r="C815" s="36" t="s">
        <v>339</v>
      </c>
      <c r="D815" s="34" t="s">
        <v>1412</v>
      </c>
      <c r="E815" s="35" t="s">
        <v>340</v>
      </c>
      <c r="F815" s="40">
        <v>500</v>
      </c>
      <c r="G815" s="145" t="s">
        <v>547</v>
      </c>
      <c r="H815" s="40">
        <v>1</v>
      </c>
      <c r="I815" s="90" t="s">
        <v>666</v>
      </c>
    </row>
    <row r="816" spans="1:9" ht="21.6" customHeight="1">
      <c r="A816" s="27">
        <v>923</v>
      </c>
      <c r="B816" s="36" t="s">
        <v>59</v>
      </c>
      <c r="C816" s="36">
        <v>44218398000</v>
      </c>
      <c r="D816" s="78" t="s">
        <v>1489</v>
      </c>
      <c r="E816" s="35" t="s">
        <v>549</v>
      </c>
      <c r="F816" s="40">
        <v>100</v>
      </c>
      <c r="G816" s="145" t="s">
        <v>1819</v>
      </c>
      <c r="H816" s="40">
        <v>1</v>
      </c>
      <c r="I816" s="89" t="s">
        <v>667</v>
      </c>
    </row>
    <row r="817" spans="1:9" ht="21.6" customHeight="1">
      <c r="A817" s="27">
        <v>924</v>
      </c>
      <c r="B817" s="36" t="s">
        <v>59</v>
      </c>
      <c r="C817" s="36">
        <v>44218389000</v>
      </c>
      <c r="D817" s="34" t="s">
        <v>1490</v>
      </c>
      <c r="E817" s="35" t="s">
        <v>552</v>
      </c>
      <c r="F817" s="40">
        <v>100</v>
      </c>
      <c r="G817" s="144" t="s">
        <v>553</v>
      </c>
      <c r="H817" s="40">
        <v>1</v>
      </c>
      <c r="I817" s="89" t="s">
        <v>668</v>
      </c>
    </row>
    <row r="818" spans="1:9" ht="21.6" customHeight="1">
      <c r="A818" s="27">
        <v>925</v>
      </c>
      <c r="B818" s="36" t="s">
        <v>59</v>
      </c>
      <c r="C818" s="36" t="s">
        <v>554</v>
      </c>
      <c r="D818" s="34" t="s">
        <v>1491</v>
      </c>
      <c r="E818" s="35" t="s">
        <v>555</v>
      </c>
      <c r="F818" s="40">
        <v>100</v>
      </c>
      <c r="G818" s="144" t="s">
        <v>550</v>
      </c>
      <c r="H818" s="40">
        <v>1</v>
      </c>
      <c r="I818" s="89" t="s">
        <v>668</v>
      </c>
    </row>
    <row r="819" spans="1:9" ht="21.6" customHeight="1">
      <c r="A819" s="27">
        <v>926</v>
      </c>
      <c r="B819" s="36" t="s">
        <v>59</v>
      </c>
      <c r="C819" s="36">
        <v>44218398000</v>
      </c>
      <c r="D819" s="78" t="s">
        <v>1489</v>
      </c>
      <c r="E819" s="35" t="s">
        <v>549</v>
      </c>
      <c r="F819" s="91">
        <v>120</v>
      </c>
      <c r="G819" s="145" t="s">
        <v>1819</v>
      </c>
      <c r="H819" s="40">
        <v>1</v>
      </c>
      <c r="I819" s="89" t="s">
        <v>669</v>
      </c>
    </row>
    <row r="820" spans="1:9" ht="21.6" customHeight="1">
      <c r="A820" s="27">
        <v>927</v>
      </c>
      <c r="B820" s="36" t="s">
        <v>59</v>
      </c>
      <c r="C820" s="36" t="s">
        <v>268</v>
      </c>
      <c r="D820" s="36" t="s">
        <v>1390</v>
      </c>
      <c r="E820" s="37" t="s">
        <v>269</v>
      </c>
      <c r="F820" s="91">
        <v>120</v>
      </c>
      <c r="G820" s="144" t="s">
        <v>553</v>
      </c>
      <c r="H820" s="40">
        <v>1</v>
      </c>
      <c r="I820" s="89" t="s">
        <v>670</v>
      </c>
    </row>
    <row r="821" spans="1:9" ht="21.6" customHeight="1">
      <c r="A821" s="27">
        <v>928</v>
      </c>
      <c r="B821" s="36" t="s">
        <v>59</v>
      </c>
      <c r="C821" s="36" t="s">
        <v>271</v>
      </c>
      <c r="D821" s="36" t="s">
        <v>1391</v>
      </c>
      <c r="E821" s="37" t="s">
        <v>671</v>
      </c>
      <c r="F821" s="91">
        <v>120</v>
      </c>
      <c r="G821" s="144" t="s">
        <v>550</v>
      </c>
      <c r="H821" s="40">
        <v>1</v>
      </c>
      <c r="I821" s="89" t="s">
        <v>670</v>
      </c>
    </row>
    <row r="822" spans="1:9" ht="21.6" customHeight="1">
      <c r="A822" s="27">
        <v>929</v>
      </c>
      <c r="B822" s="36" t="s">
        <v>59</v>
      </c>
      <c r="C822" s="36" t="s">
        <v>556</v>
      </c>
      <c r="D822" s="79" t="s">
        <v>1492</v>
      </c>
      <c r="E822" s="35" t="s">
        <v>557</v>
      </c>
      <c r="F822" s="40">
        <v>590</v>
      </c>
      <c r="G822" s="145" t="s">
        <v>558</v>
      </c>
      <c r="H822" s="40" t="s">
        <v>123</v>
      </c>
      <c r="I822" s="56"/>
    </row>
    <row r="823" spans="1:9" ht="21.6" customHeight="1">
      <c r="A823" s="27">
        <v>930</v>
      </c>
      <c r="B823" s="36" t="s">
        <v>59</v>
      </c>
      <c r="C823" s="36" t="s">
        <v>559</v>
      </c>
      <c r="D823" s="80" t="s">
        <v>1493</v>
      </c>
      <c r="E823" s="35" t="s">
        <v>560</v>
      </c>
      <c r="F823" s="40">
        <v>590</v>
      </c>
      <c r="G823" s="145" t="s">
        <v>1820</v>
      </c>
      <c r="H823" s="40" t="s">
        <v>123</v>
      </c>
      <c r="I823" s="56"/>
    </row>
    <row r="824" spans="1:9" ht="21.6" customHeight="1">
      <c r="A824" s="27">
        <v>931</v>
      </c>
      <c r="B824" s="36" t="s">
        <v>59</v>
      </c>
      <c r="C824" s="36" t="s">
        <v>561</v>
      </c>
      <c r="D824" s="34" t="s">
        <v>1494</v>
      </c>
      <c r="E824" s="35" t="s">
        <v>562</v>
      </c>
      <c r="F824" s="40">
        <v>590</v>
      </c>
      <c r="G824" s="145" t="s">
        <v>244</v>
      </c>
      <c r="H824" s="40" t="s">
        <v>123</v>
      </c>
      <c r="I824" s="56"/>
    </row>
    <row r="825" spans="1:9" ht="21.6" customHeight="1">
      <c r="A825" s="27">
        <v>932</v>
      </c>
      <c r="B825" s="36" t="s">
        <v>59</v>
      </c>
      <c r="C825" s="36" t="s">
        <v>563</v>
      </c>
      <c r="D825" s="34" t="s">
        <v>1495</v>
      </c>
      <c r="E825" s="35" t="s">
        <v>564</v>
      </c>
      <c r="F825" s="40">
        <v>590</v>
      </c>
      <c r="G825" s="145" t="s">
        <v>1803</v>
      </c>
      <c r="H825" s="40" t="s">
        <v>123</v>
      </c>
      <c r="I825" s="56"/>
    </row>
    <row r="826" spans="1:9" ht="21.6" customHeight="1">
      <c r="A826" s="27">
        <v>933</v>
      </c>
      <c r="B826" s="36" t="s">
        <v>59</v>
      </c>
      <c r="C826" s="36" t="s">
        <v>565</v>
      </c>
      <c r="D826" s="34" t="s">
        <v>1496</v>
      </c>
      <c r="E826" s="35" t="s">
        <v>566</v>
      </c>
      <c r="F826" s="91">
        <v>200</v>
      </c>
      <c r="G826" s="144" t="s">
        <v>567</v>
      </c>
      <c r="H826" s="40" t="s">
        <v>123</v>
      </c>
      <c r="I826" s="89" t="s">
        <v>111</v>
      </c>
    </row>
    <row r="827" spans="1:9" ht="21.6" customHeight="1">
      <c r="A827" s="27">
        <v>934</v>
      </c>
      <c r="B827" s="36" t="s">
        <v>59</v>
      </c>
      <c r="C827" s="36" t="s">
        <v>672</v>
      </c>
      <c r="D827" s="36" t="s">
        <v>1535</v>
      </c>
      <c r="E827" s="37" t="s">
        <v>673</v>
      </c>
      <c r="F827" s="91">
        <v>400</v>
      </c>
      <c r="G827" s="144" t="s">
        <v>567</v>
      </c>
      <c r="H827" s="40" t="s">
        <v>123</v>
      </c>
      <c r="I827" s="89" t="s">
        <v>665</v>
      </c>
    </row>
    <row r="828" spans="1:9" ht="21.6" customHeight="1">
      <c r="A828" s="27">
        <v>935</v>
      </c>
      <c r="B828" s="36" t="s">
        <v>59</v>
      </c>
      <c r="C828" s="36" t="s">
        <v>347</v>
      </c>
      <c r="D828" s="34" t="s">
        <v>1415</v>
      </c>
      <c r="E828" s="35" t="s">
        <v>348</v>
      </c>
      <c r="F828" s="40">
        <v>500</v>
      </c>
      <c r="G828" s="144" t="s">
        <v>349</v>
      </c>
      <c r="H828" s="40" t="s">
        <v>123</v>
      </c>
      <c r="I828" s="90" t="s">
        <v>334</v>
      </c>
    </row>
    <row r="829" spans="1:9" ht="21.6" customHeight="1">
      <c r="A829" s="27">
        <v>936</v>
      </c>
      <c r="B829" s="36" t="s">
        <v>59</v>
      </c>
      <c r="C829" s="36" t="s">
        <v>568</v>
      </c>
      <c r="D829" s="34" t="s">
        <v>1497</v>
      </c>
      <c r="E829" s="35" t="s">
        <v>569</v>
      </c>
      <c r="F829" s="40">
        <v>500</v>
      </c>
      <c r="G829" s="144" t="s">
        <v>570</v>
      </c>
      <c r="H829" s="40" t="s">
        <v>123</v>
      </c>
      <c r="I829" s="90" t="s">
        <v>666</v>
      </c>
    </row>
    <row r="830" spans="1:9" ht="21.6" customHeight="1">
      <c r="A830" s="27">
        <v>937</v>
      </c>
      <c r="B830" s="36" t="s">
        <v>59</v>
      </c>
      <c r="C830" s="36" t="s">
        <v>301</v>
      </c>
      <c r="D830" s="67" t="s">
        <v>1401</v>
      </c>
      <c r="E830" s="30" t="s">
        <v>302</v>
      </c>
      <c r="F830" s="68" t="s">
        <v>470</v>
      </c>
      <c r="G830" s="145" t="s">
        <v>303</v>
      </c>
      <c r="H830" s="40" t="s">
        <v>123</v>
      </c>
      <c r="I830" s="56"/>
    </row>
    <row r="831" spans="1:9" ht="21.6" customHeight="1">
      <c r="A831" s="27">
        <v>938</v>
      </c>
      <c r="B831" s="36" t="s">
        <v>59</v>
      </c>
      <c r="C831" s="36" t="s">
        <v>571</v>
      </c>
      <c r="D831" s="34" t="s">
        <v>1498</v>
      </c>
      <c r="E831" s="35" t="s">
        <v>572</v>
      </c>
      <c r="F831" s="40" t="s">
        <v>123</v>
      </c>
      <c r="G831" s="145" t="s">
        <v>132</v>
      </c>
      <c r="H831" s="40" t="s">
        <v>123</v>
      </c>
      <c r="I831" s="56"/>
    </row>
    <row r="832" spans="1:9" ht="21.6" customHeight="1">
      <c r="A832" s="27">
        <v>939</v>
      </c>
      <c r="B832" s="36" t="s">
        <v>59</v>
      </c>
      <c r="C832" s="36" t="s">
        <v>573</v>
      </c>
      <c r="D832" s="34" t="s">
        <v>1499</v>
      </c>
      <c r="E832" s="35" t="s">
        <v>574</v>
      </c>
      <c r="F832" s="40" t="s">
        <v>123</v>
      </c>
      <c r="G832" s="145" t="s">
        <v>575</v>
      </c>
      <c r="H832" s="40" t="s">
        <v>123</v>
      </c>
      <c r="I832" s="56"/>
    </row>
    <row r="833" spans="1:9" ht="21.6" customHeight="1">
      <c r="A833" s="27">
        <v>940</v>
      </c>
      <c r="B833" s="36" t="s">
        <v>59</v>
      </c>
      <c r="C833" s="36" t="s">
        <v>576</v>
      </c>
      <c r="D833" s="34" t="s">
        <v>1500</v>
      </c>
      <c r="E833" s="35" t="s">
        <v>577</v>
      </c>
      <c r="F833" s="40" t="s">
        <v>123</v>
      </c>
      <c r="G833" s="144" t="s">
        <v>135</v>
      </c>
      <c r="H833" s="40" t="s">
        <v>123</v>
      </c>
      <c r="I833" s="56"/>
    </row>
    <row r="834" spans="1:9" ht="21.6" customHeight="1">
      <c r="A834" s="27">
        <v>941</v>
      </c>
      <c r="B834" s="36" t="s">
        <v>59</v>
      </c>
      <c r="C834" s="36" t="s">
        <v>578</v>
      </c>
      <c r="D834" s="34" t="s">
        <v>1501</v>
      </c>
      <c r="E834" s="35" t="s">
        <v>579</v>
      </c>
      <c r="F834" s="40" t="s">
        <v>123</v>
      </c>
      <c r="G834" s="144" t="s">
        <v>1821</v>
      </c>
      <c r="H834" s="40" t="s">
        <v>123</v>
      </c>
      <c r="I834" s="56"/>
    </row>
    <row r="835" spans="1:9" ht="21.6" customHeight="1">
      <c r="A835" s="27">
        <v>942</v>
      </c>
      <c r="B835" s="36" t="s">
        <v>59</v>
      </c>
      <c r="C835" s="36" t="s">
        <v>580</v>
      </c>
      <c r="D835" s="34" t="s">
        <v>1502</v>
      </c>
      <c r="E835" s="35" t="s">
        <v>581</v>
      </c>
      <c r="F835" s="40" t="s">
        <v>123</v>
      </c>
      <c r="G835" s="144" t="s">
        <v>582</v>
      </c>
      <c r="H835" s="40" t="s">
        <v>123</v>
      </c>
      <c r="I835" s="56"/>
    </row>
    <row r="836" spans="1:9" ht="21.6" customHeight="1">
      <c r="A836" s="27">
        <v>944</v>
      </c>
      <c r="B836" s="36" t="s">
        <v>59</v>
      </c>
      <c r="C836" s="36" t="s">
        <v>583</v>
      </c>
      <c r="D836" s="34" t="s">
        <v>1503</v>
      </c>
      <c r="E836" s="35" t="s">
        <v>584</v>
      </c>
      <c r="F836" s="40" t="s">
        <v>123</v>
      </c>
      <c r="G836" s="145" t="s">
        <v>585</v>
      </c>
      <c r="H836" s="40" t="s">
        <v>123</v>
      </c>
      <c r="I836" s="89" t="s">
        <v>674</v>
      </c>
    </row>
    <row r="837" spans="1:9" ht="21.6" customHeight="1">
      <c r="A837" s="27">
        <v>946</v>
      </c>
      <c r="B837" s="36" t="s">
        <v>59</v>
      </c>
      <c r="C837" s="36" t="s">
        <v>675</v>
      </c>
      <c r="D837" s="36" t="s">
        <v>1536</v>
      </c>
      <c r="E837" s="37" t="s">
        <v>676</v>
      </c>
      <c r="F837" s="40" t="s">
        <v>123</v>
      </c>
      <c r="G837" s="145" t="s">
        <v>585</v>
      </c>
      <c r="H837" s="40" t="s">
        <v>123</v>
      </c>
      <c r="I837" s="89" t="s">
        <v>677</v>
      </c>
    </row>
    <row r="838" spans="1:9" s="81" customFormat="1" ht="21.6" customHeight="1">
      <c r="A838" s="20">
        <v>947</v>
      </c>
      <c r="B838" s="73" t="s">
        <v>61</v>
      </c>
      <c r="C838" s="73" t="s">
        <v>587</v>
      </c>
      <c r="D838" s="73" t="s">
        <v>1504</v>
      </c>
      <c r="E838" s="72" t="s">
        <v>588</v>
      </c>
      <c r="F838" s="74">
        <v>243</v>
      </c>
      <c r="G838" s="143" t="s">
        <v>589</v>
      </c>
      <c r="H838" s="74">
        <v>1</v>
      </c>
      <c r="I838" s="75" t="s">
        <v>590</v>
      </c>
    </row>
    <row r="839" spans="1:9" s="81" customFormat="1" ht="21.6" customHeight="1">
      <c r="A839" s="27">
        <v>948</v>
      </c>
      <c r="B839" s="104" t="s">
        <v>61</v>
      </c>
      <c r="C839" s="104" t="s">
        <v>591</v>
      </c>
      <c r="D839" s="34" t="s">
        <v>1505</v>
      </c>
      <c r="E839" s="35" t="s">
        <v>592</v>
      </c>
      <c r="F839" s="40">
        <v>243</v>
      </c>
      <c r="G839" s="145" t="s">
        <v>502</v>
      </c>
      <c r="H839" s="40">
        <v>1</v>
      </c>
      <c r="I839" s="56"/>
    </row>
    <row r="840" spans="1:9" s="81" customFormat="1" ht="21.6" customHeight="1">
      <c r="A840" s="27">
        <v>949</v>
      </c>
      <c r="B840" s="104" t="s">
        <v>61</v>
      </c>
      <c r="C840" s="104" t="s">
        <v>593</v>
      </c>
      <c r="D840" s="34" t="s">
        <v>1506</v>
      </c>
      <c r="E840" s="35" t="s">
        <v>594</v>
      </c>
      <c r="F840" s="40">
        <v>243</v>
      </c>
      <c r="G840" s="145" t="s">
        <v>415</v>
      </c>
      <c r="H840" s="40">
        <v>1</v>
      </c>
      <c r="I840" s="56"/>
    </row>
    <row r="841" spans="1:9" s="81" customFormat="1" ht="21.6" customHeight="1">
      <c r="A841" s="27">
        <v>950</v>
      </c>
      <c r="B841" s="104" t="s">
        <v>61</v>
      </c>
      <c r="C841" s="104" t="s">
        <v>595</v>
      </c>
      <c r="D841" s="34" t="s">
        <v>1507</v>
      </c>
      <c r="E841" s="35" t="s">
        <v>596</v>
      </c>
      <c r="F841" s="40">
        <v>243</v>
      </c>
      <c r="G841" s="144" t="s">
        <v>597</v>
      </c>
      <c r="H841" s="40">
        <v>1</v>
      </c>
      <c r="I841" s="56"/>
    </row>
    <row r="842" spans="1:9" s="81" customFormat="1" ht="21.6" customHeight="1">
      <c r="A842" s="27">
        <v>951</v>
      </c>
      <c r="B842" s="104" t="s">
        <v>61</v>
      </c>
      <c r="C842" s="104" t="s">
        <v>598</v>
      </c>
      <c r="D842" s="34" t="s">
        <v>1508</v>
      </c>
      <c r="E842" s="35" t="s">
        <v>599</v>
      </c>
      <c r="F842" s="40">
        <v>243</v>
      </c>
      <c r="G842" s="145" t="s">
        <v>600</v>
      </c>
      <c r="H842" s="40">
        <v>1</v>
      </c>
      <c r="I842" s="56"/>
    </row>
    <row r="843" spans="1:9" s="81" customFormat="1" ht="21.6" customHeight="1">
      <c r="A843" s="27">
        <v>952</v>
      </c>
      <c r="B843" s="104" t="s">
        <v>61</v>
      </c>
      <c r="C843" s="104" t="s">
        <v>601</v>
      </c>
      <c r="D843" s="34" t="s">
        <v>1509</v>
      </c>
      <c r="E843" s="35" t="s">
        <v>602</v>
      </c>
      <c r="F843" s="40">
        <v>243</v>
      </c>
      <c r="G843" s="144" t="s">
        <v>1822</v>
      </c>
      <c r="H843" s="40">
        <v>2</v>
      </c>
      <c r="I843" s="56"/>
    </row>
    <row r="844" spans="1:9" s="81" customFormat="1" ht="21.6" customHeight="1">
      <c r="A844" s="27">
        <v>953</v>
      </c>
      <c r="B844" s="104" t="s">
        <v>61</v>
      </c>
      <c r="C844" s="104" t="s">
        <v>603</v>
      </c>
      <c r="D844" s="34" t="s">
        <v>1510</v>
      </c>
      <c r="E844" s="35" t="s">
        <v>604</v>
      </c>
      <c r="F844" s="40">
        <v>243</v>
      </c>
      <c r="G844" s="144" t="s">
        <v>1823</v>
      </c>
      <c r="H844" s="40">
        <v>1</v>
      </c>
      <c r="I844" s="56"/>
    </row>
    <row r="845" spans="1:9" s="81" customFormat="1" ht="21.6" customHeight="1">
      <c r="A845" s="27">
        <v>954</v>
      </c>
      <c r="B845" s="104" t="s">
        <v>61</v>
      </c>
      <c r="C845" s="104" t="s">
        <v>605</v>
      </c>
      <c r="D845" s="34" t="s">
        <v>1511</v>
      </c>
      <c r="E845" s="35" t="s">
        <v>606</v>
      </c>
      <c r="F845" s="40">
        <v>243</v>
      </c>
      <c r="G845" s="145" t="s">
        <v>533</v>
      </c>
      <c r="H845" s="40">
        <v>1</v>
      </c>
      <c r="I845" s="56"/>
    </row>
    <row r="846" spans="1:9" s="81" customFormat="1" ht="21.6" customHeight="1">
      <c r="A846" s="27">
        <v>955</v>
      </c>
      <c r="B846" s="104" t="s">
        <v>61</v>
      </c>
      <c r="C846" s="104" t="s">
        <v>607</v>
      </c>
      <c r="D846" s="34" t="s">
        <v>1512</v>
      </c>
      <c r="E846" s="35" t="s">
        <v>608</v>
      </c>
      <c r="F846" s="40">
        <v>243</v>
      </c>
      <c r="G846" s="145" t="s">
        <v>1812</v>
      </c>
      <c r="H846" s="40">
        <v>1</v>
      </c>
      <c r="I846" s="56"/>
    </row>
    <row r="847" spans="1:9" s="81" customFormat="1" ht="21.6" customHeight="1">
      <c r="A847" s="27">
        <v>956</v>
      </c>
      <c r="B847" s="104" t="s">
        <v>61</v>
      </c>
      <c r="C847" s="104" t="s">
        <v>609</v>
      </c>
      <c r="D847" s="34" t="s">
        <v>1513</v>
      </c>
      <c r="E847" s="35" t="s">
        <v>610</v>
      </c>
      <c r="F847" s="40">
        <v>243</v>
      </c>
      <c r="G847" s="145" t="s">
        <v>1824</v>
      </c>
      <c r="H847" s="40">
        <v>1</v>
      </c>
      <c r="I847" s="56"/>
    </row>
    <row r="848" spans="1:9" s="81" customFormat="1" ht="21.6" customHeight="1">
      <c r="A848" s="27">
        <v>957</v>
      </c>
      <c r="B848" s="104" t="s">
        <v>61</v>
      </c>
      <c r="C848" s="104" t="s">
        <v>611</v>
      </c>
      <c r="D848" s="34" t="s">
        <v>1514</v>
      </c>
      <c r="E848" s="35" t="s">
        <v>612</v>
      </c>
      <c r="F848" s="40">
        <v>243</v>
      </c>
      <c r="G848" s="145" t="s">
        <v>1825</v>
      </c>
      <c r="H848" s="40">
        <v>1</v>
      </c>
      <c r="I848" s="56"/>
    </row>
    <row r="849" spans="1:9" s="81" customFormat="1" ht="21.6" customHeight="1">
      <c r="A849" s="27">
        <v>958</v>
      </c>
      <c r="B849" s="104" t="s">
        <v>61</v>
      </c>
      <c r="C849" s="104" t="s">
        <v>613</v>
      </c>
      <c r="D849" s="34" t="s">
        <v>1515</v>
      </c>
      <c r="E849" s="35" t="s">
        <v>614</v>
      </c>
      <c r="F849" s="40">
        <v>243</v>
      </c>
      <c r="G849" s="145" t="s">
        <v>1826</v>
      </c>
      <c r="H849" s="40">
        <v>2</v>
      </c>
      <c r="I849" s="56"/>
    </row>
    <row r="850" spans="1:9" s="26" customFormat="1" ht="21.6" customHeight="1">
      <c r="A850" s="27">
        <v>959</v>
      </c>
      <c r="B850" s="104" t="s">
        <v>61</v>
      </c>
      <c r="C850" s="104" t="s">
        <v>615</v>
      </c>
      <c r="D850" s="28" t="s">
        <v>1516</v>
      </c>
      <c r="E850" s="3" t="s">
        <v>616</v>
      </c>
      <c r="F850" s="29">
        <v>876.9</v>
      </c>
      <c r="G850" s="144" t="s">
        <v>263</v>
      </c>
      <c r="H850" s="29">
        <v>1</v>
      </c>
      <c r="I850" s="56" t="s">
        <v>617</v>
      </c>
    </row>
    <row r="851" spans="1:9" s="81" customFormat="1" ht="21.6" customHeight="1">
      <c r="A851" s="27">
        <v>961</v>
      </c>
      <c r="B851" s="104" t="s">
        <v>61</v>
      </c>
      <c r="C851" s="104" t="s">
        <v>618</v>
      </c>
      <c r="D851" s="34" t="s">
        <v>1517</v>
      </c>
      <c r="E851" s="35" t="s">
        <v>619</v>
      </c>
      <c r="F851" s="40">
        <v>389</v>
      </c>
      <c r="G851" s="145" t="s">
        <v>1809</v>
      </c>
      <c r="H851" s="40">
        <v>1</v>
      </c>
      <c r="I851" s="56" t="s">
        <v>526</v>
      </c>
    </row>
    <row r="852" spans="1:9" s="81" customFormat="1" ht="21.6" customHeight="1">
      <c r="A852" s="27">
        <v>962</v>
      </c>
      <c r="B852" s="104" t="s">
        <v>61</v>
      </c>
      <c r="C852" s="104" t="s">
        <v>620</v>
      </c>
      <c r="D852" s="34" t="s">
        <v>1518</v>
      </c>
      <c r="E852" s="35" t="s">
        <v>621</v>
      </c>
      <c r="F852" s="40">
        <v>389</v>
      </c>
      <c r="G852" s="145" t="s">
        <v>87</v>
      </c>
      <c r="H852" s="40">
        <v>1</v>
      </c>
      <c r="I852" s="56"/>
    </row>
    <row r="853" spans="1:9" s="81" customFormat="1" ht="21.6" customHeight="1">
      <c r="A853" s="27">
        <v>963</v>
      </c>
      <c r="B853" s="104" t="s">
        <v>61</v>
      </c>
      <c r="C853" s="104" t="s">
        <v>622</v>
      </c>
      <c r="D853" s="34" t="s">
        <v>1519</v>
      </c>
      <c r="E853" s="35" t="s">
        <v>623</v>
      </c>
      <c r="F853" s="40">
        <v>389</v>
      </c>
      <c r="G853" s="144" t="s">
        <v>1827</v>
      </c>
      <c r="H853" s="40">
        <v>1</v>
      </c>
      <c r="I853" s="56"/>
    </row>
    <row r="854" spans="1:9" s="81" customFormat="1" ht="21.6" customHeight="1">
      <c r="A854" s="27">
        <v>964</v>
      </c>
      <c r="B854" s="104" t="s">
        <v>61</v>
      </c>
      <c r="C854" s="104" t="s">
        <v>624</v>
      </c>
      <c r="D854" s="34" t="s">
        <v>1520</v>
      </c>
      <c r="E854" s="35" t="s">
        <v>625</v>
      </c>
      <c r="F854" s="40">
        <v>389</v>
      </c>
      <c r="G854" s="144" t="s">
        <v>1828</v>
      </c>
      <c r="H854" s="40">
        <v>1</v>
      </c>
      <c r="I854" s="56"/>
    </row>
    <row r="855" spans="1:9" s="81" customFormat="1" ht="21.6" customHeight="1">
      <c r="A855" s="27">
        <v>965</v>
      </c>
      <c r="B855" s="104" t="s">
        <v>61</v>
      </c>
      <c r="C855" s="104" t="s">
        <v>626</v>
      </c>
      <c r="D855" s="34" t="s">
        <v>1521</v>
      </c>
      <c r="E855" s="35" t="s">
        <v>627</v>
      </c>
      <c r="F855" s="40">
        <v>389</v>
      </c>
      <c r="G855" s="145" t="s">
        <v>628</v>
      </c>
      <c r="H855" s="40">
        <v>2</v>
      </c>
      <c r="I855" s="56"/>
    </row>
    <row r="856" spans="1:9" s="81" customFormat="1" ht="21.6" customHeight="1">
      <c r="A856" s="27">
        <v>966</v>
      </c>
      <c r="B856" s="104" t="s">
        <v>61</v>
      </c>
      <c r="C856" s="104" t="s">
        <v>629</v>
      </c>
      <c r="D856" s="34" t="s">
        <v>1522</v>
      </c>
      <c r="E856" s="35" t="s">
        <v>630</v>
      </c>
      <c r="F856" s="40">
        <v>120</v>
      </c>
      <c r="G856" s="144" t="s">
        <v>631</v>
      </c>
      <c r="H856" s="40">
        <v>2</v>
      </c>
      <c r="I856" s="56" t="s">
        <v>116</v>
      </c>
    </row>
    <row r="857" spans="1:9" s="81" customFormat="1" ht="21.6" customHeight="1">
      <c r="A857" s="27">
        <v>967</v>
      </c>
      <c r="B857" s="104" t="s">
        <v>61</v>
      </c>
      <c r="C857" s="104" t="s">
        <v>329</v>
      </c>
      <c r="D857" s="80" t="s">
        <v>1409</v>
      </c>
      <c r="E857" s="35" t="s">
        <v>330</v>
      </c>
      <c r="F857" s="40">
        <v>120</v>
      </c>
      <c r="G857" s="144" t="s">
        <v>115</v>
      </c>
      <c r="H857" s="40">
        <v>1</v>
      </c>
      <c r="I857" s="56" t="s">
        <v>116</v>
      </c>
    </row>
    <row r="858" spans="1:9" s="58" customFormat="1" ht="21.6" customHeight="1">
      <c r="A858" s="27">
        <v>968</v>
      </c>
      <c r="B858" s="104" t="s">
        <v>61</v>
      </c>
      <c r="C858" s="104" t="s">
        <v>264</v>
      </c>
      <c r="D858" s="50" t="s">
        <v>1389</v>
      </c>
      <c r="E858" s="51" t="s">
        <v>265</v>
      </c>
      <c r="F858" s="29">
        <v>80</v>
      </c>
      <c r="G858" s="144" t="s">
        <v>1829</v>
      </c>
      <c r="H858" s="29">
        <v>1</v>
      </c>
      <c r="I858" s="31" t="s">
        <v>318</v>
      </c>
    </row>
    <row r="859" spans="1:9" s="58" customFormat="1" ht="21.6" customHeight="1">
      <c r="A859" s="27">
        <v>969</v>
      </c>
      <c r="B859" s="104" t="s">
        <v>61</v>
      </c>
      <c r="C859" s="104" t="s">
        <v>268</v>
      </c>
      <c r="D859" s="50" t="s">
        <v>1390</v>
      </c>
      <c r="E859" s="51" t="s">
        <v>269</v>
      </c>
      <c r="F859" s="29">
        <v>80</v>
      </c>
      <c r="G859" s="144" t="s">
        <v>633</v>
      </c>
      <c r="H859" s="29">
        <v>1</v>
      </c>
      <c r="I859" s="31" t="s">
        <v>318</v>
      </c>
    </row>
    <row r="860" spans="1:9" s="58" customFormat="1" ht="21.6" customHeight="1">
      <c r="A860" s="27">
        <v>970</v>
      </c>
      <c r="B860" s="104" t="s">
        <v>61</v>
      </c>
      <c r="C860" s="104" t="s">
        <v>271</v>
      </c>
      <c r="D860" s="50" t="s">
        <v>1391</v>
      </c>
      <c r="E860" s="51" t="s">
        <v>272</v>
      </c>
      <c r="F860" s="29">
        <v>80</v>
      </c>
      <c r="G860" s="144" t="s">
        <v>1830</v>
      </c>
      <c r="H860" s="29">
        <v>1</v>
      </c>
      <c r="I860" s="31" t="s">
        <v>318</v>
      </c>
    </row>
    <row r="861" spans="1:9" s="26" customFormat="1" ht="21.6" customHeight="1">
      <c r="A861" s="27">
        <v>971</v>
      </c>
      <c r="B861" s="104" t="s">
        <v>61</v>
      </c>
      <c r="C861" s="104" t="s">
        <v>225</v>
      </c>
      <c r="D861" s="39" t="s">
        <v>1375</v>
      </c>
      <c r="E861" s="3" t="s">
        <v>226</v>
      </c>
      <c r="F861" s="29">
        <v>120</v>
      </c>
      <c r="G861" s="144" t="s">
        <v>320</v>
      </c>
      <c r="H861" s="29">
        <v>2</v>
      </c>
      <c r="I861" s="31" t="s">
        <v>364</v>
      </c>
    </row>
    <row r="862" spans="1:9" s="26" customFormat="1" ht="21.6" customHeight="1">
      <c r="A862" s="27">
        <v>972</v>
      </c>
      <c r="B862" s="104" t="s">
        <v>61</v>
      </c>
      <c r="C862" s="104" t="s">
        <v>229</v>
      </c>
      <c r="D862" s="39" t="s">
        <v>1376</v>
      </c>
      <c r="E862" s="51" t="s">
        <v>230</v>
      </c>
      <c r="F862" s="29">
        <v>120</v>
      </c>
      <c r="G862" s="144" t="s">
        <v>278</v>
      </c>
      <c r="H862" s="29">
        <v>1</v>
      </c>
      <c r="I862" s="31" t="s">
        <v>364</v>
      </c>
    </row>
    <row r="863" spans="1:9" s="26" customFormat="1" ht="21.6" customHeight="1">
      <c r="A863" s="27">
        <v>973</v>
      </c>
      <c r="B863" s="104" t="s">
        <v>61</v>
      </c>
      <c r="C863" s="104" t="s">
        <v>323</v>
      </c>
      <c r="D863" s="39" t="s">
        <v>1407</v>
      </c>
      <c r="E863" s="51" t="s">
        <v>324</v>
      </c>
      <c r="F863" s="29">
        <v>120</v>
      </c>
      <c r="G863" s="144" t="s">
        <v>1782</v>
      </c>
      <c r="H863" s="29">
        <v>1</v>
      </c>
      <c r="I863" s="31" t="s">
        <v>325</v>
      </c>
    </row>
    <row r="864" spans="1:9" s="26" customFormat="1" ht="21.6" customHeight="1">
      <c r="A864" s="27">
        <v>974</v>
      </c>
      <c r="B864" s="104" t="s">
        <v>61</v>
      </c>
      <c r="C864" s="104" t="s">
        <v>284</v>
      </c>
      <c r="D864" s="50" t="s">
        <v>1395</v>
      </c>
      <c r="E864" s="51" t="s">
        <v>226</v>
      </c>
      <c r="F864" s="29">
        <v>120</v>
      </c>
      <c r="G864" s="144" t="s">
        <v>285</v>
      </c>
      <c r="H864" s="29">
        <v>1</v>
      </c>
      <c r="I864" s="31" t="s">
        <v>325</v>
      </c>
    </row>
    <row r="865" spans="1:9" s="26" customFormat="1" ht="21.6" customHeight="1">
      <c r="A865" s="27">
        <v>975</v>
      </c>
      <c r="B865" s="104" t="s">
        <v>61</v>
      </c>
      <c r="C865" s="104" t="s">
        <v>287</v>
      </c>
      <c r="D865" s="50" t="s">
        <v>1396</v>
      </c>
      <c r="E865" s="51" t="s">
        <v>288</v>
      </c>
      <c r="F865" s="29">
        <v>120</v>
      </c>
      <c r="G865" s="144" t="s">
        <v>282</v>
      </c>
      <c r="H865" s="29">
        <v>1</v>
      </c>
      <c r="I865" s="31" t="s">
        <v>325</v>
      </c>
    </row>
    <row r="866" spans="1:9" s="58" customFormat="1" ht="21.6" customHeight="1">
      <c r="A866" s="27">
        <v>976</v>
      </c>
      <c r="B866" s="104" t="s">
        <v>61</v>
      </c>
      <c r="C866" s="104" t="s">
        <v>326</v>
      </c>
      <c r="D866" s="39" t="s">
        <v>1408</v>
      </c>
      <c r="E866" s="51" t="s">
        <v>327</v>
      </c>
      <c r="F866" s="29">
        <v>320</v>
      </c>
      <c r="G866" s="144" t="s">
        <v>1831</v>
      </c>
      <c r="H866" s="29">
        <v>2</v>
      </c>
      <c r="I866" s="31" t="s">
        <v>328</v>
      </c>
    </row>
    <row r="867" spans="1:9" s="58" customFormat="1" ht="21.6" customHeight="1">
      <c r="A867" s="27">
        <v>977</v>
      </c>
      <c r="B867" s="104" t="s">
        <v>61</v>
      </c>
      <c r="C867" s="104" t="s">
        <v>329</v>
      </c>
      <c r="D867" s="50" t="s">
        <v>1409</v>
      </c>
      <c r="E867" s="51" t="s">
        <v>330</v>
      </c>
      <c r="F867" s="29">
        <v>320</v>
      </c>
      <c r="G867" s="144" t="s">
        <v>634</v>
      </c>
      <c r="H867" s="29">
        <v>1</v>
      </c>
      <c r="I867" s="31" t="s">
        <v>328</v>
      </c>
    </row>
    <row r="868" spans="1:9" ht="21.6" customHeight="1">
      <c r="A868" s="27">
        <v>978</v>
      </c>
      <c r="B868" s="132" t="s">
        <v>61</v>
      </c>
      <c r="C868" s="132" t="s">
        <v>332</v>
      </c>
      <c r="D868" s="34" t="s">
        <v>1410</v>
      </c>
      <c r="E868" s="35" t="s">
        <v>333</v>
      </c>
      <c r="F868" s="40">
        <v>500</v>
      </c>
      <c r="G868" s="144" t="s">
        <v>1784</v>
      </c>
      <c r="H868" s="40">
        <v>2</v>
      </c>
      <c r="I868" s="55" t="s">
        <v>334</v>
      </c>
    </row>
    <row r="869" spans="1:9" ht="21.6" customHeight="1">
      <c r="A869" s="27">
        <v>979</v>
      </c>
      <c r="B869" s="132" t="s">
        <v>61</v>
      </c>
      <c r="C869" s="132" t="s">
        <v>335</v>
      </c>
      <c r="D869" s="34" t="s">
        <v>1411</v>
      </c>
      <c r="E869" s="35" t="s">
        <v>336</v>
      </c>
      <c r="F869" s="40">
        <v>500</v>
      </c>
      <c r="G869" s="144" t="s">
        <v>337</v>
      </c>
      <c r="H869" s="40">
        <v>1</v>
      </c>
      <c r="I869" s="55" t="s">
        <v>338</v>
      </c>
    </row>
    <row r="870" spans="1:9" ht="21.6" customHeight="1">
      <c r="A870" s="27">
        <v>980</v>
      </c>
      <c r="B870" s="132" t="s">
        <v>61</v>
      </c>
      <c r="C870" s="132" t="s">
        <v>339</v>
      </c>
      <c r="D870" s="34" t="s">
        <v>1412</v>
      </c>
      <c r="E870" s="35" t="s">
        <v>340</v>
      </c>
      <c r="F870" s="40">
        <v>500</v>
      </c>
      <c r="G870" s="145" t="s">
        <v>341</v>
      </c>
      <c r="H870" s="40">
        <v>1</v>
      </c>
      <c r="I870" s="55" t="s">
        <v>338</v>
      </c>
    </row>
    <row r="871" spans="1:9" s="81" customFormat="1" ht="21.6" customHeight="1">
      <c r="A871" s="27">
        <v>981</v>
      </c>
      <c r="B871" s="104" t="s">
        <v>61</v>
      </c>
      <c r="C871" s="104" t="s">
        <v>635</v>
      </c>
      <c r="D871" s="80" t="s">
        <v>1523</v>
      </c>
      <c r="E871" s="35" t="s">
        <v>636</v>
      </c>
      <c r="F871" s="40">
        <v>243</v>
      </c>
      <c r="G871" s="144" t="s">
        <v>637</v>
      </c>
      <c r="H871" s="40" t="s">
        <v>123</v>
      </c>
      <c r="I871" s="56"/>
    </row>
    <row r="872" spans="1:9" s="58" customFormat="1" ht="21.6" customHeight="1">
      <c r="A872" s="27">
        <v>982</v>
      </c>
      <c r="B872" s="104" t="s">
        <v>61</v>
      </c>
      <c r="C872" s="104" t="s">
        <v>295</v>
      </c>
      <c r="D872" s="39" t="s">
        <v>1399</v>
      </c>
      <c r="E872" s="3" t="s">
        <v>296</v>
      </c>
      <c r="F872" s="29">
        <v>80</v>
      </c>
      <c r="G872" s="144" t="s">
        <v>638</v>
      </c>
      <c r="H872" s="40" t="s">
        <v>123</v>
      </c>
      <c r="I872" s="31" t="s">
        <v>639</v>
      </c>
    </row>
    <row r="873" spans="1:9" s="26" customFormat="1" ht="21.6" customHeight="1">
      <c r="A873" s="27">
        <v>983</v>
      </c>
      <c r="B873" s="104" t="s">
        <v>61</v>
      </c>
      <c r="C873" s="104" t="s">
        <v>298</v>
      </c>
      <c r="D873" s="39" t="s">
        <v>1400</v>
      </c>
      <c r="E873" s="3" t="s">
        <v>299</v>
      </c>
      <c r="F873" s="29">
        <v>120</v>
      </c>
      <c r="G873" s="144" t="s">
        <v>300</v>
      </c>
      <c r="H873" s="40" t="s">
        <v>123</v>
      </c>
      <c r="I873" s="31" t="s">
        <v>321</v>
      </c>
    </row>
    <row r="874" spans="1:9" s="26" customFormat="1" ht="21.6" customHeight="1">
      <c r="A874" s="27">
        <v>984</v>
      </c>
      <c r="B874" s="104" t="s">
        <v>61</v>
      </c>
      <c r="C874" s="104" t="s">
        <v>345</v>
      </c>
      <c r="D874" s="39" t="s">
        <v>1414</v>
      </c>
      <c r="E874" s="3" t="s">
        <v>346</v>
      </c>
      <c r="F874" s="29">
        <v>120</v>
      </c>
      <c r="G874" s="144" t="s">
        <v>303</v>
      </c>
      <c r="H874" s="40" t="s">
        <v>123</v>
      </c>
      <c r="I874" s="31" t="s">
        <v>325</v>
      </c>
    </row>
    <row r="875" spans="1:9" ht="21.6" customHeight="1">
      <c r="A875" s="27">
        <v>986</v>
      </c>
      <c r="B875" s="132" t="s">
        <v>61</v>
      </c>
      <c r="C875" s="132" t="s">
        <v>347</v>
      </c>
      <c r="D875" s="34" t="s">
        <v>1415</v>
      </c>
      <c r="E875" s="35" t="s">
        <v>348</v>
      </c>
      <c r="F875" s="40">
        <v>500</v>
      </c>
      <c r="G875" s="144" t="s">
        <v>349</v>
      </c>
      <c r="H875" s="40" t="s">
        <v>123</v>
      </c>
      <c r="I875" s="55" t="s">
        <v>334</v>
      </c>
    </row>
    <row r="876" spans="1:9" s="58" customFormat="1" ht="21.6" customHeight="1">
      <c r="A876" s="27">
        <v>988</v>
      </c>
      <c r="B876" s="104" t="s">
        <v>61</v>
      </c>
      <c r="C876" s="104" t="s">
        <v>640</v>
      </c>
      <c r="D876" s="39" t="s">
        <v>1524</v>
      </c>
      <c r="E876" s="3" t="s">
        <v>641</v>
      </c>
      <c r="F876" s="29">
        <v>389</v>
      </c>
      <c r="G876" s="144" t="s">
        <v>642</v>
      </c>
      <c r="H876" s="40" t="s">
        <v>123</v>
      </c>
      <c r="I876" s="31" t="s">
        <v>526</v>
      </c>
    </row>
    <row r="877" spans="1:9" s="58" customFormat="1" ht="21.6" customHeight="1">
      <c r="A877" s="27">
        <v>989</v>
      </c>
      <c r="B877" s="104" t="s">
        <v>61</v>
      </c>
      <c r="C877" s="104" t="s">
        <v>643</v>
      </c>
      <c r="D877" s="39" t="s">
        <v>1525</v>
      </c>
      <c r="E877" s="3" t="s">
        <v>644</v>
      </c>
      <c r="F877" s="29">
        <v>243</v>
      </c>
      <c r="G877" s="144" t="s">
        <v>645</v>
      </c>
      <c r="H877" s="40" t="s">
        <v>123</v>
      </c>
      <c r="I877" s="31"/>
    </row>
    <row r="878" spans="1:9" s="81" customFormat="1" ht="21.6" customHeight="1">
      <c r="A878" s="27">
        <v>990</v>
      </c>
      <c r="B878" s="104" t="s">
        <v>61</v>
      </c>
      <c r="C878" s="104" t="s">
        <v>646</v>
      </c>
      <c r="D878" s="34" t="s">
        <v>1526</v>
      </c>
      <c r="E878" s="35" t="s">
        <v>647</v>
      </c>
      <c r="F878" s="40" t="s">
        <v>123</v>
      </c>
      <c r="G878" s="145" t="s">
        <v>585</v>
      </c>
      <c r="H878" s="40" t="s">
        <v>123</v>
      </c>
      <c r="I878" s="56"/>
    </row>
    <row r="879" spans="1:9" s="81" customFormat="1" ht="21.6" customHeight="1">
      <c r="A879" s="27">
        <v>991</v>
      </c>
      <c r="B879" s="104" t="s">
        <v>61</v>
      </c>
      <c r="C879" s="104" t="s">
        <v>648</v>
      </c>
      <c r="D879" s="34" t="s">
        <v>1527</v>
      </c>
      <c r="E879" s="35" t="s">
        <v>649</v>
      </c>
      <c r="F879" s="40" t="s">
        <v>123</v>
      </c>
      <c r="G879" s="145" t="s">
        <v>129</v>
      </c>
      <c r="H879" s="40" t="s">
        <v>123</v>
      </c>
      <c r="I879" s="56"/>
    </row>
    <row r="880" spans="1:9" s="81" customFormat="1" ht="21.6" customHeight="1">
      <c r="A880" s="41">
        <v>992</v>
      </c>
      <c r="B880" s="104" t="s">
        <v>61</v>
      </c>
      <c r="C880" s="104" t="s">
        <v>650</v>
      </c>
      <c r="D880" s="34" t="s">
        <v>1528</v>
      </c>
      <c r="E880" s="35" t="s">
        <v>651</v>
      </c>
      <c r="F880" s="40" t="s">
        <v>123</v>
      </c>
      <c r="G880" s="144" t="s">
        <v>1821</v>
      </c>
      <c r="H880" s="40" t="s">
        <v>123</v>
      </c>
      <c r="I880" s="56"/>
    </row>
    <row r="881" spans="1:9" s="81" customFormat="1" ht="21.6" customHeight="1">
      <c r="A881" s="41">
        <v>993</v>
      </c>
      <c r="B881" s="84" t="s">
        <v>61</v>
      </c>
      <c r="C881" s="84" t="s">
        <v>652</v>
      </c>
      <c r="D881" s="84" t="s">
        <v>1529</v>
      </c>
      <c r="E881" s="83" t="s">
        <v>653</v>
      </c>
      <c r="F881" s="85" t="s">
        <v>654</v>
      </c>
      <c r="G881" s="150" t="s">
        <v>1805</v>
      </c>
      <c r="H881" s="85" t="s">
        <v>123</v>
      </c>
      <c r="I881" s="86"/>
    </row>
    <row r="882" spans="1:9" s="62" customFormat="1" ht="21.6" customHeight="1">
      <c r="A882" s="87">
        <v>994</v>
      </c>
      <c r="B882" s="59">
        <v>757</v>
      </c>
      <c r="C882" s="59" t="s">
        <v>409</v>
      </c>
      <c r="D882" s="59" t="s">
        <v>1433</v>
      </c>
      <c r="E882" s="6" t="s">
        <v>410</v>
      </c>
      <c r="F882" s="60">
        <v>540</v>
      </c>
      <c r="G882" s="143" t="s">
        <v>193</v>
      </c>
      <c r="H882" s="60">
        <v>1</v>
      </c>
      <c r="I882" s="61"/>
    </row>
    <row r="883" spans="1:9" s="62" customFormat="1" ht="21.6" customHeight="1">
      <c r="A883" s="27">
        <v>995</v>
      </c>
      <c r="B883" s="64">
        <v>757</v>
      </c>
      <c r="C883" s="64" t="s">
        <v>411</v>
      </c>
      <c r="D883" s="34" t="s">
        <v>1434</v>
      </c>
      <c r="E883" s="7" t="s">
        <v>412</v>
      </c>
      <c r="F883" s="63">
        <v>540</v>
      </c>
      <c r="G883" s="144" t="s">
        <v>75</v>
      </c>
      <c r="H883" s="63">
        <v>1</v>
      </c>
      <c r="I883" s="55"/>
    </row>
    <row r="884" spans="1:9" s="62" customFormat="1" ht="21.6" customHeight="1">
      <c r="A884" s="27">
        <v>996</v>
      </c>
      <c r="B884" s="64">
        <v>757</v>
      </c>
      <c r="C884" s="64" t="s">
        <v>413</v>
      </c>
      <c r="D884" s="64" t="s">
        <v>1435</v>
      </c>
      <c r="E884" s="7" t="s">
        <v>414</v>
      </c>
      <c r="F884" s="63">
        <v>540</v>
      </c>
      <c r="G884" s="145" t="s">
        <v>415</v>
      </c>
      <c r="H884" s="63">
        <v>1</v>
      </c>
      <c r="I884" s="55"/>
    </row>
    <row r="885" spans="1:9" s="62" customFormat="1" ht="21.6" customHeight="1">
      <c r="A885" s="27">
        <v>997</v>
      </c>
      <c r="B885" s="64">
        <v>757</v>
      </c>
      <c r="C885" s="64" t="s">
        <v>416</v>
      </c>
      <c r="D885" s="47" t="s">
        <v>1436</v>
      </c>
      <c r="E885" s="7" t="s">
        <v>417</v>
      </c>
      <c r="F885" s="63">
        <v>540</v>
      </c>
      <c r="G885" s="144" t="s">
        <v>418</v>
      </c>
      <c r="H885" s="63">
        <v>1</v>
      </c>
      <c r="I885" s="55"/>
    </row>
    <row r="886" spans="1:9" s="62" customFormat="1" ht="21.6" customHeight="1">
      <c r="A886" s="27">
        <v>998</v>
      </c>
      <c r="B886" s="64">
        <v>757</v>
      </c>
      <c r="C886" s="64" t="s">
        <v>419</v>
      </c>
      <c r="D886" s="34" t="s">
        <v>1437</v>
      </c>
      <c r="E886" s="35" t="s">
        <v>420</v>
      </c>
      <c r="F886" s="63">
        <v>540</v>
      </c>
      <c r="G886" s="145" t="s">
        <v>1775</v>
      </c>
      <c r="H886" s="40">
        <v>1</v>
      </c>
      <c r="I886" s="56"/>
    </row>
    <row r="887" spans="1:9" s="62" customFormat="1" ht="21.6" customHeight="1">
      <c r="A887" s="27">
        <v>999</v>
      </c>
      <c r="B887" s="64">
        <v>757</v>
      </c>
      <c r="C887" s="64" t="s">
        <v>655</v>
      </c>
      <c r="D887" s="64" t="s">
        <v>1530</v>
      </c>
      <c r="E887" s="7" t="s">
        <v>656</v>
      </c>
      <c r="F887" s="63">
        <v>1080</v>
      </c>
      <c r="G887" s="144" t="s">
        <v>87</v>
      </c>
      <c r="H887" s="63">
        <v>1</v>
      </c>
      <c r="I887" s="55"/>
    </row>
    <row r="888" spans="1:9" s="62" customFormat="1" ht="21.6" customHeight="1">
      <c r="A888" s="27">
        <v>1000</v>
      </c>
      <c r="B888" s="64">
        <v>757</v>
      </c>
      <c r="C888" s="64" t="s">
        <v>423</v>
      </c>
      <c r="D888" s="64" t="s">
        <v>1439</v>
      </c>
      <c r="E888" s="7" t="s">
        <v>424</v>
      </c>
      <c r="F888" s="63">
        <v>540</v>
      </c>
      <c r="G888" s="144" t="s">
        <v>1789</v>
      </c>
      <c r="H888" s="63">
        <v>1</v>
      </c>
      <c r="I888" s="55"/>
    </row>
    <row r="889" spans="1:9" s="62" customFormat="1" ht="21.6" customHeight="1">
      <c r="A889" s="27">
        <v>1001</v>
      </c>
      <c r="B889" s="64">
        <v>757</v>
      </c>
      <c r="C889" s="64" t="s">
        <v>425</v>
      </c>
      <c r="D889" s="64" t="s">
        <v>1440</v>
      </c>
      <c r="E889" s="7" t="s">
        <v>426</v>
      </c>
      <c r="F889" s="63">
        <v>540</v>
      </c>
      <c r="G889" s="144" t="s">
        <v>1790</v>
      </c>
      <c r="H889" s="63">
        <v>1</v>
      </c>
      <c r="I889" s="55"/>
    </row>
    <row r="890" spans="1:9" s="62" customFormat="1" ht="21.6" customHeight="1">
      <c r="A890" s="27">
        <v>1002</v>
      </c>
      <c r="B890" s="64">
        <v>757</v>
      </c>
      <c r="C890" s="64" t="s">
        <v>427</v>
      </c>
      <c r="D890" s="64" t="s">
        <v>1441</v>
      </c>
      <c r="E890" s="7" t="s">
        <v>428</v>
      </c>
      <c r="F890" s="63">
        <v>540</v>
      </c>
      <c r="G890" s="144" t="s">
        <v>1791</v>
      </c>
      <c r="H890" s="63">
        <v>1</v>
      </c>
      <c r="I890" s="55"/>
    </row>
    <row r="891" spans="1:9" s="62" customFormat="1" ht="21.6" customHeight="1">
      <c r="A891" s="27">
        <v>1003</v>
      </c>
      <c r="B891" s="64">
        <v>757</v>
      </c>
      <c r="C891" s="64" t="s">
        <v>429</v>
      </c>
      <c r="D891" s="64" t="s">
        <v>1442</v>
      </c>
      <c r="E891" s="7" t="s">
        <v>430</v>
      </c>
      <c r="F891" s="63">
        <v>540</v>
      </c>
      <c r="G891" s="144" t="s">
        <v>1792</v>
      </c>
      <c r="H891" s="63">
        <v>1</v>
      </c>
      <c r="I891" s="55"/>
    </row>
    <row r="892" spans="1:9" s="62" customFormat="1" ht="21.6" customHeight="1">
      <c r="A892" s="27">
        <v>1004</v>
      </c>
      <c r="B892" s="64">
        <v>757</v>
      </c>
      <c r="C892" s="64" t="s">
        <v>431</v>
      </c>
      <c r="D892" s="34" t="s">
        <v>1443</v>
      </c>
      <c r="E892" s="35" t="s">
        <v>432</v>
      </c>
      <c r="F892" s="63">
        <v>540</v>
      </c>
      <c r="G892" s="144" t="s">
        <v>1793</v>
      </c>
      <c r="H892" s="40">
        <v>1</v>
      </c>
      <c r="I892" s="56"/>
    </row>
    <row r="893" spans="1:9" s="62" customFormat="1" ht="21.6" customHeight="1">
      <c r="A893" s="27">
        <v>1005</v>
      </c>
      <c r="B893" s="64">
        <v>757</v>
      </c>
      <c r="C893" s="64" t="s">
        <v>433</v>
      </c>
      <c r="D893" s="64" t="s">
        <v>1444</v>
      </c>
      <c r="E893" s="7" t="s">
        <v>434</v>
      </c>
      <c r="F893" s="63">
        <v>540</v>
      </c>
      <c r="G893" s="144" t="s">
        <v>95</v>
      </c>
      <c r="H893" s="63">
        <v>3</v>
      </c>
      <c r="I893" s="55"/>
    </row>
    <row r="894" spans="1:9" s="62" customFormat="1" ht="21.6" customHeight="1">
      <c r="A894" s="27">
        <v>1006</v>
      </c>
      <c r="B894" s="64">
        <v>757</v>
      </c>
      <c r="C894" s="64" t="s">
        <v>435</v>
      </c>
      <c r="D894" s="64" t="s">
        <v>1445</v>
      </c>
      <c r="E894" s="7" t="s">
        <v>436</v>
      </c>
      <c r="F894" s="63">
        <v>540</v>
      </c>
      <c r="G894" s="144" t="s">
        <v>101</v>
      </c>
      <c r="H894" s="63">
        <v>1</v>
      </c>
      <c r="I894" s="55"/>
    </row>
    <row r="895" spans="1:9" s="62" customFormat="1" ht="21.6" customHeight="1">
      <c r="A895" s="27">
        <v>1007</v>
      </c>
      <c r="B895" s="64">
        <v>757</v>
      </c>
      <c r="C895" s="64" t="s">
        <v>437</v>
      </c>
      <c r="D895" s="65" t="s">
        <v>1446</v>
      </c>
      <c r="E895" s="7" t="s">
        <v>438</v>
      </c>
      <c r="F895" s="63">
        <v>540</v>
      </c>
      <c r="G895" s="144" t="s">
        <v>1794</v>
      </c>
      <c r="H895" s="63">
        <v>1</v>
      </c>
      <c r="I895" s="55"/>
    </row>
    <row r="896" spans="1:9" s="62" customFormat="1" ht="21.6" customHeight="1">
      <c r="A896" s="27">
        <v>1008</v>
      </c>
      <c r="B896" s="64">
        <v>757</v>
      </c>
      <c r="C896" s="64" t="s">
        <v>439</v>
      </c>
      <c r="D896" s="34" t="s">
        <v>1447</v>
      </c>
      <c r="E896" s="35" t="s">
        <v>440</v>
      </c>
      <c r="F896" s="63">
        <v>540</v>
      </c>
      <c r="G896" s="145" t="s">
        <v>1795</v>
      </c>
      <c r="H896" s="63">
        <v>1</v>
      </c>
      <c r="I896" s="55"/>
    </row>
    <row r="897" spans="1:9" s="62" customFormat="1" ht="21.6" customHeight="1">
      <c r="A897" s="27">
        <v>1009</v>
      </c>
      <c r="B897" s="64">
        <v>757</v>
      </c>
      <c r="C897" s="64" t="s">
        <v>441</v>
      </c>
      <c r="D897" s="64" t="s">
        <v>1448</v>
      </c>
      <c r="E897" s="7" t="s">
        <v>442</v>
      </c>
      <c r="F897" s="63">
        <v>540</v>
      </c>
      <c r="G897" s="144" t="s">
        <v>107</v>
      </c>
      <c r="H897" s="63">
        <v>1</v>
      </c>
      <c r="I897" s="55"/>
    </row>
    <row r="898" spans="1:9" s="62" customFormat="1" ht="21.6" customHeight="1">
      <c r="A898" s="27">
        <v>1010</v>
      </c>
      <c r="B898" s="64">
        <v>757</v>
      </c>
      <c r="C898" s="64" t="s">
        <v>443</v>
      </c>
      <c r="D898" s="34" t="s">
        <v>1449</v>
      </c>
      <c r="E898" s="35" t="s">
        <v>444</v>
      </c>
      <c r="F898" s="63">
        <v>540</v>
      </c>
      <c r="G898" s="144" t="s">
        <v>445</v>
      </c>
      <c r="H898" s="63">
        <v>1</v>
      </c>
      <c r="I898" s="55"/>
    </row>
    <row r="899" spans="1:9" s="62" customFormat="1" ht="21.6" customHeight="1">
      <c r="A899" s="27">
        <v>1011</v>
      </c>
      <c r="B899" s="64">
        <v>757</v>
      </c>
      <c r="C899" s="64" t="s">
        <v>446</v>
      </c>
      <c r="D899" s="66" t="s">
        <v>1450</v>
      </c>
      <c r="E899" s="7" t="s">
        <v>447</v>
      </c>
      <c r="F899" s="63">
        <v>540</v>
      </c>
      <c r="G899" s="144" t="s">
        <v>448</v>
      </c>
      <c r="H899" s="63">
        <v>6</v>
      </c>
      <c r="I899" s="55"/>
    </row>
    <row r="900" spans="1:9" s="62" customFormat="1" ht="21.6" customHeight="1">
      <c r="A900" s="27">
        <v>1012</v>
      </c>
      <c r="B900" s="64">
        <v>757</v>
      </c>
      <c r="C900" s="64" t="s">
        <v>449</v>
      </c>
      <c r="D900" s="64" t="s">
        <v>1451</v>
      </c>
      <c r="E900" s="7" t="s">
        <v>450</v>
      </c>
      <c r="F900" s="63">
        <v>540</v>
      </c>
      <c r="G900" s="144" t="s">
        <v>451</v>
      </c>
      <c r="H900" s="63">
        <v>1</v>
      </c>
      <c r="I900" s="55"/>
    </row>
    <row r="901" spans="1:9" s="62" customFormat="1" ht="21.6" customHeight="1">
      <c r="A901" s="27">
        <v>1013</v>
      </c>
      <c r="B901" s="64">
        <v>757</v>
      </c>
      <c r="C901" s="64" t="s">
        <v>452</v>
      </c>
      <c r="D901" s="64" t="s">
        <v>1452</v>
      </c>
      <c r="E901" s="7" t="s">
        <v>226</v>
      </c>
      <c r="F901" s="63" t="s">
        <v>453</v>
      </c>
      <c r="G901" s="144" t="s">
        <v>1796</v>
      </c>
      <c r="H901" s="63">
        <v>1</v>
      </c>
      <c r="I901" s="56" t="s">
        <v>455</v>
      </c>
    </row>
    <row r="902" spans="1:9" s="62" customFormat="1" ht="21.6" customHeight="1">
      <c r="A902" s="27">
        <v>1014</v>
      </c>
      <c r="B902" s="64">
        <v>757</v>
      </c>
      <c r="C902" s="64" t="s">
        <v>452</v>
      </c>
      <c r="D902" s="64" t="s">
        <v>1452</v>
      </c>
      <c r="E902" s="7" t="s">
        <v>226</v>
      </c>
      <c r="F902" s="63" t="s">
        <v>453</v>
      </c>
      <c r="G902" s="144" t="s">
        <v>456</v>
      </c>
      <c r="H902" s="63">
        <v>1</v>
      </c>
      <c r="I902" s="56" t="s">
        <v>455</v>
      </c>
    </row>
    <row r="903" spans="1:9" s="62" customFormat="1" ht="21.6" customHeight="1">
      <c r="A903" s="27">
        <v>1015</v>
      </c>
      <c r="B903" s="64">
        <v>757</v>
      </c>
      <c r="C903" s="64" t="s">
        <v>457</v>
      </c>
      <c r="D903" s="64" t="s">
        <v>1453</v>
      </c>
      <c r="E903" s="7" t="s">
        <v>458</v>
      </c>
      <c r="F903" s="63" t="s">
        <v>453</v>
      </c>
      <c r="G903" s="144" t="s">
        <v>454</v>
      </c>
      <c r="H903" s="63">
        <v>1</v>
      </c>
      <c r="I903" s="56" t="s">
        <v>455</v>
      </c>
    </row>
    <row r="904" spans="1:9" s="62" customFormat="1" ht="21.6" customHeight="1">
      <c r="A904" s="27">
        <v>1016</v>
      </c>
      <c r="B904" s="64">
        <v>757</v>
      </c>
      <c r="C904" s="64" t="s">
        <v>459</v>
      </c>
      <c r="D904" s="67" t="s">
        <v>1454</v>
      </c>
      <c r="E904" s="30" t="s">
        <v>460</v>
      </c>
      <c r="F904" s="68">
        <v>100</v>
      </c>
      <c r="G904" s="144" t="s">
        <v>1797</v>
      </c>
      <c r="H904" s="63">
        <v>1</v>
      </c>
      <c r="I904" s="55" t="s">
        <v>116</v>
      </c>
    </row>
    <row r="905" spans="1:9" s="62" customFormat="1" ht="21.6" customHeight="1">
      <c r="A905" s="27">
        <v>1017</v>
      </c>
      <c r="B905" s="64">
        <v>757</v>
      </c>
      <c r="C905" s="64" t="s">
        <v>461</v>
      </c>
      <c r="D905" s="66" t="s">
        <v>1455</v>
      </c>
      <c r="E905" s="30" t="s">
        <v>462</v>
      </c>
      <c r="F905" s="68">
        <v>100</v>
      </c>
      <c r="G905" s="144" t="s">
        <v>115</v>
      </c>
      <c r="H905" s="63">
        <v>1</v>
      </c>
      <c r="I905" s="55" t="s">
        <v>116</v>
      </c>
    </row>
    <row r="906" spans="1:9" s="62" customFormat="1" ht="21.6" customHeight="1">
      <c r="A906" s="27">
        <v>1018</v>
      </c>
      <c r="B906" s="64">
        <v>757</v>
      </c>
      <c r="C906" s="64" t="s">
        <v>463</v>
      </c>
      <c r="D906" s="66" t="s">
        <v>1456</v>
      </c>
      <c r="E906" s="30" t="s">
        <v>464</v>
      </c>
      <c r="F906" s="68">
        <v>100</v>
      </c>
      <c r="G906" s="144" t="s">
        <v>224</v>
      </c>
      <c r="H906" s="63">
        <v>1</v>
      </c>
      <c r="I906" s="55" t="s">
        <v>116</v>
      </c>
    </row>
    <row r="907" spans="1:9" s="62" customFormat="1" ht="21.6" customHeight="1">
      <c r="A907" s="27">
        <v>1019</v>
      </c>
      <c r="B907" s="64">
        <v>757</v>
      </c>
      <c r="C907" s="64" t="s">
        <v>332</v>
      </c>
      <c r="D907" s="50" t="s">
        <v>1410</v>
      </c>
      <c r="E907" s="51" t="s">
        <v>333</v>
      </c>
      <c r="F907" s="63">
        <v>500</v>
      </c>
      <c r="G907" s="144" t="s">
        <v>1798</v>
      </c>
      <c r="H907" s="63">
        <v>2</v>
      </c>
      <c r="I907" s="55" t="s">
        <v>465</v>
      </c>
    </row>
    <row r="908" spans="1:9" s="62" customFormat="1" ht="21.6" customHeight="1">
      <c r="A908" s="27">
        <v>1020</v>
      </c>
      <c r="B908" s="64">
        <v>757</v>
      </c>
      <c r="C908" s="64" t="s">
        <v>452</v>
      </c>
      <c r="D908" s="50" t="s">
        <v>1452</v>
      </c>
      <c r="E908" s="51" t="s">
        <v>226</v>
      </c>
      <c r="F908" s="63">
        <v>500</v>
      </c>
      <c r="G908" s="144" t="s">
        <v>466</v>
      </c>
      <c r="H908" s="63">
        <v>1</v>
      </c>
      <c r="I908" s="55" t="s">
        <v>465</v>
      </c>
    </row>
    <row r="909" spans="1:9" s="62" customFormat="1" ht="21.6" customHeight="1">
      <c r="A909" s="27">
        <v>1021</v>
      </c>
      <c r="B909" s="64">
        <v>757</v>
      </c>
      <c r="C909" s="64" t="s">
        <v>467</v>
      </c>
      <c r="D909" s="50" t="s">
        <v>1457</v>
      </c>
      <c r="E909" s="51" t="s">
        <v>468</v>
      </c>
      <c r="F909" s="63">
        <v>500</v>
      </c>
      <c r="G909" s="144" t="s">
        <v>469</v>
      </c>
      <c r="H909" s="63">
        <v>1</v>
      </c>
      <c r="I909" s="55" t="s">
        <v>465</v>
      </c>
    </row>
    <row r="910" spans="1:9" s="62" customFormat="1" ht="21.6" customHeight="1">
      <c r="A910" s="27">
        <v>1022</v>
      </c>
      <c r="B910" s="64">
        <v>757</v>
      </c>
      <c r="C910" s="64" t="s">
        <v>225</v>
      </c>
      <c r="D910" s="64" t="s">
        <v>1375</v>
      </c>
      <c r="E910" s="7" t="s">
        <v>226</v>
      </c>
      <c r="F910" s="68" t="s">
        <v>470</v>
      </c>
      <c r="G910" s="144" t="s">
        <v>1799</v>
      </c>
      <c r="H910" s="63">
        <v>1</v>
      </c>
      <c r="I910" s="55"/>
    </row>
    <row r="911" spans="1:9" s="62" customFormat="1" ht="21.6" customHeight="1">
      <c r="A911" s="27">
        <v>1023</v>
      </c>
      <c r="B911" s="64">
        <v>757</v>
      </c>
      <c r="C911" s="64" t="s">
        <v>225</v>
      </c>
      <c r="D911" s="64" t="s">
        <v>1375</v>
      </c>
      <c r="E911" s="7" t="s">
        <v>226</v>
      </c>
      <c r="F911" s="68" t="s">
        <v>470</v>
      </c>
      <c r="G911" s="144" t="s">
        <v>1800</v>
      </c>
      <c r="H911" s="63">
        <v>1</v>
      </c>
      <c r="I911" s="55"/>
    </row>
    <row r="912" spans="1:9" s="62" customFormat="1" ht="21.6" customHeight="1">
      <c r="A912" s="27">
        <v>1024</v>
      </c>
      <c r="B912" s="64">
        <v>757</v>
      </c>
      <c r="C912" s="64" t="s">
        <v>229</v>
      </c>
      <c r="D912" s="64" t="s">
        <v>1376</v>
      </c>
      <c r="E912" s="7" t="s">
        <v>230</v>
      </c>
      <c r="F912" s="68" t="s">
        <v>470</v>
      </c>
      <c r="G912" s="144" t="s">
        <v>1801</v>
      </c>
      <c r="H912" s="63">
        <v>1</v>
      </c>
      <c r="I912" s="55"/>
    </row>
    <row r="913" spans="1:9" s="62" customFormat="1" ht="21.6" customHeight="1">
      <c r="A913" s="27">
        <v>1025</v>
      </c>
      <c r="B913" s="64">
        <v>757</v>
      </c>
      <c r="C913" s="64" t="s">
        <v>472</v>
      </c>
      <c r="D913" s="64" t="s">
        <v>1458</v>
      </c>
      <c r="E913" s="7" t="s">
        <v>473</v>
      </c>
      <c r="F913" s="63">
        <v>540</v>
      </c>
      <c r="G913" s="144" t="s">
        <v>1802</v>
      </c>
      <c r="H913" s="40" t="s">
        <v>123</v>
      </c>
      <c r="I913" s="55"/>
    </row>
    <row r="914" spans="1:9" s="62" customFormat="1" ht="21.6" customHeight="1">
      <c r="A914" s="27">
        <v>1026</v>
      </c>
      <c r="B914" s="64">
        <v>757</v>
      </c>
      <c r="C914" s="64" t="s">
        <v>657</v>
      </c>
      <c r="D914" s="64" t="s">
        <v>1531</v>
      </c>
      <c r="E914" s="7" t="s">
        <v>658</v>
      </c>
      <c r="F914" s="63">
        <v>1080</v>
      </c>
      <c r="G914" s="145" t="s">
        <v>244</v>
      </c>
      <c r="H914" s="40" t="s">
        <v>123</v>
      </c>
      <c r="I914" s="55"/>
    </row>
    <row r="915" spans="1:9" s="62" customFormat="1" ht="21.6" customHeight="1">
      <c r="A915" s="27">
        <v>1027</v>
      </c>
      <c r="B915" s="64">
        <v>757</v>
      </c>
      <c r="C915" s="64" t="s">
        <v>659</v>
      </c>
      <c r="D915" s="64" t="s">
        <v>1532</v>
      </c>
      <c r="E915" s="7" t="s">
        <v>660</v>
      </c>
      <c r="F915" s="63">
        <v>540</v>
      </c>
      <c r="G915" s="145" t="s">
        <v>244</v>
      </c>
      <c r="H915" s="40" t="s">
        <v>123</v>
      </c>
      <c r="I915" s="55"/>
    </row>
    <row r="916" spans="1:9" s="62" customFormat="1" ht="21.6" customHeight="1">
      <c r="A916" s="27">
        <v>1028</v>
      </c>
      <c r="B916" s="64">
        <v>757</v>
      </c>
      <c r="C916" s="64" t="s">
        <v>661</v>
      </c>
      <c r="D916" s="64" t="s">
        <v>1533</v>
      </c>
      <c r="E916" s="7" t="s">
        <v>662</v>
      </c>
      <c r="F916" s="63">
        <v>540</v>
      </c>
      <c r="G916" s="145" t="s">
        <v>478</v>
      </c>
      <c r="H916" s="40" t="s">
        <v>123</v>
      </c>
      <c r="I916" s="55"/>
    </row>
    <row r="917" spans="1:9" s="62" customFormat="1" ht="21.6" customHeight="1">
      <c r="A917" s="27">
        <v>1029</v>
      </c>
      <c r="B917" s="64">
        <v>757</v>
      </c>
      <c r="C917" s="64" t="s">
        <v>479</v>
      </c>
      <c r="D917" s="67" t="s">
        <v>1461</v>
      </c>
      <c r="E917" s="30" t="s">
        <v>480</v>
      </c>
      <c r="F917" s="63">
        <v>540</v>
      </c>
      <c r="G917" s="144" t="s">
        <v>1803</v>
      </c>
      <c r="H917" s="40" t="s">
        <v>123</v>
      </c>
      <c r="I917" s="55"/>
    </row>
    <row r="918" spans="1:9" s="62" customFormat="1" ht="21.6" customHeight="1">
      <c r="A918" s="27">
        <v>1030</v>
      </c>
      <c r="B918" s="64">
        <v>757</v>
      </c>
      <c r="C918" s="64" t="s">
        <v>481</v>
      </c>
      <c r="D918" s="64" t="s">
        <v>1462</v>
      </c>
      <c r="E918" s="7" t="s">
        <v>482</v>
      </c>
      <c r="F918" s="63" t="s">
        <v>453</v>
      </c>
      <c r="G918" s="144" t="s">
        <v>483</v>
      </c>
      <c r="H918" s="40" t="s">
        <v>123</v>
      </c>
      <c r="I918" s="56" t="s">
        <v>455</v>
      </c>
    </row>
    <row r="919" spans="1:9" s="62" customFormat="1" ht="21.6" customHeight="1">
      <c r="A919" s="27">
        <v>1031</v>
      </c>
      <c r="B919" s="64">
        <v>757</v>
      </c>
      <c r="C919" s="64" t="s">
        <v>484</v>
      </c>
      <c r="D919" s="64" t="s">
        <v>1463</v>
      </c>
      <c r="E919" s="7" t="s">
        <v>485</v>
      </c>
      <c r="F919" s="63">
        <v>500</v>
      </c>
      <c r="G919" s="144" t="s">
        <v>486</v>
      </c>
      <c r="H919" s="40" t="s">
        <v>123</v>
      </c>
      <c r="I919" s="55" t="s">
        <v>465</v>
      </c>
    </row>
    <row r="920" spans="1:9" s="62" customFormat="1" ht="21.6" customHeight="1">
      <c r="A920" s="27">
        <v>1032</v>
      </c>
      <c r="B920" s="64">
        <v>757</v>
      </c>
      <c r="C920" s="64" t="s">
        <v>248</v>
      </c>
      <c r="D920" s="67" t="s">
        <v>1383</v>
      </c>
      <c r="E920" s="30" t="s">
        <v>249</v>
      </c>
      <c r="F920" s="68" t="s">
        <v>470</v>
      </c>
      <c r="G920" s="144" t="s">
        <v>1804</v>
      </c>
      <c r="H920" s="40" t="s">
        <v>123</v>
      </c>
      <c r="I920" s="55"/>
    </row>
    <row r="921" spans="1:9" s="62" customFormat="1" ht="21.6" customHeight="1">
      <c r="A921" s="27">
        <v>1033</v>
      </c>
      <c r="B921" s="64">
        <v>757</v>
      </c>
      <c r="C921" s="64" t="s">
        <v>678</v>
      </c>
      <c r="D921" s="64" t="s">
        <v>1537</v>
      </c>
      <c r="E921" s="7" t="s">
        <v>679</v>
      </c>
      <c r="F921" s="68" t="s">
        <v>123</v>
      </c>
      <c r="G921" s="145" t="s">
        <v>129</v>
      </c>
      <c r="H921" s="40" t="s">
        <v>123</v>
      </c>
      <c r="I921" s="55"/>
    </row>
    <row r="922" spans="1:9" s="62" customFormat="1" ht="21.6" customHeight="1">
      <c r="A922" s="27">
        <v>1034</v>
      </c>
      <c r="B922" s="64">
        <v>757</v>
      </c>
      <c r="C922" s="64" t="s">
        <v>489</v>
      </c>
      <c r="D922" s="64" t="s">
        <v>1465</v>
      </c>
      <c r="E922" s="7" t="s">
        <v>490</v>
      </c>
      <c r="F922" s="68" t="s">
        <v>123</v>
      </c>
      <c r="G922" s="145" t="s">
        <v>132</v>
      </c>
      <c r="H922" s="40" t="s">
        <v>123</v>
      </c>
      <c r="I922" s="55"/>
    </row>
    <row r="923" spans="1:9" s="62" customFormat="1" ht="21.6" customHeight="1">
      <c r="A923" s="27">
        <v>1035</v>
      </c>
      <c r="B923" s="64">
        <v>757</v>
      </c>
      <c r="C923" s="64" t="s">
        <v>491</v>
      </c>
      <c r="D923" s="64" t="s">
        <v>1466</v>
      </c>
      <c r="E923" s="7" t="s">
        <v>492</v>
      </c>
      <c r="F923" s="68" t="s">
        <v>123</v>
      </c>
      <c r="G923" s="144" t="s">
        <v>135</v>
      </c>
      <c r="H923" s="40" t="s">
        <v>123</v>
      </c>
      <c r="I923" s="55"/>
    </row>
    <row r="924" spans="1:9" s="62" customFormat="1" ht="21.6" customHeight="1">
      <c r="A924" s="27">
        <v>1036</v>
      </c>
      <c r="B924" s="64">
        <v>757</v>
      </c>
      <c r="C924" s="64" t="s">
        <v>493</v>
      </c>
      <c r="D924" s="64" t="s">
        <v>1467</v>
      </c>
      <c r="E924" s="7" t="s">
        <v>494</v>
      </c>
      <c r="F924" s="68" t="s">
        <v>123</v>
      </c>
      <c r="G924" s="144" t="s">
        <v>1805</v>
      </c>
      <c r="H924" s="40" t="s">
        <v>123</v>
      </c>
      <c r="I924" s="55"/>
    </row>
    <row r="925" spans="1:9" s="62" customFormat="1" ht="21.6" customHeight="1">
      <c r="A925" s="41">
        <v>1038</v>
      </c>
      <c r="B925" s="88">
        <v>757</v>
      </c>
      <c r="C925" s="88" t="s">
        <v>680</v>
      </c>
      <c r="D925" s="88" t="s">
        <v>1538</v>
      </c>
      <c r="E925" s="8" t="s">
        <v>681</v>
      </c>
      <c r="F925" s="69" t="s">
        <v>123</v>
      </c>
      <c r="G925" s="149" t="s">
        <v>682</v>
      </c>
      <c r="H925" s="44" t="s">
        <v>123</v>
      </c>
      <c r="I925" s="71"/>
    </row>
    <row r="926" spans="1:9" ht="21.6" customHeight="1">
      <c r="A926" s="20">
        <v>1039</v>
      </c>
      <c r="B926" s="134" t="s">
        <v>1302</v>
      </c>
      <c r="C926" s="134" t="s">
        <v>498</v>
      </c>
      <c r="D926" s="73" t="s">
        <v>1469</v>
      </c>
      <c r="E926" s="72" t="s">
        <v>499</v>
      </c>
      <c r="F926" s="74">
        <v>660</v>
      </c>
      <c r="G926" s="143" t="s">
        <v>71</v>
      </c>
      <c r="H926" s="74">
        <v>1</v>
      </c>
      <c r="I926" s="75"/>
    </row>
    <row r="927" spans="1:9" ht="21.6" customHeight="1">
      <c r="A927" s="27">
        <v>1040</v>
      </c>
      <c r="B927" s="36" t="s">
        <v>1302</v>
      </c>
      <c r="C927" s="36" t="s">
        <v>500</v>
      </c>
      <c r="D927" s="34" t="s">
        <v>1470</v>
      </c>
      <c r="E927" s="35" t="s">
        <v>501</v>
      </c>
      <c r="F927" s="76" t="s">
        <v>123</v>
      </c>
      <c r="G927" s="145" t="s">
        <v>502</v>
      </c>
      <c r="H927" s="40">
        <v>1</v>
      </c>
      <c r="I927" s="56" t="s">
        <v>503</v>
      </c>
    </row>
    <row r="928" spans="1:9" ht="21.6" customHeight="1">
      <c r="A928" s="27">
        <v>1041</v>
      </c>
      <c r="B928" s="36" t="s">
        <v>1302</v>
      </c>
      <c r="C928" s="36" t="s">
        <v>504</v>
      </c>
      <c r="D928" s="34" t="s">
        <v>1471</v>
      </c>
      <c r="E928" s="35" t="s">
        <v>505</v>
      </c>
      <c r="F928" s="40">
        <v>660</v>
      </c>
      <c r="G928" s="145" t="s">
        <v>415</v>
      </c>
      <c r="H928" s="40">
        <v>1</v>
      </c>
      <c r="I928" s="56"/>
    </row>
    <row r="929" spans="1:9" ht="21.6" customHeight="1">
      <c r="A929" s="27">
        <v>1042</v>
      </c>
      <c r="B929" s="36" t="s">
        <v>1302</v>
      </c>
      <c r="C929" s="36" t="s">
        <v>506</v>
      </c>
      <c r="D929" s="34" t="s">
        <v>1472</v>
      </c>
      <c r="E929" s="35" t="s">
        <v>507</v>
      </c>
      <c r="F929" s="40">
        <v>660</v>
      </c>
      <c r="G929" s="144" t="s">
        <v>107</v>
      </c>
      <c r="H929" s="40">
        <v>1</v>
      </c>
      <c r="I929" s="56"/>
    </row>
    <row r="930" spans="1:9" ht="21.6" customHeight="1">
      <c r="A930" s="27">
        <v>1043</v>
      </c>
      <c r="B930" s="36" t="s">
        <v>1302</v>
      </c>
      <c r="C930" s="36" t="s">
        <v>508</v>
      </c>
      <c r="D930" s="34" t="s">
        <v>1473</v>
      </c>
      <c r="E930" s="35" t="s">
        <v>509</v>
      </c>
      <c r="F930" s="40">
        <v>660</v>
      </c>
      <c r="G930" s="145" t="s">
        <v>104</v>
      </c>
      <c r="H930" s="40">
        <v>1</v>
      </c>
      <c r="I930" s="56"/>
    </row>
    <row r="931" spans="1:9" ht="21.6" customHeight="1">
      <c r="A931" s="27">
        <v>1044</v>
      </c>
      <c r="B931" s="36" t="s">
        <v>1302</v>
      </c>
      <c r="C931" s="36" t="s">
        <v>510</v>
      </c>
      <c r="D931" s="34" t="s">
        <v>1474</v>
      </c>
      <c r="E931" s="35" t="s">
        <v>511</v>
      </c>
      <c r="F931" s="40">
        <v>660</v>
      </c>
      <c r="G931" s="145" t="s">
        <v>1806</v>
      </c>
      <c r="H931" s="40">
        <v>1</v>
      </c>
      <c r="I931" s="56"/>
    </row>
    <row r="932" spans="1:9" ht="21.6" customHeight="1">
      <c r="A932" s="27">
        <v>1045</v>
      </c>
      <c r="B932" s="36" t="s">
        <v>1302</v>
      </c>
      <c r="C932" s="36" t="s">
        <v>512</v>
      </c>
      <c r="D932" s="34" t="s">
        <v>1475</v>
      </c>
      <c r="E932" s="35" t="s">
        <v>513</v>
      </c>
      <c r="F932" s="40">
        <v>660</v>
      </c>
      <c r="G932" s="145" t="s">
        <v>1807</v>
      </c>
      <c r="H932" s="40">
        <v>1</v>
      </c>
      <c r="I932" s="56"/>
    </row>
    <row r="933" spans="1:9" ht="21.6" customHeight="1">
      <c r="A933" s="27">
        <v>1046</v>
      </c>
      <c r="B933" s="36" t="s">
        <v>1302</v>
      </c>
      <c r="C933" s="36" t="s">
        <v>514</v>
      </c>
      <c r="D933" s="34" t="s">
        <v>1476</v>
      </c>
      <c r="E933" s="35" t="s">
        <v>515</v>
      </c>
      <c r="F933" s="40">
        <v>660</v>
      </c>
      <c r="G933" s="145" t="s">
        <v>516</v>
      </c>
      <c r="H933" s="40">
        <v>1</v>
      </c>
      <c r="I933" s="56"/>
    </row>
    <row r="934" spans="1:9" s="77" customFormat="1" ht="21.6" customHeight="1">
      <c r="A934" s="27">
        <v>1047</v>
      </c>
      <c r="B934" s="36" t="s">
        <v>1302</v>
      </c>
      <c r="C934" s="36" t="s">
        <v>517</v>
      </c>
      <c r="D934" s="47" t="s">
        <v>1477</v>
      </c>
      <c r="E934" s="48" t="s">
        <v>518</v>
      </c>
      <c r="F934" s="40">
        <v>660</v>
      </c>
      <c r="G934" s="145" t="s">
        <v>1808</v>
      </c>
      <c r="H934" s="40">
        <v>1</v>
      </c>
      <c r="I934" s="56"/>
    </row>
    <row r="935" spans="1:9" ht="21.6" customHeight="1">
      <c r="A935" s="27">
        <v>1048</v>
      </c>
      <c r="B935" s="36" t="s">
        <v>1302</v>
      </c>
      <c r="C935" s="36" t="s">
        <v>519</v>
      </c>
      <c r="D935" s="34" t="s">
        <v>1478</v>
      </c>
      <c r="E935" s="35" t="s">
        <v>520</v>
      </c>
      <c r="F935" s="40">
        <v>660</v>
      </c>
      <c r="G935" s="144" t="s">
        <v>101</v>
      </c>
      <c r="H935" s="40">
        <v>1</v>
      </c>
      <c r="I935" s="56"/>
    </row>
    <row r="936" spans="1:9" ht="21.6" customHeight="1">
      <c r="A936" s="27">
        <v>1049</v>
      </c>
      <c r="B936" s="36" t="s">
        <v>1302</v>
      </c>
      <c r="C936" s="36" t="s">
        <v>521</v>
      </c>
      <c r="D936" s="34" t="s">
        <v>1479</v>
      </c>
      <c r="E936" s="35" t="s">
        <v>522</v>
      </c>
      <c r="F936" s="40">
        <v>660</v>
      </c>
      <c r="G936" s="145" t="s">
        <v>523</v>
      </c>
      <c r="H936" s="40">
        <v>1</v>
      </c>
      <c r="I936" s="56"/>
    </row>
    <row r="937" spans="1:9" ht="21.6" customHeight="1">
      <c r="A937" s="27">
        <v>1051</v>
      </c>
      <c r="B937" s="36" t="s">
        <v>1302</v>
      </c>
      <c r="C937" s="36" t="s">
        <v>524</v>
      </c>
      <c r="D937" s="34" t="s">
        <v>1480</v>
      </c>
      <c r="E937" s="35" t="s">
        <v>525</v>
      </c>
      <c r="F937" s="40">
        <v>660</v>
      </c>
      <c r="G937" s="144" t="s">
        <v>1809</v>
      </c>
      <c r="H937" s="40">
        <v>1</v>
      </c>
      <c r="I937" s="56" t="s">
        <v>526</v>
      </c>
    </row>
    <row r="938" spans="1:9" ht="21.6" customHeight="1">
      <c r="A938" s="27">
        <v>1052</v>
      </c>
      <c r="B938" s="36" t="s">
        <v>1302</v>
      </c>
      <c r="C938" s="36" t="s">
        <v>527</v>
      </c>
      <c r="D938" s="34" t="s">
        <v>1481</v>
      </c>
      <c r="E938" s="35" t="s">
        <v>528</v>
      </c>
      <c r="F938" s="40">
        <v>660</v>
      </c>
      <c r="G938" s="144" t="s">
        <v>1810</v>
      </c>
      <c r="H938" s="40">
        <v>1</v>
      </c>
      <c r="I938" s="56"/>
    </row>
    <row r="939" spans="1:9" ht="21.6" customHeight="1">
      <c r="A939" s="27">
        <v>1053</v>
      </c>
      <c r="B939" s="36" t="s">
        <v>1302</v>
      </c>
      <c r="C939" s="36" t="s">
        <v>529</v>
      </c>
      <c r="D939" s="34" t="s">
        <v>1482</v>
      </c>
      <c r="E939" s="35" t="s">
        <v>530</v>
      </c>
      <c r="F939" s="40">
        <v>660</v>
      </c>
      <c r="G939" s="144" t="s">
        <v>1811</v>
      </c>
      <c r="H939" s="40">
        <v>1</v>
      </c>
      <c r="I939" s="56"/>
    </row>
    <row r="940" spans="1:9" ht="21.6" customHeight="1">
      <c r="A940" s="27">
        <v>1054</v>
      </c>
      <c r="B940" s="36" t="s">
        <v>1302</v>
      </c>
      <c r="C940" s="36" t="s">
        <v>531</v>
      </c>
      <c r="D940" s="34" t="s">
        <v>1483</v>
      </c>
      <c r="E940" s="35" t="s">
        <v>532</v>
      </c>
      <c r="F940" s="40">
        <v>660</v>
      </c>
      <c r="G940" s="144" t="s">
        <v>533</v>
      </c>
      <c r="H940" s="40">
        <v>1</v>
      </c>
      <c r="I940" s="56"/>
    </row>
    <row r="941" spans="1:9" ht="21.6" customHeight="1">
      <c r="A941" s="27">
        <v>1055</v>
      </c>
      <c r="B941" s="36" t="s">
        <v>1302</v>
      </c>
      <c r="C941" s="36" t="s">
        <v>534</v>
      </c>
      <c r="D941" s="34" t="s">
        <v>1484</v>
      </c>
      <c r="E941" s="35" t="s">
        <v>535</v>
      </c>
      <c r="F941" s="40">
        <v>660</v>
      </c>
      <c r="G941" s="145" t="s">
        <v>1812</v>
      </c>
      <c r="H941" s="40">
        <v>1</v>
      </c>
      <c r="I941" s="56"/>
    </row>
    <row r="942" spans="1:9" ht="21.6" customHeight="1">
      <c r="A942" s="27">
        <v>1056</v>
      </c>
      <c r="B942" s="36" t="s">
        <v>1302</v>
      </c>
      <c r="C942" s="36" t="s">
        <v>536</v>
      </c>
      <c r="D942" s="34" t="s">
        <v>1485</v>
      </c>
      <c r="E942" s="35" t="s">
        <v>537</v>
      </c>
      <c r="F942" s="40">
        <v>660</v>
      </c>
      <c r="G942" s="145" t="s">
        <v>1813</v>
      </c>
      <c r="H942" s="40">
        <v>1</v>
      </c>
      <c r="I942" s="56"/>
    </row>
    <row r="943" spans="1:9" ht="21.6" customHeight="1">
      <c r="A943" s="27">
        <v>1057</v>
      </c>
      <c r="B943" s="36" t="s">
        <v>1302</v>
      </c>
      <c r="C943" s="36" t="s">
        <v>538</v>
      </c>
      <c r="D943" s="34" t="s">
        <v>1486</v>
      </c>
      <c r="E943" s="35" t="s">
        <v>539</v>
      </c>
      <c r="F943" s="40">
        <v>660</v>
      </c>
      <c r="G943" s="145" t="s">
        <v>1814</v>
      </c>
      <c r="H943" s="40">
        <v>1</v>
      </c>
      <c r="I943" s="56"/>
    </row>
    <row r="944" spans="1:9" ht="21.6" customHeight="1">
      <c r="A944" s="27">
        <v>1058</v>
      </c>
      <c r="B944" s="36" t="s">
        <v>1302</v>
      </c>
      <c r="C944" s="36" t="s">
        <v>540</v>
      </c>
      <c r="D944" s="34" t="s">
        <v>1487</v>
      </c>
      <c r="E944" s="35" t="s">
        <v>541</v>
      </c>
      <c r="F944" s="40">
        <v>660</v>
      </c>
      <c r="G944" s="145" t="s">
        <v>1815</v>
      </c>
      <c r="H944" s="40">
        <v>1</v>
      </c>
      <c r="I944" s="56"/>
    </row>
    <row r="945" spans="1:9" ht="21.6" customHeight="1">
      <c r="A945" s="27">
        <v>1059</v>
      </c>
      <c r="B945" s="36" t="s">
        <v>1302</v>
      </c>
      <c r="C945" s="36" t="s">
        <v>542</v>
      </c>
      <c r="D945" s="34" t="s">
        <v>1488</v>
      </c>
      <c r="E945" s="35" t="s">
        <v>543</v>
      </c>
      <c r="F945" s="40">
        <v>200</v>
      </c>
      <c r="G945" s="144" t="s">
        <v>1832</v>
      </c>
      <c r="H945" s="40">
        <v>1</v>
      </c>
      <c r="I945" s="89" t="s">
        <v>111</v>
      </c>
    </row>
    <row r="946" spans="1:9" ht="21.6" customHeight="1">
      <c r="A946" s="27">
        <v>1060</v>
      </c>
      <c r="B946" s="36" t="s">
        <v>1302</v>
      </c>
      <c r="C946" s="36" t="s">
        <v>542</v>
      </c>
      <c r="D946" s="34" t="s">
        <v>1488</v>
      </c>
      <c r="E946" s="35" t="s">
        <v>543</v>
      </c>
      <c r="F946" s="40">
        <v>200</v>
      </c>
      <c r="G946" s="144" t="s">
        <v>110</v>
      </c>
      <c r="H946" s="40">
        <v>1</v>
      </c>
      <c r="I946" s="89" t="s">
        <v>111</v>
      </c>
    </row>
    <row r="947" spans="1:9" ht="21.6" customHeight="1">
      <c r="A947" s="27">
        <v>1061</v>
      </c>
      <c r="B947" s="36" t="s">
        <v>1302</v>
      </c>
      <c r="C947" s="36" t="s">
        <v>457</v>
      </c>
      <c r="D947" s="34" t="s">
        <v>1453</v>
      </c>
      <c r="E947" s="35" t="s">
        <v>458</v>
      </c>
      <c r="F947" s="40">
        <v>200</v>
      </c>
      <c r="G947" s="144" t="s">
        <v>114</v>
      </c>
      <c r="H947" s="40">
        <v>1</v>
      </c>
      <c r="I947" s="89" t="s">
        <v>111</v>
      </c>
    </row>
    <row r="948" spans="1:9" ht="21.6" customHeight="1">
      <c r="A948" s="27">
        <v>1062</v>
      </c>
      <c r="B948" s="36" t="s">
        <v>1302</v>
      </c>
      <c r="C948" s="36" t="s">
        <v>542</v>
      </c>
      <c r="D948" s="34" t="s">
        <v>1488</v>
      </c>
      <c r="E948" s="35" t="s">
        <v>543</v>
      </c>
      <c r="F948" s="40">
        <v>400</v>
      </c>
      <c r="G948" s="144" t="s">
        <v>1833</v>
      </c>
      <c r="H948" s="40">
        <v>1</v>
      </c>
      <c r="I948" s="89" t="s">
        <v>665</v>
      </c>
    </row>
    <row r="949" spans="1:9" ht="21.6" customHeight="1">
      <c r="A949" s="27">
        <v>1063</v>
      </c>
      <c r="B949" s="36" t="s">
        <v>1302</v>
      </c>
      <c r="C949" s="36" t="s">
        <v>335</v>
      </c>
      <c r="D949" s="34" t="s">
        <v>1411</v>
      </c>
      <c r="E949" s="35" t="s">
        <v>336</v>
      </c>
      <c r="F949" s="40">
        <v>400</v>
      </c>
      <c r="G949" s="144" t="s">
        <v>1833</v>
      </c>
      <c r="H949" s="40">
        <v>1</v>
      </c>
      <c r="I949" s="89" t="s">
        <v>665</v>
      </c>
    </row>
    <row r="950" spans="1:9" ht="21.6" customHeight="1">
      <c r="A950" s="27">
        <v>1064</v>
      </c>
      <c r="B950" s="36" t="s">
        <v>1302</v>
      </c>
      <c r="C950" s="36" t="s">
        <v>339</v>
      </c>
      <c r="D950" s="34" t="s">
        <v>1412</v>
      </c>
      <c r="E950" s="35" t="s">
        <v>340</v>
      </c>
      <c r="F950" s="40">
        <v>400</v>
      </c>
      <c r="G950" s="144" t="s">
        <v>1834</v>
      </c>
      <c r="H950" s="40">
        <v>1</v>
      </c>
      <c r="I950" s="89" t="s">
        <v>665</v>
      </c>
    </row>
    <row r="951" spans="1:9" ht="21.6" customHeight="1">
      <c r="A951" s="27">
        <v>1065</v>
      </c>
      <c r="B951" s="36" t="s">
        <v>1302</v>
      </c>
      <c r="C951" s="36" t="s">
        <v>280</v>
      </c>
      <c r="D951" s="34" t="s">
        <v>1394</v>
      </c>
      <c r="E951" s="35" t="s">
        <v>281</v>
      </c>
      <c r="F951" s="68" t="s">
        <v>470</v>
      </c>
      <c r="G951" s="145" t="s">
        <v>1782</v>
      </c>
      <c r="H951" s="40">
        <v>1</v>
      </c>
      <c r="I951" s="56" t="s">
        <v>683</v>
      </c>
    </row>
    <row r="952" spans="1:9" ht="21.6" customHeight="1">
      <c r="A952" s="27">
        <v>1066</v>
      </c>
      <c r="B952" s="36" t="s">
        <v>1302</v>
      </c>
      <c r="C952" s="36" t="s">
        <v>284</v>
      </c>
      <c r="D952" s="34" t="s">
        <v>1395</v>
      </c>
      <c r="E952" s="35" t="s">
        <v>226</v>
      </c>
      <c r="F952" s="68" t="s">
        <v>470</v>
      </c>
      <c r="G952" s="144" t="s">
        <v>285</v>
      </c>
      <c r="H952" s="40">
        <v>1</v>
      </c>
      <c r="I952" s="56" t="s">
        <v>683</v>
      </c>
    </row>
    <row r="953" spans="1:9" ht="21.6" customHeight="1">
      <c r="A953" s="27">
        <v>1067</v>
      </c>
      <c r="B953" s="36" t="s">
        <v>1302</v>
      </c>
      <c r="C953" s="36" t="s">
        <v>287</v>
      </c>
      <c r="D953" s="64" t="s">
        <v>1396</v>
      </c>
      <c r="E953" s="7" t="s">
        <v>288</v>
      </c>
      <c r="F953" s="68" t="s">
        <v>470</v>
      </c>
      <c r="G953" s="145" t="s">
        <v>282</v>
      </c>
      <c r="H953" s="40">
        <v>1</v>
      </c>
      <c r="I953" s="56" t="s">
        <v>683</v>
      </c>
    </row>
    <row r="954" spans="1:9" ht="21.6" customHeight="1">
      <c r="A954" s="27">
        <v>1068</v>
      </c>
      <c r="B954" s="36" t="s">
        <v>1302</v>
      </c>
      <c r="C954" s="36" t="s">
        <v>452</v>
      </c>
      <c r="D954" s="34" t="s">
        <v>1452</v>
      </c>
      <c r="E954" s="35" t="s">
        <v>226</v>
      </c>
      <c r="F954" s="40">
        <v>500</v>
      </c>
      <c r="G954" s="144" t="s">
        <v>1784</v>
      </c>
      <c r="H954" s="40">
        <v>2</v>
      </c>
      <c r="I954" s="90" t="s">
        <v>334</v>
      </c>
    </row>
    <row r="955" spans="1:9" ht="21.6" customHeight="1">
      <c r="A955" s="27">
        <v>1069</v>
      </c>
      <c r="B955" s="36" t="s">
        <v>1302</v>
      </c>
      <c r="C955" s="36" t="s">
        <v>335</v>
      </c>
      <c r="D955" s="34" t="s">
        <v>1411</v>
      </c>
      <c r="E955" s="35" t="s">
        <v>336</v>
      </c>
      <c r="F955" s="40">
        <v>500</v>
      </c>
      <c r="G955" s="144" t="s">
        <v>337</v>
      </c>
      <c r="H955" s="40">
        <v>1</v>
      </c>
      <c r="I955" s="90" t="s">
        <v>338</v>
      </c>
    </row>
    <row r="956" spans="1:9" ht="21.6" customHeight="1">
      <c r="A956" s="27">
        <v>1070</v>
      </c>
      <c r="B956" s="36" t="s">
        <v>1302</v>
      </c>
      <c r="C956" s="36" t="s">
        <v>339</v>
      </c>
      <c r="D956" s="34" t="s">
        <v>1412</v>
      </c>
      <c r="E956" s="35" t="s">
        <v>340</v>
      </c>
      <c r="F956" s="40">
        <v>500</v>
      </c>
      <c r="G956" s="145" t="s">
        <v>341</v>
      </c>
      <c r="H956" s="40">
        <v>1</v>
      </c>
      <c r="I956" s="90" t="s">
        <v>338</v>
      </c>
    </row>
    <row r="957" spans="1:9" ht="21.6" customHeight="1">
      <c r="A957" s="27">
        <v>1071</v>
      </c>
      <c r="B957" s="36" t="s">
        <v>1302</v>
      </c>
      <c r="C957" s="36" t="s">
        <v>332</v>
      </c>
      <c r="D957" s="34" t="s">
        <v>1410</v>
      </c>
      <c r="E957" s="35" t="s">
        <v>333</v>
      </c>
      <c r="F957" s="40">
        <v>500</v>
      </c>
      <c r="G957" s="144" t="s">
        <v>1818</v>
      </c>
      <c r="H957" s="40">
        <v>2</v>
      </c>
      <c r="I957" s="90" t="s">
        <v>666</v>
      </c>
    </row>
    <row r="958" spans="1:9" ht="21.6" customHeight="1">
      <c r="A958" s="27">
        <v>1072</v>
      </c>
      <c r="B958" s="36" t="s">
        <v>1302</v>
      </c>
      <c r="C958" s="36" t="s">
        <v>335</v>
      </c>
      <c r="D958" s="34" t="s">
        <v>1411</v>
      </c>
      <c r="E958" s="35" t="s">
        <v>336</v>
      </c>
      <c r="F958" s="40">
        <v>500</v>
      </c>
      <c r="G958" s="144" t="s">
        <v>546</v>
      </c>
      <c r="H958" s="40">
        <v>1</v>
      </c>
      <c r="I958" s="90" t="s">
        <v>666</v>
      </c>
    </row>
    <row r="959" spans="1:9" ht="21.6" customHeight="1">
      <c r="A959" s="27">
        <v>1073</v>
      </c>
      <c r="B959" s="36" t="s">
        <v>1302</v>
      </c>
      <c r="C959" s="36" t="s">
        <v>339</v>
      </c>
      <c r="D959" s="34" t="s">
        <v>1412</v>
      </c>
      <c r="E959" s="35" t="s">
        <v>340</v>
      </c>
      <c r="F959" s="40">
        <v>500</v>
      </c>
      <c r="G959" s="145" t="s">
        <v>547</v>
      </c>
      <c r="H959" s="40">
        <v>1</v>
      </c>
      <c r="I959" s="90" t="s">
        <v>666</v>
      </c>
    </row>
    <row r="960" spans="1:9" ht="21.6" customHeight="1">
      <c r="A960" s="27">
        <v>1074</v>
      </c>
      <c r="B960" s="36" t="s">
        <v>1302</v>
      </c>
      <c r="C960" s="36">
        <v>44218398000</v>
      </c>
      <c r="D960" s="78" t="s">
        <v>1489</v>
      </c>
      <c r="E960" s="35" t="s">
        <v>549</v>
      </c>
      <c r="F960" s="40">
        <v>100</v>
      </c>
      <c r="G960" s="145" t="s">
        <v>1819</v>
      </c>
      <c r="H960" s="40">
        <v>1</v>
      </c>
      <c r="I960" s="89" t="s">
        <v>684</v>
      </c>
    </row>
    <row r="961" spans="1:9" ht="21.6" customHeight="1">
      <c r="A961" s="27">
        <v>1075</v>
      </c>
      <c r="B961" s="36" t="s">
        <v>1302</v>
      </c>
      <c r="C961" s="36">
        <v>44218389000</v>
      </c>
      <c r="D961" s="34" t="s">
        <v>1490</v>
      </c>
      <c r="E961" s="35" t="s">
        <v>552</v>
      </c>
      <c r="F961" s="40">
        <v>100</v>
      </c>
      <c r="G961" s="144" t="s">
        <v>553</v>
      </c>
      <c r="H961" s="40">
        <v>1</v>
      </c>
      <c r="I961" s="89" t="s">
        <v>685</v>
      </c>
    </row>
    <row r="962" spans="1:9" ht="21.6" customHeight="1">
      <c r="A962" s="27">
        <v>1076</v>
      </c>
      <c r="B962" s="36" t="s">
        <v>1302</v>
      </c>
      <c r="C962" s="36" t="s">
        <v>554</v>
      </c>
      <c r="D962" s="34" t="s">
        <v>1491</v>
      </c>
      <c r="E962" s="35" t="s">
        <v>555</v>
      </c>
      <c r="F962" s="40">
        <v>100</v>
      </c>
      <c r="G962" s="144" t="s">
        <v>550</v>
      </c>
      <c r="H962" s="40">
        <v>1</v>
      </c>
      <c r="I962" s="89" t="s">
        <v>685</v>
      </c>
    </row>
    <row r="963" spans="1:9" ht="21.6" customHeight="1">
      <c r="A963" s="27">
        <v>1077</v>
      </c>
      <c r="B963" s="36" t="s">
        <v>1302</v>
      </c>
      <c r="C963" s="36">
        <v>44218398000</v>
      </c>
      <c r="D963" s="78" t="s">
        <v>1489</v>
      </c>
      <c r="E963" s="35" t="s">
        <v>549</v>
      </c>
      <c r="F963" s="91">
        <v>120</v>
      </c>
      <c r="G963" s="145" t="s">
        <v>1819</v>
      </c>
      <c r="H963" s="40">
        <v>1</v>
      </c>
      <c r="I963" s="89" t="s">
        <v>686</v>
      </c>
    </row>
    <row r="964" spans="1:9" ht="21.6" customHeight="1">
      <c r="A964" s="27">
        <v>1078</v>
      </c>
      <c r="B964" s="36" t="s">
        <v>1302</v>
      </c>
      <c r="C964" s="36" t="s">
        <v>268</v>
      </c>
      <c r="D964" s="36" t="s">
        <v>1390</v>
      </c>
      <c r="E964" s="37" t="s">
        <v>269</v>
      </c>
      <c r="F964" s="91">
        <v>120</v>
      </c>
      <c r="G964" s="144" t="s">
        <v>553</v>
      </c>
      <c r="H964" s="40">
        <v>1</v>
      </c>
      <c r="I964" s="89" t="s">
        <v>687</v>
      </c>
    </row>
    <row r="965" spans="1:9" ht="21.6" customHeight="1">
      <c r="A965" s="27">
        <v>1079</v>
      </c>
      <c r="B965" s="36" t="s">
        <v>1302</v>
      </c>
      <c r="C965" s="36" t="s">
        <v>271</v>
      </c>
      <c r="D965" s="36" t="s">
        <v>1391</v>
      </c>
      <c r="E965" s="37" t="s">
        <v>671</v>
      </c>
      <c r="F965" s="91">
        <v>120</v>
      </c>
      <c r="G965" s="144" t="s">
        <v>550</v>
      </c>
      <c r="H965" s="40">
        <v>1</v>
      </c>
      <c r="I965" s="89" t="s">
        <v>687</v>
      </c>
    </row>
    <row r="966" spans="1:9" ht="21.6" customHeight="1">
      <c r="A966" s="27">
        <v>1080</v>
      </c>
      <c r="B966" s="36" t="s">
        <v>1302</v>
      </c>
      <c r="C966" s="36" t="s">
        <v>556</v>
      </c>
      <c r="D966" s="79" t="s">
        <v>1492</v>
      </c>
      <c r="E966" s="35" t="s">
        <v>557</v>
      </c>
      <c r="F966" s="40">
        <v>660</v>
      </c>
      <c r="G966" s="145" t="s">
        <v>558</v>
      </c>
      <c r="H966" s="40" t="s">
        <v>123</v>
      </c>
      <c r="I966" s="56"/>
    </row>
    <row r="967" spans="1:9" ht="21.6" customHeight="1">
      <c r="A967" s="27">
        <v>1081</v>
      </c>
      <c r="B967" s="36" t="s">
        <v>1302</v>
      </c>
      <c r="C967" s="36" t="s">
        <v>559</v>
      </c>
      <c r="D967" s="80" t="s">
        <v>1493</v>
      </c>
      <c r="E967" s="35" t="s">
        <v>560</v>
      </c>
      <c r="F967" s="40">
        <v>660</v>
      </c>
      <c r="G967" s="145" t="s">
        <v>1820</v>
      </c>
      <c r="H967" s="40" t="s">
        <v>123</v>
      </c>
      <c r="I967" s="56"/>
    </row>
    <row r="968" spans="1:9" ht="21.6" customHeight="1">
      <c r="A968" s="27">
        <v>1082</v>
      </c>
      <c r="B968" s="36" t="s">
        <v>1302</v>
      </c>
      <c r="C968" s="36" t="s">
        <v>561</v>
      </c>
      <c r="D968" s="34" t="s">
        <v>1494</v>
      </c>
      <c r="E968" s="35" t="s">
        <v>562</v>
      </c>
      <c r="F968" s="40">
        <v>660</v>
      </c>
      <c r="G968" s="145" t="s">
        <v>244</v>
      </c>
      <c r="H968" s="40" t="s">
        <v>123</v>
      </c>
      <c r="I968" s="56"/>
    </row>
    <row r="969" spans="1:9" ht="21.6" customHeight="1">
      <c r="A969" s="27">
        <v>1083</v>
      </c>
      <c r="B969" s="36" t="s">
        <v>1302</v>
      </c>
      <c r="C969" s="36" t="s">
        <v>563</v>
      </c>
      <c r="D969" s="34" t="s">
        <v>1495</v>
      </c>
      <c r="E969" s="35" t="s">
        <v>564</v>
      </c>
      <c r="F969" s="40">
        <v>660</v>
      </c>
      <c r="G969" s="145" t="s">
        <v>1803</v>
      </c>
      <c r="H969" s="40" t="s">
        <v>123</v>
      </c>
      <c r="I969" s="56"/>
    </row>
    <row r="970" spans="1:9" ht="21.6" customHeight="1">
      <c r="A970" s="27">
        <v>1084</v>
      </c>
      <c r="B970" s="36" t="s">
        <v>1302</v>
      </c>
      <c r="C970" s="36" t="s">
        <v>565</v>
      </c>
      <c r="D970" s="34" t="s">
        <v>1496</v>
      </c>
      <c r="E970" s="35" t="s">
        <v>566</v>
      </c>
      <c r="F970" s="91">
        <v>200</v>
      </c>
      <c r="G970" s="144" t="s">
        <v>567</v>
      </c>
      <c r="H970" s="40" t="s">
        <v>123</v>
      </c>
      <c r="I970" s="89" t="s">
        <v>111</v>
      </c>
    </row>
    <row r="971" spans="1:9" ht="21.6" customHeight="1">
      <c r="A971" s="27">
        <v>1085</v>
      </c>
      <c r="B971" s="36" t="s">
        <v>1302</v>
      </c>
      <c r="C971" s="36" t="s">
        <v>672</v>
      </c>
      <c r="D971" s="36" t="s">
        <v>1535</v>
      </c>
      <c r="E971" s="37" t="s">
        <v>673</v>
      </c>
      <c r="F971" s="91">
        <v>400</v>
      </c>
      <c r="G971" s="144" t="s">
        <v>567</v>
      </c>
      <c r="H971" s="40" t="s">
        <v>123</v>
      </c>
      <c r="I971" s="89" t="s">
        <v>665</v>
      </c>
    </row>
    <row r="972" spans="1:9" ht="21.6" customHeight="1">
      <c r="A972" s="27">
        <v>1086</v>
      </c>
      <c r="B972" s="36" t="s">
        <v>1302</v>
      </c>
      <c r="C972" s="36" t="s">
        <v>347</v>
      </c>
      <c r="D972" s="34" t="s">
        <v>1415</v>
      </c>
      <c r="E972" s="35" t="s">
        <v>348</v>
      </c>
      <c r="F972" s="40">
        <v>500</v>
      </c>
      <c r="G972" s="144" t="s">
        <v>349</v>
      </c>
      <c r="H972" s="40" t="s">
        <v>123</v>
      </c>
      <c r="I972" s="90" t="s">
        <v>334</v>
      </c>
    </row>
    <row r="973" spans="1:9" ht="21.6" customHeight="1">
      <c r="A973" s="27">
        <v>1087</v>
      </c>
      <c r="B973" s="36" t="s">
        <v>1302</v>
      </c>
      <c r="C973" s="36" t="s">
        <v>568</v>
      </c>
      <c r="D973" s="34" t="s">
        <v>1497</v>
      </c>
      <c r="E973" s="35" t="s">
        <v>569</v>
      </c>
      <c r="F973" s="40">
        <v>500</v>
      </c>
      <c r="G973" s="144" t="s">
        <v>570</v>
      </c>
      <c r="H973" s="40" t="s">
        <v>123</v>
      </c>
      <c r="I973" s="90" t="s">
        <v>666</v>
      </c>
    </row>
    <row r="974" spans="1:9" ht="21.6" customHeight="1">
      <c r="A974" s="27">
        <v>1088</v>
      </c>
      <c r="B974" s="36" t="s">
        <v>1302</v>
      </c>
      <c r="C974" s="36" t="s">
        <v>301</v>
      </c>
      <c r="D974" s="67" t="s">
        <v>1401</v>
      </c>
      <c r="E974" s="30" t="s">
        <v>302</v>
      </c>
      <c r="F974" s="68" t="s">
        <v>470</v>
      </c>
      <c r="G974" s="145" t="s">
        <v>303</v>
      </c>
      <c r="H974" s="40" t="s">
        <v>123</v>
      </c>
      <c r="I974" s="56"/>
    </row>
    <row r="975" spans="1:9" ht="21.6" customHeight="1">
      <c r="A975" s="27">
        <v>1089</v>
      </c>
      <c r="B975" s="36" t="s">
        <v>1302</v>
      </c>
      <c r="C975" s="36" t="s">
        <v>571</v>
      </c>
      <c r="D975" s="34" t="s">
        <v>1498</v>
      </c>
      <c r="E975" s="35" t="s">
        <v>572</v>
      </c>
      <c r="F975" s="40" t="s">
        <v>123</v>
      </c>
      <c r="G975" s="145" t="s">
        <v>132</v>
      </c>
      <c r="H975" s="40" t="s">
        <v>123</v>
      </c>
      <c r="I975" s="56"/>
    </row>
    <row r="976" spans="1:9" ht="21.6" customHeight="1">
      <c r="A976" s="27">
        <v>1090</v>
      </c>
      <c r="B976" s="36" t="s">
        <v>1302</v>
      </c>
      <c r="C976" s="36" t="s">
        <v>573</v>
      </c>
      <c r="D976" s="34" t="s">
        <v>1499</v>
      </c>
      <c r="E976" s="35" t="s">
        <v>574</v>
      </c>
      <c r="F976" s="40" t="s">
        <v>123</v>
      </c>
      <c r="G976" s="145" t="s">
        <v>575</v>
      </c>
      <c r="H976" s="40" t="s">
        <v>123</v>
      </c>
      <c r="I976" s="56"/>
    </row>
    <row r="977" spans="1:9" ht="21.6" customHeight="1">
      <c r="A977" s="27">
        <v>1091</v>
      </c>
      <c r="B977" s="36" t="s">
        <v>1302</v>
      </c>
      <c r="C977" s="36" t="s">
        <v>576</v>
      </c>
      <c r="D977" s="34" t="s">
        <v>1500</v>
      </c>
      <c r="E977" s="35" t="s">
        <v>577</v>
      </c>
      <c r="F977" s="40" t="s">
        <v>123</v>
      </c>
      <c r="G977" s="144" t="s">
        <v>135</v>
      </c>
      <c r="H977" s="40" t="s">
        <v>123</v>
      </c>
      <c r="I977" s="56"/>
    </row>
    <row r="978" spans="1:9" ht="21.6" customHeight="1">
      <c r="A978" s="27">
        <v>1092</v>
      </c>
      <c r="B978" s="36" t="s">
        <v>1302</v>
      </c>
      <c r="C978" s="36" t="s">
        <v>578</v>
      </c>
      <c r="D978" s="34" t="s">
        <v>1501</v>
      </c>
      <c r="E978" s="35" t="s">
        <v>579</v>
      </c>
      <c r="F978" s="40" t="s">
        <v>123</v>
      </c>
      <c r="G978" s="144" t="s">
        <v>1821</v>
      </c>
      <c r="H978" s="40" t="s">
        <v>123</v>
      </c>
      <c r="I978" s="56"/>
    </row>
    <row r="979" spans="1:9" ht="21.6" customHeight="1">
      <c r="A979" s="27">
        <v>1093</v>
      </c>
      <c r="B979" s="36" t="s">
        <v>1302</v>
      </c>
      <c r="C979" s="36" t="s">
        <v>580</v>
      </c>
      <c r="D979" s="34" t="s">
        <v>1502</v>
      </c>
      <c r="E979" s="35" t="s">
        <v>581</v>
      </c>
      <c r="F979" s="40" t="s">
        <v>123</v>
      </c>
      <c r="G979" s="144" t="s">
        <v>582</v>
      </c>
      <c r="H979" s="40" t="s">
        <v>123</v>
      </c>
      <c r="I979" s="56"/>
    </row>
    <row r="980" spans="1:9" ht="21.6" customHeight="1">
      <c r="A980" s="27">
        <v>1095</v>
      </c>
      <c r="B980" s="36" t="s">
        <v>1302</v>
      </c>
      <c r="C980" s="36" t="s">
        <v>583</v>
      </c>
      <c r="D980" s="34" t="s">
        <v>1503</v>
      </c>
      <c r="E980" s="35" t="s">
        <v>584</v>
      </c>
      <c r="F980" s="40" t="s">
        <v>123</v>
      </c>
      <c r="G980" s="145" t="s">
        <v>585</v>
      </c>
      <c r="H980" s="40" t="s">
        <v>123</v>
      </c>
      <c r="I980" s="89" t="s">
        <v>688</v>
      </c>
    </row>
    <row r="981" spans="1:9" ht="21.6" customHeight="1">
      <c r="A981" s="27">
        <v>1097</v>
      </c>
      <c r="B981" s="36" t="s">
        <v>1302</v>
      </c>
      <c r="C981" s="36" t="s">
        <v>675</v>
      </c>
      <c r="D981" s="36" t="s">
        <v>1536</v>
      </c>
      <c r="E981" s="37" t="s">
        <v>676</v>
      </c>
      <c r="F981" s="40" t="s">
        <v>654</v>
      </c>
      <c r="G981" s="145" t="s">
        <v>585</v>
      </c>
      <c r="H981" s="40" t="s">
        <v>654</v>
      </c>
      <c r="I981" s="89" t="s">
        <v>689</v>
      </c>
    </row>
    <row r="982" spans="1:9" s="62" customFormat="1" ht="21.6" customHeight="1">
      <c r="A982" s="87">
        <v>1098</v>
      </c>
      <c r="B982" s="59">
        <v>857</v>
      </c>
      <c r="C982" s="59" t="s">
        <v>409</v>
      </c>
      <c r="D982" s="59" t="s">
        <v>1433</v>
      </c>
      <c r="E982" s="6" t="s">
        <v>410</v>
      </c>
      <c r="F982" s="60">
        <v>600</v>
      </c>
      <c r="G982" s="143" t="s">
        <v>193</v>
      </c>
      <c r="H982" s="60">
        <v>1</v>
      </c>
      <c r="I982" s="61"/>
    </row>
    <row r="983" spans="1:9" s="62" customFormat="1" ht="21.6" customHeight="1">
      <c r="A983" s="27">
        <v>1099</v>
      </c>
      <c r="B983" s="64">
        <v>857</v>
      </c>
      <c r="C983" s="64" t="s">
        <v>411</v>
      </c>
      <c r="D983" s="34" t="s">
        <v>1434</v>
      </c>
      <c r="E983" s="7" t="s">
        <v>412</v>
      </c>
      <c r="F983" s="63">
        <v>600</v>
      </c>
      <c r="G983" s="144" t="s">
        <v>75</v>
      </c>
      <c r="H983" s="63">
        <v>1</v>
      </c>
      <c r="I983" s="55"/>
    </row>
    <row r="984" spans="1:9" s="62" customFormat="1" ht="21.6" customHeight="1">
      <c r="A984" s="27">
        <v>1100</v>
      </c>
      <c r="B984" s="64">
        <v>857</v>
      </c>
      <c r="C984" s="64" t="s">
        <v>413</v>
      </c>
      <c r="D984" s="64" t="s">
        <v>1435</v>
      </c>
      <c r="E984" s="7" t="s">
        <v>414</v>
      </c>
      <c r="F984" s="63">
        <v>600</v>
      </c>
      <c r="G984" s="145" t="s">
        <v>415</v>
      </c>
      <c r="H984" s="63">
        <v>1</v>
      </c>
      <c r="I984" s="55"/>
    </row>
    <row r="985" spans="1:9" s="62" customFormat="1" ht="21.6" customHeight="1">
      <c r="A985" s="27">
        <v>1101</v>
      </c>
      <c r="B985" s="64">
        <v>857</v>
      </c>
      <c r="C985" s="64" t="s">
        <v>416</v>
      </c>
      <c r="D985" s="47" t="s">
        <v>1436</v>
      </c>
      <c r="E985" s="7" t="s">
        <v>417</v>
      </c>
      <c r="F985" s="63">
        <v>600</v>
      </c>
      <c r="G985" s="144" t="s">
        <v>418</v>
      </c>
      <c r="H985" s="63">
        <v>1</v>
      </c>
      <c r="I985" s="55"/>
    </row>
    <row r="986" spans="1:9" s="62" customFormat="1" ht="21.6" customHeight="1">
      <c r="A986" s="27">
        <v>1102</v>
      </c>
      <c r="B986" s="64">
        <v>857</v>
      </c>
      <c r="C986" s="64" t="s">
        <v>419</v>
      </c>
      <c r="D986" s="34" t="s">
        <v>1437</v>
      </c>
      <c r="E986" s="35" t="s">
        <v>420</v>
      </c>
      <c r="F986" s="40">
        <v>600</v>
      </c>
      <c r="G986" s="145" t="s">
        <v>1775</v>
      </c>
      <c r="H986" s="40">
        <v>1</v>
      </c>
      <c r="I986" s="56"/>
    </row>
    <row r="987" spans="1:9" s="62" customFormat="1" ht="21.6" customHeight="1">
      <c r="A987" s="27">
        <v>1103</v>
      </c>
      <c r="B987" s="64">
        <v>857</v>
      </c>
      <c r="C987" s="64" t="s">
        <v>655</v>
      </c>
      <c r="D987" s="64" t="s">
        <v>1530</v>
      </c>
      <c r="E987" s="7" t="s">
        <v>656</v>
      </c>
      <c r="F987" s="63">
        <v>1200</v>
      </c>
      <c r="G987" s="144" t="s">
        <v>87</v>
      </c>
      <c r="H987" s="63">
        <v>1</v>
      </c>
      <c r="I987" s="55"/>
    </row>
    <row r="988" spans="1:9" s="62" customFormat="1" ht="21.6" customHeight="1">
      <c r="A988" s="27">
        <v>1104</v>
      </c>
      <c r="B988" s="64">
        <v>857</v>
      </c>
      <c r="C988" s="64" t="s">
        <v>423</v>
      </c>
      <c r="D988" s="64" t="s">
        <v>1439</v>
      </c>
      <c r="E988" s="7" t="s">
        <v>424</v>
      </c>
      <c r="F988" s="63">
        <v>600</v>
      </c>
      <c r="G988" s="144" t="s">
        <v>1789</v>
      </c>
      <c r="H988" s="63">
        <v>1</v>
      </c>
      <c r="I988" s="55"/>
    </row>
    <row r="989" spans="1:9" s="62" customFormat="1" ht="21.6" customHeight="1">
      <c r="A989" s="27">
        <v>1105</v>
      </c>
      <c r="B989" s="64">
        <v>857</v>
      </c>
      <c r="C989" s="64" t="s">
        <v>425</v>
      </c>
      <c r="D989" s="64" t="s">
        <v>1440</v>
      </c>
      <c r="E989" s="7" t="s">
        <v>426</v>
      </c>
      <c r="F989" s="63">
        <v>600</v>
      </c>
      <c r="G989" s="144" t="s">
        <v>1790</v>
      </c>
      <c r="H989" s="63">
        <v>1</v>
      </c>
      <c r="I989" s="55"/>
    </row>
    <row r="990" spans="1:9" s="62" customFormat="1" ht="21.6" customHeight="1">
      <c r="A990" s="27">
        <v>1106</v>
      </c>
      <c r="B990" s="64">
        <v>857</v>
      </c>
      <c r="C990" s="64" t="s">
        <v>427</v>
      </c>
      <c r="D990" s="64" t="s">
        <v>1441</v>
      </c>
      <c r="E990" s="7" t="s">
        <v>428</v>
      </c>
      <c r="F990" s="63">
        <v>600</v>
      </c>
      <c r="G990" s="144" t="s">
        <v>1791</v>
      </c>
      <c r="H990" s="63">
        <v>1</v>
      </c>
      <c r="I990" s="55"/>
    </row>
    <row r="991" spans="1:9" s="62" customFormat="1" ht="21.6" customHeight="1">
      <c r="A991" s="27">
        <v>1107</v>
      </c>
      <c r="B991" s="64">
        <v>857</v>
      </c>
      <c r="C991" s="64" t="s">
        <v>429</v>
      </c>
      <c r="D991" s="64" t="s">
        <v>1442</v>
      </c>
      <c r="E991" s="7" t="s">
        <v>430</v>
      </c>
      <c r="F991" s="63">
        <v>600</v>
      </c>
      <c r="G991" s="144" t="s">
        <v>1792</v>
      </c>
      <c r="H991" s="63">
        <v>1</v>
      </c>
      <c r="I991" s="55"/>
    </row>
    <row r="992" spans="1:9" s="62" customFormat="1" ht="21.6" customHeight="1">
      <c r="A992" s="27">
        <v>1108</v>
      </c>
      <c r="B992" s="64">
        <v>857</v>
      </c>
      <c r="C992" s="64" t="s">
        <v>431</v>
      </c>
      <c r="D992" s="34" t="s">
        <v>1443</v>
      </c>
      <c r="E992" s="35" t="s">
        <v>432</v>
      </c>
      <c r="F992" s="40">
        <v>600</v>
      </c>
      <c r="G992" s="144" t="s">
        <v>1793</v>
      </c>
      <c r="H992" s="40">
        <v>1</v>
      </c>
      <c r="I992" s="56"/>
    </row>
    <row r="993" spans="1:9" s="62" customFormat="1" ht="21.6" customHeight="1">
      <c r="A993" s="27">
        <v>1109</v>
      </c>
      <c r="B993" s="64">
        <v>857</v>
      </c>
      <c r="C993" s="64" t="s">
        <v>433</v>
      </c>
      <c r="D993" s="64" t="s">
        <v>1444</v>
      </c>
      <c r="E993" s="7" t="s">
        <v>434</v>
      </c>
      <c r="F993" s="63">
        <v>600</v>
      </c>
      <c r="G993" s="144" t="s">
        <v>95</v>
      </c>
      <c r="H993" s="63">
        <v>3</v>
      </c>
      <c r="I993" s="55"/>
    </row>
    <row r="994" spans="1:9" s="62" customFormat="1" ht="21.6" customHeight="1">
      <c r="A994" s="27">
        <v>1110</v>
      </c>
      <c r="B994" s="64">
        <v>857</v>
      </c>
      <c r="C994" s="64" t="s">
        <v>435</v>
      </c>
      <c r="D994" s="64" t="s">
        <v>1445</v>
      </c>
      <c r="E994" s="7" t="s">
        <v>436</v>
      </c>
      <c r="F994" s="63">
        <v>600</v>
      </c>
      <c r="G994" s="144" t="s">
        <v>101</v>
      </c>
      <c r="H994" s="63">
        <v>1</v>
      </c>
      <c r="I994" s="55"/>
    </row>
    <row r="995" spans="1:9" s="62" customFormat="1" ht="21.6" customHeight="1">
      <c r="A995" s="27">
        <v>1111</v>
      </c>
      <c r="B995" s="64">
        <v>857</v>
      </c>
      <c r="C995" s="64" t="s">
        <v>437</v>
      </c>
      <c r="D995" s="65" t="s">
        <v>1446</v>
      </c>
      <c r="E995" s="7" t="s">
        <v>438</v>
      </c>
      <c r="F995" s="63">
        <v>600</v>
      </c>
      <c r="G995" s="144" t="s">
        <v>1794</v>
      </c>
      <c r="H995" s="63">
        <v>1</v>
      </c>
      <c r="I995" s="55"/>
    </row>
    <row r="996" spans="1:9" s="62" customFormat="1" ht="21.6" customHeight="1">
      <c r="A996" s="27">
        <v>1112</v>
      </c>
      <c r="B996" s="64">
        <v>857</v>
      </c>
      <c r="C996" s="64" t="s">
        <v>439</v>
      </c>
      <c r="D996" s="34" t="s">
        <v>1447</v>
      </c>
      <c r="E996" s="35" t="s">
        <v>440</v>
      </c>
      <c r="F996" s="63">
        <v>600</v>
      </c>
      <c r="G996" s="145" t="s">
        <v>1795</v>
      </c>
      <c r="H996" s="63">
        <v>1</v>
      </c>
      <c r="I996" s="55"/>
    </row>
    <row r="997" spans="1:9" s="62" customFormat="1" ht="21.6" customHeight="1">
      <c r="A997" s="27">
        <v>1113</v>
      </c>
      <c r="B997" s="64">
        <v>857</v>
      </c>
      <c r="C997" s="64" t="s">
        <v>441</v>
      </c>
      <c r="D997" s="64" t="s">
        <v>1448</v>
      </c>
      <c r="E997" s="7" t="s">
        <v>442</v>
      </c>
      <c r="F997" s="63">
        <v>600</v>
      </c>
      <c r="G997" s="144" t="s">
        <v>107</v>
      </c>
      <c r="H997" s="63">
        <v>1</v>
      </c>
      <c r="I997" s="55"/>
    </row>
    <row r="998" spans="1:9" s="62" customFormat="1" ht="21.6" customHeight="1">
      <c r="A998" s="27">
        <v>1114</v>
      </c>
      <c r="B998" s="64">
        <v>857</v>
      </c>
      <c r="C998" s="64" t="s">
        <v>443</v>
      </c>
      <c r="D998" s="34" t="s">
        <v>1449</v>
      </c>
      <c r="E998" s="35" t="s">
        <v>444</v>
      </c>
      <c r="F998" s="63">
        <v>600</v>
      </c>
      <c r="G998" s="144" t="s">
        <v>690</v>
      </c>
      <c r="H998" s="63">
        <v>1</v>
      </c>
      <c r="I998" s="55"/>
    </row>
    <row r="999" spans="1:9" s="62" customFormat="1" ht="21.6" customHeight="1">
      <c r="A999" s="27">
        <v>1115</v>
      </c>
      <c r="B999" s="64">
        <v>857</v>
      </c>
      <c r="C999" s="64" t="s">
        <v>446</v>
      </c>
      <c r="D999" s="66" t="s">
        <v>1450</v>
      </c>
      <c r="E999" s="7" t="s">
        <v>447</v>
      </c>
      <c r="F999" s="63">
        <v>600</v>
      </c>
      <c r="G999" s="144" t="s">
        <v>1835</v>
      </c>
      <c r="H999" s="63">
        <v>6</v>
      </c>
      <c r="I999" s="55"/>
    </row>
    <row r="1000" spans="1:9" s="62" customFormat="1" ht="21.6" customHeight="1">
      <c r="A1000" s="27">
        <v>1116</v>
      </c>
      <c r="B1000" s="64">
        <v>857</v>
      </c>
      <c r="C1000" s="64" t="s">
        <v>449</v>
      </c>
      <c r="D1000" s="64" t="s">
        <v>1451</v>
      </c>
      <c r="E1000" s="7" t="s">
        <v>450</v>
      </c>
      <c r="F1000" s="63">
        <v>600</v>
      </c>
      <c r="G1000" s="144" t="s">
        <v>451</v>
      </c>
      <c r="H1000" s="63">
        <v>1</v>
      </c>
      <c r="I1000" s="55"/>
    </row>
    <row r="1001" spans="1:9" s="62" customFormat="1" ht="21.6" customHeight="1">
      <c r="A1001" s="27">
        <v>1117</v>
      </c>
      <c r="B1001" s="64">
        <v>857</v>
      </c>
      <c r="C1001" s="64" t="s">
        <v>452</v>
      </c>
      <c r="D1001" s="64" t="s">
        <v>1452</v>
      </c>
      <c r="E1001" s="7" t="s">
        <v>226</v>
      </c>
      <c r="F1001" s="63" t="s">
        <v>453</v>
      </c>
      <c r="G1001" s="144" t="s">
        <v>1796</v>
      </c>
      <c r="H1001" s="63">
        <v>1</v>
      </c>
      <c r="I1001" s="56" t="s">
        <v>455</v>
      </c>
    </row>
    <row r="1002" spans="1:9" s="62" customFormat="1" ht="21.6" customHeight="1">
      <c r="A1002" s="27">
        <v>1118</v>
      </c>
      <c r="B1002" s="64">
        <v>857</v>
      </c>
      <c r="C1002" s="64" t="s">
        <v>452</v>
      </c>
      <c r="D1002" s="64" t="s">
        <v>1452</v>
      </c>
      <c r="E1002" s="7" t="s">
        <v>226</v>
      </c>
      <c r="F1002" s="63" t="s">
        <v>453</v>
      </c>
      <c r="G1002" s="144" t="s">
        <v>456</v>
      </c>
      <c r="H1002" s="63">
        <v>1</v>
      </c>
      <c r="I1002" s="56" t="s">
        <v>455</v>
      </c>
    </row>
    <row r="1003" spans="1:9" s="62" customFormat="1" ht="21.6" customHeight="1">
      <c r="A1003" s="27">
        <v>1119</v>
      </c>
      <c r="B1003" s="64">
        <v>857</v>
      </c>
      <c r="C1003" s="64" t="s">
        <v>457</v>
      </c>
      <c r="D1003" s="64" t="s">
        <v>1453</v>
      </c>
      <c r="E1003" s="7" t="s">
        <v>458</v>
      </c>
      <c r="F1003" s="63" t="s">
        <v>453</v>
      </c>
      <c r="G1003" s="144" t="s">
        <v>454</v>
      </c>
      <c r="H1003" s="63">
        <v>1</v>
      </c>
      <c r="I1003" s="56" t="s">
        <v>455</v>
      </c>
    </row>
    <row r="1004" spans="1:9" s="62" customFormat="1" ht="21.6" customHeight="1">
      <c r="A1004" s="27">
        <v>1120</v>
      </c>
      <c r="B1004" s="64">
        <v>857</v>
      </c>
      <c r="C1004" s="64" t="s">
        <v>459</v>
      </c>
      <c r="D1004" s="67" t="s">
        <v>1454</v>
      </c>
      <c r="E1004" s="30" t="s">
        <v>460</v>
      </c>
      <c r="F1004" s="68">
        <v>100</v>
      </c>
      <c r="G1004" s="144" t="s">
        <v>1797</v>
      </c>
      <c r="H1004" s="63">
        <v>1</v>
      </c>
      <c r="I1004" s="55" t="s">
        <v>116</v>
      </c>
    </row>
    <row r="1005" spans="1:9" s="62" customFormat="1" ht="21.6" customHeight="1">
      <c r="A1005" s="27">
        <v>1121</v>
      </c>
      <c r="B1005" s="64">
        <v>857</v>
      </c>
      <c r="C1005" s="64" t="s">
        <v>461</v>
      </c>
      <c r="D1005" s="66" t="s">
        <v>1455</v>
      </c>
      <c r="E1005" s="30" t="s">
        <v>462</v>
      </c>
      <c r="F1005" s="68">
        <v>100</v>
      </c>
      <c r="G1005" s="144" t="s">
        <v>115</v>
      </c>
      <c r="H1005" s="63">
        <v>1</v>
      </c>
      <c r="I1005" s="55" t="s">
        <v>116</v>
      </c>
    </row>
    <row r="1006" spans="1:9" s="62" customFormat="1" ht="21.6" customHeight="1">
      <c r="A1006" s="27">
        <v>1122</v>
      </c>
      <c r="B1006" s="64">
        <v>857</v>
      </c>
      <c r="C1006" s="64" t="s">
        <v>463</v>
      </c>
      <c r="D1006" s="66" t="s">
        <v>1456</v>
      </c>
      <c r="E1006" s="30" t="s">
        <v>464</v>
      </c>
      <c r="F1006" s="68">
        <v>100</v>
      </c>
      <c r="G1006" s="144" t="s">
        <v>224</v>
      </c>
      <c r="H1006" s="63">
        <v>1</v>
      </c>
      <c r="I1006" s="55" t="s">
        <v>116</v>
      </c>
    </row>
    <row r="1007" spans="1:9" s="62" customFormat="1" ht="21.6" customHeight="1">
      <c r="A1007" s="27">
        <v>1123</v>
      </c>
      <c r="B1007" s="64">
        <v>857</v>
      </c>
      <c r="C1007" s="64" t="s">
        <v>332</v>
      </c>
      <c r="D1007" s="50" t="s">
        <v>1410</v>
      </c>
      <c r="E1007" s="51" t="s">
        <v>333</v>
      </c>
      <c r="F1007" s="63">
        <v>500</v>
      </c>
      <c r="G1007" s="144" t="s">
        <v>1798</v>
      </c>
      <c r="H1007" s="63">
        <v>2</v>
      </c>
      <c r="I1007" s="55" t="s">
        <v>465</v>
      </c>
    </row>
    <row r="1008" spans="1:9" s="62" customFormat="1" ht="21.6" customHeight="1">
      <c r="A1008" s="27">
        <v>1124</v>
      </c>
      <c r="B1008" s="64">
        <v>857</v>
      </c>
      <c r="C1008" s="64" t="s">
        <v>452</v>
      </c>
      <c r="D1008" s="50" t="s">
        <v>1452</v>
      </c>
      <c r="E1008" s="51" t="s">
        <v>226</v>
      </c>
      <c r="F1008" s="63">
        <v>500</v>
      </c>
      <c r="G1008" s="144" t="s">
        <v>466</v>
      </c>
      <c r="H1008" s="63">
        <v>1</v>
      </c>
      <c r="I1008" s="55" t="s">
        <v>465</v>
      </c>
    </row>
    <row r="1009" spans="1:9" s="62" customFormat="1" ht="21.6" customHeight="1">
      <c r="A1009" s="27">
        <v>1125</v>
      </c>
      <c r="B1009" s="64">
        <v>857</v>
      </c>
      <c r="C1009" s="64" t="s">
        <v>467</v>
      </c>
      <c r="D1009" s="50" t="s">
        <v>1457</v>
      </c>
      <c r="E1009" s="51" t="s">
        <v>468</v>
      </c>
      <c r="F1009" s="63">
        <v>500</v>
      </c>
      <c r="G1009" s="144" t="s">
        <v>469</v>
      </c>
      <c r="H1009" s="63">
        <v>1</v>
      </c>
      <c r="I1009" s="55" t="s">
        <v>465</v>
      </c>
    </row>
    <row r="1010" spans="1:9" s="62" customFormat="1" ht="21.6" customHeight="1">
      <c r="A1010" s="27">
        <v>1126</v>
      </c>
      <c r="B1010" s="64">
        <v>857</v>
      </c>
      <c r="C1010" s="64" t="s">
        <v>225</v>
      </c>
      <c r="D1010" s="64" t="s">
        <v>1375</v>
      </c>
      <c r="E1010" s="7" t="s">
        <v>226</v>
      </c>
      <c r="F1010" s="68" t="s">
        <v>470</v>
      </c>
      <c r="G1010" s="144" t="s">
        <v>1799</v>
      </c>
      <c r="H1010" s="63">
        <v>1</v>
      </c>
      <c r="I1010" s="55"/>
    </row>
    <row r="1011" spans="1:9" s="62" customFormat="1" ht="21.6" customHeight="1">
      <c r="A1011" s="27">
        <v>1127</v>
      </c>
      <c r="B1011" s="64">
        <v>857</v>
      </c>
      <c r="C1011" s="64" t="s">
        <v>225</v>
      </c>
      <c r="D1011" s="64" t="s">
        <v>1375</v>
      </c>
      <c r="E1011" s="7" t="s">
        <v>226</v>
      </c>
      <c r="F1011" s="68" t="s">
        <v>470</v>
      </c>
      <c r="G1011" s="144" t="s">
        <v>1800</v>
      </c>
      <c r="H1011" s="63">
        <v>1</v>
      </c>
      <c r="I1011" s="55"/>
    </row>
    <row r="1012" spans="1:9" s="62" customFormat="1" ht="21.6" customHeight="1">
      <c r="A1012" s="27">
        <v>1128</v>
      </c>
      <c r="B1012" s="64">
        <v>857</v>
      </c>
      <c r="C1012" s="64" t="s">
        <v>229</v>
      </c>
      <c r="D1012" s="64" t="s">
        <v>1376</v>
      </c>
      <c r="E1012" s="7" t="s">
        <v>230</v>
      </c>
      <c r="F1012" s="68" t="s">
        <v>470</v>
      </c>
      <c r="G1012" s="144" t="s">
        <v>1801</v>
      </c>
      <c r="H1012" s="63">
        <v>1</v>
      </c>
      <c r="I1012" s="55"/>
    </row>
    <row r="1013" spans="1:9" s="62" customFormat="1" ht="21.6" customHeight="1">
      <c r="A1013" s="27">
        <v>1129</v>
      </c>
      <c r="B1013" s="64">
        <v>857</v>
      </c>
      <c r="C1013" s="64" t="s">
        <v>472</v>
      </c>
      <c r="D1013" s="64" t="s">
        <v>1458</v>
      </c>
      <c r="E1013" s="7" t="s">
        <v>473</v>
      </c>
      <c r="F1013" s="63">
        <v>600</v>
      </c>
      <c r="G1013" s="144" t="s">
        <v>1802</v>
      </c>
      <c r="H1013" s="40" t="s">
        <v>123</v>
      </c>
      <c r="I1013" s="55"/>
    </row>
    <row r="1014" spans="1:9" s="62" customFormat="1" ht="21.6" customHeight="1">
      <c r="A1014" s="27">
        <v>1130</v>
      </c>
      <c r="B1014" s="64">
        <v>857</v>
      </c>
      <c r="C1014" s="64" t="s">
        <v>657</v>
      </c>
      <c r="D1014" s="64" t="s">
        <v>1531</v>
      </c>
      <c r="E1014" s="7" t="s">
        <v>658</v>
      </c>
      <c r="F1014" s="63">
        <v>1200</v>
      </c>
      <c r="G1014" s="145" t="s">
        <v>244</v>
      </c>
      <c r="H1014" s="40" t="s">
        <v>123</v>
      </c>
      <c r="I1014" s="55"/>
    </row>
    <row r="1015" spans="1:9" s="62" customFormat="1" ht="21.6" customHeight="1">
      <c r="A1015" s="27">
        <v>1131</v>
      </c>
      <c r="B1015" s="64">
        <v>857</v>
      </c>
      <c r="C1015" s="64" t="s">
        <v>659</v>
      </c>
      <c r="D1015" s="64" t="s">
        <v>1532</v>
      </c>
      <c r="E1015" s="7" t="s">
        <v>660</v>
      </c>
      <c r="F1015" s="63">
        <v>600</v>
      </c>
      <c r="G1015" s="145" t="s">
        <v>244</v>
      </c>
      <c r="H1015" s="40" t="s">
        <v>123</v>
      </c>
      <c r="I1015" s="55"/>
    </row>
    <row r="1016" spans="1:9" s="62" customFormat="1" ht="21.6" customHeight="1">
      <c r="A1016" s="27">
        <v>1132</v>
      </c>
      <c r="B1016" s="64">
        <v>857</v>
      </c>
      <c r="C1016" s="64" t="s">
        <v>661</v>
      </c>
      <c r="D1016" s="64" t="s">
        <v>1533</v>
      </c>
      <c r="E1016" s="7" t="s">
        <v>662</v>
      </c>
      <c r="F1016" s="63">
        <v>600</v>
      </c>
      <c r="G1016" s="145" t="s">
        <v>478</v>
      </c>
      <c r="H1016" s="40" t="s">
        <v>123</v>
      </c>
      <c r="I1016" s="55"/>
    </row>
    <row r="1017" spans="1:9" s="62" customFormat="1" ht="21.6" customHeight="1">
      <c r="A1017" s="27">
        <v>1133</v>
      </c>
      <c r="B1017" s="64">
        <v>857</v>
      </c>
      <c r="C1017" s="64" t="s">
        <v>479</v>
      </c>
      <c r="D1017" s="67" t="s">
        <v>1461</v>
      </c>
      <c r="E1017" s="30" t="s">
        <v>480</v>
      </c>
      <c r="F1017" s="63">
        <v>600</v>
      </c>
      <c r="G1017" s="144" t="s">
        <v>1803</v>
      </c>
      <c r="H1017" s="40" t="s">
        <v>123</v>
      </c>
      <c r="I1017" s="55"/>
    </row>
    <row r="1018" spans="1:9" s="62" customFormat="1" ht="21.6" customHeight="1">
      <c r="A1018" s="27">
        <v>1134</v>
      </c>
      <c r="B1018" s="64">
        <v>857</v>
      </c>
      <c r="C1018" s="64" t="s">
        <v>481</v>
      </c>
      <c r="D1018" s="64" t="s">
        <v>1462</v>
      </c>
      <c r="E1018" s="7" t="s">
        <v>482</v>
      </c>
      <c r="F1018" s="63" t="s">
        <v>453</v>
      </c>
      <c r="G1018" s="144" t="s">
        <v>483</v>
      </c>
      <c r="H1018" s="40" t="s">
        <v>123</v>
      </c>
      <c r="I1018" s="56" t="s">
        <v>455</v>
      </c>
    </row>
    <row r="1019" spans="1:9" s="62" customFormat="1" ht="21.6" customHeight="1">
      <c r="A1019" s="27">
        <v>1135</v>
      </c>
      <c r="B1019" s="64">
        <v>857</v>
      </c>
      <c r="C1019" s="64" t="s">
        <v>484</v>
      </c>
      <c r="D1019" s="64" t="s">
        <v>1463</v>
      </c>
      <c r="E1019" s="7" t="s">
        <v>485</v>
      </c>
      <c r="F1019" s="63">
        <v>500</v>
      </c>
      <c r="G1019" s="144" t="s">
        <v>486</v>
      </c>
      <c r="H1019" s="40" t="s">
        <v>123</v>
      </c>
      <c r="I1019" s="55" t="s">
        <v>465</v>
      </c>
    </row>
    <row r="1020" spans="1:9" s="62" customFormat="1" ht="21.6" customHeight="1">
      <c r="A1020" s="27">
        <v>1136</v>
      </c>
      <c r="B1020" s="64">
        <v>857</v>
      </c>
      <c r="C1020" s="64" t="s">
        <v>248</v>
      </c>
      <c r="D1020" s="67" t="s">
        <v>1383</v>
      </c>
      <c r="E1020" s="30" t="s">
        <v>249</v>
      </c>
      <c r="F1020" s="68" t="s">
        <v>470</v>
      </c>
      <c r="G1020" s="144" t="s">
        <v>1804</v>
      </c>
      <c r="H1020" s="40" t="s">
        <v>123</v>
      </c>
      <c r="I1020" s="55"/>
    </row>
    <row r="1021" spans="1:9" s="62" customFormat="1" ht="21.6" customHeight="1">
      <c r="A1021" s="27">
        <v>1137</v>
      </c>
      <c r="B1021" s="64">
        <v>857</v>
      </c>
      <c r="C1021" s="64" t="s">
        <v>678</v>
      </c>
      <c r="D1021" s="34" t="s">
        <v>1537</v>
      </c>
      <c r="E1021" s="7" t="s">
        <v>679</v>
      </c>
      <c r="F1021" s="68" t="s">
        <v>123</v>
      </c>
      <c r="G1021" s="145" t="s">
        <v>129</v>
      </c>
      <c r="H1021" s="40" t="s">
        <v>123</v>
      </c>
      <c r="I1021" s="55"/>
    </row>
    <row r="1022" spans="1:9" s="62" customFormat="1" ht="21.6" customHeight="1">
      <c r="A1022" s="27">
        <v>1138</v>
      </c>
      <c r="B1022" s="64">
        <v>857</v>
      </c>
      <c r="C1022" s="64" t="s">
        <v>489</v>
      </c>
      <c r="D1022" s="64" t="s">
        <v>1465</v>
      </c>
      <c r="E1022" s="7" t="s">
        <v>490</v>
      </c>
      <c r="F1022" s="68" t="s">
        <v>123</v>
      </c>
      <c r="G1022" s="145" t="s">
        <v>132</v>
      </c>
      <c r="H1022" s="40" t="s">
        <v>123</v>
      </c>
      <c r="I1022" s="55"/>
    </row>
    <row r="1023" spans="1:9" s="62" customFormat="1" ht="21.6" customHeight="1">
      <c r="A1023" s="27">
        <v>1139</v>
      </c>
      <c r="B1023" s="64">
        <v>857</v>
      </c>
      <c r="C1023" s="64" t="s">
        <v>491</v>
      </c>
      <c r="D1023" s="64" t="s">
        <v>1466</v>
      </c>
      <c r="E1023" s="7" t="s">
        <v>492</v>
      </c>
      <c r="F1023" s="68" t="s">
        <v>123</v>
      </c>
      <c r="G1023" s="144" t="s">
        <v>135</v>
      </c>
      <c r="H1023" s="40" t="s">
        <v>123</v>
      </c>
      <c r="I1023" s="55"/>
    </row>
    <row r="1024" spans="1:9" s="62" customFormat="1" ht="21.6" customHeight="1">
      <c r="A1024" s="27">
        <v>1140</v>
      </c>
      <c r="B1024" s="64">
        <v>857</v>
      </c>
      <c r="C1024" s="64" t="s">
        <v>493</v>
      </c>
      <c r="D1024" s="64" t="s">
        <v>1467</v>
      </c>
      <c r="E1024" s="7" t="s">
        <v>494</v>
      </c>
      <c r="F1024" s="68" t="s">
        <v>123</v>
      </c>
      <c r="G1024" s="144" t="s">
        <v>1805</v>
      </c>
      <c r="H1024" s="40" t="s">
        <v>123</v>
      </c>
      <c r="I1024" s="55"/>
    </row>
    <row r="1025" spans="1:9" s="62" customFormat="1" ht="21.6" customHeight="1">
      <c r="A1025" s="41">
        <v>1142</v>
      </c>
      <c r="B1025" s="88">
        <v>857</v>
      </c>
      <c r="C1025" s="88" t="s">
        <v>680</v>
      </c>
      <c r="D1025" s="88" t="s">
        <v>1538</v>
      </c>
      <c r="E1025" s="8" t="s">
        <v>681</v>
      </c>
      <c r="F1025" s="69" t="s">
        <v>123</v>
      </c>
      <c r="G1025" s="149" t="s">
        <v>682</v>
      </c>
      <c r="H1025" s="44" t="s">
        <v>123</v>
      </c>
      <c r="I1025" s="71"/>
    </row>
    <row r="1026" spans="1:9" ht="21.6" customHeight="1">
      <c r="A1026" s="20">
        <v>1143</v>
      </c>
      <c r="B1026" s="73" t="s">
        <v>1303</v>
      </c>
      <c r="C1026" s="73" t="s">
        <v>498</v>
      </c>
      <c r="D1026" s="73" t="s">
        <v>1469</v>
      </c>
      <c r="E1026" s="72" t="s">
        <v>499</v>
      </c>
      <c r="F1026" s="74">
        <v>720</v>
      </c>
      <c r="G1026" s="143" t="s">
        <v>71</v>
      </c>
      <c r="H1026" s="74">
        <v>1</v>
      </c>
      <c r="I1026" s="75"/>
    </row>
    <row r="1027" spans="1:9" ht="21.6" customHeight="1">
      <c r="A1027" s="27">
        <v>1144</v>
      </c>
      <c r="B1027" s="34" t="s">
        <v>1303</v>
      </c>
      <c r="C1027" s="34" t="s">
        <v>500</v>
      </c>
      <c r="D1027" s="34" t="s">
        <v>1470</v>
      </c>
      <c r="E1027" s="35" t="s">
        <v>501</v>
      </c>
      <c r="F1027" s="76" t="s">
        <v>123</v>
      </c>
      <c r="G1027" s="145" t="s">
        <v>502</v>
      </c>
      <c r="H1027" s="40">
        <v>1</v>
      </c>
      <c r="I1027" s="56" t="s">
        <v>503</v>
      </c>
    </row>
    <row r="1028" spans="1:9" ht="21.6" customHeight="1">
      <c r="A1028" s="27">
        <v>1145</v>
      </c>
      <c r="B1028" s="34" t="s">
        <v>1303</v>
      </c>
      <c r="C1028" s="34" t="s">
        <v>504</v>
      </c>
      <c r="D1028" s="34" t="s">
        <v>1471</v>
      </c>
      <c r="E1028" s="35" t="s">
        <v>505</v>
      </c>
      <c r="F1028" s="40">
        <v>720</v>
      </c>
      <c r="G1028" s="145" t="s">
        <v>415</v>
      </c>
      <c r="H1028" s="40">
        <v>1</v>
      </c>
      <c r="I1028" s="56"/>
    </row>
    <row r="1029" spans="1:9" ht="21.6" customHeight="1">
      <c r="A1029" s="27">
        <v>1146</v>
      </c>
      <c r="B1029" s="34" t="s">
        <v>1303</v>
      </c>
      <c r="C1029" s="34" t="s">
        <v>691</v>
      </c>
      <c r="D1029" s="34" t="s">
        <v>1539</v>
      </c>
      <c r="E1029" s="35" t="s">
        <v>692</v>
      </c>
      <c r="F1029" s="40">
        <v>720</v>
      </c>
      <c r="G1029" s="144" t="s">
        <v>107</v>
      </c>
      <c r="H1029" s="40">
        <v>1</v>
      </c>
      <c r="I1029" s="56"/>
    </row>
    <row r="1030" spans="1:9" ht="21.6" customHeight="1">
      <c r="A1030" s="27">
        <v>1147</v>
      </c>
      <c r="B1030" s="34" t="s">
        <v>1303</v>
      </c>
      <c r="C1030" s="34" t="s">
        <v>508</v>
      </c>
      <c r="D1030" s="34" t="s">
        <v>1473</v>
      </c>
      <c r="E1030" s="35" t="s">
        <v>509</v>
      </c>
      <c r="F1030" s="40">
        <v>720</v>
      </c>
      <c r="G1030" s="145" t="s">
        <v>104</v>
      </c>
      <c r="H1030" s="40">
        <v>1</v>
      </c>
      <c r="I1030" s="56"/>
    </row>
    <row r="1031" spans="1:9" ht="21.6" customHeight="1">
      <c r="A1031" s="27">
        <v>1148</v>
      </c>
      <c r="B1031" s="34" t="s">
        <v>1303</v>
      </c>
      <c r="C1031" s="34" t="s">
        <v>510</v>
      </c>
      <c r="D1031" s="34" t="s">
        <v>1474</v>
      </c>
      <c r="E1031" s="35" t="s">
        <v>511</v>
      </c>
      <c r="F1031" s="40">
        <v>720</v>
      </c>
      <c r="G1031" s="145" t="s">
        <v>1806</v>
      </c>
      <c r="H1031" s="40">
        <v>1</v>
      </c>
      <c r="I1031" s="56"/>
    </row>
    <row r="1032" spans="1:9" ht="21.6" customHeight="1">
      <c r="A1032" s="27">
        <v>1149</v>
      </c>
      <c r="B1032" s="34" t="s">
        <v>1303</v>
      </c>
      <c r="C1032" s="34" t="s">
        <v>512</v>
      </c>
      <c r="D1032" s="34" t="s">
        <v>1475</v>
      </c>
      <c r="E1032" s="35" t="s">
        <v>513</v>
      </c>
      <c r="F1032" s="40">
        <v>720</v>
      </c>
      <c r="G1032" s="145" t="s">
        <v>1807</v>
      </c>
      <c r="H1032" s="40">
        <v>1</v>
      </c>
      <c r="I1032" s="56"/>
    </row>
    <row r="1033" spans="1:9" ht="21.6" customHeight="1">
      <c r="A1033" s="27">
        <v>1150</v>
      </c>
      <c r="B1033" s="34" t="s">
        <v>1303</v>
      </c>
      <c r="C1033" s="34" t="s">
        <v>514</v>
      </c>
      <c r="D1033" s="34" t="s">
        <v>1476</v>
      </c>
      <c r="E1033" s="35" t="s">
        <v>515</v>
      </c>
      <c r="F1033" s="40">
        <v>720</v>
      </c>
      <c r="G1033" s="145" t="s">
        <v>516</v>
      </c>
      <c r="H1033" s="40">
        <v>1</v>
      </c>
      <c r="I1033" s="56"/>
    </row>
    <row r="1034" spans="1:9" s="77" customFormat="1" ht="21.6" customHeight="1">
      <c r="A1034" s="27">
        <v>1151</v>
      </c>
      <c r="B1034" s="34" t="s">
        <v>1303</v>
      </c>
      <c r="C1034" s="34" t="s">
        <v>517</v>
      </c>
      <c r="D1034" s="47" t="s">
        <v>1477</v>
      </c>
      <c r="E1034" s="48" t="s">
        <v>518</v>
      </c>
      <c r="F1034" s="40">
        <v>720</v>
      </c>
      <c r="G1034" s="145" t="s">
        <v>1808</v>
      </c>
      <c r="H1034" s="40">
        <v>1</v>
      </c>
      <c r="I1034" s="56"/>
    </row>
    <row r="1035" spans="1:9" ht="21.6" customHeight="1">
      <c r="A1035" s="27">
        <v>1152</v>
      </c>
      <c r="B1035" s="34" t="s">
        <v>1303</v>
      </c>
      <c r="C1035" s="34" t="s">
        <v>519</v>
      </c>
      <c r="D1035" s="34" t="s">
        <v>1478</v>
      </c>
      <c r="E1035" s="35" t="s">
        <v>520</v>
      </c>
      <c r="F1035" s="40">
        <v>720</v>
      </c>
      <c r="G1035" s="144" t="s">
        <v>101</v>
      </c>
      <c r="H1035" s="40">
        <v>1</v>
      </c>
      <c r="I1035" s="56"/>
    </row>
    <row r="1036" spans="1:9" ht="21.6" customHeight="1">
      <c r="A1036" s="27">
        <v>1153</v>
      </c>
      <c r="B1036" s="34" t="s">
        <v>1303</v>
      </c>
      <c r="C1036" s="34" t="s">
        <v>521</v>
      </c>
      <c r="D1036" s="34" t="s">
        <v>1479</v>
      </c>
      <c r="E1036" s="35" t="s">
        <v>522</v>
      </c>
      <c r="F1036" s="40">
        <v>720</v>
      </c>
      <c r="G1036" s="145" t="s">
        <v>523</v>
      </c>
      <c r="H1036" s="40">
        <v>1</v>
      </c>
      <c r="I1036" s="56"/>
    </row>
    <row r="1037" spans="1:9" ht="21.6" customHeight="1">
      <c r="A1037" s="27">
        <v>1155</v>
      </c>
      <c r="B1037" s="34" t="s">
        <v>1303</v>
      </c>
      <c r="C1037" s="34" t="s">
        <v>524</v>
      </c>
      <c r="D1037" s="34" t="s">
        <v>1480</v>
      </c>
      <c r="E1037" s="35" t="s">
        <v>525</v>
      </c>
      <c r="F1037" s="40">
        <v>720</v>
      </c>
      <c r="G1037" s="144" t="s">
        <v>1809</v>
      </c>
      <c r="H1037" s="40">
        <v>1</v>
      </c>
      <c r="I1037" s="56" t="s">
        <v>526</v>
      </c>
    </row>
    <row r="1038" spans="1:9" ht="21.6" customHeight="1">
      <c r="A1038" s="27">
        <v>1156</v>
      </c>
      <c r="B1038" s="34" t="s">
        <v>1303</v>
      </c>
      <c r="C1038" s="34" t="s">
        <v>527</v>
      </c>
      <c r="D1038" s="34" t="s">
        <v>1481</v>
      </c>
      <c r="E1038" s="35" t="s">
        <v>528</v>
      </c>
      <c r="F1038" s="40">
        <v>720</v>
      </c>
      <c r="G1038" s="144" t="s">
        <v>1810</v>
      </c>
      <c r="H1038" s="40">
        <v>1</v>
      </c>
      <c r="I1038" s="56"/>
    </row>
    <row r="1039" spans="1:9" ht="21.6" customHeight="1">
      <c r="A1039" s="27">
        <v>1157</v>
      </c>
      <c r="B1039" s="34" t="s">
        <v>1303</v>
      </c>
      <c r="C1039" s="34" t="s">
        <v>529</v>
      </c>
      <c r="D1039" s="34" t="s">
        <v>1482</v>
      </c>
      <c r="E1039" s="35" t="s">
        <v>530</v>
      </c>
      <c r="F1039" s="40">
        <v>720</v>
      </c>
      <c r="G1039" s="144" t="s">
        <v>1811</v>
      </c>
      <c r="H1039" s="40">
        <v>1</v>
      </c>
      <c r="I1039" s="56"/>
    </row>
    <row r="1040" spans="1:9" ht="21.6" customHeight="1">
      <c r="A1040" s="27">
        <v>1158</v>
      </c>
      <c r="B1040" s="34" t="s">
        <v>1303</v>
      </c>
      <c r="C1040" s="34" t="s">
        <v>531</v>
      </c>
      <c r="D1040" s="34" t="s">
        <v>1483</v>
      </c>
      <c r="E1040" s="35" t="s">
        <v>532</v>
      </c>
      <c r="F1040" s="40">
        <v>720</v>
      </c>
      <c r="G1040" s="144" t="s">
        <v>533</v>
      </c>
      <c r="H1040" s="40">
        <v>1</v>
      </c>
      <c r="I1040" s="56"/>
    </row>
    <row r="1041" spans="1:9" ht="21.6" customHeight="1">
      <c r="A1041" s="27">
        <v>1159</v>
      </c>
      <c r="B1041" s="34" t="s">
        <v>1303</v>
      </c>
      <c r="C1041" s="34" t="s">
        <v>534</v>
      </c>
      <c r="D1041" s="34" t="s">
        <v>1484</v>
      </c>
      <c r="E1041" s="35" t="s">
        <v>535</v>
      </c>
      <c r="F1041" s="40">
        <v>720</v>
      </c>
      <c r="G1041" s="145" t="s">
        <v>1812</v>
      </c>
      <c r="H1041" s="40">
        <v>1</v>
      </c>
      <c r="I1041" s="56"/>
    </row>
    <row r="1042" spans="1:9" ht="21.6" customHeight="1">
      <c r="A1042" s="27">
        <v>1160</v>
      </c>
      <c r="B1042" s="34" t="s">
        <v>1303</v>
      </c>
      <c r="C1042" s="34" t="s">
        <v>536</v>
      </c>
      <c r="D1042" s="34" t="s">
        <v>1485</v>
      </c>
      <c r="E1042" s="35" t="s">
        <v>537</v>
      </c>
      <c r="F1042" s="40">
        <v>720</v>
      </c>
      <c r="G1042" s="145" t="s">
        <v>1813</v>
      </c>
      <c r="H1042" s="40">
        <v>1</v>
      </c>
      <c r="I1042" s="56"/>
    </row>
    <row r="1043" spans="1:9" ht="21.6" customHeight="1">
      <c r="A1043" s="27">
        <v>1161</v>
      </c>
      <c r="B1043" s="34" t="s">
        <v>1303</v>
      </c>
      <c r="C1043" s="34" t="s">
        <v>538</v>
      </c>
      <c r="D1043" s="34" t="s">
        <v>1486</v>
      </c>
      <c r="E1043" s="35" t="s">
        <v>539</v>
      </c>
      <c r="F1043" s="40">
        <v>720</v>
      </c>
      <c r="G1043" s="145" t="s">
        <v>1814</v>
      </c>
      <c r="H1043" s="40">
        <v>1</v>
      </c>
      <c r="I1043" s="56"/>
    </row>
    <row r="1044" spans="1:9" ht="21.6" customHeight="1">
      <c r="A1044" s="27">
        <v>1162</v>
      </c>
      <c r="B1044" s="34" t="s">
        <v>1303</v>
      </c>
      <c r="C1044" s="34" t="s">
        <v>540</v>
      </c>
      <c r="D1044" s="34" t="s">
        <v>1487</v>
      </c>
      <c r="E1044" s="35" t="s">
        <v>541</v>
      </c>
      <c r="F1044" s="40">
        <v>720</v>
      </c>
      <c r="G1044" s="145" t="s">
        <v>1815</v>
      </c>
      <c r="H1044" s="40">
        <v>1</v>
      </c>
      <c r="I1044" s="56"/>
    </row>
    <row r="1045" spans="1:9" ht="21.6" customHeight="1">
      <c r="A1045" s="27">
        <v>1163</v>
      </c>
      <c r="B1045" s="34" t="s">
        <v>1303</v>
      </c>
      <c r="C1045" s="34" t="s">
        <v>542</v>
      </c>
      <c r="D1045" s="34" t="s">
        <v>1488</v>
      </c>
      <c r="E1045" s="35" t="s">
        <v>543</v>
      </c>
      <c r="F1045" s="40" t="s">
        <v>453</v>
      </c>
      <c r="G1045" s="144" t="s">
        <v>1816</v>
      </c>
      <c r="H1045" s="40">
        <v>1</v>
      </c>
      <c r="I1045" s="56" t="s">
        <v>455</v>
      </c>
    </row>
    <row r="1046" spans="1:9" ht="21.6" customHeight="1">
      <c r="A1046" s="27">
        <v>1164</v>
      </c>
      <c r="B1046" s="34" t="s">
        <v>1303</v>
      </c>
      <c r="C1046" s="34" t="s">
        <v>542</v>
      </c>
      <c r="D1046" s="34" t="s">
        <v>1488</v>
      </c>
      <c r="E1046" s="35" t="s">
        <v>543</v>
      </c>
      <c r="F1046" s="40" t="s">
        <v>453</v>
      </c>
      <c r="G1046" s="144" t="s">
        <v>1816</v>
      </c>
      <c r="H1046" s="40">
        <v>1</v>
      </c>
      <c r="I1046" s="56" t="s">
        <v>455</v>
      </c>
    </row>
    <row r="1047" spans="1:9" ht="21.6" customHeight="1">
      <c r="A1047" s="27">
        <v>1165</v>
      </c>
      <c r="B1047" s="34" t="s">
        <v>1303</v>
      </c>
      <c r="C1047" s="34" t="s">
        <v>457</v>
      </c>
      <c r="D1047" s="34" t="s">
        <v>1453</v>
      </c>
      <c r="E1047" s="35" t="s">
        <v>458</v>
      </c>
      <c r="F1047" s="40" t="s">
        <v>453</v>
      </c>
      <c r="G1047" s="144" t="s">
        <v>1817</v>
      </c>
      <c r="H1047" s="40">
        <v>1</v>
      </c>
      <c r="I1047" s="56" t="s">
        <v>455</v>
      </c>
    </row>
    <row r="1048" spans="1:9" ht="21.6" customHeight="1">
      <c r="A1048" s="27">
        <v>1166</v>
      </c>
      <c r="B1048" s="34" t="s">
        <v>1303</v>
      </c>
      <c r="C1048" s="34" t="s">
        <v>280</v>
      </c>
      <c r="D1048" s="34" t="s">
        <v>1394</v>
      </c>
      <c r="E1048" s="35" t="s">
        <v>281</v>
      </c>
      <c r="F1048" s="68" t="s">
        <v>470</v>
      </c>
      <c r="G1048" s="145" t="s">
        <v>1782</v>
      </c>
      <c r="H1048" s="40">
        <v>1</v>
      </c>
      <c r="I1048" s="56"/>
    </row>
    <row r="1049" spans="1:9" ht="21.6" customHeight="1">
      <c r="A1049" s="27">
        <v>1167</v>
      </c>
      <c r="B1049" s="34" t="s">
        <v>1303</v>
      </c>
      <c r="C1049" s="34" t="s">
        <v>284</v>
      </c>
      <c r="D1049" s="34" t="s">
        <v>1395</v>
      </c>
      <c r="E1049" s="35" t="s">
        <v>226</v>
      </c>
      <c r="F1049" s="68" t="s">
        <v>470</v>
      </c>
      <c r="G1049" s="144" t="s">
        <v>285</v>
      </c>
      <c r="H1049" s="40">
        <v>1</v>
      </c>
      <c r="I1049" s="56"/>
    </row>
    <row r="1050" spans="1:9" ht="21.6" customHeight="1">
      <c r="A1050" s="27">
        <v>1168</v>
      </c>
      <c r="B1050" s="34" t="s">
        <v>1303</v>
      </c>
      <c r="C1050" s="34" t="s">
        <v>287</v>
      </c>
      <c r="D1050" s="64" t="s">
        <v>1396</v>
      </c>
      <c r="E1050" s="7" t="s">
        <v>288</v>
      </c>
      <c r="F1050" s="68" t="s">
        <v>470</v>
      </c>
      <c r="G1050" s="145" t="s">
        <v>282</v>
      </c>
      <c r="H1050" s="40">
        <v>1</v>
      </c>
      <c r="I1050" s="56"/>
    </row>
    <row r="1051" spans="1:9" ht="21.6" customHeight="1">
      <c r="A1051" s="27">
        <v>1169</v>
      </c>
      <c r="B1051" s="34" t="s">
        <v>1303</v>
      </c>
      <c r="C1051" s="34" t="s">
        <v>332</v>
      </c>
      <c r="D1051" s="34" t="s">
        <v>1410</v>
      </c>
      <c r="E1051" s="35" t="s">
        <v>333</v>
      </c>
      <c r="F1051" s="40">
        <v>500</v>
      </c>
      <c r="G1051" s="144" t="s">
        <v>1818</v>
      </c>
      <c r="H1051" s="40">
        <v>2</v>
      </c>
      <c r="I1051" s="55" t="s">
        <v>545</v>
      </c>
    </row>
    <row r="1052" spans="1:9" ht="21.6" customHeight="1">
      <c r="A1052" s="27">
        <v>1170</v>
      </c>
      <c r="B1052" s="34" t="s">
        <v>1303</v>
      </c>
      <c r="C1052" s="34" t="s">
        <v>335</v>
      </c>
      <c r="D1052" s="34" t="s">
        <v>1411</v>
      </c>
      <c r="E1052" s="35" t="s">
        <v>336</v>
      </c>
      <c r="F1052" s="40">
        <v>500</v>
      </c>
      <c r="G1052" s="144" t="s">
        <v>546</v>
      </c>
      <c r="H1052" s="40">
        <v>1</v>
      </c>
      <c r="I1052" s="55" t="s">
        <v>545</v>
      </c>
    </row>
    <row r="1053" spans="1:9" ht="21.6" customHeight="1">
      <c r="A1053" s="27">
        <v>1171</v>
      </c>
      <c r="B1053" s="34" t="s">
        <v>1303</v>
      </c>
      <c r="C1053" s="34" t="s">
        <v>339</v>
      </c>
      <c r="D1053" s="34" t="s">
        <v>1412</v>
      </c>
      <c r="E1053" s="35" t="s">
        <v>340</v>
      </c>
      <c r="F1053" s="40">
        <v>500</v>
      </c>
      <c r="G1053" s="145" t="s">
        <v>547</v>
      </c>
      <c r="H1053" s="40">
        <v>1</v>
      </c>
      <c r="I1053" s="55" t="s">
        <v>545</v>
      </c>
    </row>
    <row r="1054" spans="1:9" ht="21.6" customHeight="1">
      <c r="A1054" s="27">
        <v>1172</v>
      </c>
      <c r="B1054" s="34" t="s">
        <v>1303</v>
      </c>
      <c r="C1054" s="34" t="s">
        <v>548</v>
      </c>
      <c r="D1054" s="78" t="s">
        <v>1489</v>
      </c>
      <c r="E1054" s="35" t="s">
        <v>549</v>
      </c>
      <c r="F1054" s="40">
        <v>100</v>
      </c>
      <c r="G1054" s="145" t="s">
        <v>1819</v>
      </c>
      <c r="H1054" s="40">
        <v>1</v>
      </c>
      <c r="I1054" s="56" t="s">
        <v>116</v>
      </c>
    </row>
    <row r="1055" spans="1:9" ht="21.6" customHeight="1">
      <c r="A1055" s="27">
        <v>1173</v>
      </c>
      <c r="B1055" s="34" t="s">
        <v>1303</v>
      </c>
      <c r="C1055" s="34" t="s">
        <v>551</v>
      </c>
      <c r="D1055" s="34" t="s">
        <v>1490</v>
      </c>
      <c r="E1055" s="35" t="s">
        <v>552</v>
      </c>
      <c r="F1055" s="40">
        <v>100</v>
      </c>
      <c r="G1055" s="144" t="s">
        <v>553</v>
      </c>
      <c r="H1055" s="40">
        <v>1</v>
      </c>
      <c r="I1055" s="56" t="s">
        <v>116</v>
      </c>
    </row>
    <row r="1056" spans="1:9" ht="21.6" customHeight="1">
      <c r="A1056" s="27">
        <v>1174</v>
      </c>
      <c r="B1056" s="34" t="s">
        <v>1303</v>
      </c>
      <c r="C1056" s="34" t="s">
        <v>554</v>
      </c>
      <c r="D1056" s="34" t="s">
        <v>1491</v>
      </c>
      <c r="E1056" s="35" t="s">
        <v>555</v>
      </c>
      <c r="F1056" s="40">
        <v>100</v>
      </c>
      <c r="G1056" s="144" t="s">
        <v>550</v>
      </c>
      <c r="H1056" s="40">
        <v>1</v>
      </c>
      <c r="I1056" s="56" t="s">
        <v>116</v>
      </c>
    </row>
    <row r="1057" spans="1:9" ht="21.6" customHeight="1">
      <c r="A1057" s="27">
        <v>1175</v>
      </c>
      <c r="B1057" s="34" t="s">
        <v>1303</v>
      </c>
      <c r="C1057" s="34" t="s">
        <v>693</v>
      </c>
      <c r="D1057" s="79" t="s">
        <v>1540</v>
      </c>
      <c r="E1057" s="35" t="s">
        <v>694</v>
      </c>
      <c r="F1057" s="40">
        <v>720</v>
      </c>
      <c r="G1057" s="145" t="s">
        <v>558</v>
      </c>
      <c r="H1057" s="40" t="s">
        <v>123</v>
      </c>
      <c r="I1057" s="56"/>
    </row>
    <row r="1058" spans="1:9" ht="21.6" customHeight="1">
      <c r="A1058" s="27">
        <v>1176</v>
      </c>
      <c r="B1058" s="34" t="s">
        <v>1303</v>
      </c>
      <c r="C1058" s="34" t="s">
        <v>559</v>
      </c>
      <c r="D1058" s="80" t="s">
        <v>1493</v>
      </c>
      <c r="E1058" s="35" t="s">
        <v>560</v>
      </c>
      <c r="F1058" s="40">
        <v>720</v>
      </c>
      <c r="G1058" s="145" t="s">
        <v>1820</v>
      </c>
      <c r="H1058" s="40" t="s">
        <v>123</v>
      </c>
      <c r="I1058" s="56"/>
    </row>
    <row r="1059" spans="1:9" ht="21.6" customHeight="1">
      <c r="A1059" s="27">
        <v>1177</v>
      </c>
      <c r="B1059" s="34" t="s">
        <v>1303</v>
      </c>
      <c r="C1059" s="34" t="s">
        <v>561</v>
      </c>
      <c r="D1059" s="34" t="s">
        <v>1494</v>
      </c>
      <c r="E1059" s="35" t="s">
        <v>562</v>
      </c>
      <c r="F1059" s="40">
        <v>720</v>
      </c>
      <c r="G1059" s="145" t="s">
        <v>244</v>
      </c>
      <c r="H1059" s="40" t="s">
        <v>123</v>
      </c>
      <c r="I1059" s="56"/>
    </row>
    <row r="1060" spans="1:9" ht="21.6" customHeight="1">
      <c r="A1060" s="27">
        <v>1178</v>
      </c>
      <c r="B1060" s="34" t="s">
        <v>1303</v>
      </c>
      <c r="C1060" s="34" t="s">
        <v>563</v>
      </c>
      <c r="D1060" s="34" t="s">
        <v>1495</v>
      </c>
      <c r="E1060" s="35" t="s">
        <v>564</v>
      </c>
      <c r="F1060" s="40">
        <v>720</v>
      </c>
      <c r="G1060" s="145" t="s">
        <v>1803</v>
      </c>
      <c r="H1060" s="40" t="s">
        <v>123</v>
      </c>
      <c r="I1060" s="56"/>
    </row>
    <row r="1061" spans="1:9" ht="21.6" customHeight="1">
      <c r="A1061" s="27">
        <v>1179</v>
      </c>
      <c r="B1061" s="34" t="s">
        <v>1303</v>
      </c>
      <c r="C1061" s="34" t="s">
        <v>565</v>
      </c>
      <c r="D1061" s="34" t="s">
        <v>1496</v>
      </c>
      <c r="E1061" s="35" t="s">
        <v>566</v>
      </c>
      <c r="F1061" s="40" t="s">
        <v>453</v>
      </c>
      <c r="G1061" s="144" t="s">
        <v>567</v>
      </c>
      <c r="H1061" s="40" t="s">
        <v>123</v>
      </c>
      <c r="I1061" s="56" t="s">
        <v>455</v>
      </c>
    </row>
    <row r="1062" spans="1:9" ht="21.6" customHeight="1">
      <c r="A1062" s="27">
        <v>1180</v>
      </c>
      <c r="B1062" s="34" t="s">
        <v>1303</v>
      </c>
      <c r="C1062" s="34" t="s">
        <v>568</v>
      </c>
      <c r="D1062" s="34" t="s">
        <v>1497</v>
      </c>
      <c r="E1062" s="35" t="s">
        <v>569</v>
      </c>
      <c r="F1062" s="40">
        <v>500</v>
      </c>
      <c r="G1062" s="144" t="s">
        <v>570</v>
      </c>
      <c r="H1062" s="40" t="s">
        <v>123</v>
      </c>
      <c r="I1062" s="55" t="s">
        <v>545</v>
      </c>
    </row>
    <row r="1063" spans="1:9" ht="21.6" customHeight="1">
      <c r="A1063" s="27">
        <v>1181</v>
      </c>
      <c r="B1063" s="34" t="s">
        <v>1303</v>
      </c>
      <c r="C1063" s="34" t="s">
        <v>301</v>
      </c>
      <c r="D1063" s="67" t="s">
        <v>1401</v>
      </c>
      <c r="E1063" s="30" t="s">
        <v>302</v>
      </c>
      <c r="F1063" s="68" t="s">
        <v>470</v>
      </c>
      <c r="G1063" s="145" t="s">
        <v>303</v>
      </c>
      <c r="H1063" s="40" t="s">
        <v>123</v>
      </c>
      <c r="I1063" s="56"/>
    </row>
    <row r="1064" spans="1:9" ht="21.6" customHeight="1">
      <c r="A1064" s="27">
        <v>1182</v>
      </c>
      <c r="B1064" s="34" t="s">
        <v>1303</v>
      </c>
      <c r="C1064" s="34" t="s">
        <v>571</v>
      </c>
      <c r="D1064" s="34" t="s">
        <v>1498</v>
      </c>
      <c r="E1064" s="35" t="s">
        <v>572</v>
      </c>
      <c r="F1064" s="40" t="s">
        <v>123</v>
      </c>
      <c r="G1064" s="145" t="s">
        <v>132</v>
      </c>
      <c r="H1064" s="40" t="s">
        <v>123</v>
      </c>
      <c r="I1064" s="56"/>
    </row>
    <row r="1065" spans="1:9" ht="21.6" customHeight="1">
      <c r="A1065" s="27">
        <v>1183</v>
      </c>
      <c r="B1065" s="34" t="s">
        <v>1303</v>
      </c>
      <c r="C1065" s="34" t="s">
        <v>573</v>
      </c>
      <c r="D1065" s="34" t="s">
        <v>1499</v>
      </c>
      <c r="E1065" s="35" t="s">
        <v>574</v>
      </c>
      <c r="F1065" s="40" t="s">
        <v>123</v>
      </c>
      <c r="G1065" s="145" t="s">
        <v>575</v>
      </c>
      <c r="H1065" s="40" t="s">
        <v>123</v>
      </c>
      <c r="I1065" s="56"/>
    </row>
    <row r="1066" spans="1:9" ht="21.6" customHeight="1">
      <c r="A1066" s="27">
        <v>1184</v>
      </c>
      <c r="B1066" s="34" t="s">
        <v>1303</v>
      </c>
      <c r="C1066" s="34" t="s">
        <v>695</v>
      </c>
      <c r="D1066" s="34" t="s">
        <v>1541</v>
      </c>
      <c r="E1066" s="35" t="s">
        <v>696</v>
      </c>
      <c r="F1066" s="40" t="s">
        <v>123</v>
      </c>
      <c r="G1066" s="144" t="s">
        <v>135</v>
      </c>
      <c r="H1066" s="40" t="s">
        <v>123</v>
      </c>
      <c r="I1066" s="56"/>
    </row>
    <row r="1067" spans="1:9" ht="21.6" customHeight="1">
      <c r="A1067" s="27">
        <v>1185</v>
      </c>
      <c r="B1067" s="34" t="s">
        <v>1303</v>
      </c>
      <c r="C1067" s="34" t="s">
        <v>578</v>
      </c>
      <c r="D1067" s="34" t="s">
        <v>1501</v>
      </c>
      <c r="E1067" s="35" t="s">
        <v>579</v>
      </c>
      <c r="F1067" s="40" t="s">
        <v>123</v>
      </c>
      <c r="G1067" s="144" t="s">
        <v>1821</v>
      </c>
      <c r="H1067" s="40" t="s">
        <v>123</v>
      </c>
      <c r="I1067" s="56"/>
    </row>
    <row r="1068" spans="1:9" ht="21.6" customHeight="1">
      <c r="A1068" s="27">
        <v>1186</v>
      </c>
      <c r="B1068" s="34" t="s">
        <v>1303</v>
      </c>
      <c r="C1068" s="34" t="s">
        <v>580</v>
      </c>
      <c r="D1068" s="34" t="s">
        <v>1502</v>
      </c>
      <c r="E1068" s="35" t="s">
        <v>581</v>
      </c>
      <c r="F1068" s="40" t="s">
        <v>123</v>
      </c>
      <c r="G1068" s="144" t="s">
        <v>582</v>
      </c>
      <c r="H1068" s="40" t="s">
        <v>123</v>
      </c>
      <c r="I1068" s="56"/>
    </row>
    <row r="1069" spans="1:9" ht="21.6" customHeight="1">
      <c r="A1069" s="27">
        <v>1188</v>
      </c>
      <c r="B1069" s="34" t="s">
        <v>1303</v>
      </c>
      <c r="C1069" s="34" t="s">
        <v>583</v>
      </c>
      <c r="D1069" s="34" t="s">
        <v>1503</v>
      </c>
      <c r="E1069" s="35" t="s">
        <v>584</v>
      </c>
      <c r="F1069" s="40" t="s">
        <v>123</v>
      </c>
      <c r="G1069" s="145" t="s">
        <v>585</v>
      </c>
      <c r="H1069" s="40" t="s">
        <v>123</v>
      </c>
      <c r="I1069" s="56" t="s">
        <v>586</v>
      </c>
    </row>
    <row r="1070" spans="1:9" ht="21.6" customHeight="1">
      <c r="A1070" s="92">
        <v>1190</v>
      </c>
      <c r="B1070" s="134" t="s">
        <v>1304</v>
      </c>
      <c r="C1070" s="134" t="s">
        <v>498</v>
      </c>
      <c r="D1070" s="73" t="s">
        <v>1469</v>
      </c>
      <c r="E1070" s="72" t="s">
        <v>499</v>
      </c>
      <c r="F1070" s="93">
        <v>740</v>
      </c>
      <c r="G1070" s="143" t="s">
        <v>71</v>
      </c>
      <c r="H1070" s="74">
        <v>1</v>
      </c>
      <c r="I1070" s="75"/>
    </row>
    <row r="1071" spans="1:9" ht="21.6" customHeight="1">
      <c r="A1071" s="94">
        <v>1191</v>
      </c>
      <c r="B1071" s="36" t="s">
        <v>1304</v>
      </c>
      <c r="C1071" s="36" t="s">
        <v>500</v>
      </c>
      <c r="D1071" s="34" t="s">
        <v>1470</v>
      </c>
      <c r="E1071" s="35" t="s">
        <v>501</v>
      </c>
      <c r="F1071" s="95" t="s">
        <v>123</v>
      </c>
      <c r="G1071" s="145" t="s">
        <v>502</v>
      </c>
      <c r="H1071" s="40">
        <v>1</v>
      </c>
      <c r="I1071" s="56" t="s">
        <v>503</v>
      </c>
    </row>
    <row r="1072" spans="1:9" ht="21.6" customHeight="1">
      <c r="A1072" s="94">
        <v>1192</v>
      </c>
      <c r="B1072" s="36" t="s">
        <v>1304</v>
      </c>
      <c r="C1072" s="36" t="s">
        <v>504</v>
      </c>
      <c r="D1072" s="34" t="s">
        <v>1471</v>
      </c>
      <c r="E1072" s="35" t="s">
        <v>505</v>
      </c>
      <c r="F1072" s="96">
        <v>740</v>
      </c>
      <c r="G1072" s="145" t="s">
        <v>415</v>
      </c>
      <c r="H1072" s="40">
        <v>1</v>
      </c>
      <c r="I1072" s="56"/>
    </row>
    <row r="1073" spans="1:9" ht="21.6" customHeight="1">
      <c r="A1073" s="94">
        <v>1193</v>
      </c>
      <c r="B1073" s="36" t="s">
        <v>1304</v>
      </c>
      <c r="C1073" s="36" t="s">
        <v>691</v>
      </c>
      <c r="D1073" s="34" t="s">
        <v>1539</v>
      </c>
      <c r="E1073" s="35" t="s">
        <v>692</v>
      </c>
      <c r="F1073" s="96">
        <v>740</v>
      </c>
      <c r="G1073" s="144" t="s">
        <v>107</v>
      </c>
      <c r="H1073" s="40">
        <v>1</v>
      </c>
      <c r="I1073" s="56"/>
    </row>
    <row r="1074" spans="1:9" ht="21.6" customHeight="1">
      <c r="A1074" s="94">
        <v>1194</v>
      </c>
      <c r="B1074" s="36" t="s">
        <v>1304</v>
      </c>
      <c r="C1074" s="36" t="s">
        <v>508</v>
      </c>
      <c r="D1074" s="34" t="s">
        <v>1473</v>
      </c>
      <c r="E1074" s="35" t="s">
        <v>509</v>
      </c>
      <c r="F1074" s="96">
        <v>740</v>
      </c>
      <c r="G1074" s="145" t="s">
        <v>104</v>
      </c>
      <c r="H1074" s="40">
        <v>1</v>
      </c>
      <c r="I1074" s="56"/>
    </row>
    <row r="1075" spans="1:9" ht="21.6" customHeight="1">
      <c r="A1075" s="94">
        <v>1195</v>
      </c>
      <c r="B1075" s="36" t="s">
        <v>1304</v>
      </c>
      <c r="C1075" s="36" t="s">
        <v>510</v>
      </c>
      <c r="D1075" s="34" t="s">
        <v>1474</v>
      </c>
      <c r="E1075" s="35" t="s">
        <v>511</v>
      </c>
      <c r="F1075" s="96">
        <v>740</v>
      </c>
      <c r="G1075" s="145" t="s">
        <v>1806</v>
      </c>
      <c r="H1075" s="40">
        <v>1</v>
      </c>
      <c r="I1075" s="56"/>
    </row>
    <row r="1076" spans="1:9" ht="21.6" customHeight="1">
      <c r="A1076" s="94">
        <v>1196</v>
      </c>
      <c r="B1076" s="36" t="s">
        <v>1304</v>
      </c>
      <c r="C1076" s="36" t="s">
        <v>512</v>
      </c>
      <c r="D1076" s="34" t="s">
        <v>1475</v>
      </c>
      <c r="E1076" s="35" t="s">
        <v>513</v>
      </c>
      <c r="F1076" s="96">
        <v>740</v>
      </c>
      <c r="G1076" s="145" t="s">
        <v>1807</v>
      </c>
      <c r="H1076" s="40">
        <v>1</v>
      </c>
      <c r="I1076" s="56"/>
    </row>
    <row r="1077" spans="1:9" ht="21.6" customHeight="1">
      <c r="A1077" s="94">
        <v>1197</v>
      </c>
      <c r="B1077" s="36" t="s">
        <v>1304</v>
      </c>
      <c r="C1077" s="36" t="s">
        <v>514</v>
      </c>
      <c r="D1077" s="34" t="s">
        <v>1476</v>
      </c>
      <c r="E1077" s="35" t="s">
        <v>515</v>
      </c>
      <c r="F1077" s="96">
        <v>740</v>
      </c>
      <c r="G1077" s="145" t="s">
        <v>516</v>
      </c>
      <c r="H1077" s="40">
        <v>1</v>
      </c>
      <c r="I1077" s="56"/>
    </row>
    <row r="1078" spans="1:9" s="77" customFormat="1" ht="21.6" customHeight="1">
      <c r="A1078" s="94">
        <v>1198</v>
      </c>
      <c r="B1078" s="36" t="s">
        <v>1304</v>
      </c>
      <c r="C1078" s="36" t="s">
        <v>517</v>
      </c>
      <c r="D1078" s="47" t="s">
        <v>1477</v>
      </c>
      <c r="E1078" s="48" t="s">
        <v>518</v>
      </c>
      <c r="F1078" s="96">
        <v>740</v>
      </c>
      <c r="G1078" s="145" t="s">
        <v>1808</v>
      </c>
      <c r="H1078" s="40">
        <v>1</v>
      </c>
      <c r="I1078" s="56"/>
    </row>
    <row r="1079" spans="1:9" ht="21.6" customHeight="1">
      <c r="A1079" s="94">
        <v>1199</v>
      </c>
      <c r="B1079" s="36" t="s">
        <v>1304</v>
      </c>
      <c r="C1079" s="36" t="s">
        <v>519</v>
      </c>
      <c r="D1079" s="34" t="s">
        <v>1478</v>
      </c>
      <c r="E1079" s="35" t="s">
        <v>520</v>
      </c>
      <c r="F1079" s="96">
        <v>740</v>
      </c>
      <c r="G1079" s="144" t="s">
        <v>101</v>
      </c>
      <c r="H1079" s="40">
        <v>1</v>
      </c>
      <c r="I1079" s="56"/>
    </row>
    <row r="1080" spans="1:9" ht="21.6" customHeight="1">
      <c r="A1080" s="94">
        <v>1200</v>
      </c>
      <c r="B1080" s="36" t="s">
        <v>1304</v>
      </c>
      <c r="C1080" s="36" t="s">
        <v>521</v>
      </c>
      <c r="D1080" s="34" t="s">
        <v>1479</v>
      </c>
      <c r="E1080" s="35" t="s">
        <v>522</v>
      </c>
      <c r="F1080" s="96">
        <v>740</v>
      </c>
      <c r="G1080" s="145" t="s">
        <v>523</v>
      </c>
      <c r="H1080" s="40">
        <v>1</v>
      </c>
      <c r="I1080" s="56"/>
    </row>
    <row r="1081" spans="1:9" ht="21.6" customHeight="1">
      <c r="A1081" s="94">
        <v>1202</v>
      </c>
      <c r="B1081" s="36" t="s">
        <v>1304</v>
      </c>
      <c r="C1081" s="36" t="s">
        <v>524</v>
      </c>
      <c r="D1081" s="34" t="s">
        <v>1480</v>
      </c>
      <c r="E1081" s="35" t="s">
        <v>525</v>
      </c>
      <c r="F1081" s="96">
        <v>740</v>
      </c>
      <c r="G1081" s="144" t="s">
        <v>1809</v>
      </c>
      <c r="H1081" s="40">
        <v>1</v>
      </c>
      <c r="I1081" s="56" t="s">
        <v>526</v>
      </c>
    </row>
    <row r="1082" spans="1:9" ht="21.6" customHeight="1">
      <c r="A1082" s="94">
        <v>1203</v>
      </c>
      <c r="B1082" s="36" t="s">
        <v>1304</v>
      </c>
      <c r="C1082" s="36" t="s">
        <v>527</v>
      </c>
      <c r="D1082" s="34" t="s">
        <v>1481</v>
      </c>
      <c r="E1082" s="35" t="s">
        <v>528</v>
      </c>
      <c r="F1082" s="96">
        <v>740</v>
      </c>
      <c r="G1082" s="144" t="s">
        <v>1810</v>
      </c>
      <c r="H1082" s="40">
        <v>1</v>
      </c>
      <c r="I1082" s="56"/>
    </row>
    <row r="1083" spans="1:9" ht="21.6" customHeight="1">
      <c r="A1083" s="94">
        <v>1204</v>
      </c>
      <c r="B1083" s="36" t="s">
        <v>1304</v>
      </c>
      <c r="C1083" s="36" t="s">
        <v>529</v>
      </c>
      <c r="D1083" s="34" t="s">
        <v>1482</v>
      </c>
      <c r="E1083" s="35" t="s">
        <v>530</v>
      </c>
      <c r="F1083" s="96">
        <v>740</v>
      </c>
      <c r="G1083" s="144" t="s">
        <v>1811</v>
      </c>
      <c r="H1083" s="40">
        <v>1</v>
      </c>
      <c r="I1083" s="56"/>
    </row>
    <row r="1084" spans="1:9" ht="21.6" customHeight="1">
      <c r="A1084" s="94">
        <v>1205</v>
      </c>
      <c r="B1084" s="36" t="s">
        <v>1304</v>
      </c>
      <c r="C1084" s="36" t="s">
        <v>531</v>
      </c>
      <c r="D1084" s="34" t="s">
        <v>1483</v>
      </c>
      <c r="E1084" s="35" t="s">
        <v>532</v>
      </c>
      <c r="F1084" s="96">
        <v>740</v>
      </c>
      <c r="G1084" s="144" t="s">
        <v>533</v>
      </c>
      <c r="H1084" s="40">
        <v>1</v>
      </c>
      <c r="I1084" s="56"/>
    </row>
    <row r="1085" spans="1:9" ht="21.6" customHeight="1">
      <c r="A1085" s="94">
        <v>1206</v>
      </c>
      <c r="B1085" s="36" t="s">
        <v>1304</v>
      </c>
      <c r="C1085" s="36" t="s">
        <v>534</v>
      </c>
      <c r="D1085" s="34" t="s">
        <v>1484</v>
      </c>
      <c r="E1085" s="35" t="s">
        <v>535</v>
      </c>
      <c r="F1085" s="96">
        <v>740</v>
      </c>
      <c r="G1085" s="145" t="s">
        <v>1812</v>
      </c>
      <c r="H1085" s="40">
        <v>1</v>
      </c>
      <c r="I1085" s="56"/>
    </row>
    <row r="1086" spans="1:9" ht="21.6" customHeight="1">
      <c r="A1086" s="94">
        <v>1207</v>
      </c>
      <c r="B1086" s="36" t="s">
        <v>1304</v>
      </c>
      <c r="C1086" s="36" t="s">
        <v>536</v>
      </c>
      <c r="D1086" s="34" t="s">
        <v>1485</v>
      </c>
      <c r="E1086" s="35" t="s">
        <v>537</v>
      </c>
      <c r="F1086" s="96">
        <v>740</v>
      </c>
      <c r="G1086" s="145" t="s">
        <v>1813</v>
      </c>
      <c r="H1086" s="40">
        <v>1</v>
      </c>
      <c r="I1086" s="56"/>
    </row>
    <row r="1087" spans="1:9" ht="21.6" customHeight="1">
      <c r="A1087" s="94">
        <v>1208</v>
      </c>
      <c r="B1087" s="36" t="s">
        <v>1304</v>
      </c>
      <c r="C1087" s="36" t="s">
        <v>538</v>
      </c>
      <c r="D1087" s="34" t="s">
        <v>1486</v>
      </c>
      <c r="E1087" s="35" t="s">
        <v>539</v>
      </c>
      <c r="F1087" s="96">
        <v>740</v>
      </c>
      <c r="G1087" s="145" t="s">
        <v>1814</v>
      </c>
      <c r="H1087" s="40">
        <v>1</v>
      </c>
      <c r="I1087" s="56"/>
    </row>
    <row r="1088" spans="1:9" ht="21.6" customHeight="1">
      <c r="A1088" s="94">
        <v>1209</v>
      </c>
      <c r="B1088" s="36" t="s">
        <v>1304</v>
      </c>
      <c r="C1088" s="36" t="s">
        <v>540</v>
      </c>
      <c r="D1088" s="34" t="s">
        <v>1487</v>
      </c>
      <c r="E1088" s="35" t="s">
        <v>541</v>
      </c>
      <c r="F1088" s="96">
        <v>740</v>
      </c>
      <c r="G1088" s="145" t="s">
        <v>1815</v>
      </c>
      <c r="H1088" s="40">
        <v>1</v>
      </c>
      <c r="I1088" s="56"/>
    </row>
    <row r="1089" spans="1:9" ht="21.6" customHeight="1">
      <c r="A1089" s="94">
        <v>1210</v>
      </c>
      <c r="B1089" s="36" t="s">
        <v>1304</v>
      </c>
      <c r="C1089" s="36" t="s">
        <v>542</v>
      </c>
      <c r="D1089" s="34" t="s">
        <v>1488</v>
      </c>
      <c r="E1089" s="35" t="s">
        <v>543</v>
      </c>
      <c r="F1089" s="40">
        <v>200</v>
      </c>
      <c r="G1089" s="144" t="s">
        <v>1832</v>
      </c>
      <c r="H1089" s="40">
        <v>1</v>
      </c>
      <c r="I1089" s="89" t="s">
        <v>111</v>
      </c>
    </row>
    <row r="1090" spans="1:9" ht="21.6" customHeight="1">
      <c r="A1090" s="94">
        <v>1211</v>
      </c>
      <c r="B1090" s="36" t="s">
        <v>1304</v>
      </c>
      <c r="C1090" s="36" t="s">
        <v>542</v>
      </c>
      <c r="D1090" s="34" t="s">
        <v>1488</v>
      </c>
      <c r="E1090" s="35" t="s">
        <v>543</v>
      </c>
      <c r="F1090" s="40">
        <v>200</v>
      </c>
      <c r="G1090" s="144" t="s">
        <v>110</v>
      </c>
      <c r="H1090" s="40">
        <v>1</v>
      </c>
      <c r="I1090" s="89" t="s">
        <v>111</v>
      </c>
    </row>
    <row r="1091" spans="1:9" ht="21.6" customHeight="1">
      <c r="A1091" s="94">
        <v>1212</v>
      </c>
      <c r="B1091" s="36" t="s">
        <v>1304</v>
      </c>
      <c r="C1091" s="36" t="s">
        <v>457</v>
      </c>
      <c r="D1091" s="34" t="s">
        <v>1453</v>
      </c>
      <c r="E1091" s="35" t="s">
        <v>458</v>
      </c>
      <c r="F1091" s="40">
        <v>200</v>
      </c>
      <c r="G1091" s="144" t="s">
        <v>114</v>
      </c>
      <c r="H1091" s="40">
        <v>1</v>
      </c>
      <c r="I1091" s="89" t="s">
        <v>111</v>
      </c>
    </row>
    <row r="1092" spans="1:9" ht="21.6" customHeight="1">
      <c r="A1092" s="94">
        <v>1213</v>
      </c>
      <c r="B1092" s="36" t="s">
        <v>1304</v>
      </c>
      <c r="C1092" s="36" t="s">
        <v>542</v>
      </c>
      <c r="D1092" s="34" t="s">
        <v>1488</v>
      </c>
      <c r="E1092" s="35" t="s">
        <v>543</v>
      </c>
      <c r="F1092" s="91">
        <v>500</v>
      </c>
      <c r="G1092" s="144" t="s">
        <v>1833</v>
      </c>
      <c r="H1092" s="40">
        <v>1</v>
      </c>
      <c r="I1092" s="89" t="s">
        <v>665</v>
      </c>
    </row>
    <row r="1093" spans="1:9" ht="21.6" customHeight="1">
      <c r="A1093" s="94">
        <v>1214</v>
      </c>
      <c r="B1093" s="36" t="s">
        <v>1304</v>
      </c>
      <c r="C1093" s="36" t="s">
        <v>335</v>
      </c>
      <c r="D1093" s="34" t="s">
        <v>1411</v>
      </c>
      <c r="E1093" s="35" t="s">
        <v>336</v>
      </c>
      <c r="F1093" s="91">
        <v>500</v>
      </c>
      <c r="G1093" s="144" t="s">
        <v>1833</v>
      </c>
      <c r="H1093" s="40">
        <v>1</v>
      </c>
      <c r="I1093" s="89" t="s">
        <v>665</v>
      </c>
    </row>
    <row r="1094" spans="1:9" ht="21.6" customHeight="1">
      <c r="A1094" s="94">
        <v>1215</v>
      </c>
      <c r="B1094" s="36" t="s">
        <v>1304</v>
      </c>
      <c r="C1094" s="36" t="s">
        <v>339</v>
      </c>
      <c r="D1094" s="34" t="s">
        <v>1412</v>
      </c>
      <c r="E1094" s="35" t="s">
        <v>340</v>
      </c>
      <c r="F1094" s="91">
        <v>500</v>
      </c>
      <c r="G1094" s="144" t="s">
        <v>1834</v>
      </c>
      <c r="H1094" s="40">
        <v>1</v>
      </c>
      <c r="I1094" s="89" t="s">
        <v>665</v>
      </c>
    </row>
    <row r="1095" spans="1:9" ht="21.6" customHeight="1">
      <c r="A1095" s="94">
        <v>1216</v>
      </c>
      <c r="B1095" s="36" t="s">
        <v>1304</v>
      </c>
      <c r="C1095" s="36" t="s">
        <v>280</v>
      </c>
      <c r="D1095" s="34" t="s">
        <v>1394</v>
      </c>
      <c r="E1095" s="35" t="s">
        <v>281</v>
      </c>
      <c r="F1095" s="68" t="s">
        <v>470</v>
      </c>
      <c r="G1095" s="145" t="s">
        <v>1782</v>
      </c>
      <c r="H1095" s="40">
        <v>1</v>
      </c>
      <c r="I1095" s="56"/>
    </row>
    <row r="1096" spans="1:9" ht="21.6" customHeight="1">
      <c r="A1096" s="94">
        <v>1217</v>
      </c>
      <c r="B1096" s="36" t="s">
        <v>1304</v>
      </c>
      <c r="C1096" s="36" t="s">
        <v>284</v>
      </c>
      <c r="D1096" s="34" t="s">
        <v>1395</v>
      </c>
      <c r="E1096" s="35" t="s">
        <v>226</v>
      </c>
      <c r="F1096" s="68" t="s">
        <v>470</v>
      </c>
      <c r="G1096" s="144" t="s">
        <v>285</v>
      </c>
      <c r="H1096" s="40">
        <v>1</v>
      </c>
      <c r="I1096" s="56"/>
    </row>
    <row r="1097" spans="1:9" ht="21.6" customHeight="1">
      <c r="A1097" s="94">
        <v>1218</v>
      </c>
      <c r="B1097" s="36" t="s">
        <v>1304</v>
      </c>
      <c r="C1097" s="36" t="s">
        <v>287</v>
      </c>
      <c r="D1097" s="64" t="s">
        <v>1396</v>
      </c>
      <c r="E1097" s="7" t="s">
        <v>288</v>
      </c>
      <c r="F1097" s="68" t="s">
        <v>470</v>
      </c>
      <c r="G1097" s="145" t="s">
        <v>282</v>
      </c>
      <c r="H1097" s="40">
        <v>1</v>
      </c>
      <c r="I1097" s="56"/>
    </row>
    <row r="1098" spans="1:9" ht="21.6" customHeight="1">
      <c r="A1098" s="94">
        <v>1219</v>
      </c>
      <c r="B1098" s="36" t="s">
        <v>1304</v>
      </c>
      <c r="C1098" s="36" t="s">
        <v>452</v>
      </c>
      <c r="D1098" s="34" t="s">
        <v>1452</v>
      </c>
      <c r="E1098" s="35" t="s">
        <v>226</v>
      </c>
      <c r="F1098" s="40">
        <v>500</v>
      </c>
      <c r="G1098" s="144" t="s">
        <v>1784</v>
      </c>
      <c r="H1098" s="40">
        <v>2</v>
      </c>
      <c r="I1098" s="90" t="s">
        <v>334</v>
      </c>
    </row>
    <row r="1099" spans="1:9" ht="21.6" customHeight="1">
      <c r="A1099" s="94">
        <v>1220</v>
      </c>
      <c r="B1099" s="36" t="s">
        <v>1304</v>
      </c>
      <c r="C1099" s="36" t="s">
        <v>335</v>
      </c>
      <c r="D1099" s="34" t="s">
        <v>1411</v>
      </c>
      <c r="E1099" s="35" t="s">
        <v>336</v>
      </c>
      <c r="F1099" s="40">
        <v>500</v>
      </c>
      <c r="G1099" s="144" t="s">
        <v>337</v>
      </c>
      <c r="H1099" s="40">
        <v>1</v>
      </c>
      <c r="I1099" s="90" t="s">
        <v>338</v>
      </c>
    </row>
    <row r="1100" spans="1:9" ht="21.6" customHeight="1">
      <c r="A1100" s="94">
        <v>1221</v>
      </c>
      <c r="B1100" s="36" t="s">
        <v>1304</v>
      </c>
      <c r="C1100" s="36" t="s">
        <v>339</v>
      </c>
      <c r="D1100" s="34" t="s">
        <v>1412</v>
      </c>
      <c r="E1100" s="35" t="s">
        <v>340</v>
      </c>
      <c r="F1100" s="40">
        <v>500</v>
      </c>
      <c r="G1100" s="145" t="s">
        <v>341</v>
      </c>
      <c r="H1100" s="40">
        <v>1</v>
      </c>
      <c r="I1100" s="90" t="s">
        <v>338</v>
      </c>
    </row>
    <row r="1101" spans="1:9" ht="21.6" customHeight="1">
      <c r="A1101" s="94">
        <v>1222</v>
      </c>
      <c r="B1101" s="36" t="s">
        <v>1304</v>
      </c>
      <c r="C1101" s="36" t="s">
        <v>332</v>
      </c>
      <c r="D1101" s="34" t="s">
        <v>1410</v>
      </c>
      <c r="E1101" s="35" t="s">
        <v>333</v>
      </c>
      <c r="F1101" s="40">
        <v>500</v>
      </c>
      <c r="G1101" s="144" t="s">
        <v>1818</v>
      </c>
      <c r="H1101" s="40">
        <v>2</v>
      </c>
      <c r="I1101" s="90" t="s">
        <v>666</v>
      </c>
    </row>
    <row r="1102" spans="1:9" ht="21.6" customHeight="1">
      <c r="A1102" s="94">
        <v>1223</v>
      </c>
      <c r="B1102" s="36" t="s">
        <v>1304</v>
      </c>
      <c r="C1102" s="36" t="s">
        <v>335</v>
      </c>
      <c r="D1102" s="34" t="s">
        <v>1411</v>
      </c>
      <c r="E1102" s="35" t="s">
        <v>336</v>
      </c>
      <c r="F1102" s="40">
        <v>500</v>
      </c>
      <c r="G1102" s="144" t="s">
        <v>546</v>
      </c>
      <c r="H1102" s="40">
        <v>1</v>
      </c>
      <c r="I1102" s="90" t="s">
        <v>666</v>
      </c>
    </row>
    <row r="1103" spans="1:9" ht="21.6" customHeight="1">
      <c r="A1103" s="94">
        <v>1224</v>
      </c>
      <c r="B1103" s="36" t="s">
        <v>1304</v>
      </c>
      <c r="C1103" s="36" t="s">
        <v>339</v>
      </c>
      <c r="D1103" s="34" t="s">
        <v>1412</v>
      </c>
      <c r="E1103" s="35" t="s">
        <v>340</v>
      </c>
      <c r="F1103" s="40">
        <v>500</v>
      </c>
      <c r="G1103" s="145" t="s">
        <v>547</v>
      </c>
      <c r="H1103" s="40">
        <v>1</v>
      </c>
      <c r="I1103" s="90" t="s">
        <v>666</v>
      </c>
    </row>
    <row r="1104" spans="1:9" ht="21.6" customHeight="1">
      <c r="A1104" s="94">
        <v>1225</v>
      </c>
      <c r="B1104" s="36" t="s">
        <v>1304</v>
      </c>
      <c r="C1104" s="36">
        <v>44218398000</v>
      </c>
      <c r="D1104" s="78" t="s">
        <v>1489</v>
      </c>
      <c r="E1104" s="35" t="s">
        <v>549</v>
      </c>
      <c r="F1104" s="91">
        <v>120</v>
      </c>
      <c r="G1104" s="145" t="s">
        <v>1819</v>
      </c>
      <c r="H1104" s="40">
        <v>1</v>
      </c>
      <c r="I1104" s="56" t="s">
        <v>116</v>
      </c>
    </row>
    <row r="1105" spans="1:9" ht="21.6" customHeight="1">
      <c r="A1105" s="94">
        <v>1226</v>
      </c>
      <c r="B1105" s="36" t="s">
        <v>1304</v>
      </c>
      <c r="C1105" s="36" t="s">
        <v>268</v>
      </c>
      <c r="D1105" s="36" t="s">
        <v>1390</v>
      </c>
      <c r="E1105" s="37" t="s">
        <v>269</v>
      </c>
      <c r="F1105" s="91">
        <v>120</v>
      </c>
      <c r="G1105" s="144" t="s">
        <v>553</v>
      </c>
      <c r="H1105" s="40">
        <v>1</v>
      </c>
      <c r="I1105" s="56" t="s">
        <v>116</v>
      </c>
    </row>
    <row r="1106" spans="1:9" ht="21.6" customHeight="1">
      <c r="A1106" s="94">
        <v>1227</v>
      </c>
      <c r="B1106" s="36" t="s">
        <v>1304</v>
      </c>
      <c r="C1106" s="36" t="s">
        <v>271</v>
      </c>
      <c r="D1106" s="36" t="s">
        <v>1391</v>
      </c>
      <c r="E1106" s="37" t="s">
        <v>671</v>
      </c>
      <c r="F1106" s="91">
        <v>120</v>
      </c>
      <c r="G1106" s="144" t="s">
        <v>550</v>
      </c>
      <c r="H1106" s="40">
        <v>1</v>
      </c>
      <c r="I1106" s="56" t="s">
        <v>116</v>
      </c>
    </row>
    <row r="1107" spans="1:9" ht="21.6" customHeight="1">
      <c r="A1107" s="94">
        <v>1228</v>
      </c>
      <c r="B1107" s="36" t="s">
        <v>1304</v>
      </c>
      <c r="C1107" s="36" t="s">
        <v>693</v>
      </c>
      <c r="D1107" s="79" t="s">
        <v>1540</v>
      </c>
      <c r="E1107" s="35" t="s">
        <v>694</v>
      </c>
      <c r="F1107" s="96">
        <v>740</v>
      </c>
      <c r="G1107" s="145" t="s">
        <v>558</v>
      </c>
      <c r="H1107" s="40" t="s">
        <v>123</v>
      </c>
      <c r="I1107" s="56"/>
    </row>
    <row r="1108" spans="1:9" ht="21.6" customHeight="1">
      <c r="A1108" s="94">
        <v>1229</v>
      </c>
      <c r="B1108" s="36" t="s">
        <v>1304</v>
      </c>
      <c r="C1108" s="36" t="s">
        <v>559</v>
      </c>
      <c r="D1108" s="80" t="s">
        <v>1493</v>
      </c>
      <c r="E1108" s="35" t="s">
        <v>560</v>
      </c>
      <c r="F1108" s="96">
        <v>740</v>
      </c>
      <c r="G1108" s="145" t="s">
        <v>1820</v>
      </c>
      <c r="H1108" s="40" t="s">
        <v>123</v>
      </c>
      <c r="I1108" s="56"/>
    </row>
    <row r="1109" spans="1:9" ht="21.6" customHeight="1">
      <c r="A1109" s="94">
        <v>1230</v>
      </c>
      <c r="B1109" s="36" t="s">
        <v>1304</v>
      </c>
      <c r="C1109" s="36" t="s">
        <v>561</v>
      </c>
      <c r="D1109" s="34" t="s">
        <v>1494</v>
      </c>
      <c r="E1109" s="35" t="s">
        <v>562</v>
      </c>
      <c r="F1109" s="96">
        <v>740</v>
      </c>
      <c r="G1109" s="145" t="s">
        <v>244</v>
      </c>
      <c r="H1109" s="40" t="s">
        <v>123</v>
      </c>
      <c r="I1109" s="56"/>
    </row>
    <row r="1110" spans="1:9" ht="21.6" customHeight="1">
      <c r="A1110" s="94">
        <v>1231</v>
      </c>
      <c r="B1110" s="36" t="s">
        <v>1304</v>
      </c>
      <c r="C1110" s="36" t="s">
        <v>563</v>
      </c>
      <c r="D1110" s="34" t="s">
        <v>1495</v>
      </c>
      <c r="E1110" s="35" t="s">
        <v>564</v>
      </c>
      <c r="F1110" s="96">
        <v>740</v>
      </c>
      <c r="G1110" s="145" t="s">
        <v>1803</v>
      </c>
      <c r="H1110" s="40" t="s">
        <v>123</v>
      </c>
      <c r="I1110" s="56"/>
    </row>
    <row r="1111" spans="1:9" ht="21.6" customHeight="1">
      <c r="A1111" s="94">
        <v>1232</v>
      </c>
      <c r="B1111" s="36" t="s">
        <v>1304</v>
      </c>
      <c r="C1111" s="36" t="s">
        <v>565</v>
      </c>
      <c r="D1111" s="34" t="s">
        <v>1496</v>
      </c>
      <c r="E1111" s="35" t="s">
        <v>566</v>
      </c>
      <c r="F1111" s="91">
        <v>200</v>
      </c>
      <c r="G1111" s="144" t="s">
        <v>567</v>
      </c>
      <c r="H1111" s="40" t="s">
        <v>123</v>
      </c>
      <c r="I1111" s="89" t="s">
        <v>111</v>
      </c>
    </row>
    <row r="1112" spans="1:9" ht="21.6" customHeight="1">
      <c r="A1112" s="94">
        <v>1233</v>
      </c>
      <c r="B1112" s="36" t="s">
        <v>1304</v>
      </c>
      <c r="C1112" s="36" t="s">
        <v>672</v>
      </c>
      <c r="D1112" s="36" t="s">
        <v>1535</v>
      </c>
      <c r="E1112" s="37" t="s">
        <v>673</v>
      </c>
      <c r="F1112" s="91">
        <v>400</v>
      </c>
      <c r="G1112" s="144" t="s">
        <v>567</v>
      </c>
      <c r="H1112" s="40" t="s">
        <v>123</v>
      </c>
      <c r="I1112" s="89" t="s">
        <v>665</v>
      </c>
    </row>
    <row r="1113" spans="1:9" ht="21.6" customHeight="1">
      <c r="A1113" s="94">
        <v>1234</v>
      </c>
      <c r="B1113" s="36" t="s">
        <v>1304</v>
      </c>
      <c r="C1113" s="36" t="s">
        <v>347</v>
      </c>
      <c r="D1113" s="34" t="s">
        <v>1415</v>
      </c>
      <c r="E1113" s="35" t="s">
        <v>348</v>
      </c>
      <c r="F1113" s="40">
        <v>500</v>
      </c>
      <c r="G1113" s="144" t="s">
        <v>349</v>
      </c>
      <c r="H1113" s="40" t="s">
        <v>123</v>
      </c>
      <c r="I1113" s="90" t="s">
        <v>334</v>
      </c>
    </row>
    <row r="1114" spans="1:9" ht="21.6" customHeight="1">
      <c r="A1114" s="94">
        <v>1235</v>
      </c>
      <c r="B1114" s="36" t="s">
        <v>1304</v>
      </c>
      <c r="C1114" s="36" t="s">
        <v>568</v>
      </c>
      <c r="D1114" s="34" t="s">
        <v>1497</v>
      </c>
      <c r="E1114" s="35" t="s">
        <v>569</v>
      </c>
      <c r="F1114" s="40">
        <v>500</v>
      </c>
      <c r="G1114" s="144" t="s">
        <v>570</v>
      </c>
      <c r="H1114" s="40" t="s">
        <v>123</v>
      </c>
      <c r="I1114" s="90" t="s">
        <v>666</v>
      </c>
    </row>
    <row r="1115" spans="1:9" ht="21.6" customHeight="1">
      <c r="A1115" s="94">
        <v>1236</v>
      </c>
      <c r="B1115" s="36" t="s">
        <v>1304</v>
      </c>
      <c r="C1115" s="36" t="s">
        <v>301</v>
      </c>
      <c r="D1115" s="67" t="s">
        <v>1401</v>
      </c>
      <c r="E1115" s="30" t="s">
        <v>302</v>
      </c>
      <c r="F1115" s="68" t="s">
        <v>470</v>
      </c>
      <c r="G1115" s="145" t="s">
        <v>303</v>
      </c>
      <c r="H1115" s="40" t="s">
        <v>123</v>
      </c>
      <c r="I1115" s="56"/>
    </row>
    <row r="1116" spans="1:9" ht="21.6" customHeight="1">
      <c r="A1116" s="94">
        <v>1237</v>
      </c>
      <c r="B1116" s="36" t="s">
        <v>1304</v>
      </c>
      <c r="C1116" s="36" t="s">
        <v>571</v>
      </c>
      <c r="D1116" s="34" t="s">
        <v>1498</v>
      </c>
      <c r="E1116" s="35" t="s">
        <v>572</v>
      </c>
      <c r="F1116" s="40" t="s">
        <v>123</v>
      </c>
      <c r="G1116" s="145" t="s">
        <v>132</v>
      </c>
      <c r="H1116" s="40" t="s">
        <v>123</v>
      </c>
      <c r="I1116" s="56"/>
    </row>
    <row r="1117" spans="1:9" ht="21.6" customHeight="1">
      <c r="A1117" s="94">
        <v>1238</v>
      </c>
      <c r="B1117" s="36" t="s">
        <v>1304</v>
      </c>
      <c r="C1117" s="36" t="s">
        <v>573</v>
      </c>
      <c r="D1117" s="34" t="s">
        <v>1499</v>
      </c>
      <c r="E1117" s="35" t="s">
        <v>574</v>
      </c>
      <c r="F1117" s="40" t="s">
        <v>123</v>
      </c>
      <c r="G1117" s="145" t="s">
        <v>575</v>
      </c>
      <c r="H1117" s="40" t="s">
        <v>123</v>
      </c>
      <c r="I1117" s="56"/>
    </row>
    <row r="1118" spans="1:9" ht="21.6" customHeight="1">
      <c r="A1118" s="94">
        <v>1239</v>
      </c>
      <c r="B1118" s="36" t="s">
        <v>1304</v>
      </c>
      <c r="C1118" s="36" t="s">
        <v>695</v>
      </c>
      <c r="D1118" s="34" t="s">
        <v>1541</v>
      </c>
      <c r="E1118" s="35" t="s">
        <v>696</v>
      </c>
      <c r="F1118" s="40" t="s">
        <v>123</v>
      </c>
      <c r="G1118" s="144" t="s">
        <v>135</v>
      </c>
      <c r="H1118" s="40" t="s">
        <v>123</v>
      </c>
      <c r="I1118" s="56"/>
    </row>
    <row r="1119" spans="1:9" ht="21.6" customHeight="1">
      <c r="A1119" s="94">
        <v>1240</v>
      </c>
      <c r="B1119" s="36" t="s">
        <v>1304</v>
      </c>
      <c r="C1119" s="36" t="s">
        <v>578</v>
      </c>
      <c r="D1119" s="34" t="s">
        <v>1501</v>
      </c>
      <c r="E1119" s="35" t="s">
        <v>579</v>
      </c>
      <c r="F1119" s="40" t="s">
        <v>123</v>
      </c>
      <c r="G1119" s="144" t="s">
        <v>1821</v>
      </c>
      <c r="H1119" s="40" t="s">
        <v>123</v>
      </c>
      <c r="I1119" s="56"/>
    </row>
    <row r="1120" spans="1:9" ht="21.6" customHeight="1">
      <c r="A1120" s="94">
        <v>1241</v>
      </c>
      <c r="B1120" s="36" t="s">
        <v>1304</v>
      </c>
      <c r="C1120" s="36" t="s">
        <v>580</v>
      </c>
      <c r="D1120" s="34" t="s">
        <v>1502</v>
      </c>
      <c r="E1120" s="35" t="s">
        <v>581</v>
      </c>
      <c r="F1120" s="40" t="s">
        <v>123</v>
      </c>
      <c r="G1120" s="144" t="s">
        <v>582</v>
      </c>
      <c r="H1120" s="40" t="s">
        <v>123</v>
      </c>
      <c r="I1120" s="56"/>
    </row>
    <row r="1121" spans="1:9" ht="21.6" customHeight="1">
      <c r="A1121" s="94">
        <v>1242</v>
      </c>
      <c r="B1121" s="36" t="s">
        <v>1304</v>
      </c>
      <c r="C1121" s="36" t="s">
        <v>675</v>
      </c>
      <c r="D1121" s="36" t="s">
        <v>1536</v>
      </c>
      <c r="E1121" s="37" t="s">
        <v>676</v>
      </c>
      <c r="F1121" s="40" t="s">
        <v>123</v>
      </c>
      <c r="G1121" s="145" t="s">
        <v>585</v>
      </c>
      <c r="H1121" s="40" t="s">
        <v>123</v>
      </c>
      <c r="I1121" s="56"/>
    </row>
    <row r="1122" spans="1:9" s="81" customFormat="1" ht="21.6" customHeight="1">
      <c r="A1122" s="20">
        <v>1296</v>
      </c>
      <c r="B1122" s="73" t="s">
        <v>1305</v>
      </c>
      <c r="C1122" s="73" t="s">
        <v>697</v>
      </c>
      <c r="D1122" s="73" t="s">
        <v>1542</v>
      </c>
      <c r="E1122" s="72" t="s">
        <v>698</v>
      </c>
      <c r="F1122" s="74">
        <v>56</v>
      </c>
      <c r="G1122" s="143" t="s">
        <v>193</v>
      </c>
      <c r="H1122" s="74">
        <v>4</v>
      </c>
      <c r="I1122" s="75"/>
    </row>
    <row r="1123" spans="1:9" s="81" customFormat="1" ht="21.6" customHeight="1">
      <c r="A1123" s="27">
        <v>1297</v>
      </c>
      <c r="B1123" s="34" t="s">
        <v>1305</v>
      </c>
      <c r="C1123" s="34" t="s">
        <v>699</v>
      </c>
      <c r="D1123" s="34" t="s">
        <v>1543</v>
      </c>
      <c r="E1123" s="35" t="s">
        <v>700</v>
      </c>
      <c r="F1123" s="40">
        <v>56</v>
      </c>
      <c r="G1123" s="145" t="s">
        <v>502</v>
      </c>
      <c r="H1123" s="40">
        <v>1</v>
      </c>
      <c r="I1123" s="56"/>
    </row>
    <row r="1124" spans="1:9" s="81" customFormat="1" ht="21.6" customHeight="1">
      <c r="A1124" s="27">
        <v>1298</v>
      </c>
      <c r="B1124" s="34" t="s">
        <v>1305</v>
      </c>
      <c r="C1124" s="34" t="s">
        <v>701</v>
      </c>
      <c r="D1124" s="34" t="s">
        <v>1544</v>
      </c>
      <c r="E1124" s="35" t="s">
        <v>702</v>
      </c>
      <c r="F1124" s="40">
        <v>56</v>
      </c>
      <c r="G1124" s="145" t="s">
        <v>703</v>
      </c>
      <c r="H1124" s="40">
        <v>1</v>
      </c>
      <c r="I1124" s="56"/>
    </row>
    <row r="1125" spans="1:9" s="81" customFormat="1" ht="21.6" customHeight="1">
      <c r="A1125" s="27">
        <v>1299</v>
      </c>
      <c r="B1125" s="34" t="s">
        <v>1305</v>
      </c>
      <c r="C1125" s="34" t="s">
        <v>704</v>
      </c>
      <c r="D1125" s="34" t="s">
        <v>1545</v>
      </c>
      <c r="E1125" s="35" t="s">
        <v>705</v>
      </c>
      <c r="F1125" s="40">
        <v>56</v>
      </c>
      <c r="G1125" s="144" t="s">
        <v>706</v>
      </c>
      <c r="H1125" s="40">
        <v>1</v>
      </c>
      <c r="I1125" s="56"/>
    </row>
    <row r="1126" spans="1:9" s="81" customFormat="1" ht="21.6" customHeight="1">
      <c r="A1126" s="27">
        <v>1300</v>
      </c>
      <c r="B1126" s="34" t="s">
        <v>1305</v>
      </c>
      <c r="C1126" s="34" t="s">
        <v>707</v>
      </c>
      <c r="D1126" s="34" t="s">
        <v>1546</v>
      </c>
      <c r="E1126" s="35" t="s">
        <v>708</v>
      </c>
      <c r="F1126" s="40">
        <v>56</v>
      </c>
      <c r="G1126" s="145" t="s">
        <v>709</v>
      </c>
      <c r="H1126" s="40">
        <v>1</v>
      </c>
      <c r="I1126" s="56"/>
    </row>
    <row r="1127" spans="1:9" s="81" customFormat="1" ht="21.6" customHeight="1">
      <c r="A1127" s="27">
        <v>1301</v>
      </c>
      <c r="B1127" s="34" t="s">
        <v>1305</v>
      </c>
      <c r="C1127" s="34" t="s">
        <v>710</v>
      </c>
      <c r="D1127" s="34" t="s">
        <v>1547</v>
      </c>
      <c r="E1127" s="35" t="s">
        <v>711</v>
      </c>
      <c r="F1127" s="40">
        <v>56</v>
      </c>
      <c r="G1127" s="145" t="s">
        <v>415</v>
      </c>
      <c r="H1127" s="40">
        <v>4</v>
      </c>
      <c r="I1127" s="56"/>
    </row>
    <row r="1128" spans="1:9" s="81" customFormat="1" ht="21.6" customHeight="1">
      <c r="A1128" s="27">
        <v>1302</v>
      </c>
      <c r="B1128" s="34" t="s">
        <v>1305</v>
      </c>
      <c r="C1128" s="34" t="s">
        <v>605</v>
      </c>
      <c r="D1128" s="34" t="s">
        <v>1511</v>
      </c>
      <c r="E1128" s="35" t="s">
        <v>606</v>
      </c>
      <c r="F1128" s="40">
        <v>112</v>
      </c>
      <c r="G1128" s="145" t="s">
        <v>533</v>
      </c>
      <c r="H1128" s="40">
        <v>1</v>
      </c>
      <c r="I1128" s="56"/>
    </row>
    <row r="1129" spans="1:9" s="81" customFormat="1" ht="21.6" customHeight="1">
      <c r="A1129" s="27">
        <v>1303</v>
      </c>
      <c r="B1129" s="34" t="s">
        <v>1305</v>
      </c>
      <c r="C1129" s="34" t="s">
        <v>712</v>
      </c>
      <c r="D1129" s="34" t="s">
        <v>1548</v>
      </c>
      <c r="E1129" s="35" t="s">
        <v>713</v>
      </c>
      <c r="F1129" s="40">
        <v>168</v>
      </c>
      <c r="G1129" s="145" t="s">
        <v>1775</v>
      </c>
      <c r="H1129" s="40">
        <v>1</v>
      </c>
      <c r="I1129" s="56" t="s">
        <v>84</v>
      </c>
    </row>
    <row r="1130" spans="1:9" s="81" customFormat="1" ht="21.6" customHeight="1">
      <c r="A1130" s="27">
        <v>1304</v>
      </c>
      <c r="B1130" s="34" t="s">
        <v>1305</v>
      </c>
      <c r="C1130" s="34" t="s">
        <v>714</v>
      </c>
      <c r="D1130" s="34" t="s">
        <v>1549</v>
      </c>
      <c r="E1130" s="35" t="s">
        <v>715</v>
      </c>
      <c r="F1130" s="40">
        <v>168</v>
      </c>
      <c r="G1130" s="145" t="s">
        <v>87</v>
      </c>
      <c r="H1130" s="40">
        <v>1</v>
      </c>
      <c r="I1130" s="56" t="s">
        <v>84</v>
      </c>
    </row>
    <row r="1131" spans="1:9" s="81" customFormat="1" ht="21.6" customHeight="1">
      <c r="A1131" s="27">
        <v>1305</v>
      </c>
      <c r="B1131" s="34" t="s">
        <v>1305</v>
      </c>
      <c r="C1131" s="34" t="s">
        <v>716</v>
      </c>
      <c r="D1131" s="34" t="s">
        <v>1550</v>
      </c>
      <c r="E1131" s="35" t="s">
        <v>717</v>
      </c>
      <c r="F1131" s="40">
        <v>168</v>
      </c>
      <c r="G1131" s="145" t="s">
        <v>718</v>
      </c>
      <c r="H1131" s="40">
        <v>5</v>
      </c>
      <c r="I1131" s="56" t="s">
        <v>84</v>
      </c>
    </row>
    <row r="1132" spans="1:9" s="81" customFormat="1" ht="21.6" customHeight="1">
      <c r="A1132" s="27">
        <v>1306</v>
      </c>
      <c r="B1132" s="34" t="s">
        <v>1305</v>
      </c>
      <c r="C1132" s="34" t="s">
        <v>719</v>
      </c>
      <c r="D1132" s="34" t="s">
        <v>1551</v>
      </c>
      <c r="E1132" s="35" t="s">
        <v>720</v>
      </c>
      <c r="F1132" s="40">
        <v>168</v>
      </c>
      <c r="G1132" s="145" t="s">
        <v>101</v>
      </c>
      <c r="H1132" s="40">
        <v>1</v>
      </c>
      <c r="I1132" s="56" t="s">
        <v>84</v>
      </c>
    </row>
    <row r="1133" spans="1:9" s="81" customFormat="1" ht="21.6" customHeight="1">
      <c r="A1133" s="27">
        <v>1307</v>
      </c>
      <c r="B1133" s="34" t="s">
        <v>1305</v>
      </c>
      <c r="C1133" s="34" t="s">
        <v>721</v>
      </c>
      <c r="D1133" s="34" t="s">
        <v>1552</v>
      </c>
      <c r="E1133" s="35" t="s">
        <v>722</v>
      </c>
      <c r="F1133" s="40">
        <v>168</v>
      </c>
      <c r="G1133" s="145" t="s">
        <v>723</v>
      </c>
      <c r="H1133" s="40">
        <v>1</v>
      </c>
      <c r="I1133" s="56" t="s">
        <v>84</v>
      </c>
    </row>
    <row r="1134" spans="1:9" s="81" customFormat="1" ht="21.6" customHeight="1">
      <c r="A1134" s="27">
        <v>1308</v>
      </c>
      <c r="B1134" s="34" t="s">
        <v>1305</v>
      </c>
      <c r="C1134" s="34" t="s">
        <v>724</v>
      </c>
      <c r="D1134" s="34" t="s">
        <v>1553</v>
      </c>
      <c r="E1134" s="35" t="s">
        <v>725</v>
      </c>
      <c r="F1134" s="40">
        <v>168</v>
      </c>
      <c r="G1134" s="145" t="s">
        <v>726</v>
      </c>
      <c r="H1134" s="40">
        <v>2</v>
      </c>
      <c r="I1134" s="56" t="s">
        <v>84</v>
      </c>
    </row>
    <row r="1135" spans="1:9" s="81" customFormat="1" ht="21.6" customHeight="1">
      <c r="A1135" s="27">
        <v>1309</v>
      </c>
      <c r="B1135" s="34" t="s">
        <v>1305</v>
      </c>
      <c r="C1135" s="34" t="s">
        <v>609</v>
      </c>
      <c r="D1135" s="34" t="s">
        <v>1513</v>
      </c>
      <c r="E1135" s="35" t="s">
        <v>610</v>
      </c>
      <c r="F1135" s="40">
        <v>168</v>
      </c>
      <c r="G1135" s="145" t="s">
        <v>1824</v>
      </c>
      <c r="H1135" s="40">
        <v>1</v>
      </c>
      <c r="I1135" s="56" t="s">
        <v>84</v>
      </c>
    </row>
    <row r="1136" spans="1:9" s="81" customFormat="1" ht="21.6" customHeight="1">
      <c r="A1136" s="27">
        <v>1310</v>
      </c>
      <c r="B1136" s="34" t="s">
        <v>1305</v>
      </c>
      <c r="C1136" s="34" t="s">
        <v>611</v>
      </c>
      <c r="D1136" s="34" t="s">
        <v>1514</v>
      </c>
      <c r="E1136" s="35" t="s">
        <v>612</v>
      </c>
      <c r="F1136" s="40">
        <v>168</v>
      </c>
      <c r="G1136" s="145" t="s">
        <v>1825</v>
      </c>
      <c r="H1136" s="40">
        <v>1</v>
      </c>
      <c r="I1136" s="56" t="s">
        <v>84</v>
      </c>
    </row>
    <row r="1137" spans="1:9" s="81" customFormat="1" ht="21.6" customHeight="1">
      <c r="A1137" s="27">
        <v>1311</v>
      </c>
      <c r="B1137" s="34" t="s">
        <v>1305</v>
      </c>
      <c r="C1137" s="34" t="s">
        <v>613</v>
      </c>
      <c r="D1137" s="34" t="s">
        <v>1515</v>
      </c>
      <c r="E1137" s="35" t="s">
        <v>614</v>
      </c>
      <c r="F1137" s="40">
        <v>168</v>
      </c>
      <c r="G1137" s="145" t="s">
        <v>1826</v>
      </c>
      <c r="H1137" s="40">
        <v>2</v>
      </c>
      <c r="I1137" s="56" t="s">
        <v>84</v>
      </c>
    </row>
    <row r="1138" spans="1:9" s="81" customFormat="1" ht="21.6" customHeight="1">
      <c r="A1138" s="27">
        <v>1312</v>
      </c>
      <c r="B1138" s="34" t="s">
        <v>1305</v>
      </c>
      <c r="C1138" s="34" t="s">
        <v>607</v>
      </c>
      <c r="D1138" s="34" t="s">
        <v>1512</v>
      </c>
      <c r="E1138" s="35" t="s">
        <v>608</v>
      </c>
      <c r="F1138" s="40">
        <v>168</v>
      </c>
      <c r="G1138" s="145" t="s">
        <v>1812</v>
      </c>
      <c r="H1138" s="40">
        <v>1</v>
      </c>
      <c r="I1138" s="56" t="s">
        <v>84</v>
      </c>
    </row>
    <row r="1139" spans="1:9" s="81" customFormat="1" ht="21.6" customHeight="1">
      <c r="A1139" s="27">
        <v>1313</v>
      </c>
      <c r="B1139" s="34" t="s">
        <v>1305</v>
      </c>
      <c r="C1139" s="34" t="s">
        <v>727</v>
      </c>
      <c r="D1139" s="34" t="s">
        <v>1554</v>
      </c>
      <c r="E1139" s="35" t="s">
        <v>728</v>
      </c>
      <c r="F1139" s="40">
        <v>56</v>
      </c>
      <c r="G1139" s="144" t="s">
        <v>107</v>
      </c>
      <c r="H1139" s="40">
        <v>4</v>
      </c>
      <c r="I1139" s="56"/>
    </row>
    <row r="1140" spans="1:9" s="81" customFormat="1" ht="21.6" customHeight="1">
      <c r="A1140" s="27">
        <v>1314</v>
      </c>
      <c r="B1140" s="34" t="s">
        <v>1305</v>
      </c>
      <c r="C1140" s="34" t="s">
        <v>598</v>
      </c>
      <c r="D1140" s="34" t="s">
        <v>1508</v>
      </c>
      <c r="E1140" s="35" t="s">
        <v>599</v>
      </c>
      <c r="F1140" s="40">
        <v>56</v>
      </c>
      <c r="G1140" s="145" t="s">
        <v>104</v>
      </c>
      <c r="H1140" s="40">
        <v>4</v>
      </c>
      <c r="I1140" s="56"/>
    </row>
    <row r="1141" spans="1:9" s="81" customFormat="1" ht="21.6" customHeight="1">
      <c r="A1141" s="27">
        <v>1315</v>
      </c>
      <c r="B1141" s="34" t="s">
        <v>1305</v>
      </c>
      <c r="C1141" s="34" t="s">
        <v>729</v>
      </c>
      <c r="D1141" s="34" t="s">
        <v>1555</v>
      </c>
      <c r="E1141" s="35" t="s">
        <v>730</v>
      </c>
      <c r="F1141" s="40">
        <v>56</v>
      </c>
      <c r="G1141" s="144" t="s">
        <v>1822</v>
      </c>
      <c r="H1141" s="40">
        <v>8</v>
      </c>
      <c r="I1141" s="56"/>
    </row>
    <row r="1142" spans="1:9" s="81" customFormat="1" ht="21.6" customHeight="1">
      <c r="A1142" s="27">
        <v>1316</v>
      </c>
      <c r="B1142" s="34" t="s">
        <v>1305</v>
      </c>
      <c r="C1142" s="34" t="s">
        <v>731</v>
      </c>
      <c r="D1142" s="34" t="s">
        <v>1556</v>
      </c>
      <c r="E1142" s="35" t="s">
        <v>732</v>
      </c>
      <c r="F1142" s="40">
        <v>56</v>
      </c>
      <c r="G1142" s="144" t="s">
        <v>733</v>
      </c>
      <c r="H1142" s="40">
        <v>4</v>
      </c>
      <c r="I1142" s="56"/>
    </row>
    <row r="1143" spans="1:9" s="81" customFormat="1" ht="21.6" customHeight="1">
      <c r="A1143" s="27">
        <v>1317</v>
      </c>
      <c r="B1143" s="34" t="s">
        <v>1305</v>
      </c>
      <c r="C1143" s="34" t="s">
        <v>734</v>
      </c>
      <c r="D1143" s="34" t="s">
        <v>1557</v>
      </c>
      <c r="E1143" s="35" t="s">
        <v>735</v>
      </c>
      <c r="F1143" s="40">
        <v>56</v>
      </c>
      <c r="G1143" s="144" t="s">
        <v>736</v>
      </c>
      <c r="H1143" s="40">
        <v>4</v>
      </c>
      <c r="I1143" s="56"/>
    </row>
    <row r="1144" spans="1:9" s="81" customFormat="1" ht="21.6" customHeight="1">
      <c r="A1144" s="27">
        <v>1318</v>
      </c>
      <c r="B1144" s="34" t="s">
        <v>1305</v>
      </c>
      <c r="C1144" s="34" t="s">
        <v>737</v>
      </c>
      <c r="D1144" s="50" t="s">
        <v>1558</v>
      </c>
      <c r="E1144" s="51" t="s">
        <v>738</v>
      </c>
      <c r="F1144" s="40">
        <v>80</v>
      </c>
      <c r="G1144" s="144" t="s">
        <v>399</v>
      </c>
      <c r="H1144" s="40">
        <v>1</v>
      </c>
      <c r="I1144" s="56"/>
    </row>
    <row r="1145" spans="1:9" s="81" customFormat="1" ht="21.6" customHeight="1">
      <c r="A1145" s="27">
        <v>1319</v>
      </c>
      <c r="B1145" s="34" t="s">
        <v>1305</v>
      </c>
      <c r="C1145" s="34" t="s">
        <v>739</v>
      </c>
      <c r="D1145" s="52" t="s">
        <v>1559</v>
      </c>
      <c r="E1145" s="3" t="s">
        <v>740</v>
      </c>
      <c r="F1145" s="40">
        <v>80</v>
      </c>
      <c r="G1145" s="144" t="s">
        <v>741</v>
      </c>
      <c r="H1145" s="40">
        <v>1</v>
      </c>
      <c r="I1145" s="56"/>
    </row>
    <row r="1146" spans="1:9" s="81" customFormat="1" ht="21.6" customHeight="1">
      <c r="A1146" s="27">
        <v>1320</v>
      </c>
      <c r="B1146" s="34" t="s">
        <v>1305</v>
      </c>
      <c r="C1146" s="34" t="s">
        <v>273</v>
      </c>
      <c r="D1146" s="34" t="s">
        <v>1392</v>
      </c>
      <c r="E1146" s="35" t="s">
        <v>274</v>
      </c>
      <c r="F1146" s="40">
        <v>80</v>
      </c>
      <c r="G1146" s="144" t="s">
        <v>631</v>
      </c>
      <c r="H1146" s="40">
        <v>1</v>
      </c>
      <c r="I1146" s="56" t="s">
        <v>116</v>
      </c>
    </row>
    <row r="1147" spans="1:9" s="81" customFormat="1" ht="21.6" customHeight="1">
      <c r="A1147" s="27">
        <v>1321</v>
      </c>
      <c r="B1147" s="34" t="s">
        <v>1305</v>
      </c>
      <c r="C1147" s="34" t="s">
        <v>742</v>
      </c>
      <c r="D1147" s="80" t="s">
        <v>1560</v>
      </c>
      <c r="E1147" s="35" t="s">
        <v>743</v>
      </c>
      <c r="F1147" s="40">
        <v>80</v>
      </c>
      <c r="G1147" s="144" t="s">
        <v>119</v>
      </c>
      <c r="H1147" s="40">
        <v>1</v>
      </c>
      <c r="I1147" s="56" t="s">
        <v>116</v>
      </c>
    </row>
    <row r="1148" spans="1:9" s="58" customFormat="1" ht="21.6" customHeight="1">
      <c r="A1148" s="27">
        <v>1322</v>
      </c>
      <c r="B1148" s="34" t="s">
        <v>1305</v>
      </c>
      <c r="C1148" s="34" t="s">
        <v>264</v>
      </c>
      <c r="D1148" s="50" t="s">
        <v>1389</v>
      </c>
      <c r="E1148" s="51" t="s">
        <v>265</v>
      </c>
      <c r="F1148" s="29">
        <v>80</v>
      </c>
      <c r="G1148" s="144" t="s">
        <v>1836</v>
      </c>
      <c r="H1148" s="29">
        <v>1</v>
      </c>
      <c r="I1148" s="31" t="s">
        <v>744</v>
      </c>
    </row>
    <row r="1149" spans="1:9" s="58" customFormat="1" ht="21.6" customHeight="1">
      <c r="A1149" s="27">
        <v>1323</v>
      </c>
      <c r="B1149" s="34" t="s">
        <v>1305</v>
      </c>
      <c r="C1149" s="34" t="s">
        <v>264</v>
      </c>
      <c r="D1149" s="50" t="s">
        <v>1389</v>
      </c>
      <c r="E1149" s="51" t="s">
        <v>265</v>
      </c>
      <c r="F1149" s="29">
        <v>80</v>
      </c>
      <c r="G1149" s="144" t="s">
        <v>745</v>
      </c>
      <c r="H1149" s="29">
        <v>1</v>
      </c>
      <c r="I1149" s="31" t="s">
        <v>744</v>
      </c>
    </row>
    <row r="1150" spans="1:9" s="58" customFormat="1" ht="21.6" customHeight="1">
      <c r="A1150" s="27">
        <v>1324</v>
      </c>
      <c r="B1150" s="34" t="s">
        <v>1305</v>
      </c>
      <c r="C1150" s="34" t="s">
        <v>746</v>
      </c>
      <c r="D1150" s="50" t="s">
        <v>1561</v>
      </c>
      <c r="E1150" s="51" t="s">
        <v>747</v>
      </c>
      <c r="F1150" s="29">
        <v>80</v>
      </c>
      <c r="G1150" s="144" t="s">
        <v>1837</v>
      </c>
      <c r="H1150" s="29">
        <v>1</v>
      </c>
      <c r="I1150" s="31" t="s">
        <v>744</v>
      </c>
    </row>
    <row r="1151" spans="1:9" s="58" customFormat="1" ht="21.6" customHeight="1">
      <c r="A1151" s="27">
        <v>1325</v>
      </c>
      <c r="B1151" s="34" t="s">
        <v>1305</v>
      </c>
      <c r="C1151" s="34" t="s">
        <v>225</v>
      </c>
      <c r="D1151" s="39" t="s">
        <v>1375</v>
      </c>
      <c r="E1151" s="3" t="s">
        <v>226</v>
      </c>
      <c r="F1151" s="29">
        <v>120</v>
      </c>
      <c r="G1151" s="145" t="s">
        <v>1838</v>
      </c>
      <c r="H1151" s="29">
        <v>2</v>
      </c>
      <c r="I1151" s="31" t="s">
        <v>748</v>
      </c>
    </row>
    <row r="1152" spans="1:9" s="58" customFormat="1" ht="21.6" customHeight="1">
      <c r="A1152" s="27">
        <v>1326</v>
      </c>
      <c r="B1152" s="34" t="s">
        <v>1305</v>
      </c>
      <c r="C1152" s="34" t="s">
        <v>229</v>
      </c>
      <c r="D1152" s="39" t="s">
        <v>1376</v>
      </c>
      <c r="E1152" s="51" t="s">
        <v>230</v>
      </c>
      <c r="F1152" s="29">
        <v>120</v>
      </c>
      <c r="G1152" s="145" t="s">
        <v>1839</v>
      </c>
      <c r="H1152" s="29">
        <v>1</v>
      </c>
      <c r="I1152" s="31" t="s">
        <v>748</v>
      </c>
    </row>
    <row r="1153" spans="1:9" s="58" customFormat="1" ht="21.6" customHeight="1">
      <c r="A1153" s="27">
        <v>1327</v>
      </c>
      <c r="B1153" s="34" t="s">
        <v>1305</v>
      </c>
      <c r="C1153" s="34" t="s">
        <v>231</v>
      </c>
      <c r="D1153" s="39" t="s">
        <v>1377</v>
      </c>
      <c r="E1153" s="51" t="s">
        <v>232</v>
      </c>
      <c r="F1153" s="29">
        <v>160</v>
      </c>
      <c r="G1153" s="144" t="s">
        <v>1840</v>
      </c>
      <c r="H1153" s="29">
        <v>1</v>
      </c>
      <c r="I1153" s="31" t="s">
        <v>750</v>
      </c>
    </row>
    <row r="1154" spans="1:9" s="58" customFormat="1" ht="21.6" customHeight="1">
      <c r="A1154" s="27">
        <v>1328</v>
      </c>
      <c r="B1154" s="34" t="s">
        <v>1305</v>
      </c>
      <c r="C1154" s="34" t="s">
        <v>235</v>
      </c>
      <c r="D1154" s="50" t="s">
        <v>1378</v>
      </c>
      <c r="E1154" s="51" t="s">
        <v>236</v>
      </c>
      <c r="F1154" s="29">
        <v>160</v>
      </c>
      <c r="G1154" s="144" t="s">
        <v>237</v>
      </c>
      <c r="H1154" s="29">
        <v>1</v>
      </c>
      <c r="I1154" s="31" t="s">
        <v>750</v>
      </c>
    </row>
    <row r="1155" spans="1:9" s="58" customFormat="1" ht="21.6" customHeight="1">
      <c r="A1155" s="27">
        <v>1329</v>
      </c>
      <c r="B1155" s="34" t="s">
        <v>1305</v>
      </c>
      <c r="C1155" s="34" t="s">
        <v>238</v>
      </c>
      <c r="D1155" s="50" t="s">
        <v>1379</v>
      </c>
      <c r="E1155" s="51" t="s">
        <v>239</v>
      </c>
      <c r="F1155" s="29">
        <v>160</v>
      </c>
      <c r="G1155" s="144" t="s">
        <v>749</v>
      </c>
      <c r="H1155" s="29">
        <v>1</v>
      </c>
      <c r="I1155" s="31" t="s">
        <v>750</v>
      </c>
    </row>
    <row r="1156" spans="1:9" s="81" customFormat="1" ht="21.6" customHeight="1">
      <c r="A1156" s="27">
        <v>1330</v>
      </c>
      <c r="B1156" s="34" t="s">
        <v>1305</v>
      </c>
      <c r="C1156" s="34" t="s">
        <v>751</v>
      </c>
      <c r="D1156" s="34" t="s">
        <v>1562</v>
      </c>
      <c r="E1156" s="35" t="s">
        <v>752</v>
      </c>
      <c r="F1156" s="40">
        <v>56</v>
      </c>
      <c r="G1156" s="144" t="s">
        <v>637</v>
      </c>
      <c r="H1156" s="40" t="s">
        <v>123</v>
      </c>
      <c r="I1156" s="56"/>
    </row>
    <row r="1157" spans="1:9" s="81" customFormat="1" ht="21.6" customHeight="1">
      <c r="A1157" s="27">
        <v>1331</v>
      </c>
      <c r="B1157" s="34" t="s">
        <v>1305</v>
      </c>
      <c r="C1157" s="34" t="s">
        <v>753</v>
      </c>
      <c r="D1157" s="34" t="s">
        <v>1563</v>
      </c>
      <c r="E1157" s="35" t="s">
        <v>754</v>
      </c>
      <c r="F1157" s="40">
        <v>56</v>
      </c>
      <c r="G1157" s="144" t="s">
        <v>755</v>
      </c>
      <c r="H1157" s="40" t="s">
        <v>123</v>
      </c>
      <c r="I1157" s="56"/>
    </row>
    <row r="1158" spans="1:9" s="58" customFormat="1" ht="21.6" customHeight="1">
      <c r="A1158" s="27">
        <v>1332</v>
      </c>
      <c r="B1158" s="34" t="s">
        <v>1305</v>
      </c>
      <c r="C1158" s="34" t="s">
        <v>756</v>
      </c>
      <c r="D1158" s="39" t="s">
        <v>1564</v>
      </c>
      <c r="E1158" s="3" t="s">
        <v>757</v>
      </c>
      <c r="F1158" s="29">
        <v>80</v>
      </c>
      <c r="G1158" s="144" t="s">
        <v>758</v>
      </c>
      <c r="H1158" s="40" t="s">
        <v>123</v>
      </c>
      <c r="I1158" s="31" t="s">
        <v>744</v>
      </c>
    </row>
    <row r="1159" spans="1:9" s="58" customFormat="1" ht="21.6" customHeight="1">
      <c r="A1159" s="27">
        <v>1333</v>
      </c>
      <c r="B1159" s="34" t="s">
        <v>1305</v>
      </c>
      <c r="C1159" s="34" t="s">
        <v>248</v>
      </c>
      <c r="D1159" s="39" t="s">
        <v>1383</v>
      </c>
      <c r="E1159" s="3" t="s">
        <v>249</v>
      </c>
      <c r="F1159" s="29">
        <v>120</v>
      </c>
      <c r="G1159" s="144" t="s">
        <v>759</v>
      </c>
      <c r="H1159" s="40" t="s">
        <v>123</v>
      </c>
      <c r="I1159" s="31" t="s">
        <v>748</v>
      </c>
    </row>
    <row r="1160" spans="1:9" s="58" customFormat="1" ht="21.6" customHeight="1">
      <c r="A1160" s="27">
        <v>1334</v>
      </c>
      <c r="B1160" s="34" t="s">
        <v>1305</v>
      </c>
      <c r="C1160" s="34" t="s">
        <v>251</v>
      </c>
      <c r="D1160" s="39" t="s">
        <v>1384</v>
      </c>
      <c r="E1160" s="3" t="s">
        <v>252</v>
      </c>
      <c r="F1160" s="29">
        <v>160</v>
      </c>
      <c r="G1160" s="144" t="s">
        <v>760</v>
      </c>
      <c r="H1160" s="40" t="s">
        <v>123</v>
      </c>
      <c r="I1160" s="31" t="s">
        <v>750</v>
      </c>
    </row>
    <row r="1161" spans="1:9" s="58" customFormat="1" ht="21.6" customHeight="1">
      <c r="A1161" s="27">
        <v>1335</v>
      </c>
      <c r="B1161" s="34" t="s">
        <v>1305</v>
      </c>
      <c r="C1161" s="34" t="s">
        <v>761</v>
      </c>
      <c r="D1161" s="39" t="s">
        <v>1565</v>
      </c>
      <c r="E1161" s="3" t="s">
        <v>762</v>
      </c>
      <c r="F1161" s="29">
        <v>168</v>
      </c>
      <c r="G1161" s="144" t="s">
        <v>642</v>
      </c>
      <c r="H1161" s="40" t="s">
        <v>123</v>
      </c>
      <c r="I1161" s="31" t="s">
        <v>84</v>
      </c>
    </row>
    <row r="1162" spans="1:9" s="58" customFormat="1" ht="21.6" customHeight="1">
      <c r="A1162" s="27">
        <v>1336</v>
      </c>
      <c r="B1162" s="34" t="s">
        <v>1305</v>
      </c>
      <c r="C1162" s="34" t="s">
        <v>763</v>
      </c>
      <c r="D1162" s="39" t="s">
        <v>1566</v>
      </c>
      <c r="E1162" s="3" t="s">
        <v>764</v>
      </c>
      <c r="F1162" s="29">
        <v>168</v>
      </c>
      <c r="G1162" s="144" t="s">
        <v>645</v>
      </c>
      <c r="H1162" s="40" t="s">
        <v>123</v>
      </c>
      <c r="I1162" s="31" t="s">
        <v>84</v>
      </c>
    </row>
    <row r="1163" spans="1:9" s="81" customFormat="1" ht="21.6" customHeight="1">
      <c r="A1163" s="27">
        <v>1338</v>
      </c>
      <c r="B1163" s="34" t="s">
        <v>1305</v>
      </c>
      <c r="C1163" s="34" t="s">
        <v>765</v>
      </c>
      <c r="D1163" s="34" t="s">
        <v>1567</v>
      </c>
      <c r="E1163" s="35" t="s">
        <v>766</v>
      </c>
      <c r="F1163" s="40" t="s">
        <v>123</v>
      </c>
      <c r="G1163" s="145" t="s">
        <v>767</v>
      </c>
      <c r="H1163" s="40" t="s">
        <v>123</v>
      </c>
      <c r="I1163" s="56"/>
    </row>
    <row r="1164" spans="1:9" s="81" customFormat="1" ht="21.6" customHeight="1">
      <c r="A1164" s="27">
        <v>1339</v>
      </c>
      <c r="B1164" s="34" t="s">
        <v>1305</v>
      </c>
      <c r="C1164" s="34" t="s">
        <v>768</v>
      </c>
      <c r="D1164" s="34" t="s">
        <v>1568</v>
      </c>
      <c r="E1164" s="35" t="s">
        <v>769</v>
      </c>
      <c r="F1164" s="40" t="s">
        <v>123</v>
      </c>
      <c r="G1164" s="145" t="s">
        <v>129</v>
      </c>
      <c r="H1164" s="40" t="s">
        <v>123</v>
      </c>
      <c r="I1164" s="56"/>
    </row>
    <row r="1165" spans="1:9" ht="21.6" customHeight="1">
      <c r="A1165" s="27">
        <v>1340</v>
      </c>
      <c r="B1165" s="34" t="s">
        <v>1305</v>
      </c>
      <c r="C1165" s="34" t="s">
        <v>770</v>
      </c>
      <c r="D1165" s="34" t="s">
        <v>1569</v>
      </c>
      <c r="E1165" s="35" t="s">
        <v>771</v>
      </c>
      <c r="F1165" s="40" t="s">
        <v>123</v>
      </c>
      <c r="G1165" s="145" t="s">
        <v>772</v>
      </c>
      <c r="H1165" s="40" t="s">
        <v>123</v>
      </c>
      <c r="I1165" s="56"/>
    </row>
    <row r="1166" spans="1:9" ht="21.6" customHeight="1">
      <c r="A1166" s="27">
        <v>1341</v>
      </c>
      <c r="B1166" s="34" t="s">
        <v>1305</v>
      </c>
      <c r="C1166" s="34" t="s">
        <v>773</v>
      </c>
      <c r="D1166" s="34" t="s">
        <v>1570</v>
      </c>
      <c r="E1166" s="35" t="s">
        <v>774</v>
      </c>
      <c r="F1166" s="40" t="s">
        <v>123</v>
      </c>
      <c r="G1166" s="145" t="s">
        <v>775</v>
      </c>
      <c r="H1166" s="40" t="s">
        <v>123</v>
      </c>
      <c r="I1166" s="56"/>
    </row>
    <row r="1167" spans="1:9" ht="21.6" customHeight="1">
      <c r="A1167" s="27">
        <v>1342</v>
      </c>
      <c r="B1167" s="34" t="s">
        <v>1305</v>
      </c>
      <c r="C1167" s="34" t="s">
        <v>776</v>
      </c>
      <c r="D1167" s="34" t="s">
        <v>1571</v>
      </c>
      <c r="E1167" s="35" t="s">
        <v>777</v>
      </c>
      <c r="F1167" s="40" t="s">
        <v>123</v>
      </c>
      <c r="G1167" s="145" t="s">
        <v>778</v>
      </c>
      <c r="H1167" s="40" t="s">
        <v>123</v>
      </c>
      <c r="I1167" s="56"/>
    </row>
    <row r="1168" spans="1:9" ht="21.6" customHeight="1">
      <c r="A1168" s="27">
        <v>1343</v>
      </c>
      <c r="B1168" s="34" t="s">
        <v>1305</v>
      </c>
      <c r="C1168" s="34" t="s">
        <v>779</v>
      </c>
      <c r="D1168" s="34" t="s">
        <v>1572</v>
      </c>
      <c r="E1168" s="35" t="s">
        <v>780</v>
      </c>
      <c r="F1168" s="40" t="s">
        <v>123</v>
      </c>
      <c r="G1168" s="145" t="s">
        <v>781</v>
      </c>
      <c r="H1168" s="40" t="s">
        <v>123</v>
      </c>
      <c r="I1168" s="56"/>
    </row>
    <row r="1169" spans="1:9" ht="21.6" customHeight="1">
      <c r="A1169" s="27">
        <v>1344</v>
      </c>
      <c r="B1169" s="34" t="s">
        <v>1305</v>
      </c>
      <c r="C1169" s="34" t="s">
        <v>782</v>
      </c>
      <c r="D1169" s="34" t="s">
        <v>1573</v>
      </c>
      <c r="E1169" s="35" t="s">
        <v>783</v>
      </c>
      <c r="F1169" s="40" t="s">
        <v>123</v>
      </c>
      <c r="G1169" s="145" t="s">
        <v>784</v>
      </c>
      <c r="H1169" s="40" t="s">
        <v>123</v>
      </c>
      <c r="I1169" s="56"/>
    </row>
    <row r="1170" spans="1:9" ht="21.6" customHeight="1">
      <c r="A1170" s="27">
        <v>1345</v>
      </c>
      <c r="B1170" s="34" t="s">
        <v>1305</v>
      </c>
      <c r="C1170" s="34" t="s">
        <v>785</v>
      </c>
      <c r="D1170" s="34" t="s">
        <v>1574</v>
      </c>
      <c r="E1170" s="35" t="s">
        <v>786</v>
      </c>
      <c r="F1170" s="40" t="s">
        <v>123</v>
      </c>
      <c r="G1170" s="145" t="s">
        <v>787</v>
      </c>
      <c r="H1170" s="40" t="s">
        <v>123</v>
      </c>
      <c r="I1170" s="56"/>
    </row>
    <row r="1171" spans="1:9" ht="21.6" customHeight="1">
      <c r="A1171" s="27">
        <v>1346</v>
      </c>
      <c r="B1171" s="34" t="s">
        <v>1305</v>
      </c>
      <c r="C1171" s="34" t="s">
        <v>788</v>
      </c>
      <c r="D1171" s="34" t="s">
        <v>1575</v>
      </c>
      <c r="E1171" s="35" t="s">
        <v>789</v>
      </c>
      <c r="F1171" s="40" t="s">
        <v>123</v>
      </c>
      <c r="G1171" s="145" t="s">
        <v>790</v>
      </c>
      <c r="H1171" s="40" t="s">
        <v>123</v>
      </c>
      <c r="I1171" s="56"/>
    </row>
    <row r="1172" spans="1:9" s="81" customFormat="1" ht="21.6" customHeight="1">
      <c r="A1172" s="41">
        <v>1347</v>
      </c>
      <c r="B1172" s="97" t="s">
        <v>1305</v>
      </c>
      <c r="C1172" s="97" t="s">
        <v>791</v>
      </c>
      <c r="D1172" s="97" t="s">
        <v>1576</v>
      </c>
      <c r="E1172" s="70" t="s">
        <v>792</v>
      </c>
      <c r="F1172" s="44" t="s">
        <v>123</v>
      </c>
      <c r="G1172" s="147" t="s">
        <v>1821</v>
      </c>
      <c r="H1172" s="44" t="s">
        <v>123</v>
      </c>
      <c r="I1172" s="98"/>
    </row>
    <row r="1173" spans="1:9" s="81" customFormat="1" ht="21.6" customHeight="1">
      <c r="A1173" s="20">
        <v>1348</v>
      </c>
      <c r="B1173" s="73" t="s">
        <v>37</v>
      </c>
      <c r="C1173" s="73" t="s">
        <v>697</v>
      </c>
      <c r="D1173" s="73" t="s">
        <v>1542</v>
      </c>
      <c r="E1173" s="72" t="s">
        <v>698</v>
      </c>
      <c r="F1173" s="74">
        <v>67.2</v>
      </c>
      <c r="G1173" s="143" t="s">
        <v>193</v>
      </c>
      <c r="H1173" s="74">
        <v>4</v>
      </c>
      <c r="I1173" s="75"/>
    </row>
    <row r="1174" spans="1:9" s="81" customFormat="1" ht="21.6" customHeight="1">
      <c r="A1174" s="27">
        <v>1349</v>
      </c>
      <c r="B1174" s="34" t="s">
        <v>37</v>
      </c>
      <c r="C1174" s="34" t="s">
        <v>699</v>
      </c>
      <c r="D1174" s="34" t="s">
        <v>1543</v>
      </c>
      <c r="E1174" s="35" t="s">
        <v>700</v>
      </c>
      <c r="F1174" s="40">
        <v>67.2</v>
      </c>
      <c r="G1174" s="145" t="s">
        <v>502</v>
      </c>
      <c r="H1174" s="40">
        <v>1</v>
      </c>
      <c r="I1174" s="56"/>
    </row>
    <row r="1175" spans="1:9" s="81" customFormat="1" ht="21.6" customHeight="1">
      <c r="A1175" s="27">
        <v>1350</v>
      </c>
      <c r="B1175" s="34" t="s">
        <v>37</v>
      </c>
      <c r="C1175" s="34" t="s">
        <v>701</v>
      </c>
      <c r="D1175" s="34" t="s">
        <v>1544</v>
      </c>
      <c r="E1175" s="35" t="s">
        <v>702</v>
      </c>
      <c r="F1175" s="40">
        <v>67.2</v>
      </c>
      <c r="G1175" s="145" t="s">
        <v>703</v>
      </c>
      <c r="H1175" s="40">
        <v>1</v>
      </c>
      <c r="I1175" s="56"/>
    </row>
    <row r="1176" spans="1:9" s="81" customFormat="1" ht="21.6" customHeight="1">
      <c r="A1176" s="27">
        <v>1351</v>
      </c>
      <c r="B1176" s="34" t="s">
        <v>37</v>
      </c>
      <c r="C1176" s="34" t="s">
        <v>704</v>
      </c>
      <c r="D1176" s="34" t="s">
        <v>1545</v>
      </c>
      <c r="E1176" s="35" t="s">
        <v>705</v>
      </c>
      <c r="F1176" s="40">
        <v>67.2</v>
      </c>
      <c r="G1176" s="144" t="s">
        <v>706</v>
      </c>
      <c r="H1176" s="40">
        <v>1</v>
      </c>
      <c r="I1176" s="56"/>
    </row>
    <row r="1177" spans="1:9" s="81" customFormat="1" ht="21.6" customHeight="1">
      <c r="A1177" s="27">
        <v>1352</v>
      </c>
      <c r="B1177" s="34" t="s">
        <v>37</v>
      </c>
      <c r="C1177" s="34" t="s">
        <v>707</v>
      </c>
      <c r="D1177" s="34" t="s">
        <v>1546</v>
      </c>
      <c r="E1177" s="35" t="s">
        <v>708</v>
      </c>
      <c r="F1177" s="40">
        <v>67.2</v>
      </c>
      <c r="G1177" s="145" t="s">
        <v>709</v>
      </c>
      <c r="H1177" s="40">
        <v>1</v>
      </c>
      <c r="I1177" s="56"/>
    </row>
    <row r="1178" spans="1:9" s="81" customFormat="1" ht="21.6" customHeight="1">
      <c r="A1178" s="27">
        <v>1353</v>
      </c>
      <c r="B1178" s="34" t="s">
        <v>37</v>
      </c>
      <c r="C1178" s="34" t="s">
        <v>710</v>
      </c>
      <c r="D1178" s="34" t="s">
        <v>1547</v>
      </c>
      <c r="E1178" s="35" t="s">
        <v>711</v>
      </c>
      <c r="F1178" s="40">
        <v>67.2</v>
      </c>
      <c r="G1178" s="145" t="s">
        <v>415</v>
      </c>
      <c r="H1178" s="40">
        <v>4</v>
      </c>
      <c r="I1178" s="56"/>
    </row>
    <row r="1179" spans="1:9" s="81" customFormat="1" ht="21.6" customHeight="1">
      <c r="A1179" s="27">
        <v>1354</v>
      </c>
      <c r="B1179" s="34" t="s">
        <v>37</v>
      </c>
      <c r="C1179" s="34" t="s">
        <v>605</v>
      </c>
      <c r="D1179" s="34" t="s">
        <v>1511</v>
      </c>
      <c r="E1179" s="35" t="s">
        <v>606</v>
      </c>
      <c r="F1179" s="40">
        <v>168</v>
      </c>
      <c r="G1179" s="145" t="s">
        <v>533</v>
      </c>
      <c r="H1179" s="40">
        <v>1</v>
      </c>
      <c r="I1179" s="56"/>
    </row>
    <row r="1180" spans="1:9" s="81" customFormat="1" ht="21.6" customHeight="1">
      <c r="A1180" s="27">
        <v>1355</v>
      </c>
      <c r="B1180" s="34" t="s">
        <v>37</v>
      </c>
      <c r="C1180" s="34" t="s">
        <v>712</v>
      </c>
      <c r="D1180" s="34" t="s">
        <v>1548</v>
      </c>
      <c r="E1180" s="35" t="s">
        <v>713</v>
      </c>
      <c r="F1180" s="40">
        <v>168</v>
      </c>
      <c r="G1180" s="145" t="s">
        <v>1775</v>
      </c>
      <c r="H1180" s="40">
        <v>1</v>
      </c>
      <c r="I1180" s="56" t="s">
        <v>84</v>
      </c>
    </row>
    <row r="1181" spans="1:9" s="81" customFormat="1" ht="21.6" customHeight="1">
      <c r="A1181" s="27">
        <v>1356</v>
      </c>
      <c r="B1181" s="34" t="s">
        <v>37</v>
      </c>
      <c r="C1181" s="34" t="s">
        <v>714</v>
      </c>
      <c r="D1181" s="34" t="s">
        <v>1549</v>
      </c>
      <c r="E1181" s="35" t="s">
        <v>715</v>
      </c>
      <c r="F1181" s="40">
        <v>168</v>
      </c>
      <c r="G1181" s="145" t="s">
        <v>87</v>
      </c>
      <c r="H1181" s="40">
        <v>1</v>
      </c>
      <c r="I1181" s="56" t="s">
        <v>84</v>
      </c>
    </row>
    <row r="1182" spans="1:9" s="81" customFormat="1" ht="21.6" customHeight="1">
      <c r="A1182" s="27">
        <v>1358</v>
      </c>
      <c r="B1182" s="34" t="s">
        <v>37</v>
      </c>
      <c r="C1182" s="34" t="s">
        <v>793</v>
      </c>
      <c r="D1182" s="34" t="s">
        <v>1577</v>
      </c>
      <c r="E1182" s="35" t="s">
        <v>794</v>
      </c>
      <c r="F1182" s="40">
        <v>168</v>
      </c>
      <c r="G1182" s="145" t="s">
        <v>718</v>
      </c>
      <c r="H1182" s="40">
        <v>5</v>
      </c>
      <c r="I1182" s="56" t="s">
        <v>795</v>
      </c>
    </row>
    <row r="1183" spans="1:9" s="81" customFormat="1" ht="21.6" customHeight="1">
      <c r="A1183" s="27">
        <v>1359</v>
      </c>
      <c r="B1183" s="34" t="s">
        <v>37</v>
      </c>
      <c r="C1183" s="34" t="s">
        <v>719</v>
      </c>
      <c r="D1183" s="34" t="s">
        <v>1551</v>
      </c>
      <c r="E1183" s="35" t="s">
        <v>720</v>
      </c>
      <c r="F1183" s="40">
        <v>168</v>
      </c>
      <c r="G1183" s="145" t="s">
        <v>101</v>
      </c>
      <c r="H1183" s="40">
        <v>1</v>
      </c>
      <c r="I1183" s="56" t="s">
        <v>84</v>
      </c>
    </row>
    <row r="1184" spans="1:9" s="81" customFormat="1" ht="21.6" customHeight="1">
      <c r="A1184" s="27">
        <v>1360</v>
      </c>
      <c r="B1184" s="34" t="s">
        <v>37</v>
      </c>
      <c r="C1184" s="34" t="s">
        <v>609</v>
      </c>
      <c r="D1184" s="34" t="s">
        <v>1513</v>
      </c>
      <c r="E1184" s="35" t="s">
        <v>610</v>
      </c>
      <c r="F1184" s="40">
        <v>168</v>
      </c>
      <c r="G1184" s="145" t="s">
        <v>1824</v>
      </c>
      <c r="H1184" s="40">
        <v>1</v>
      </c>
      <c r="I1184" s="56" t="s">
        <v>84</v>
      </c>
    </row>
    <row r="1185" spans="1:9" s="81" customFormat="1" ht="21.6" customHeight="1">
      <c r="A1185" s="27">
        <v>1361</v>
      </c>
      <c r="B1185" s="34" t="s">
        <v>37</v>
      </c>
      <c r="C1185" s="34" t="s">
        <v>611</v>
      </c>
      <c r="D1185" s="34" t="s">
        <v>1514</v>
      </c>
      <c r="E1185" s="35" t="s">
        <v>612</v>
      </c>
      <c r="F1185" s="40">
        <v>168</v>
      </c>
      <c r="G1185" s="145" t="s">
        <v>1825</v>
      </c>
      <c r="H1185" s="40">
        <v>1</v>
      </c>
      <c r="I1185" s="56" t="s">
        <v>84</v>
      </c>
    </row>
    <row r="1186" spans="1:9" s="81" customFormat="1" ht="21.6" customHeight="1">
      <c r="A1186" s="27">
        <v>1362</v>
      </c>
      <c r="B1186" s="34" t="s">
        <v>37</v>
      </c>
      <c r="C1186" s="34" t="s">
        <v>613</v>
      </c>
      <c r="D1186" s="34" t="s">
        <v>1515</v>
      </c>
      <c r="E1186" s="35" t="s">
        <v>614</v>
      </c>
      <c r="F1186" s="40">
        <v>168</v>
      </c>
      <c r="G1186" s="145" t="s">
        <v>1826</v>
      </c>
      <c r="H1186" s="40">
        <v>2</v>
      </c>
      <c r="I1186" s="56" t="s">
        <v>84</v>
      </c>
    </row>
    <row r="1187" spans="1:9" s="81" customFormat="1" ht="21.6" customHeight="1">
      <c r="A1187" s="27">
        <v>1363</v>
      </c>
      <c r="B1187" s="34" t="s">
        <v>37</v>
      </c>
      <c r="C1187" s="34" t="s">
        <v>607</v>
      </c>
      <c r="D1187" s="34" t="s">
        <v>1512</v>
      </c>
      <c r="E1187" s="35" t="s">
        <v>608</v>
      </c>
      <c r="F1187" s="40">
        <v>168</v>
      </c>
      <c r="G1187" s="145" t="s">
        <v>1812</v>
      </c>
      <c r="H1187" s="40">
        <v>1</v>
      </c>
      <c r="I1187" s="56" t="s">
        <v>84</v>
      </c>
    </row>
    <row r="1188" spans="1:9" s="81" customFormat="1" ht="21.6" customHeight="1">
      <c r="A1188" s="27">
        <v>1364</v>
      </c>
      <c r="B1188" s="34" t="s">
        <v>37</v>
      </c>
      <c r="C1188" s="34" t="s">
        <v>727</v>
      </c>
      <c r="D1188" s="34" t="s">
        <v>1554</v>
      </c>
      <c r="E1188" s="35" t="s">
        <v>728</v>
      </c>
      <c r="F1188" s="40">
        <v>67.2</v>
      </c>
      <c r="G1188" s="144" t="s">
        <v>107</v>
      </c>
      <c r="H1188" s="40">
        <v>4</v>
      </c>
      <c r="I1188" s="56"/>
    </row>
    <row r="1189" spans="1:9" s="81" customFormat="1" ht="21.6" customHeight="1">
      <c r="A1189" s="27">
        <v>1365</v>
      </c>
      <c r="B1189" s="34" t="s">
        <v>37</v>
      </c>
      <c r="C1189" s="34" t="s">
        <v>598</v>
      </c>
      <c r="D1189" s="34" t="s">
        <v>1508</v>
      </c>
      <c r="E1189" s="35" t="s">
        <v>599</v>
      </c>
      <c r="F1189" s="40">
        <v>67.2</v>
      </c>
      <c r="G1189" s="145" t="s">
        <v>104</v>
      </c>
      <c r="H1189" s="40">
        <v>4</v>
      </c>
      <c r="I1189" s="56"/>
    </row>
    <row r="1190" spans="1:9" s="81" customFormat="1" ht="21.6" customHeight="1">
      <c r="A1190" s="27">
        <v>1366</v>
      </c>
      <c r="B1190" s="34" t="s">
        <v>37</v>
      </c>
      <c r="C1190" s="34" t="s">
        <v>729</v>
      </c>
      <c r="D1190" s="34" t="s">
        <v>1555</v>
      </c>
      <c r="E1190" s="35" t="s">
        <v>730</v>
      </c>
      <c r="F1190" s="40">
        <v>67.2</v>
      </c>
      <c r="G1190" s="144" t="s">
        <v>1822</v>
      </c>
      <c r="H1190" s="40">
        <v>8</v>
      </c>
      <c r="I1190" s="56"/>
    </row>
    <row r="1191" spans="1:9" s="81" customFormat="1" ht="21.6" customHeight="1">
      <c r="A1191" s="27">
        <v>1367</v>
      </c>
      <c r="B1191" s="34" t="s">
        <v>37</v>
      </c>
      <c r="C1191" s="34" t="s">
        <v>731</v>
      </c>
      <c r="D1191" s="34" t="s">
        <v>1556</v>
      </c>
      <c r="E1191" s="35" t="s">
        <v>732</v>
      </c>
      <c r="F1191" s="40">
        <v>67.2</v>
      </c>
      <c r="G1191" s="144" t="s">
        <v>733</v>
      </c>
      <c r="H1191" s="40">
        <v>4</v>
      </c>
      <c r="I1191" s="56"/>
    </row>
    <row r="1192" spans="1:9" s="81" customFormat="1" ht="21.6" customHeight="1">
      <c r="A1192" s="27">
        <v>1368</v>
      </c>
      <c r="B1192" s="34" t="s">
        <v>37</v>
      </c>
      <c r="C1192" s="34" t="s">
        <v>734</v>
      </c>
      <c r="D1192" s="34" t="s">
        <v>1557</v>
      </c>
      <c r="E1192" s="35" t="s">
        <v>735</v>
      </c>
      <c r="F1192" s="40">
        <v>67.2</v>
      </c>
      <c r="G1192" s="144" t="s">
        <v>736</v>
      </c>
      <c r="H1192" s="40">
        <v>4</v>
      </c>
      <c r="I1192" s="56"/>
    </row>
    <row r="1193" spans="1:9" s="81" customFormat="1" ht="21.6" customHeight="1">
      <c r="A1193" s="27">
        <v>1369</v>
      </c>
      <c r="B1193" s="34" t="s">
        <v>37</v>
      </c>
      <c r="C1193" s="34" t="s">
        <v>737</v>
      </c>
      <c r="D1193" s="50" t="s">
        <v>1558</v>
      </c>
      <c r="E1193" s="51" t="s">
        <v>738</v>
      </c>
      <c r="F1193" s="40">
        <v>80</v>
      </c>
      <c r="G1193" s="144" t="s">
        <v>399</v>
      </c>
      <c r="H1193" s="40">
        <v>1</v>
      </c>
      <c r="I1193" s="56"/>
    </row>
    <row r="1194" spans="1:9" s="81" customFormat="1" ht="21.6" customHeight="1">
      <c r="A1194" s="27">
        <v>1370</v>
      </c>
      <c r="B1194" s="34" t="s">
        <v>37</v>
      </c>
      <c r="C1194" s="34" t="s">
        <v>739</v>
      </c>
      <c r="D1194" s="52" t="s">
        <v>1559</v>
      </c>
      <c r="E1194" s="3" t="s">
        <v>740</v>
      </c>
      <c r="F1194" s="40">
        <v>80</v>
      </c>
      <c r="G1194" s="144" t="s">
        <v>741</v>
      </c>
      <c r="H1194" s="40">
        <v>1</v>
      </c>
      <c r="I1194" s="56"/>
    </row>
    <row r="1195" spans="1:9" s="81" customFormat="1" ht="21.6" customHeight="1">
      <c r="A1195" s="27">
        <v>1371</v>
      </c>
      <c r="B1195" s="34" t="s">
        <v>37</v>
      </c>
      <c r="C1195" s="34" t="s">
        <v>273</v>
      </c>
      <c r="D1195" s="34" t="s">
        <v>1392</v>
      </c>
      <c r="E1195" s="35" t="s">
        <v>274</v>
      </c>
      <c r="F1195" s="40">
        <v>80</v>
      </c>
      <c r="G1195" s="144" t="s">
        <v>631</v>
      </c>
      <c r="H1195" s="40">
        <v>1</v>
      </c>
      <c r="I1195" s="56" t="s">
        <v>116</v>
      </c>
    </row>
    <row r="1196" spans="1:9" s="81" customFormat="1" ht="21.6" customHeight="1">
      <c r="A1196" s="27">
        <v>1372</v>
      </c>
      <c r="B1196" s="34" t="s">
        <v>37</v>
      </c>
      <c r="C1196" s="34" t="s">
        <v>276</v>
      </c>
      <c r="D1196" s="80" t="s">
        <v>1393</v>
      </c>
      <c r="E1196" s="35" t="s">
        <v>277</v>
      </c>
      <c r="F1196" s="40">
        <v>80</v>
      </c>
      <c r="G1196" s="144" t="s">
        <v>115</v>
      </c>
      <c r="H1196" s="40">
        <v>1</v>
      </c>
      <c r="I1196" s="56" t="s">
        <v>116</v>
      </c>
    </row>
    <row r="1197" spans="1:9" s="58" customFormat="1" ht="21.6" customHeight="1">
      <c r="A1197" s="27">
        <v>1373</v>
      </c>
      <c r="B1197" s="34" t="s">
        <v>37</v>
      </c>
      <c r="C1197" s="34" t="s">
        <v>264</v>
      </c>
      <c r="D1197" s="50" t="s">
        <v>1389</v>
      </c>
      <c r="E1197" s="51" t="s">
        <v>265</v>
      </c>
      <c r="F1197" s="29">
        <v>80</v>
      </c>
      <c r="G1197" s="144" t="s">
        <v>1841</v>
      </c>
      <c r="H1197" s="29">
        <v>1</v>
      </c>
      <c r="I1197" s="31" t="s">
        <v>796</v>
      </c>
    </row>
    <row r="1198" spans="1:9" s="58" customFormat="1" ht="21.6" customHeight="1">
      <c r="A1198" s="27">
        <v>1374</v>
      </c>
      <c r="B1198" s="34" t="s">
        <v>37</v>
      </c>
      <c r="C1198" s="34" t="s">
        <v>268</v>
      </c>
      <c r="D1198" s="50" t="s">
        <v>1390</v>
      </c>
      <c r="E1198" s="51" t="s">
        <v>269</v>
      </c>
      <c r="F1198" s="29">
        <v>80</v>
      </c>
      <c r="G1198" s="144" t="s">
        <v>797</v>
      </c>
      <c r="H1198" s="29">
        <v>1</v>
      </c>
      <c r="I1198" s="31" t="s">
        <v>796</v>
      </c>
    </row>
    <row r="1199" spans="1:9" s="58" customFormat="1" ht="21.6" customHeight="1">
      <c r="A1199" s="27">
        <v>1375</v>
      </c>
      <c r="B1199" s="34" t="s">
        <v>37</v>
      </c>
      <c r="C1199" s="34" t="s">
        <v>271</v>
      </c>
      <c r="D1199" s="50" t="s">
        <v>1391</v>
      </c>
      <c r="E1199" s="51" t="s">
        <v>272</v>
      </c>
      <c r="F1199" s="29">
        <v>80</v>
      </c>
      <c r="G1199" s="144" t="s">
        <v>1842</v>
      </c>
      <c r="H1199" s="29">
        <v>1</v>
      </c>
      <c r="I1199" s="31" t="s">
        <v>796</v>
      </c>
    </row>
    <row r="1200" spans="1:9" s="26" customFormat="1" ht="21.6" customHeight="1">
      <c r="A1200" s="27">
        <v>1376</v>
      </c>
      <c r="B1200" s="34" t="s">
        <v>37</v>
      </c>
      <c r="C1200" s="34" t="s">
        <v>225</v>
      </c>
      <c r="D1200" s="39" t="s">
        <v>1375</v>
      </c>
      <c r="E1200" s="3" t="s">
        <v>226</v>
      </c>
      <c r="F1200" s="29">
        <v>120</v>
      </c>
      <c r="G1200" s="144" t="s">
        <v>1781</v>
      </c>
      <c r="H1200" s="29">
        <v>2</v>
      </c>
      <c r="I1200" s="31" t="s">
        <v>279</v>
      </c>
    </row>
    <row r="1201" spans="1:9" s="26" customFormat="1" ht="21.6" customHeight="1">
      <c r="A1201" s="27">
        <v>1377</v>
      </c>
      <c r="B1201" s="34" t="s">
        <v>37</v>
      </c>
      <c r="C1201" s="34" t="s">
        <v>229</v>
      </c>
      <c r="D1201" s="39" t="s">
        <v>1376</v>
      </c>
      <c r="E1201" s="51" t="s">
        <v>230</v>
      </c>
      <c r="F1201" s="29">
        <v>120</v>
      </c>
      <c r="G1201" s="144" t="s">
        <v>278</v>
      </c>
      <c r="H1201" s="29">
        <v>1</v>
      </c>
      <c r="I1201" s="31" t="s">
        <v>279</v>
      </c>
    </row>
    <row r="1202" spans="1:9" s="58" customFormat="1" ht="21.6" customHeight="1">
      <c r="A1202" s="27">
        <v>1378</v>
      </c>
      <c r="B1202" s="34" t="s">
        <v>37</v>
      </c>
      <c r="C1202" s="34" t="s">
        <v>231</v>
      </c>
      <c r="D1202" s="39" t="s">
        <v>1377</v>
      </c>
      <c r="E1202" s="51" t="s">
        <v>232</v>
      </c>
      <c r="F1202" s="29">
        <v>160</v>
      </c>
      <c r="G1202" s="144" t="s">
        <v>1843</v>
      </c>
      <c r="H1202" s="29">
        <v>1</v>
      </c>
      <c r="I1202" s="31" t="s">
        <v>290</v>
      </c>
    </row>
    <row r="1203" spans="1:9" s="58" customFormat="1" ht="21.6" customHeight="1">
      <c r="A1203" s="27">
        <v>1379</v>
      </c>
      <c r="B1203" s="34" t="s">
        <v>37</v>
      </c>
      <c r="C1203" s="34" t="s">
        <v>235</v>
      </c>
      <c r="D1203" s="50" t="s">
        <v>1378</v>
      </c>
      <c r="E1203" s="51" t="s">
        <v>236</v>
      </c>
      <c r="F1203" s="29">
        <v>160</v>
      </c>
      <c r="G1203" s="144" t="s">
        <v>237</v>
      </c>
      <c r="H1203" s="29">
        <v>1</v>
      </c>
      <c r="I1203" s="31" t="s">
        <v>290</v>
      </c>
    </row>
    <row r="1204" spans="1:9" s="58" customFormat="1" ht="21.6" customHeight="1">
      <c r="A1204" s="27">
        <v>1380</v>
      </c>
      <c r="B1204" s="34" t="s">
        <v>37</v>
      </c>
      <c r="C1204" s="34" t="s">
        <v>238</v>
      </c>
      <c r="D1204" s="50" t="s">
        <v>1379</v>
      </c>
      <c r="E1204" s="51" t="s">
        <v>239</v>
      </c>
      <c r="F1204" s="29">
        <v>160</v>
      </c>
      <c r="G1204" s="144" t="s">
        <v>798</v>
      </c>
      <c r="H1204" s="29">
        <v>1</v>
      </c>
      <c r="I1204" s="31" t="s">
        <v>290</v>
      </c>
    </row>
    <row r="1205" spans="1:9" s="81" customFormat="1" ht="21.6" customHeight="1">
      <c r="A1205" s="27">
        <v>1381</v>
      </c>
      <c r="B1205" s="34" t="s">
        <v>37</v>
      </c>
      <c r="C1205" s="34" t="s">
        <v>751</v>
      </c>
      <c r="D1205" s="80" t="s">
        <v>1562</v>
      </c>
      <c r="E1205" s="35" t="s">
        <v>752</v>
      </c>
      <c r="F1205" s="40">
        <v>67.2</v>
      </c>
      <c r="G1205" s="144" t="s">
        <v>637</v>
      </c>
      <c r="H1205" s="40" t="s">
        <v>123</v>
      </c>
      <c r="I1205" s="56"/>
    </row>
    <row r="1206" spans="1:9" s="81" customFormat="1" ht="21.6" customHeight="1">
      <c r="A1206" s="27">
        <v>1382</v>
      </c>
      <c r="B1206" s="34" t="s">
        <v>37</v>
      </c>
      <c r="C1206" s="34" t="s">
        <v>753</v>
      </c>
      <c r="D1206" s="34" t="s">
        <v>1563</v>
      </c>
      <c r="E1206" s="35" t="s">
        <v>754</v>
      </c>
      <c r="F1206" s="40">
        <v>67.2</v>
      </c>
      <c r="G1206" s="144" t="s">
        <v>755</v>
      </c>
      <c r="H1206" s="40" t="s">
        <v>123</v>
      </c>
      <c r="I1206" s="56"/>
    </row>
    <row r="1207" spans="1:9" s="58" customFormat="1" ht="21.6" customHeight="1">
      <c r="A1207" s="27">
        <v>1383</v>
      </c>
      <c r="B1207" s="34" t="s">
        <v>37</v>
      </c>
      <c r="C1207" s="34" t="s">
        <v>295</v>
      </c>
      <c r="D1207" s="39" t="s">
        <v>1399</v>
      </c>
      <c r="E1207" s="3" t="s">
        <v>296</v>
      </c>
      <c r="F1207" s="29">
        <v>80</v>
      </c>
      <c r="G1207" s="144" t="s">
        <v>799</v>
      </c>
      <c r="H1207" s="40" t="s">
        <v>123</v>
      </c>
      <c r="I1207" s="31" t="s">
        <v>796</v>
      </c>
    </row>
    <row r="1208" spans="1:9" s="26" customFormat="1" ht="21.6" customHeight="1">
      <c r="A1208" s="27">
        <v>1384</v>
      </c>
      <c r="B1208" s="34" t="s">
        <v>37</v>
      </c>
      <c r="C1208" s="34" t="s">
        <v>298</v>
      </c>
      <c r="D1208" s="39" t="s">
        <v>1400</v>
      </c>
      <c r="E1208" s="3" t="s">
        <v>299</v>
      </c>
      <c r="F1208" s="29">
        <v>120</v>
      </c>
      <c r="G1208" s="144" t="s">
        <v>300</v>
      </c>
      <c r="H1208" s="40" t="s">
        <v>123</v>
      </c>
      <c r="I1208" s="31" t="s">
        <v>279</v>
      </c>
    </row>
    <row r="1209" spans="1:9" s="58" customFormat="1" ht="21.6" customHeight="1">
      <c r="A1209" s="27">
        <v>1385</v>
      </c>
      <c r="B1209" s="34" t="s">
        <v>37</v>
      </c>
      <c r="C1209" s="34" t="s">
        <v>251</v>
      </c>
      <c r="D1209" s="39" t="s">
        <v>1384</v>
      </c>
      <c r="E1209" s="3" t="s">
        <v>252</v>
      </c>
      <c r="F1209" s="29">
        <v>160</v>
      </c>
      <c r="G1209" s="144" t="s">
        <v>760</v>
      </c>
      <c r="H1209" s="40" t="s">
        <v>123</v>
      </c>
      <c r="I1209" s="31" t="s">
        <v>290</v>
      </c>
    </row>
    <row r="1210" spans="1:9" s="58" customFormat="1" ht="21.6" customHeight="1">
      <c r="A1210" s="27">
        <v>1386</v>
      </c>
      <c r="B1210" s="34" t="s">
        <v>37</v>
      </c>
      <c r="C1210" s="34" t="s">
        <v>761</v>
      </c>
      <c r="D1210" s="39" t="s">
        <v>1565</v>
      </c>
      <c r="E1210" s="3" t="s">
        <v>762</v>
      </c>
      <c r="F1210" s="29">
        <v>168</v>
      </c>
      <c r="G1210" s="144" t="s">
        <v>642</v>
      </c>
      <c r="H1210" s="40" t="s">
        <v>123</v>
      </c>
      <c r="I1210" s="31" t="s">
        <v>84</v>
      </c>
    </row>
    <row r="1211" spans="1:9" s="58" customFormat="1" ht="21.6" customHeight="1">
      <c r="A1211" s="27">
        <v>1387</v>
      </c>
      <c r="B1211" s="34" t="s">
        <v>37</v>
      </c>
      <c r="C1211" s="34" t="s">
        <v>643</v>
      </c>
      <c r="D1211" s="39" t="s">
        <v>1525</v>
      </c>
      <c r="E1211" s="3" t="s">
        <v>644</v>
      </c>
      <c r="F1211" s="29">
        <v>168</v>
      </c>
      <c r="G1211" s="144" t="s">
        <v>645</v>
      </c>
      <c r="H1211" s="40" t="s">
        <v>123</v>
      </c>
      <c r="I1211" s="31"/>
    </row>
    <row r="1212" spans="1:9" s="81" customFormat="1" ht="21.6" customHeight="1">
      <c r="A1212" s="27">
        <v>1389</v>
      </c>
      <c r="B1212" s="34" t="s">
        <v>37</v>
      </c>
      <c r="C1212" s="34" t="s">
        <v>800</v>
      </c>
      <c r="D1212" s="34" t="s">
        <v>1578</v>
      </c>
      <c r="E1212" s="35" t="s">
        <v>801</v>
      </c>
      <c r="F1212" s="40" t="s">
        <v>123</v>
      </c>
      <c r="G1212" s="145" t="s">
        <v>767</v>
      </c>
      <c r="H1212" s="40" t="s">
        <v>123</v>
      </c>
      <c r="I1212" s="56" t="s">
        <v>802</v>
      </c>
    </row>
    <row r="1213" spans="1:9" s="81" customFormat="1" ht="21.6" customHeight="1">
      <c r="A1213" s="27">
        <v>1391</v>
      </c>
      <c r="B1213" s="34" t="s">
        <v>37</v>
      </c>
      <c r="C1213" s="34" t="s">
        <v>803</v>
      </c>
      <c r="D1213" s="34" t="s">
        <v>1579</v>
      </c>
      <c r="E1213" s="35" t="s">
        <v>804</v>
      </c>
      <c r="F1213" s="40" t="s">
        <v>123</v>
      </c>
      <c r="G1213" s="145" t="s">
        <v>129</v>
      </c>
      <c r="H1213" s="40" t="s">
        <v>123</v>
      </c>
      <c r="I1213" s="56"/>
    </row>
    <row r="1214" spans="1:9" ht="21.6" customHeight="1">
      <c r="A1214" s="27">
        <v>1392</v>
      </c>
      <c r="B1214" s="34" t="s">
        <v>37</v>
      </c>
      <c r="C1214" s="34" t="s">
        <v>805</v>
      </c>
      <c r="D1214" s="34" t="s">
        <v>1580</v>
      </c>
      <c r="E1214" s="35" t="s">
        <v>806</v>
      </c>
      <c r="F1214" s="40" t="s">
        <v>123</v>
      </c>
      <c r="G1214" s="145" t="s">
        <v>772</v>
      </c>
      <c r="H1214" s="40" t="s">
        <v>123</v>
      </c>
      <c r="I1214" s="56"/>
    </row>
    <row r="1215" spans="1:9" ht="21.6" customHeight="1">
      <c r="A1215" s="27">
        <v>1393</v>
      </c>
      <c r="B1215" s="34" t="s">
        <v>37</v>
      </c>
      <c r="C1215" s="34" t="s">
        <v>807</v>
      </c>
      <c r="D1215" s="34" t="s">
        <v>1581</v>
      </c>
      <c r="E1215" s="35" t="s">
        <v>808</v>
      </c>
      <c r="F1215" s="40" t="s">
        <v>123</v>
      </c>
      <c r="G1215" s="145" t="s">
        <v>775</v>
      </c>
      <c r="H1215" s="40" t="s">
        <v>123</v>
      </c>
      <c r="I1215" s="56"/>
    </row>
    <row r="1216" spans="1:9" ht="21.6" customHeight="1">
      <c r="A1216" s="27">
        <v>1394</v>
      </c>
      <c r="B1216" s="34" t="s">
        <v>37</v>
      </c>
      <c r="C1216" s="34" t="s">
        <v>809</v>
      </c>
      <c r="D1216" s="34" t="s">
        <v>1582</v>
      </c>
      <c r="E1216" s="35" t="s">
        <v>810</v>
      </c>
      <c r="F1216" s="40" t="s">
        <v>123</v>
      </c>
      <c r="G1216" s="145" t="s">
        <v>778</v>
      </c>
      <c r="H1216" s="40" t="s">
        <v>123</v>
      </c>
      <c r="I1216" s="56"/>
    </row>
    <row r="1217" spans="1:9" ht="21.6" customHeight="1">
      <c r="A1217" s="27">
        <v>1395</v>
      </c>
      <c r="B1217" s="34" t="s">
        <v>37</v>
      </c>
      <c r="C1217" s="34" t="s">
        <v>779</v>
      </c>
      <c r="D1217" s="34" t="s">
        <v>1572</v>
      </c>
      <c r="E1217" s="35" t="s">
        <v>780</v>
      </c>
      <c r="F1217" s="40" t="s">
        <v>123</v>
      </c>
      <c r="G1217" s="145" t="s">
        <v>781</v>
      </c>
      <c r="H1217" s="40" t="s">
        <v>123</v>
      </c>
      <c r="I1217" s="56"/>
    </row>
    <row r="1218" spans="1:9" ht="21.6" customHeight="1">
      <c r="A1218" s="27">
        <v>1396</v>
      </c>
      <c r="B1218" s="34" t="s">
        <v>37</v>
      </c>
      <c r="C1218" s="34" t="s">
        <v>782</v>
      </c>
      <c r="D1218" s="34" t="s">
        <v>1573</v>
      </c>
      <c r="E1218" s="35" t="s">
        <v>783</v>
      </c>
      <c r="F1218" s="40" t="s">
        <v>123</v>
      </c>
      <c r="G1218" s="145" t="s">
        <v>784</v>
      </c>
      <c r="H1218" s="40" t="s">
        <v>123</v>
      </c>
      <c r="I1218" s="56"/>
    </row>
    <row r="1219" spans="1:9" ht="21.6" customHeight="1">
      <c r="A1219" s="27">
        <v>1397</v>
      </c>
      <c r="B1219" s="34" t="s">
        <v>37</v>
      </c>
      <c r="C1219" s="34" t="s">
        <v>785</v>
      </c>
      <c r="D1219" s="34" t="s">
        <v>1574</v>
      </c>
      <c r="E1219" s="35" t="s">
        <v>786</v>
      </c>
      <c r="F1219" s="40" t="s">
        <v>123</v>
      </c>
      <c r="G1219" s="145" t="s">
        <v>787</v>
      </c>
      <c r="H1219" s="40" t="s">
        <v>123</v>
      </c>
      <c r="I1219" s="56"/>
    </row>
    <row r="1220" spans="1:9" ht="21.6" customHeight="1">
      <c r="A1220" s="27">
        <v>1398</v>
      </c>
      <c r="B1220" s="34" t="s">
        <v>37</v>
      </c>
      <c r="C1220" s="34" t="s">
        <v>788</v>
      </c>
      <c r="D1220" s="34" t="s">
        <v>1575</v>
      </c>
      <c r="E1220" s="35" t="s">
        <v>789</v>
      </c>
      <c r="F1220" s="40" t="s">
        <v>123</v>
      </c>
      <c r="G1220" s="145" t="s">
        <v>790</v>
      </c>
      <c r="H1220" s="40" t="s">
        <v>123</v>
      </c>
      <c r="I1220" s="56"/>
    </row>
    <row r="1221" spans="1:9" s="81" customFormat="1" ht="21.6" customHeight="1">
      <c r="A1221" s="41">
        <v>1399</v>
      </c>
      <c r="B1221" s="119" t="s">
        <v>37</v>
      </c>
      <c r="C1221" s="97" t="s">
        <v>650</v>
      </c>
      <c r="D1221" s="97" t="s">
        <v>1528</v>
      </c>
      <c r="E1221" s="70" t="s">
        <v>651</v>
      </c>
      <c r="F1221" s="44" t="s">
        <v>123</v>
      </c>
      <c r="G1221" s="147" t="s">
        <v>1821</v>
      </c>
      <c r="H1221" s="44" t="s">
        <v>123</v>
      </c>
      <c r="I1221" s="98"/>
    </row>
    <row r="1222" spans="1:9" s="81" customFormat="1" ht="21.6" customHeight="1">
      <c r="A1222" s="20">
        <v>1400</v>
      </c>
      <c r="B1222" s="73" t="s">
        <v>1306</v>
      </c>
      <c r="C1222" s="73" t="s">
        <v>697</v>
      </c>
      <c r="D1222" s="73" t="s">
        <v>1542</v>
      </c>
      <c r="E1222" s="72" t="s">
        <v>698</v>
      </c>
      <c r="F1222" s="74">
        <v>67.2</v>
      </c>
      <c r="G1222" s="143" t="s">
        <v>193</v>
      </c>
      <c r="H1222" s="74">
        <v>4</v>
      </c>
      <c r="I1222" s="75"/>
    </row>
    <row r="1223" spans="1:9" s="81" customFormat="1" ht="21.6" customHeight="1">
      <c r="A1223" s="27">
        <v>1401</v>
      </c>
      <c r="B1223" s="34" t="s">
        <v>1306</v>
      </c>
      <c r="C1223" s="34" t="s">
        <v>699</v>
      </c>
      <c r="D1223" s="34" t="s">
        <v>1543</v>
      </c>
      <c r="E1223" s="35" t="s">
        <v>700</v>
      </c>
      <c r="F1223" s="40">
        <v>67.2</v>
      </c>
      <c r="G1223" s="145" t="s">
        <v>502</v>
      </c>
      <c r="H1223" s="40">
        <v>1</v>
      </c>
      <c r="I1223" s="56"/>
    </row>
    <row r="1224" spans="1:9" s="81" customFormat="1" ht="21.6" customHeight="1">
      <c r="A1224" s="27">
        <v>1402</v>
      </c>
      <c r="B1224" s="34" t="s">
        <v>1306</v>
      </c>
      <c r="C1224" s="34" t="s">
        <v>701</v>
      </c>
      <c r="D1224" s="34" t="s">
        <v>1544</v>
      </c>
      <c r="E1224" s="35" t="s">
        <v>702</v>
      </c>
      <c r="F1224" s="40">
        <v>67.2</v>
      </c>
      <c r="G1224" s="145" t="s">
        <v>703</v>
      </c>
      <c r="H1224" s="40">
        <v>1</v>
      </c>
      <c r="I1224" s="56"/>
    </row>
    <row r="1225" spans="1:9" s="81" customFormat="1" ht="21.6" customHeight="1">
      <c r="A1225" s="27">
        <v>1403</v>
      </c>
      <c r="B1225" s="34" t="s">
        <v>1306</v>
      </c>
      <c r="C1225" s="34" t="s">
        <v>704</v>
      </c>
      <c r="D1225" s="34" t="s">
        <v>1545</v>
      </c>
      <c r="E1225" s="35" t="s">
        <v>705</v>
      </c>
      <c r="F1225" s="40">
        <v>67.2</v>
      </c>
      <c r="G1225" s="144" t="s">
        <v>706</v>
      </c>
      <c r="H1225" s="40">
        <v>1</v>
      </c>
      <c r="I1225" s="56"/>
    </row>
    <row r="1226" spans="1:9" s="81" customFormat="1" ht="21.6" customHeight="1">
      <c r="A1226" s="27">
        <v>1404</v>
      </c>
      <c r="B1226" s="34" t="s">
        <v>1306</v>
      </c>
      <c r="C1226" s="34" t="s">
        <v>707</v>
      </c>
      <c r="D1226" s="34" t="s">
        <v>1546</v>
      </c>
      <c r="E1226" s="35" t="s">
        <v>708</v>
      </c>
      <c r="F1226" s="40">
        <v>67.2</v>
      </c>
      <c r="G1226" s="145" t="s">
        <v>709</v>
      </c>
      <c r="H1226" s="40">
        <v>1</v>
      </c>
      <c r="I1226" s="56"/>
    </row>
    <row r="1227" spans="1:9" s="81" customFormat="1" ht="21.6" customHeight="1">
      <c r="A1227" s="27">
        <v>1405</v>
      </c>
      <c r="B1227" s="34" t="s">
        <v>1306</v>
      </c>
      <c r="C1227" s="34" t="s">
        <v>710</v>
      </c>
      <c r="D1227" s="34" t="s">
        <v>1547</v>
      </c>
      <c r="E1227" s="35" t="s">
        <v>711</v>
      </c>
      <c r="F1227" s="40">
        <v>67.2</v>
      </c>
      <c r="G1227" s="145" t="s">
        <v>415</v>
      </c>
      <c r="H1227" s="40">
        <v>4</v>
      </c>
      <c r="I1227" s="56"/>
    </row>
    <row r="1228" spans="1:9" s="81" customFormat="1" ht="21.6" customHeight="1">
      <c r="A1228" s="27">
        <v>1406</v>
      </c>
      <c r="B1228" s="34" t="s">
        <v>1306</v>
      </c>
      <c r="C1228" s="34" t="s">
        <v>605</v>
      </c>
      <c r="D1228" s="34" t="s">
        <v>1511</v>
      </c>
      <c r="E1228" s="35" t="s">
        <v>606</v>
      </c>
      <c r="F1228" s="40">
        <v>168</v>
      </c>
      <c r="G1228" s="145" t="s">
        <v>533</v>
      </c>
      <c r="H1228" s="40">
        <v>1</v>
      </c>
      <c r="I1228" s="56"/>
    </row>
    <row r="1229" spans="1:9" s="81" customFormat="1" ht="21.6" customHeight="1">
      <c r="A1229" s="27">
        <v>1407</v>
      </c>
      <c r="B1229" s="34" t="s">
        <v>1306</v>
      </c>
      <c r="C1229" s="34" t="s">
        <v>712</v>
      </c>
      <c r="D1229" s="34" t="s">
        <v>1548</v>
      </c>
      <c r="E1229" s="35" t="s">
        <v>713</v>
      </c>
      <c r="F1229" s="40">
        <v>168</v>
      </c>
      <c r="G1229" s="145" t="s">
        <v>1775</v>
      </c>
      <c r="H1229" s="40">
        <v>1</v>
      </c>
      <c r="I1229" s="56" t="s">
        <v>84</v>
      </c>
    </row>
    <row r="1230" spans="1:9" s="81" customFormat="1" ht="21.6" customHeight="1">
      <c r="A1230" s="27">
        <v>1408</v>
      </c>
      <c r="B1230" s="34" t="s">
        <v>1306</v>
      </c>
      <c r="C1230" s="34" t="s">
        <v>811</v>
      </c>
      <c r="D1230" s="34" t="s">
        <v>1583</v>
      </c>
      <c r="E1230" s="35" t="s">
        <v>812</v>
      </c>
      <c r="F1230" s="40">
        <v>168</v>
      </c>
      <c r="G1230" s="145" t="s">
        <v>87</v>
      </c>
      <c r="H1230" s="40">
        <v>1</v>
      </c>
      <c r="I1230" s="56" t="s">
        <v>84</v>
      </c>
    </row>
    <row r="1231" spans="1:9" s="81" customFormat="1" ht="21.6" customHeight="1">
      <c r="A1231" s="27">
        <v>1410</v>
      </c>
      <c r="B1231" s="34" t="s">
        <v>1306</v>
      </c>
      <c r="C1231" s="34" t="s">
        <v>793</v>
      </c>
      <c r="D1231" s="34" t="s">
        <v>1577</v>
      </c>
      <c r="E1231" s="35" t="s">
        <v>794</v>
      </c>
      <c r="F1231" s="40">
        <v>168</v>
      </c>
      <c r="G1231" s="145" t="s">
        <v>718</v>
      </c>
      <c r="H1231" s="40">
        <v>5</v>
      </c>
      <c r="I1231" s="56" t="s">
        <v>795</v>
      </c>
    </row>
    <row r="1232" spans="1:9" s="81" customFormat="1" ht="21.6" customHeight="1">
      <c r="A1232" s="27">
        <v>1411</v>
      </c>
      <c r="B1232" s="34" t="s">
        <v>1306</v>
      </c>
      <c r="C1232" s="34" t="s">
        <v>719</v>
      </c>
      <c r="D1232" s="34" t="s">
        <v>1551</v>
      </c>
      <c r="E1232" s="35" t="s">
        <v>720</v>
      </c>
      <c r="F1232" s="40">
        <v>168</v>
      </c>
      <c r="G1232" s="145" t="s">
        <v>101</v>
      </c>
      <c r="H1232" s="40">
        <v>1</v>
      </c>
      <c r="I1232" s="56" t="s">
        <v>84</v>
      </c>
    </row>
    <row r="1233" spans="1:9" s="81" customFormat="1" ht="21.6" customHeight="1">
      <c r="A1233" s="27">
        <v>1412</v>
      </c>
      <c r="B1233" s="34" t="s">
        <v>1306</v>
      </c>
      <c r="C1233" s="34" t="s">
        <v>609</v>
      </c>
      <c r="D1233" s="34" t="s">
        <v>1513</v>
      </c>
      <c r="E1233" s="35" t="s">
        <v>610</v>
      </c>
      <c r="F1233" s="40">
        <v>168</v>
      </c>
      <c r="G1233" s="145" t="s">
        <v>1824</v>
      </c>
      <c r="H1233" s="40">
        <v>1</v>
      </c>
      <c r="I1233" s="56" t="s">
        <v>84</v>
      </c>
    </row>
    <row r="1234" spans="1:9" s="81" customFormat="1" ht="21.6" customHeight="1">
      <c r="A1234" s="27">
        <v>1413</v>
      </c>
      <c r="B1234" s="34" t="s">
        <v>1306</v>
      </c>
      <c r="C1234" s="34" t="s">
        <v>611</v>
      </c>
      <c r="D1234" s="34" t="s">
        <v>1514</v>
      </c>
      <c r="E1234" s="35" t="s">
        <v>612</v>
      </c>
      <c r="F1234" s="40">
        <v>168</v>
      </c>
      <c r="G1234" s="145" t="s">
        <v>1825</v>
      </c>
      <c r="H1234" s="40">
        <v>1</v>
      </c>
      <c r="I1234" s="56" t="s">
        <v>84</v>
      </c>
    </row>
    <row r="1235" spans="1:9" s="81" customFormat="1" ht="21.6" customHeight="1">
      <c r="A1235" s="27">
        <v>1414</v>
      </c>
      <c r="B1235" s="34" t="s">
        <v>1306</v>
      </c>
      <c r="C1235" s="34" t="s">
        <v>613</v>
      </c>
      <c r="D1235" s="34" t="s">
        <v>1515</v>
      </c>
      <c r="E1235" s="35" t="s">
        <v>614</v>
      </c>
      <c r="F1235" s="40">
        <v>168</v>
      </c>
      <c r="G1235" s="145" t="s">
        <v>1826</v>
      </c>
      <c r="H1235" s="40">
        <v>2</v>
      </c>
      <c r="I1235" s="56" t="s">
        <v>84</v>
      </c>
    </row>
    <row r="1236" spans="1:9" s="81" customFormat="1" ht="21.6" customHeight="1">
      <c r="A1236" s="27">
        <v>1415</v>
      </c>
      <c r="B1236" s="34" t="s">
        <v>1306</v>
      </c>
      <c r="C1236" s="34" t="s">
        <v>607</v>
      </c>
      <c r="D1236" s="34" t="s">
        <v>1512</v>
      </c>
      <c r="E1236" s="35" t="s">
        <v>608</v>
      </c>
      <c r="F1236" s="40">
        <v>168</v>
      </c>
      <c r="G1236" s="145" t="s">
        <v>1812</v>
      </c>
      <c r="H1236" s="40">
        <v>1</v>
      </c>
      <c r="I1236" s="56" t="s">
        <v>84</v>
      </c>
    </row>
    <row r="1237" spans="1:9" s="81" customFormat="1" ht="21.6" customHeight="1">
      <c r="A1237" s="27">
        <v>1416</v>
      </c>
      <c r="B1237" s="34" t="s">
        <v>1306</v>
      </c>
      <c r="C1237" s="34" t="s">
        <v>727</v>
      </c>
      <c r="D1237" s="34" t="s">
        <v>1554</v>
      </c>
      <c r="E1237" s="35" t="s">
        <v>728</v>
      </c>
      <c r="F1237" s="40">
        <v>67.2</v>
      </c>
      <c r="G1237" s="144" t="s">
        <v>107</v>
      </c>
      <c r="H1237" s="40">
        <v>4</v>
      </c>
      <c r="I1237" s="56"/>
    </row>
    <row r="1238" spans="1:9" s="81" customFormat="1" ht="21.6" customHeight="1">
      <c r="A1238" s="27">
        <v>1417</v>
      </c>
      <c r="B1238" s="34" t="s">
        <v>1306</v>
      </c>
      <c r="C1238" s="34" t="s">
        <v>598</v>
      </c>
      <c r="D1238" s="34" t="s">
        <v>1508</v>
      </c>
      <c r="E1238" s="35" t="s">
        <v>599</v>
      </c>
      <c r="F1238" s="40">
        <v>67.2</v>
      </c>
      <c r="G1238" s="145" t="s">
        <v>104</v>
      </c>
      <c r="H1238" s="40">
        <v>4</v>
      </c>
      <c r="I1238" s="56"/>
    </row>
    <row r="1239" spans="1:9" s="81" customFormat="1" ht="21.6" customHeight="1">
      <c r="A1239" s="27">
        <v>1418</v>
      </c>
      <c r="B1239" s="34" t="s">
        <v>1306</v>
      </c>
      <c r="C1239" s="34" t="s">
        <v>729</v>
      </c>
      <c r="D1239" s="34" t="s">
        <v>1555</v>
      </c>
      <c r="E1239" s="35" t="s">
        <v>730</v>
      </c>
      <c r="F1239" s="40">
        <v>67.2</v>
      </c>
      <c r="G1239" s="144" t="s">
        <v>1822</v>
      </c>
      <c r="H1239" s="40">
        <v>8</v>
      </c>
      <c r="I1239" s="56"/>
    </row>
    <row r="1240" spans="1:9" s="81" customFormat="1" ht="21.6" customHeight="1">
      <c r="A1240" s="27">
        <v>1419</v>
      </c>
      <c r="B1240" s="34" t="s">
        <v>1306</v>
      </c>
      <c r="C1240" s="34" t="s">
        <v>731</v>
      </c>
      <c r="D1240" s="34" t="s">
        <v>1556</v>
      </c>
      <c r="E1240" s="35" t="s">
        <v>732</v>
      </c>
      <c r="F1240" s="40">
        <v>67.2</v>
      </c>
      <c r="G1240" s="144" t="s">
        <v>733</v>
      </c>
      <c r="H1240" s="40">
        <v>4</v>
      </c>
      <c r="I1240" s="56"/>
    </row>
    <row r="1241" spans="1:9" s="81" customFormat="1" ht="21.6" customHeight="1">
      <c r="A1241" s="27">
        <v>1420</v>
      </c>
      <c r="B1241" s="34" t="s">
        <v>1306</v>
      </c>
      <c r="C1241" s="34" t="s">
        <v>734</v>
      </c>
      <c r="D1241" s="34" t="s">
        <v>1557</v>
      </c>
      <c r="E1241" s="35" t="s">
        <v>735</v>
      </c>
      <c r="F1241" s="40">
        <v>67.2</v>
      </c>
      <c r="G1241" s="144" t="s">
        <v>736</v>
      </c>
      <c r="H1241" s="40">
        <v>4</v>
      </c>
      <c r="I1241" s="56"/>
    </row>
    <row r="1242" spans="1:9" s="81" customFormat="1" ht="21.6" customHeight="1">
      <c r="A1242" s="27">
        <v>1421</v>
      </c>
      <c r="B1242" s="34" t="s">
        <v>1306</v>
      </c>
      <c r="C1242" s="34" t="s">
        <v>737</v>
      </c>
      <c r="D1242" s="50" t="s">
        <v>1558</v>
      </c>
      <c r="E1242" s="51" t="s">
        <v>738</v>
      </c>
      <c r="F1242" s="40">
        <v>80</v>
      </c>
      <c r="G1242" s="144" t="s">
        <v>399</v>
      </c>
      <c r="H1242" s="40">
        <v>1</v>
      </c>
      <c r="I1242" s="56"/>
    </row>
    <row r="1243" spans="1:9" s="81" customFormat="1" ht="21.6" customHeight="1">
      <c r="A1243" s="27">
        <v>1422</v>
      </c>
      <c r="B1243" s="34" t="s">
        <v>1306</v>
      </c>
      <c r="C1243" s="34" t="s">
        <v>739</v>
      </c>
      <c r="D1243" s="52" t="s">
        <v>1559</v>
      </c>
      <c r="E1243" s="3" t="s">
        <v>740</v>
      </c>
      <c r="F1243" s="40">
        <v>80</v>
      </c>
      <c r="G1243" s="144" t="s">
        <v>741</v>
      </c>
      <c r="H1243" s="40">
        <v>1</v>
      </c>
      <c r="I1243" s="56"/>
    </row>
    <row r="1244" spans="1:9" s="81" customFormat="1" ht="21.6" customHeight="1">
      <c r="A1244" s="27">
        <v>1423</v>
      </c>
      <c r="B1244" s="34" t="s">
        <v>1306</v>
      </c>
      <c r="C1244" s="34" t="s">
        <v>273</v>
      </c>
      <c r="D1244" s="34" t="s">
        <v>1392</v>
      </c>
      <c r="E1244" s="35" t="s">
        <v>274</v>
      </c>
      <c r="F1244" s="40">
        <v>80</v>
      </c>
      <c r="G1244" s="144" t="s">
        <v>631</v>
      </c>
      <c r="H1244" s="40">
        <v>1</v>
      </c>
      <c r="I1244" s="56" t="s">
        <v>116</v>
      </c>
    </row>
    <row r="1245" spans="1:9" s="81" customFormat="1" ht="21.6" customHeight="1">
      <c r="A1245" s="27">
        <v>1424</v>
      </c>
      <c r="B1245" s="34" t="s">
        <v>1306</v>
      </c>
      <c r="C1245" s="34" t="s">
        <v>276</v>
      </c>
      <c r="D1245" s="80" t="s">
        <v>1393</v>
      </c>
      <c r="E1245" s="35" t="s">
        <v>277</v>
      </c>
      <c r="F1245" s="40">
        <v>80</v>
      </c>
      <c r="G1245" s="144" t="s">
        <v>115</v>
      </c>
      <c r="H1245" s="40">
        <v>1</v>
      </c>
      <c r="I1245" s="56" t="s">
        <v>116</v>
      </c>
    </row>
    <row r="1246" spans="1:9" s="58" customFormat="1" ht="21.6" customHeight="1">
      <c r="A1246" s="27">
        <v>1425</v>
      </c>
      <c r="B1246" s="34" t="s">
        <v>1306</v>
      </c>
      <c r="C1246" s="34" t="s">
        <v>264</v>
      </c>
      <c r="D1246" s="50" t="s">
        <v>1389</v>
      </c>
      <c r="E1246" s="51" t="s">
        <v>265</v>
      </c>
      <c r="F1246" s="29">
        <v>80</v>
      </c>
      <c r="G1246" s="144" t="s">
        <v>1829</v>
      </c>
      <c r="H1246" s="29">
        <v>1</v>
      </c>
      <c r="I1246" s="31" t="s">
        <v>318</v>
      </c>
    </row>
    <row r="1247" spans="1:9" s="58" customFormat="1" ht="21.6" customHeight="1">
      <c r="A1247" s="27">
        <v>1426</v>
      </c>
      <c r="B1247" s="34" t="s">
        <v>1306</v>
      </c>
      <c r="C1247" s="34" t="s">
        <v>268</v>
      </c>
      <c r="D1247" s="50" t="s">
        <v>1390</v>
      </c>
      <c r="E1247" s="51" t="s">
        <v>269</v>
      </c>
      <c r="F1247" s="29">
        <v>80</v>
      </c>
      <c r="G1247" s="144" t="s">
        <v>633</v>
      </c>
      <c r="H1247" s="29">
        <v>1</v>
      </c>
      <c r="I1247" s="31" t="s">
        <v>318</v>
      </c>
    </row>
    <row r="1248" spans="1:9" s="58" customFormat="1" ht="21.6" customHeight="1">
      <c r="A1248" s="27">
        <v>1427</v>
      </c>
      <c r="B1248" s="34" t="s">
        <v>1306</v>
      </c>
      <c r="C1248" s="34" t="s">
        <v>271</v>
      </c>
      <c r="D1248" s="50" t="s">
        <v>1391</v>
      </c>
      <c r="E1248" s="51" t="s">
        <v>272</v>
      </c>
      <c r="F1248" s="29">
        <v>80</v>
      </c>
      <c r="G1248" s="144" t="s">
        <v>1830</v>
      </c>
      <c r="H1248" s="29">
        <v>1</v>
      </c>
      <c r="I1248" s="31" t="s">
        <v>318</v>
      </c>
    </row>
    <row r="1249" spans="1:9" s="26" customFormat="1" ht="21.6" customHeight="1">
      <c r="A1249" s="27">
        <v>1428</v>
      </c>
      <c r="B1249" s="34" t="s">
        <v>1306</v>
      </c>
      <c r="C1249" s="34" t="s">
        <v>225</v>
      </c>
      <c r="D1249" s="39" t="s">
        <v>1375</v>
      </c>
      <c r="E1249" s="3" t="s">
        <v>226</v>
      </c>
      <c r="F1249" s="29">
        <v>120</v>
      </c>
      <c r="G1249" s="144" t="s">
        <v>1781</v>
      </c>
      <c r="H1249" s="29">
        <v>2</v>
      </c>
      <c r="I1249" s="31" t="s">
        <v>364</v>
      </c>
    </row>
    <row r="1250" spans="1:9" s="26" customFormat="1" ht="21.6" customHeight="1">
      <c r="A1250" s="27">
        <v>1429</v>
      </c>
      <c r="B1250" s="34" t="s">
        <v>1306</v>
      </c>
      <c r="C1250" s="34" t="s">
        <v>229</v>
      </c>
      <c r="D1250" s="39" t="s">
        <v>1376</v>
      </c>
      <c r="E1250" s="51" t="s">
        <v>230</v>
      </c>
      <c r="F1250" s="29">
        <v>120</v>
      </c>
      <c r="G1250" s="144" t="s">
        <v>278</v>
      </c>
      <c r="H1250" s="29">
        <v>1</v>
      </c>
      <c r="I1250" s="31" t="s">
        <v>364</v>
      </c>
    </row>
    <row r="1251" spans="1:9" s="58" customFormat="1" ht="21.6" customHeight="1">
      <c r="A1251" s="27">
        <v>1430</v>
      </c>
      <c r="B1251" s="34" t="s">
        <v>1306</v>
      </c>
      <c r="C1251" s="34" t="s">
        <v>326</v>
      </c>
      <c r="D1251" s="50" t="s">
        <v>1408</v>
      </c>
      <c r="E1251" s="51" t="s">
        <v>327</v>
      </c>
      <c r="F1251" s="29">
        <v>320</v>
      </c>
      <c r="G1251" s="144" t="s">
        <v>237</v>
      </c>
      <c r="H1251" s="29">
        <v>2</v>
      </c>
      <c r="I1251" s="31" t="s">
        <v>328</v>
      </c>
    </row>
    <row r="1252" spans="1:9" s="58" customFormat="1" ht="21.6" customHeight="1">
      <c r="A1252" s="27">
        <v>1431</v>
      </c>
      <c r="B1252" s="34" t="s">
        <v>1306</v>
      </c>
      <c r="C1252" s="34" t="s">
        <v>329</v>
      </c>
      <c r="D1252" s="50" t="s">
        <v>1409</v>
      </c>
      <c r="E1252" s="51" t="s">
        <v>330</v>
      </c>
      <c r="F1252" s="29">
        <v>320</v>
      </c>
      <c r="G1252" s="144" t="s">
        <v>634</v>
      </c>
      <c r="H1252" s="29">
        <v>1</v>
      </c>
      <c r="I1252" s="31" t="s">
        <v>328</v>
      </c>
    </row>
    <row r="1253" spans="1:9" s="81" customFormat="1" ht="21.6" customHeight="1">
      <c r="A1253" s="27">
        <v>1432</v>
      </c>
      <c r="B1253" s="34" t="s">
        <v>1306</v>
      </c>
      <c r="C1253" s="34" t="s">
        <v>751</v>
      </c>
      <c r="D1253" s="80" t="s">
        <v>1562</v>
      </c>
      <c r="E1253" s="35" t="s">
        <v>752</v>
      </c>
      <c r="F1253" s="40">
        <v>67.2</v>
      </c>
      <c r="G1253" s="144" t="s">
        <v>637</v>
      </c>
      <c r="H1253" s="40" t="s">
        <v>123</v>
      </c>
      <c r="I1253" s="56"/>
    </row>
    <row r="1254" spans="1:9" s="81" customFormat="1" ht="21.6" customHeight="1">
      <c r="A1254" s="27">
        <v>1433</v>
      </c>
      <c r="B1254" s="34" t="s">
        <v>1306</v>
      </c>
      <c r="C1254" s="34" t="s">
        <v>753</v>
      </c>
      <c r="D1254" s="34" t="s">
        <v>1563</v>
      </c>
      <c r="E1254" s="35" t="s">
        <v>754</v>
      </c>
      <c r="F1254" s="40">
        <v>67.2</v>
      </c>
      <c r="G1254" s="144" t="s">
        <v>755</v>
      </c>
      <c r="H1254" s="40" t="s">
        <v>123</v>
      </c>
      <c r="I1254" s="56"/>
    </row>
    <row r="1255" spans="1:9" s="58" customFormat="1" ht="21.6" customHeight="1">
      <c r="A1255" s="27">
        <v>1434</v>
      </c>
      <c r="B1255" s="34" t="s">
        <v>1306</v>
      </c>
      <c r="C1255" s="34" t="s">
        <v>295</v>
      </c>
      <c r="D1255" s="39" t="s">
        <v>1399</v>
      </c>
      <c r="E1255" s="3" t="s">
        <v>296</v>
      </c>
      <c r="F1255" s="29">
        <v>80</v>
      </c>
      <c r="G1255" s="144" t="s">
        <v>638</v>
      </c>
      <c r="H1255" s="40" t="s">
        <v>123</v>
      </c>
      <c r="I1255" s="31" t="s">
        <v>639</v>
      </c>
    </row>
    <row r="1256" spans="1:9" s="26" customFormat="1" ht="21.6" customHeight="1">
      <c r="A1256" s="27">
        <v>1435</v>
      </c>
      <c r="B1256" s="34" t="s">
        <v>1306</v>
      </c>
      <c r="C1256" s="34" t="s">
        <v>298</v>
      </c>
      <c r="D1256" s="39" t="s">
        <v>1400</v>
      </c>
      <c r="E1256" s="3" t="s">
        <v>299</v>
      </c>
      <c r="F1256" s="29">
        <v>120</v>
      </c>
      <c r="G1256" s="144" t="s">
        <v>300</v>
      </c>
      <c r="H1256" s="40" t="s">
        <v>123</v>
      </c>
      <c r="I1256" s="31" t="s">
        <v>321</v>
      </c>
    </row>
    <row r="1257" spans="1:9" s="58" customFormat="1" ht="21.6" customHeight="1">
      <c r="A1257" s="27">
        <v>1438</v>
      </c>
      <c r="B1257" s="34" t="s">
        <v>1306</v>
      </c>
      <c r="C1257" s="140" t="s">
        <v>813</v>
      </c>
      <c r="D1257" s="100" t="s">
        <v>1584</v>
      </c>
      <c r="E1257" s="101" t="s">
        <v>814</v>
      </c>
      <c r="F1257" s="29">
        <v>168</v>
      </c>
      <c r="G1257" s="144" t="s">
        <v>642</v>
      </c>
      <c r="H1257" s="40" t="s">
        <v>123</v>
      </c>
      <c r="I1257" s="31" t="s">
        <v>815</v>
      </c>
    </row>
    <row r="1258" spans="1:9" s="58" customFormat="1" ht="21.6" customHeight="1">
      <c r="A1258" s="27">
        <v>1439</v>
      </c>
      <c r="B1258" s="34" t="s">
        <v>1306</v>
      </c>
      <c r="C1258" s="34" t="s">
        <v>643</v>
      </c>
      <c r="D1258" s="39" t="s">
        <v>1525</v>
      </c>
      <c r="E1258" s="3" t="s">
        <v>644</v>
      </c>
      <c r="F1258" s="29">
        <v>168</v>
      </c>
      <c r="G1258" s="144" t="s">
        <v>645</v>
      </c>
      <c r="H1258" s="40" t="s">
        <v>123</v>
      </c>
      <c r="I1258" s="31"/>
    </row>
    <row r="1259" spans="1:9" s="81" customFormat="1" ht="21.6" customHeight="1">
      <c r="A1259" s="27">
        <v>1443</v>
      </c>
      <c r="B1259" s="34" t="s">
        <v>1306</v>
      </c>
      <c r="C1259" s="34" t="s">
        <v>816</v>
      </c>
      <c r="D1259" s="34" t="s">
        <v>1585</v>
      </c>
      <c r="E1259" s="35" t="s">
        <v>817</v>
      </c>
      <c r="F1259" s="40" t="s">
        <v>123</v>
      </c>
      <c r="G1259" s="145" t="s">
        <v>818</v>
      </c>
      <c r="H1259" s="40" t="s">
        <v>123</v>
      </c>
      <c r="I1259" s="56" t="s">
        <v>819</v>
      </c>
    </row>
    <row r="1260" spans="1:9" s="81" customFormat="1" ht="21.6" customHeight="1">
      <c r="A1260" s="27">
        <v>1444</v>
      </c>
      <c r="B1260" s="34" t="s">
        <v>1306</v>
      </c>
      <c r="C1260" s="34" t="s">
        <v>820</v>
      </c>
      <c r="D1260" s="34" t="s">
        <v>1586</v>
      </c>
      <c r="E1260" s="35" t="s">
        <v>821</v>
      </c>
      <c r="F1260" s="40" t="s">
        <v>123</v>
      </c>
      <c r="G1260" s="145" t="s">
        <v>129</v>
      </c>
      <c r="H1260" s="40" t="s">
        <v>123</v>
      </c>
      <c r="I1260" s="56"/>
    </row>
    <row r="1261" spans="1:9" ht="21.6" customHeight="1">
      <c r="A1261" s="27">
        <v>1445</v>
      </c>
      <c r="B1261" s="34" t="s">
        <v>1306</v>
      </c>
      <c r="C1261" s="34" t="s">
        <v>822</v>
      </c>
      <c r="D1261" s="34" t="s">
        <v>1587</v>
      </c>
      <c r="E1261" s="35" t="s">
        <v>823</v>
      </c>
      <c r="F1261" s="40" t="s">
        <v>123</v>
      </c>
      <c r="G1261" s="145" t="s">
        <v>772</v>
      </c>
      <c r="H1261" s="40" t="s">
        <v>123</v>
      </c>
      <c r="I1261" s="56"/>
    </row>
    <row r="1262" spans="1:9" ht="21.6" customHeight="1">
      <c r="A1262" s="27">
        <v>1446</v>
      </c>
      <c r="B1262" s="34" t="s">
        <v>1306</v>
      </c>
      <c r="C1262" s="34" t="s">
        <v>824</v>
      </c>
      <c r="D1262" s="34" t="s">
        <v>1588</v>
      </c>
      <c r="E1262" s="35" t="s">
        <v>825</v>
      </c>
      <c r="F1262" s="40" t="s">
        <v>123</v>
      </c>
      <c r="G1262" s="145" t="s">
        <v>775</v>
      </c>
      <c r="H1262" s="40" t="s">
        <v>123</v>
      </c>
      <c r="I1262" s="56"/>
    </row>
    <row r="1263" spans="1:9" ht="21.6" customHeight="1">
      <c r="A1263" s="27">
        <v>1447</v>
      </c>
      <c r="B1263" s="34" t="s">
        <v>1306</v>
      </c>
      <c r="C1263" s="34" t="s">
        <v>826</v>
      </c>
      <c r="D1263" s="34" t="s">
        <v>1589</v>
      </c>
      <c r="E1263" s="35" t="s">
        <v>827</v>
      </c>
      <c r="F1263" s="40" t="s">
        <v>123</v>
      </c>
      <c r="G1263" s="145" t="s">
        <v>778</v>
      </c>
      <c r="H1263" s="40" t="s">
        <v>123</v>
      </c>
      <c r="I1263" s="56"/>
    </row>
    <row r="1264" spans="1:9" ht="21.6" customHeight="1">
      <c r="A1264" s="27">
        <v>1448</v>
      </c>
      <c r="B1264" s="34" t="s">
        <v>1306</v>
      </c>
      <c r="C1264" s="34" t="s">
        <v>828</v>
      </c>
      <c r="D1264" s="34" t="s">
        <v>1590</v>
      </c>
      <c r="E1264" s="35" t="s">
        <v>829</v>
      </c>
      <c r="F1264" s="40" t="s">
        <v>123</v>
      </c>
      <c r="G1264" s="145" t="s">
        <v>781</v>
      </c>
      <c r="H1264" s="40" t="s">
        <v>123</v>
      </c>
      <c r="I1264" s="56"/>
    </row>
    <row r="1265" spans="1:9" ht="21.6" customHeight="1">
      <c r="A1265" s="27">
        <v>1449</v>
      </c>
      <c r="B1265" s="34" t="s">
        <v>1306</v>
      </c>
      <c r="C1265" s="34" t="s">
        <v>830</v>
      </c>
      <c r="D1265" s="34" t="s">
        <v>1591</v>
      </c>
      <c r="E1265" s="35" t="s">
        <v>831</v>
      </c>
      <c r="F1265" s="40" t="s">
        <v>123</v>
      </c>
      <c r="G1265" s="145" t="s">
        <v>784</v>
      </c>
      <c r="H1265" s="40" t="s">
        <v>123</v>
      </c>
      <c r="I1265" s="56"/>
    </row>
    <row r="1266" spans="1:9" ht="21.6" customHeight="1">
      <c r="A1266" s="27">
        <v>1450</v>
      </c>
      <c r="B1266" s="34" t="s">
        <v>1306</v>
      </c>
      <c r="C1266" s="34" t="s">
        <v>832</v>
      </c>
      <c r="D1266" s="34" t="s">
        <v>1592</v>
      </c>
      <c r="E1266" s="35" t="s">
        <v>833</v>
      </c>
      <c r="F1266" s="40" t="s">
        <v>123</v>
      </c>
      <c r="G1266" s="145" t="s">
        <v>787</v>
      </c>
      <c r="H1266" s="40" t="s">
        <v>123</v>
      </c>
      <c r="I1266" s="56"/>
    </row>
    <row r="1267" spans="1:9" ht="21.6" customHeight="1">
      <c r="A1267" s="27">
        <v>1451</v>
      </c>
      <c r="B1267" s="34" t="s">
        <v>1306</v>
      </c>
      <c r="C1267" s="34" t="s">
        <v>834</v>
      </c>
      <c r="D1267" s="34" t="s">
        <v>1593</v>
      </c>
      <c r="E1267" s="35" t="s">
        <v>835</v>
      </c>
      <c r="F1267" s="40" t="s">
        <v>123</v>
      </c>
      <c r="G1267" s="145" t="s">
        <v>790</v>
      </c>
      <c r="H1267" s="40" t="s">
        <v>123</v>
      </c>
      <c r="I1267" s="56"/>
    </row>
    <row r="1268" spans="1:9" s="81" customFormat="1" ht="21.6" customHeight="1">
      <c r="A1268" s="41">
        <v>1452</v>
      </c>
      <c r="B1268" s="119" t="s">
        <v>1306</v>
      </c>
      <c r="C1268" s="97" t="s">
        <v>650</v>
      </c>
      <c r="D1268" s="97" t="s">
        <v>1528</v>
      </c>
      <c r="E1268" s="70" t="s">
        <v>651</v>
      </c>
      <c r="F1268" s="44" t="s">
        <v>123</v>
      </c>
      <c r="G1268" s="147" t="s">
        <v>1821</v>
      </c>
      <c r="H1268" s="44" t="s">
        <v>123</v>
      </c>
      <c r="I1268" s="98"/>
    </row>
    <row r="1269" spans="1:9" s="81" customFormat="1" ht="21.6" customHeight="1">
      <c r="A1269" s="20">
        <v>1453</v>
      </c>
      <c r="B1269" s="73" t="s">
        <v>1307</v>
      </c>
      <c r="C1269" s="73" t="s">
        <v>697</v>
      </c>
      <c r="D1269" s="73" t="s">
        <v>1542</v>
      </c>
      <c r="E1269" s="72" t="s">
        <v>698</v>
      </c>
      <c r="F1269" s="74">
        <v>70</v>
      </c>
      <c r="G1269" s="143" t="s">
        <v>193</v>
      </c>
      <c r="H1269" s="74">
        <v>4</v>
      </c>
      <c r="I1269" s="75"/>
    </row>
    <row r="1270" spans="1:9" s="81" customFormat="1" ht="21.6" customHeight="1">
      <c r="A1270" s="27">
        <v>1454</v>
      </c>
      <c r="B1270" s="34" t="s">
        <v>1307</v>
      </c>
      <c r="C1270" s="34" t="s">
        <v>699</v>
      </c>
      <c r="D1270" s="34" t="s">
        <v>1543</v>
      </c>
      <c r="E1270" s="35" t="s">
        <v>700</v>
      </c>
      <c r="F1270" s="40">
        <v>70</v>
      </c>
      <c r="G1270" s="145" t="s">
        <v>502</v>
      </c>
      <c r="H1270" s="40">
        <v>1</v>
      </c>
      <c r="I1270" s="56"/>
    </row>
    <row r="1271" spans="1:9" s="81" customFormat="1" ht="21.6" customHeight="1">
      <c r="A1271" s="27">
        <v>1455</v>
      </c>
      <c r="B1271" s="34" t="s">
        <v>1307</v>
      </c>
      <c r="C1271" s="34" t="s">
        <v>701</v>
      </c>
      <c r="D1271" s="34" t="s">
        <v>1544</v>
      </c>
      <c r="E1271" s="35" t="s">
        <v>702</v>
      </c>
      <c r="F1271" s="40">
        <v>70</v>
      </c>
      <c r="G1271" s="145" t="s">
        <v>703</v>
      </c>
      <c r="H1271" s="40">
        <v>1</v>
      </c>
      <c r="I1271" s="56"/>
    </row>
    <row r="1272" spans="1:9" s="81" customFormat="1" ht="21.6" customHeight="1">
      <c r="A1272" s="27">
        <v>1456</v>
      </c>
      <c r="B1272" s="34" t="s">
        <v>1307</v>
      </c>
      <c r="C1272" s="34" t="s">
        <v>704</v>
      </c>
      <c r="D1272" s="34" t="s">
        <v>1545</v>
      </c>
      <c r="E1272" s="35" t="s">
        <v>705</v>
      </c>
      <c r="F1272" s="40">
        <v>70</v>
      </c>
      <c r="G1272" s="144" t="s">
        <v>706</v>
      </c>
      <c r="H1272" s="40">
        <v>1</v>
      </c>
      <c r="I1272" s="56"/>
    </row>
    <row r="1273" spans="1:9" s="81" customFormat="1" ht="21.6" customHeight="1">
      <c r="A1273" s="27">
        <v>1457</v>
      </c>
      <c r="B1273" s="34" t="s">
        <v>1307</v>
      </c>
      <c r="C1273" s="34" t="s">
        <v>707</v>
      </c>
      <c r="D1273" s="34" t="s">
        <v>1546</v>
      </c>
      <c r="E1273" s="35" t="s">
        <v>708</v>
      </c>
      <c r="F1273" s="40">
        <v>70</v>
      </c>
      <c r="G1273" s="145" t="s">
        <v>709</v>
      </c>
      <c r="H1273" s="40">
        <v>1</v>
      </c>
      <c r="I1273" s="56"/>
    </row>
    <row r="1274" spans="1:9" s="81" customFormat="1" ht="21.6" customHeight="1">
      <c r="A1274" s="27">
        <v>1458</v>
      </c>
      <c r="B1274" s="34" t="s">
        <v>1307</v>
      </c>
      <c r="C1274" s="34" t="s">
        <v>710</v>
      </c>
      <c r="D1274" s="34" t="s">
        <v>1547</v>
      </c>
      <c r="E1274" s="35" t="s">
        <v>711</v>
      </c>
      <c r="F1274" s="40">
        <v>70</v>
      </c>
      <c r="G1274" s="145" t="s">
        <v>415</v>
      </c>
      <c r="H1274" s="40">
        <v>4</v>
      </c>
      <c r="I1274" s="56"/>
    </row>
    <row r="1275" spans="1:9" s="81" customFormat="1" ht="21.6" customHeight="1">
      <c r="A1275" s="27">
        <v>1459</v>
      </c>
      <c r="B1275" s="34" t="s">
        <v>1307</v>
      </c>
      <c r="C1275" s="34" t="s">
        <v>605</v>
      </c>
      <c r="D1275" s="34" t="s">
        <v>1511</v>
      </c>
      <c r="E1275" s="35" t="s">
        <v>606</v>
      </c>
      <c r="F1275" s="40">
        <v>140</v>
      </c>
      <c r="G1275" s="145" t="s">
        <v>533</v>
      </c>
      <c r="H1275" s="40">
        <v>1</v>
      </c>
      <c r="I1275" s="56"/>
    </row>
    <row r="1276" spans="1:9" s="81" customFormat="1" ht="21.6" customHeight="1">
      <c r="A1276" s="27">
        <v>1460</v>
      </c>
      <c r="B1276" s="34" t="s">
        <v>1305</v>
      </c>
      <c r="C1276" s="34" t="s">
        <v>712</v>
      </c>
      <c r="D1276" s="34" t="s">
        <v>1548</v>
      </c>
      <c r="E1276" s="35" t="s">
        <v>713</v>
      </c>
      <c r="F1276" s="40">
        <v>210</v>
      </c>
      <c r="G1276" s="145" t="s">
        <v>1775</v>
      </c>
      <c r="H1276" s="40">
        <v>1</v>
      </c>
      <c r="I1276" s="56" t="s">
        <v>84</v>
      </c>
    </row>
    <row r="1277" spans="1:9" s="81" customFormat="1" ht="21.6" customHeight="1">
      <c r="A1277" s="27">
        <v>1461</v>
      </c>
      <c r="B1277" s="34" t="s">
        <v>1305</v>
      </c>
      <c r="C1277" s="34" t="s">
        <v>714</v>
      </c>
      <c r="D1277" s="34" t="s">
        <v>1549</v>
      </c>
      <c r="E1277" s="35" t="s">
        <v>715</v>
      </c>
      <c r="F1277" s="40">
        <v>210</v>
      </c>
      <c r="G1277" s="145" t="s">
        <v>87</v>
      </c>
      <c r="H1277" s="40">
        <v>1</v>
      </c>
      <c r="I1277" s="56" t="s">
        <v>84</v>
      </c>
    </row>
    <row r="1278" spans="1:9" s="81" customFormat="1" ht="21.6" customHeight="1">
      <c r="A1278" s="27">
        <v>1462</v>
      </c>
      <c r="B1278" s="34" t="s">
        <v>1305</v>
      </c>
      <c r="C1278" s="34" t="s">
        <v>716</v>
      </c>
      <c r="D1278" s="34" t="s">
        <v>1550</v>
      </c>
      <c r="E1278" s="35" t="s">
        <v>717</v>
      </c>
      <c r="F1278" s="40">
        <v>210</v>
      </c>
      <c r="G1278" s="145" t="str">
        <f>+G1131</f>
        <v>定著滾軸分離爪</v>
      </c>
      <c r="H1278" s="40">
        <v>5</v>
      </c>
      <c r="I1278" s="56" t="s">
        <v>84</v>
      </c>
    </row>
    <row r="1279" spans="1:9" s="81" customFormat="1" ht="21.6" customHeight="1">
      <c r="A1279" s="27">
        <v>1463</v>
      </c>
      <c r="B1279" s="34" t="s">
        <v>1305</v>
      </c>
      <c r="C1279" s="34" t="s">
        <v>626</v>
      </c>
      <c r="D1279" s="34" t="s">
        <v>1521</v>
      </c>
      <c r="E1279" s="35" t="s">
        <v>627</v>
      </c>
      <c r="F1279" s="40">
        <v>210</v>
      </c>
      <c r="G1279" s="145" t="e">
        <f>+#REF!</f>
        <v>#REF!</v>
      </c>
      <c r="H1279" s="40">
        <v>2</v>
      </c>
      <c r="I1279" s="56" t="s">
        <v>84</v>
      </c>
    </row>
    <row r="1280" spans="1:9" s="81" customFormat="1" ht="21.6" customHeight="1">
      <c r="A1280" s="27">
        <v>1464</v>
      </c>
      <c r="B1280" s="34" t="s">
        <v>1305</v>
      </c>
      <c r="C1280" s="34" t="s">
        <v>719</v>
      </c>
      <c r="D1280" s="34" t="s">
        <v>1551</v>
      </c>
      <c r="E1280" s="35" t="s">
        <v>720</v>
      </c>
      <c r="F1280" s="40">
        <v>210</v>
      </c>
      <c r="G1280" s="145" t="s">
        <v>101</v>
      </c>
      <c r="H1280" s="40">
        <v>1</v>
      </c>
      <c r="I1280" s="56" t="s">
        <v>84</v>
      </c>
    </row>
    <row r="1281" spans="1:9" s="81" customFormat="1" ht="21.6" customHeight="1">
      <c r="A1281" s="27">
        <v>1465</v>
      </c>
      <c r="B1281" s="34" t="s">
        <v>1305</v>
      </c>
      <c r="C1281" s="34" t="s">
        <v>721</v>
      </c>
      <c r="D1281" s="34" t="s">
        <v>1552</v>
      </c>
      <c r="E1281" s="35" t="s">
        <v>722</v>
      </c>
      <c r="F1281" s="40">
        <v>210</v>
      </c>
      <c r="G1281" s="145" t="str">
        <f>+G1133</f>
        <v>轉寫清潔組接触滾軸</v>
      </c>
      <c r="H1281" s="40">
        <v>1</v>
      </c>
      <c r="I1281" s="56" t="s">
        <v>84</v>
      </c>
    </row>
    <row r="1282" spans="1:9" s="81" customFormat="1" ht="21.6" customHeight="1">
      <c r="A1282" s="27">
        <v>1466</v>
      </c>
      <c r="B1282" s="34" t="s">
        <v>1305</v>
      </c>
      <c r="C1282" s="34" t="s">
        <v>724</v>
      </c>
      <c r="D1282" s="34" t="s">
        <v>1553</v>
      </c>
      <c r="E1282" s="35" t="s">
        <v>725</v>
      </c>
      <c r="F1282" s="40">
        <v>210</v>
      </c>
      <c r="G1282" s="145" t="str">
        <f>+G1134</f>
        <v>轉寫清潔組接触滾軸軸套</v>
      </c>
      <c r="H1282" s="40">
        <v>2</v>
      </c>
      <c r="I1282" s="56" t="s">
        <v>84</v>
      </c>
    </row>
    <row r="1283" spans="1:9" s="81" customFormat="1" ht="21.6" customHeight="1">
      <c r="A1283" s="27">
        <v>1467</v>
      </c>
      <c r="B1283" s="34" t="s">
        <v>1305</v>
      </c>
      <c r="C1283" s="34" t="s">
        <v>609</v>
      </c>
      <c r="D1283" s="34" t="s">
        <v>1513</v>
      </c>
      <c r="E1283" s="35" t="s">
        <v>610</v>
      </c>
      <c r="F1283" s="40">
        <v>210</v>
      </c>
      <c r="G1283" s="145" t="s">
        <v>1824</v>
      </c>
      <c r="H1283" s="40">
        <v>1</v>
      </c>
      <c r="I1283" s="56" t="s">
        <v>84</v>
      </c>
    </row>
    <row r="1284" spans="1:9" s="81" customFormat="1" ht="21.6" customHeight="1">
      <c r="A1284" s="27">
        <v>1468</v>
      </c>
      <c r="B1284" s="34" t="s">
        <v>1305</v>
      </c>
      <c r="C1284" s="34" t="s">
        <v>611</v>
      </c>
      <c r="D1284" s="34" t="s">
        <v>1514</v>
      </c>
      <c r="E1284" s="35" t="s">
        <v>612</v>
      </c>
      <c r="F1284" s="40">
        <v>210</v>
      </c>
      <c r="G1284" s="145" t="s">
        <v>1825</v>
      </c>
      <c r="H1284" s="40">
        <v>1</v>
      </c>
      <c r="I1284" s="56" t="s">
        <v>84</v>
      </c>
    </row>
    <row r="1285" spans="1:9" s="81" customFormat="1" ht="21.6" customHeight="1">
      <c r="A1285" s="27">
        <v>1469</v>
      </c>
      <c r="B1285" s="34" t="s">
        <v>1305</v>
      </c>
      <c r="C1285" s="34" t="s">
        <v>613</v>
      </c>
      <c r="D1285" s="34" t="s">
        <v>1515</v>
      </c>
      <c r="E1285" s="35" t="s">
        <v>614</v>
      </c>
      <c r="F1285" s="40">
        <v>210</v>
      </c>
      <c r="G1285" s="145" t="str">
        <f>+G1137</f>
        <v>轉寫皮帶清潔刮片後側密封片</v>
      </c>
      <c r="H1285" s="40">
        <v>2</v>
      </c>
      <c r="I1285" s="56" t="s">
        <v>84</v>
      </c>
    </row>
    <row r="1286" spans="1:9" s="81" customFormat="1" ht="21.6" customHeight="1">
      <c r="A1286" s="27">
        <v>1470</v>
      </c>
      <c r="B1286" s="34" t="s">
        <v>1305</v>
      </c>
      <c r="C1286" s="34" t="s">
        <v>607</v>
      </c>
      <c r="D1286" s="34" t="s">
        <v>1512</v>
      </c>
      <c r="E1286" s="35" t="s">
        <v>608</v>
      </c>
      <c r="F1286" s="40">
        <v>210</v>
      </c>
      <c r="G1286" s="145" t="s">
        <v>1812</v>
      </c>
      <c r="H1286" s="40">
        <v>1</v>
      </c>
      <c r="I1286" s="56" t="s">
        <v>84</v>
      </c>
    </row>
    <row r="1287" spans="1:9" s="81" customFormat="1" ht="21.6" customHeight="1">
      <c r="A1287" s="27">
        <v>1471</v>
      </c>
      <c r="B1287" s="34" t="s">
        <v>1307</v>
      </c>
      <c r="C1287" s="34" t="s">
        <v>727</v>
      </c>
      <c r="D1287" s="34" t="s">
        <v>1554</v>
      </c>
      <c r="E1287" s="35" t="s">
        <v>728</v>
      </c>
      <c r="F1287" s="40">
        <v>70</v>
      </c>
      <c r="G1287" s="144" t="s">
        <v>107</v>
      </c>
      <c r="H1287" s="40">
        <v>4</v>
      </c>
      <c r="I1287" s="56"/>
    </row>
    <row r="1288" spans="1:9" s="81" customFormat="1" ht="21.6" customHeight="1">
      <c r="A1288" s="27">
        <v>1472</v>
      </c>
      <c r="B1288" s="34" t="s">
        <v>1307</v>
      </c>
      <c r="C1288" s="34" t="s">
        <v>598</v>
      </c>
      <c r="D1288" s="34" t="s">
        <v>1508</v>
      </c>
      <c r="E1288" s="35" t="s">
        <v>599</v>
      </c>
      <c r="F1288" s="40">
        <v>70</v>
      </c>
      <c r="G1288" s="145" t="s">
        <v>104</v>
      </c>
      <c r="H1288" s="40">
        <v>4</v>
      </c>
      <c r="I1288" s="56"/>
    </row>
    <row r="1289" spans="1:9" s="81" customFormat="1" ht="21.6" customHeight="1">
      <c r="A1289" s="27">
        <v>1473</v>
      </c>
      <c r="B1289" s="34" t="s">
        <v>1307</v>
      </c>
      <c r="C1289" s="34" t="s">
        <v>729</v>
      </c>
      <c r="D1289" s="34" t="s">
        <v>1555</v>
      </c>
      <c r="E1289" s="35" t="s">
        <v>730</v>
      </c>
      <c r="F1289" s="40">
        <v>70</v>
      </c>
      <c r="G1289" s="144" t="s">
        <v>1822</v>
      </c>
      <c r="H1289" s="40">
        <v>8</v>
      </c>
      <c r="I1289" s="56"/>
    </row>
    <row r="1290" spans="1:9" s="81" customFormat="1" ht="21.6" customHeight="1">
      <c r="A1290" s="27">
        <v>1474</v>
      </c>
      <c r="B1290" s="34" t="s">
        <v>1307</v>
      </c>
      <c r="C1290" s="34" t="s">
        <v>731</v>
      </c>
      <c r="D1290" s="34" t="s">
        <v>1556</v>
      </c>
      <c r="E1290" s="35" t="s">
        <v>732</v>
      </c>
      <c r="F1290" s="40">
        <v>70</v>
      </c>
      <c r="G1290" s="144" t="s">
        <v>733</v>
      </c>
      <c r="H1290" s="40">
        <v>4</v>
      </c>
      <c r="I1290" s="56"/>
    </row>
    <row r="1291" spans="1:9" s="81" customFormat="1" ht="21.6" customHeight="1">
      <c r="A1291" s="27">
        <v>1475</v>
      </c>
      <c r="B1291" s="34" t="s">
        <v>1307</v>
      </c>
      <c r="C1291" s="34" t="s">
        <v>734</v>
      </c>
      <c r="D1291" s="34" t="s">
        <v>1557</v>
      </c>
      <c r="E1291" s="35" t="s">
        <v>735</v>
      </c>
      <c r="F1291" s="40">
        <v>70</v>
      </c>
      <c r="G1291" s="144" t="s">
        <v>736</v>
      </c>
      <c r="H1291" s="40">
        <v>4</v>
      </c>
      <c r="I1291" s="56"/>
    </row>
    <row r="1292" spans="1:9" s="81" customFormat="1" ht="21.6" customHeight="1">
      <c r="A1292" s="27">
        <v>1476</v>
      </c>
      <c r="B1292" s="34" t="s">
        <v>1307</v>
      </c>
      <c r="C1292" s="34" t="s">
        <v>737</v>
      </c>
      <c r="D1292" s="50" t="s">
        <v>1558</v>
      </c>
      <c r="E1292" s="51" t="s">
        <v>738</v>
      </c>
      <c r="F1292" s="40">
        <v>80</v>
      </c>
      <c r="G1292" s="144" t="s">
        <v>399</v>
      </c>
      <c r="H1292" s="40">
        <v>1</v>
      </c>
      <c r="I1292" s="56"/>
    </row>
    <row r="1293" spans="1:9" s="81" customFormat="1" ht="21.6" customHeight="1">
      <c r="A1293" s="27">
        <v>1477</v>
      </c>
      <c r="B1293" s="34" t="s">
        <v>1307</v>
      </c>
      <c r="C1293" s="34" t="s">
        <v>739</v>
      </c>
      <c r="D1293" s="52" t="s">
        <v>1559</v>
      </c>
      <c r="E1293" s="3" t="s">
        <v>740</v>
      </c>
      <c r="F1293" s="40">
        <v>80</v>
      </c>
      <c r="G1293" s="144" t="s">
        <v>741</v>
      </c>
      <c r="H1293" s="40">
        <v>1</v>
      </c>
      <c r="I1293" s="56"/>
    </row>
    <row r="1294" spans="1:9" s="81" customFormat="1" ht="21.6" customHeight="1">
      <c r="A1294" s="27">
        <v>1478</v>
      </c>
      <c r="B1294" s="34" t="s">
        <v>1307</v>
      </c>
      <c r="C1294" s="34" t="s">
        <v>273</v>
      </c>
      <c r="D1294" s="34" t="s">
        <v>1392</v>
      </c>
      <c r="E1294" s="35" t="s">
        <v>274</v>
      </c>
      <c r="F1294" s="40">
        <v>80</v>
      </c>
      <c r="G1294" s="144" t="s">
        <v>631</v>
      </c>
      <c r="H1294" s="40">
        <v>1</v>
      </c>
      <c r="I1294" s="56" t="s">
        <v>116</v>
      </c>
    </row>
    <row r="1295" spans="1:9" s="81" customFormat="1" ht="21.6" customHeight="1">
      <c r="A1295" s="27">
        <v>1479</v>
      </c>
      <c r="B1295" s="34" t="s">
        <v>1307</v>
      </c>
      <c r="C1295" s="34" t="s">
        <v>742</v>
      </c>
      <c r="D1295" s="80" t="s">
        <v>1560</v>
      </c>
      <c r="E1295" s="35" t="s">
        <v>743</v>
      </c>
      <c r="F1295" s="40">
        <v>80</v>
      </c>
      <c r="G1295" s="144" t="s">
        <v>119</v>
      </c>
      <c r="H1295" s="40">
        <v>1</v>
      </c>
      <c r="I1295" s="56" t="s">
        <v>116</v>
      </c>
    </row>
    <row r="1296" spans="1:9" s="58" customFormat="1" ht="21.6" customHeight="1">
      <c r="A1296" s="27">
        <v>1480</v>
      </c>
      <c r="B1296" s="34" t="s">
        <v>1307</v>
      </c>
      <c r="C1296" s="34" t="s">
        <v>264</v>
      </c>
      <c r="D1296" s="50" t="s">
        <v>1389</v>
      </c>
      <c r="E1296" s="51" t="s">
        <v>265</v>
      </c>
      <c r="F1296" s="29">
        <v>80</v>
      </c>
      <c r="G1296" s="144" t="s">
        <v>1836</v>
      </c>
      <c r="H1296" s="29">
        <v>1</v>
      </c>
      <c r="I1296" s="31" t="s">
        <v>744</v>
      </c>
    </row>
    <row r="1297" spans="1:9" s="58" customFormat="1" ht="21.6" customHeight="1">
      <c r="A1297" s="27">
        <v>1481</v>
      </c>
      <c r="B1297" s="34" t="s">
        <v>1307</v>
      </c>
      <c r="C1297" s="34" t="s">
        <v>264</v>
      </c>
      <c r="D1297" s="50" t="s">
        <v>1389</v>
      </c>
      <c r="E1297" s="51" t="s">
        <v>265</v>
      </c>
      <c r="F1297" s="29">
        <v>80</v>
      </c>
      <c r="G1297" s="144" t="s">
        <v>745</v>
      </c>
      <c r="H1297" s="29">
        <v>1</v>
      </c>
      <c r="I1297" s="31" t="s">
        <v>744</v>
      </c>
    </row>
    <row r="1298" spans="1:9" s="58" customFormat="1" ht="21.6" customHeight="1">
      <c r="A1298" s="27">
        <v>1482</v>
      </c>
      <c r="B1298" s="34" t="s">
        <v>1307</v>
      </c>
      <c r="C1298" s="34" t="s">
        <v>746</v>
      </c>
      <c r="D1298" s="50" t="s">
        <v>1561</v>
      </c>
      <c r="E1298" s="51" t="s">
        <v>747</v>
      </c>
      <c r="F1298" s="29">
        <v>80</v>
      </c>
      <c r="G1298" s="144" t="s">
        <v>1837</v>
      </c>
      <c r="H1298" s="29">
        <v>1</v>
      </c>
      <c r="I1298" s="31" t="s">
        <v>744</v>
      </c>
    </row>
    <row r="1299" spans="1:9" s="58" customFormat="1" ht="21.6" customHeight="1">
      <c r="A1299" s="27">
        <v>1483</v>
      </c>
      <c r="B1299" s="34" t="s">
        <v>1307</v>
      </c>
      <c r="C1299" s="34" t="s">
        <v>225</v>
      </c>
      <c r="D1299" s="39" t="s">
        <v>1375</v>
      </c>
      <c r="E1299" s="3" t="s">
        <v>226</v>
      </c>
      <c r="F1299" s="29">
        <v>120</v>
      </c>
      <c r="G1299" s="145" t="s">
        <v>1838</v>
      </c>
      <c r="H1299" s="29">
        <v>2</v>
      </c>
      <c r="I1299" s="31" t="s">
        <v>748</v>
      </c>
    </row>
    <row r="1300" spans="1:9" s="58" customFormat="1" ht="21.6" customHeight="1">
      <c r="A1300" s="27">
        <v>1484</v>
      </c>
      <c r="B1300" s="34" t="s">
        <v>1307</v>
      </c>
      <c r="C1300" s="34" t="s">
        <v>229</v>
      </c>
      <c r="D1300" s="39" t="s">
        <v>1376</v>
      </c>
      <c r="E1300" s="51" t="s">
        <v>230</v>
      </c>
      <c r="F1300" s="29">
        <v>120</v>
      </c>
      <c r="G1300" s="145" t="s">
        <v>1839</v>
      </c>
      <c r="H1300" s="29">
        <v>1</v>
      </c>
      <c r="I1300" s="31" t="s">
        <v>748</v>
      </c>
    </row>
    <row r="1301" spans="1:9" s="58" customFormat="1" ht="21.6" customHeight="1">
      <c r="A1301" s="27">
        <v>1485</v>
      </c>
      <c r="B1301" s="34" t="s">
        <v>1307</v>
      </c>
      <c r="C1301" s="34" t="s">
        <v>231</v>
      </c>
      <c r="D1301" s="39" t="s">
        <v>1377</v>
      </c>
      <c r="E1301" s="51" t="s">
        <v>232</v>
      </c>
      <c r="F1301" s="29">
        <v>160</v>
      </c>
      <c r="G1301" s="144" t="s">
        <v>1840</v>
      </c>
      <c r="H1301" s="29">
        <v>1</v>
      </c>
      <c r="I1301" s="31" t="s">
        <v>750</v>
      </c>
    </row>
    <row r="1302" spans="1:9" s="58" customFormat="1" ht="21.6" customHeight="1">
      <c r="A1302" s="27">
        <v>1486</v>
      </c>
      <c r="B1302" s="34" t="s">
        <v>1307</v>
      </c>
      <c r="C1302" s="34" t="s">
        <v>235</v>
      </c>
      <c r="D1302" s="50" t="s">
        <v>1378</v>
      </c>
      <c r="E1302" s="51" t="s">
        <v>236</v>
      </c>
      <c r="F1302" s="29">
        <v>160</v>
      </c>
      <c r="G1302" s="144" t="s">
        <v>237</v>
      </c>
      <c r="H1302" s="29">
        <v>1</v>
      </c>
      <c r="I1302" s="31" t="s">
        <v>750</v>
      </c>
    </row>
    <row r="1303" spans="1:9" s="58" customFormat="1" ht="21.6" customHeight="1">
      <c r="A1303" s="27">
        <v>1487</v>
      </c>
      <c r="B1303" s="34" t="s">
        <v>1307</v>
      </c>
      <c r="C1303" s="34" t="s">
        <v>238</v>
      </c>
      <c r="D1303" s="50" t="s">
        <v>1379</v>
      </c>
      <c r="E1303" s="51" t="s">
        <v>239</v>
      </c>
      <c r="F1303" s="29">
        <v>160</v>
      </c>
      <c r="G1303" s="144" t="s">
        <v>749</v>
      </c>
      <c r="H1303" s="29">
        <v>1</v>
      </c>
      <c r="I1303" s="31" t="s">
        <v>750</v>
      </c>
    </row>
    <row r="1304" spans="1:9" s="81" customFormat="1" ht="21.6" customHeight="1">
      <c r="A1304" s="27">
        <v>1488</v>
      </c>
      <c r="B1304" s="34" t="s">
        <v>1307</v>
      </c>
      <c r="C1304" s="34" t="s">
        <v>751</v>
      </c>
      <c r="D1304" s="34" t="s">
        <v>1562</v>
      </c>
      <c r="E1304" s="35" t="s">
        <v>752</v>
      </c>
      <c r="F1304" s="40">
        <v>70</v>
      </c>
      <c r="G1304" s="144" t="s">
        <v>637</v>
      </c>
      <c r="H1304" s="40" t="s">
        <v>123</v>
      </c>
      <c r="I1304" s="56"/>
    </row>
    <row r="1305" spans="1:9" s="81" customFormat="1" ht="21.6" customHeight="1">
      <c r="A1305" s="27">
        <v>1489</v>
      </c>
      <c r="B1305" s="34" t="s">
        <v>1307</v>
      </c>
      <c r="C1305" s="34" t="s">
        <v>753</v>
      </c>
      <c r="D1305" s="34" t="s">
        <v>1563</v>
      </c>
      <c r="E1305" s="35" t="s">
        <v>754</v>
      </c>
      <c r="F1305" s="40">
        <v>70</v>
      </c>
      <c r="G1305" s="144" t="s">
        <v>755</v>
      </c>
      <c r="H1305" s="40" t="s">
        <v>123</v>
      </c>
      <c r="I1305" s="56"/>
    </row>
    <row r="1306" spans="1:9" s="58" customFormat="1" ht="21.6" customHeight="1">
      <c r="A1306" s="27">
        <v>1490</v>
      </c>
      <c r="B1306" s="34" t="s">
        <v>1307</v>
      </c>
      <c r="C1306" s="34" t="s">
        <v>756</v>
      </c>
      <c r="D1306" s="39" t="s">
        <v>1564</v>
      </c>
      <c r="E1306" s="3" t="s">
        <v>757</v>
      </c>
      <c r="F1306" s="29">
        <v>80</v>
      </c>
      <c r="G1306" s="144" t="s">
        <v>758</v>
      </c>
      <c r="H1306" s="40" t="s">
        <v>123</v>
      </c>
      <c r="I1306" s="31" t="s">
        <v>744</v>
      </c>
    </row>
    <row r="1307" spans="1:9" s="58" customFormat="1" ht="21.6" customHeight="1">
      <c r="A1307" s="27">
        <v>1491</v>
      </c>
      <c r="B1307" s="34" t="s">
        <v>1307</v>
      </c>
      <c r="C1307" s="34" t="s">
        <v>248</v>
      </c>
      <c r="D1307" s="39" t="s">
        <v>1383</v>
      </c>
      <c r="E1307" s="3" t="s">
        <v>249</v>
      </c>
      <c r="F1307" s="29">
        <v>120</v>
      </c>
      <c r="G1307" s="144" t="s">
        <v>759</v>
      </c>
      <c r="H1307" s="40" t="s">
        <v>123</v>
      </c>
      <c r="I1307" s="31" t="s">
        <v>748</v>
      </c>
    </row>
    <row r="1308" spans="1:9" s="58" customFormat="1" ht="21.6" customHeight="1">
      <c r="A1308" s="27">
        <v>1492</v>
      </c>
      <c r="B1308" s="34" t="s">
        <v>1307</v>
      </c>
      <c r="C1308" s="34" t="s">
        <v>251</v>
      </c>
      <c r="D1308" s="39" t="s">
        <v>1384</v>
      </c>
      <c r="E1308" s="3" t="s">
        <v>252</v>
      </c>
      <c r="F1308" s="29">
        <v>160</v>
      </c>
      <c r="G1308" s="144" t="s">
        <v>760</v>
      </c>
      <c r="H1308" s="40" t="s">
        <v>123</v>
      </c>
      <c r="I1308" s="31" t="s">
        <v>750</v>
      </c>
    </row>
    <row r="1309" spans="1:9" s="58" customFormat="1" ht="21.6" customHeight="1">
      <c r="A1309" s="27">
        <v>1493</v>
      </c>
      <c r="B1309" s="34" t="s">
        <v>1307</v>
      </c>
      <c r="C1309" s="34" t="s">
        <v>761</v>
      </c>
      <c r="D1309" s="39" t="s">
        <v>1565</v>
      </c>
      <c r="E1309" s="3" t="s">
        <v>762</v>
      </c>
      <c r="F1309" s="29">
        <v>210</v>
      </c>
      <c r="G1309" s="144" t="str">
        <f>+G1161</f>
        <v>定著保養套件</v>
      </c>
      <c r="H1309" s="40" t="s">
        <v>123</v>
      </c>
      <c r="I1309" s="31" t="s">
        <v>84</v>
      </c>
    </row>
    <row r="1310" spans="1:9" s="58" customFormat="1" ht="21.6" customHeight="1">
      <c r="A1310" s="27">
        <v>1494</v>
      </c>
      <c r="B1310" s="34" t="s">
        <v>1307</v>
      </c>
      <c r="C1310" s="34" t="s">
        <v>763</v>
      </c>
      <c r="D1310" s="39" t="s">
        <v>1566</v>
      </c>
      <c r="E1310" s="3" t="s">
        <v>764</v>
      </c>
      <c r="F1310" s="29">
        <v>210</v>
      </c>
      <c r="G1310" s="144" t="str">
        <f>+G1162</f>
        <v>轉寫組保養套件</v>
      </c>
      <c r="H1310" s="40" t="s">
        <v>123</v>
      </c>
      <c r="I1310" s="31" t="s">
        <v>84</v>
      </c>
    </row>
    <row r="1311" spans="1:9" s="81" customFormat="1" ht="21.6" customHeight="1">
      <c r="A1311" s="27">
        <v>1496</v>
      </c>
      <c r="B1311" s="34" t="s">
        <v>1307</v>
      </c>
      <c r="C1311" s="34" t="s">
        <v>765</v>
      </c>
      <c r="D1311" s="34" t="s">
        <v>1567</v>
      </c>
      <c r="E1311" s="35" t="s">
        <v>766</v>
      </c>
      <c r="F1311" s="40" t="s">
        <v>123</v>
      </c>
      <c r="G1311" s="145" t="s">
        <v>767</v>
      </c>
      <c r="H1311" s="40" t="s">
        <v>123</v>
      </c>
      <c r="I1311" s="56"/>
    </row>
    <row r="1312" spans="1:9" s="81" customFormat="1" ht="21.6" customHeight="1">
      <c r="A1312" s="27">
        <v>1497</v>
      </c>
      <c r="B1312" s="34" t="s">
        <v>1307</v>
      </c>
      <c r="C1312" s="34" t="s">
        <v>768</v>
      </c>
      <c r="D1312" s="34" t="s">
        <v>1568</v>
      </c>
      <c r="E1312" s="35" t="s">
        <v>769</v>
      </c>
      <c r="F1312" s="40" t="s">
        <v>123</v>
      </c>
      <c r="G1312" s="145" t="s">
        <v>129</v>
      </c>
      <c r="H1312" s="40" t="s">
        <v>123</v>
      </c>
      <c r="I1312" s="56"/>
    </row>
    <row r="1313" spans="1:9" ht="21.6" customHeight="1">
      <c r="A1313" s="27">
        <v>1498</v>
      </c>
      <c r="B1313" s="34" t="s">
        <v>1307</v>
      </c>
      <c r="C1313" s="34" t="s">
        <v>770</v>
      </c>
      <c r="D1313" s="34" t="s">
        <v>1569</v>
      </c>
      <c r="E1313" s="35" t="s">
        <v>771</v>
      </c>
      <c r="F1313" s="40" t="s">
        <v>123</v>
      </c>
      <c r="G1313" s="145" t="s">
        <v>772</v>
      </c>
      <c r="H1313" s="40" t="s">
        <v>123</v>
      </c>
      <c r="I1313" s="56"/>
    </row>
    <row r="1314" spans="1:9" ht="21.6" customHeight="1">
      <c r="A1314" s="27">
        <v>1499</v>
      </c>
      <c r="B1314" s="34" t="s">
        <v>1307</v>
      </c>
      <c r="C1314" s="34" t="s">
        <v>773</v>
      </c>
      <c r="D1314" s="34" t="s">
        <v>1570</v>
      </c>
      <c r="E1314" s="35" t="s">
        <v>774</v>
      </c>
      <c r="F1314" s="40" t="s">
        <v>123</v>
      </c>
      <c r="G1314" s="145" t="s">
        <v>775</v>
      </c>
      <c r="H1314" s="40" t="s">
        <v>123</v>
      </c>
      <c r="I1314" s="56"/>
    </row>
    <row r="1315" spans="1:9" ht="21.6" customHeight="1">
      <c r="A1315" s="27">
        <v>1500</v>
      </c>
      <c r="B1315" s="34" t="s">
        <v>1307</v>
      </c>
      <c r="C1315" s="34" t="s">
        <v>776</v>
      </c>
      <c r="D1315" s="34" t="s">
        <v>1571</v>
      </c>
      <c r="E1315" s="35" t="s">
        <v>777</v>
      </c>
      <c r="F1315" s="40" t="s">
        <v>123</v>
      </c>
      <c r="G1315" s="145" t="s">
        <v>778</v>
      </c>
      <c r="H1315" s="40" t="s">
        <v>123</v>
      </c>
      <c r="I1315" s="56"/>
    </row>
    <row r="1316" spans="1:9" ht="21.6" customHeight="1">
      <c r="A1316" s="27">
        <v>1501</v>
      </c>
      <c r="B1316" s="34" t="s">
        <v>1307</v>
      </c>
      <c r="C1316" s="34" t="s">
        <v>779</v>
      </c>
      <c r="D1316" s="34" t="s">
        <v>1572</v>
      </c>
      <c r="E1316" s="35" t="s">
        <v>780</v>
      </c>
      <c r="F1316" s="40" t="s">
        <v>123</v>
      </c>
      <c r="G1316" s="145" t="s">
        <v>781</v>
      </c>
      <c r="H1316" s="40" t="s">
        <v>123</v>
      </c>
      <c r="I1316" s="56"/>
    </row>
    <row r="1317" spans="1:9" ht="21.6" customHeight="1">
      <c r="A1317" s="27">
        <v>1502</v>
      </c>
      <c r="B1317" s="34" t="s">
        <v>1307</v>
      </c>
      <c r="C1317" s="34" t="s">
        <v>782</v>
      </c>
      <c r="D1317" s="34" t="s">
        <v>1573</v>
      </c>
      <c r="E1317" s="35" t="s">
        <v>783</v>
      </c>
      <c r="F1317" s="40" t="s">
        <v>123</v>
      </c>
      <c r="G1317" s="145" t="s">
        <v>784</v>
      </c>
      <c r="H1317" s="40" t="s">
        <v>123</v>
      </c>
      <c r="I1317" s="56"/>
    </row>
    <row r="1318" spans="1:9" ht="21.6" customHeight="1">
      <c r="A1318" s="27">
        <v>1503</v>
      </c>
      <c r="B1318" s="34" t="s">
        <v>1307</v>
      </c>
      <c r="C1318" s="34" t="s">
        <v>785</v>
      </c>
      <c r="D1318" s="34" t="s">
        <v>1574</v>
      </c>
      <c r="E1318" s="35" t="s">
        <v>786</v>
      </c>
      <c r="F1318" s="40" t="s">
        <v>123</v>
      </c>
      <c r="G1318" s="145" t="s">
        <v>787</v>
      </c>
      <c r="H1318" s="40" t="s">
        <v>123</v>
      </c>
      <c r="I1318" s="56"/>
    </row>
    <row r="1319" spans="1:9" ht="21.6" customHeight="1">
      <c r="A1319" s="27">
        <v>1504</v>
      </c>
      <c r="B1319" s="34" t="s">
        <v>1307</v>
      </c>
      <c r="C1319" s="34" t="s">
        <v>788</v>
      </c>
      <c r="D1319" s="34" t="s">
        <v>1575</v>
      </c>
      <c r="E1319" s="35" t="s">
        <v>789</v>
      </c>
      <c r="F1319" s="40" t="s">
        <v>123</v>
      </c>
      <c r="G1319" s="145" t="s">
        <v>790</v>
      </c>
      <c r="H1319" s="40" t="s">
        <v>123</v>
      </c>
      <c r="I1319" s="56"/>
    </row>
    <row r="1320" spans="1:9" s="81" customFormat="1" ht="21.6" customHeight="1">
      <c r="A1320" s="41">
        <v>1505</v>
      </c>
      <c r="B1320" s="97" t="s">
        <v>1307</v>
      </c>
      <c r="C1320" s="97" t="s">
        <v>791</v>
      </c>
      <c r="D1320" s="97" t="s">
        <v>1576</v>
      </c>
      <c r="E1320" s="70" t="s">
        <v>792</v>
      </c>
      <c r="F1320" s="44" t="s">
        <v>123</v>
      </c>
      <c r="G1320" s="147" t="s">
        <v>1821</v>
      </c>
      <c r="H1320" s="44" t="s">
        <v>123</v>
      </c>
      <c r="I1320" s="98"/>
    </row>
    <row r="1321" spans="1:9" s="81" customFormat="1" ht="21.6" customHeight="1">
      <c r="A1321" s="20">
        <v>1506</v>
      </c>
      <c r="B1321" s="73" t="s">
        <v>38</v>
      </c>
      <c r="C1321" s="73" t="s">
        <v>697</v>
      </c>
      <c r="D1321" s="73" t="s">
        <v>1542</v>
      </c>
      <c r="E1321" s="72" t="s">
        <v>698</v>
      </c>
      <c r="F1321" s="74">
        <v>84</v>
      </c>
      <c r="G1321" s="143" t="s">
        <v>193</v>
      </c>
      <c r="H1321" s="74">
        <v>4</v>
      </c>
      <c r="I1321" s="75"/>
    </row>
    <row r="1322" spans="1:9" s="81" customFormat="1" ht="21.6" customHeight="1">
      <c r="A1322" s="27">
        <v>1507</v>
      </c>
      <c r="B1322" s="34" t="s">
        <v>38</v>
      </c>
      <c r="C1322" s="34" t="s">
        <v>699</v>
      </c>
      <c r="D1322" s="34" t="s">
        <v>1543</v>
      </c>
      <c r="E1322" s="35" t="s">
        <v>700</v>
      </c>
      <c r="F1322" s="40">
        <v>84</v>
      </c>
      <c r="G1322" s="145" t="s">
        <v>502</v>
      </c>
      <c r="H1322" s="40">
        <v>1</v>
      </c>
      <c r="I1322" s="56"/>
    </row>
    <row r="1323" spans="1:9" s="81" customFormat="1" ht="21.6" customHeight="1">
      <c r="A1323" s="27">
        <v>1508</v>
      </c>
      <c r="B1323" s="34" t="s">
        <v>38</v>
      </c>
      <c r="C1323" s="34" t="s">
        <v>701</v>
      </c>
      <c r="D1323" s="34" t="s">
        <v>1544</v>
      </c>
      <c r="E1323" s="35" t="s">
        <v>702</v>
      </c>
      <c r="F1323" s="40">
        <v>84</v>
      </c>
      <c r="G1323" s="145" t="s">
        <v>703</v>
      </c>
      <c r="H1323" s="40">
        <v>1</v>
      </c>
      <c r="I1323" s="56"/>
    </row>
    <row r="1324" spans="1:9" s="81" customFormat="1" ht="21.6" customHeight="1">
      <c r="A1324" s="27">
        <v>1509</v>
      </c>
      <c r="B1324" s="34" t="s">
        <v>38</v>
      </c>
      <c r="C1324" s="34" t="s">
        <v>704</v>
      </c>
      <c r="D1324" s="34" t="s">
        <v>1545</v>
      </c>
      <c r="E1324" s="35" t="s">
        <v>705</v>
      </c>
      <c r="F1324" s="40">
        <v>84</v>
      </c>
      <c r="G1324" s="144" t="s">
        <v>706</v>
      </c>
      <c r="H1324" s="40">
        <v>1</v>
      </c>
      <c r="I1324" s="56"/>
    </row>
    <row r="1325" spans="1:9" s="81" customFormat="1" ht="21.6" customHeight="1">
      <c r="A1325" s="27">
        <v>1510</v>
      </c>
      <c r="B1325" s="34" t="s">
        <v>38</v>
      </c>
      <c r="C1325" s="34" t="s">
        <v>707</v>
      </c>
      <c r="D1325" s="34" t="s">
        <v>1546</v>
      </c>
      <c r="E1325" s="35" t="s">
        <v>708</v>
      </c>
      <c r="F1325" s="40">
        <v>84</v>
      </c>
      <c r="G1325" s="145" t="s">
        <v>709</v>
      </c>
      <c r="H1325" s="40">
        <v>1</v>
      </c>
      <c r="I1325" s="56"/>
    </row>
    <row r="1326" spans="1:9" s="81" customFormat="1" ht="21.6" customHeight="1">
      <c r="A1326" s="27">
        <v>1511</v>
      </c>
      <c r="B1326" s="34" t="s">
        <v>38</v>
      </c>
      <c r="C1326" s="34" t="s">
        <v>710</v>
      </c>
      <c r="D1326" s="34" t="s">
        <v>1547</v>
      </c>
      <c r="E1326" s="35" t="s">
        <v>711</v>
      </c>
      <c r="F1326" s="40">
        <v>84</v>
      </c>
      <c r="G1326" s="145" t="s">
        <v>415</v>
      </c>
      <c r="H1326" s="40">
        <v>4</v>
      </c>
      <c r="I1326" s="56"/>
    </row>
    <row r="1327" spans="1:9" s="81" customFormat="1" ht="21.6" customHeight="1">
      <c r="A1327" s="27">
        <v>1512</v>
      </c>
      <c r="B1327" s="34" t="s">
        <v>38</v>
      </c>
      <c r="C1327" s="34" t="s">
        <v>605</v>
      </c>
      <c r="D1327" s="34" t="s">
        <v>1511</v>
      </c>
      <c r="E1327" s="35" t="s">
        <v>606</v>
      </c>
      <c r="F1327" s="40">
        <v>210</v>
      </c>
      <c r="G1327" s="145" t="s">
        <v>533</v>
      </c>
      <c r="H1327" s="40">
        <v>1</v>
      </c>
      <c r="I1327" s="56"/>
    </row>
    <row r="1328" spans="1:9" s="81" customFormat="1" ht="21.6" customHeight="1">
      <c r="A1328" s="27">
        <v>1513</v>
      </c>
      <c r="B1328" s="34" t="s">
        <v>38</v>
      </c>
      <c r="C1328" s="34" t="s">
        <v>712</v>
      </c>
      <c r="D1328" s="34" t="s">
        <v>1548</v>
      </c>
      <c r="E1328" s="35" t="s">
        <v>713</v>
      </c>
      <c r="F1328" s="40">
        <v>210</v>
      </c>
      <c r="G1328" s="145" t="s">
        <v>1775</v>
      </c>
      <c r="H1328" s="40">
        <v>1</v>
      </c>
      <c r="I1328" s="56" t="s">
        <v>84</v>
      </c>
    </row>
    <row r="1329" spans="1:9" s="81" customFormat="1" ht="21.6" customHeight="1">
      <c r="A1329" s="27">
        <v>1514</v>
      </c>
      <c r="B1329" s="34" t="s">
        <v>38</v>
      </c>
      <c r="C1329" s="34" t="s">
        <v>714</v>
      </c>
      <c r="D1329" s="34" t="s">
        <v>1549</v>
      </c>
      <c r="E1329" s="35" t="s">
        <v>715</v>
      </c>
      <c r="F1329" s="40">
        <v>210</v>
      </c>
      <c r="G1329" s="145" t="s">
        <v>87</v>
      </c>
      <c r="H1329" s="40">
        <v>1</v>
      </c>
      <c r="I1329" s="56" t="s">
        <v>84</v>
      </c>
    </row>
    <row r="1330" spans="1:9" s="81" customFormat="1" ht="21.6" customHeight="1">
      <c r="A1330" s="27">
        <v>1515</v>
      </c>
      <c r="B1330" s="34" t="s">
        <v>38</v>
      </c>
      <c r="C1330" s="34" t="s">
        <v>716</v>
      </c>
      <c r="D1330" s="34" t="s">
        <v>1550</v>
      </c>
      <c r="E1330" s="35" t="s">
        <v>717</v>
      </c>
      <c r="F1330" s="40">
        <v>210</v>
      </c>
      <c r="G1330" s="145" t="s">
        <v>718</v>
      </c>
      <c r="H1330" s="40">
        <v>5</v>
      </c>
      <c r="I1330" s="56" t="s">
        <v>84</v>
      </c>
    </row>
    <row r="1331" spans="1:9" s="81" customFormat="1" ht="21.6" customHeight="1">
      <c r="A1331" s="27">
        <v>1517</v>
      </c>
      <c r="B1331" s="34" t="s">
        <v>38</v>
      </c>
      <c r="C1331" s="34" t="s">
        <v>793</v>
      </c>
      <c r="D1331" s="34" t="s">
        <v>1577</v>
      </c>
      <c r="E1331" s="35" t="s">
        <v>794</v>
      </c>
      <c r="F1331" s="40">
        <v>210</v>
      </c>
      <c r="G1331" s="145" t="s">
        <v>628</v>
      </c>
      <c r="H1331" s="40">
        <v>2</v>
      </c>
      <c r="I1331" s="56" t="s">
        <v>795</v>
      </c>
    </row>
    <row r="1332" spans="1:9" s="81" customFormat="1" ht="21.6" customHeight="1">
      <c r="A1332" s="27">
        <v>1518</v>
      </c>
      <c r="B1332" s="34" t="s">
        <v>38</v>
      </c>
      <c r="C1332" s="34" t="s">
        <v>719</v>
      </c>
      <c r="D1332" s="34" t="s">
        <v>1551</v>
      </c>
      <c r="E1332" s="35" t="s">
        <v>720</v>
      </c>
      <c r="F1332" s="40">
        <v>210</v>
      </c>
      <c r="G1332" s="145" t="s">
        <v>101</v>
      </c>
      <c r="H1332" s="40">
        <v>1</v>
      </c>
      <c r="I1332" s="56" t="s">
        <v>84</v>
      </c>
    </row>
    <row r="1333" spans="1:9" s="81" customFormat="1" ht="21.6" customHeight="1">
      <c r="A1333" s="27">
        <v>1519</v>
      </c>
      <c r="B1333" s="34" t="s">
        <v>38</v>
      </c>
      <c r="C1333" s="34" t="s">
        <v>609</v>
      </c>
      <c r="D1333" s="34" t="s">
        <v>1513</v>
      </c>
      <c r="E1333" s="35" t="s">
        <v>610</v>
      </c>
      <c r="F1333" s="40">
        <v>210</v>
      </c>
      <c r="G1333" s="145" t="s">
        <v>1824</v>
      </c>
      <c r="H1333" s="40">
        <v>1</v>
      </c>
      <c r="I1333" s="56" t="s">
        <v>84</v>
      </c>
    </row>
    <row r="1334" spans="1:9" s="81" customFormat="1" ht="21.6" customHeight="1">
      <c r="A1334" s="27">
        <v>1520</v>
      </c>
      <c r="B1334" s="34" t="s">
        <v>38</v>
      </c>
      <c r="C1334" s="34" t="s">
        <v>611</v>
      </c>
      <c r="D1334" s="34" t="s">
        <v>1514</v>
      </c>
      <c r="E1334" s="35" t="s">
        <v>612</v>
      </c>
      <c r="F1334" s="40">
        <v>210</v>
      </c>
      <c r="G1334" s="145" t="s">
        <v>1825</v>
      </c>
      <c r="H1334" s="40">
        <v>1</v>
      </c>
      <c r="I1334" s="56" t="s">
        <v>84</v>
      </c>
    </row>
    <row r="1335" spans="1:9" s="81" customFormat="1" ht="21.6" customHeight="1">
      <c r="A1335" s="27">
        <v>1521</v>
      </c>
      <c r="B1335" s="34" t="s">
        <v>38</v>
      </c>
      <c r="C1335" s="34" t="s">
        <v>613</v>
      </c>
      <c r="D1335" s="34" t="s">
        <v>1515</v>
      </c>
      <c r="E1335" s="35" t="s">
        <v>614</v>
      </c>
      <c r="F1335" s="40">
        <v>210</v>
      </c>
      <c r="G1335" s="145" t="s">
        <v>1826</v>
      </c>
      <c r="H1335" s="40">
        <v>2</v>
      </c>
      <c r="I1335" s="56" t="s">
        <v>84</v>
      </c>
    </row>
    <row r="1336" spans="1:9" s="81" customFormat="1" ht="21.6" customHeight="1">
      <c r="A1336" s="27">
        <v>1522</v>
      </c>
      <c r="B1336" s="34" t="s">
        <v>38</v>
      </c>
      <c r="C1336" s="34" t="s">
        <v>607</v>
      </c>
      <c r="D1336" s="34" t="s">
        <v>1512</v>
      </c>
      <c r="E1336" s="35" t="s">
        <v>608</v>
      </c>
      <c r="F1336" s="40">
        <v>210</v>
      </c>
      <c r="G1336" s="145" t="s">
        <v>1812</v>
      </c>
      <c r="H1336" s="40">
        <v>1</v>
      </c>
      <c r="I1336" s="56" t="s">
        <v>84</v>
      </c>
    </row>
    <row r="1337" spans="1:9" s="81" customFormat="1" ht="21.6" customHeight="1">
      <c r="A1337" s="27">
        <v>1523</v>
      </c>
      <c r="B1337" s="34" t="s">
        <v>38</v>
      </c>
      <c r="C1337" s="34" t="s">
        <v>727</v>
      </c>
      <c r="D1337" s="34" t="s">
        <v>1554</v>
      </c>
      <c r="E1337" s="35" t="s">
        <v>728</v>
      </c>
      <c r="F1337" s="40">
        <v>84</v>
      </c>
      <c r="G1337" s="144" t="s">
        <v>107</v>
      </c>
      <c r="H1337" s="40">
        <v>4</v>
      </c>
      <c r="I1337" s="56"/>
    </row>
    <row r="1338" spans="1:9" s="81" customFormat="1" ht="21.6" customHeight="1">
      <c r="A1338" s="27">
        <v>1524</v>
      </c>
      <c r="B1338" s="34" t="s">
        <v>38</v>
      </c>
      <c r="C1338" s="34" t="s">
        <v>598</v>
      </c>
      <c r="D1338" s="34" t="s">
        <v>1508</v>
      </c>
      <c r="E1338" s="35" t="s">
        <v>599</v>
      </c>
      <c r="F1338" s="40">
        <v>84</v>
      </c>
      <c r="G1338" s="145" t="s">
        <v>104</v>
      </c>
      <c r="H1338" s="40">
        <v>4</v>
      </c>
      <c r="I1338" s="56"/>
    </row>
    <row r="1339" spans="1:9" s="81" customFormat="1" ht="21.6" customHeight="1">
      <c r="A1339" s="27">
        <v>1525</v>
      </c>
      <c r="B1339" s="34" t="s">
        <v>38</v>
      </c>
      <c r="C1339" s="34" t="s">
        <v>729</v>
      </c>
      <c r="D1339" s="34" t="s">
        <v>1555</v>
      </c>
      <c r="E1339" s="35" t="s">
        <v>730</v>
      </c>
      <c r="F1339" s="40">
        <v>84</v>
      </c>
      <c r="G1339" s="144" t="s">
        <v>1822</v>
      </c>
      <c r="H1339" s="40">
        <v>8</v>
      </c>
      <c r="I1339" s="56"/>
    </row>
    <row r="1340" spans="1:9" s="81" customFormat="1" ht="21.6" customHeight="1">
      <c r="A1340" s="27">
        <v>1526</v>
      </c>
      <c r="B1340" s="34" t="s">
        <v>38</v>
      </c>
      <c r="C1340" s="34" t="s">
        <v>731</v>
      </c>
      <c r="D1340" s="34" t="s">
        <v>1556</v>
      </c>
      <c r="E1340" s="35" t="s">
        <v>732</v>
      </c>
      <c r="F1340" s="40">
        <v>84</v>
      </c>
      <c r="G1340" s="144" t="s">
        <v>733</v>
      </c>
      <c r="H1340" s="40">
        <v>4</v>
      </c>
      <c r="I1340" s="56"/>
    </row>
    <row r="1341" spans="1:9" s="81" customFormat="1" ht="21.6" customHeight="1">
      <c r="A1341" s="27">
        <v>1527</v>
      </c>
      <c r="B1341" s="34" t="s">
        <v>38</v>
      </c>
      <c r="C1341" s="34" t="s">
        <v>734</v>
      </c>
      <c r="D1341" s="34" t="s">
        <v>1557</v>
      </c>
      <c r="E1341" s="35" t="s">
        <v>735</v>
      </c>
      <c r="F1341" s="40">
        <v>84</v>
      </c>
      <c r="G1341" s="144" t="s">
        <v>736</v>
      </c>
      <c r="H1341" s="40">
        <v>4</v>
      </c>
      <c r="I1341" s="56"/>
    </row>
    <row r="1342" spans="1:9" s="81" customFormat="1" ht="21.6" customHeight="1">
      <c r="A1342" s="27">
        <v>1528</v>
      </c>
      <c r="B1342" s="34" t="s">
        <v>38</v>
      </c>
      <c r="C1342" s="34" t="s">
        <v>737</v>
      </c>
      <c r="D1342" s="50" t="s">
        <v>1558</v>
      </c>
      <c r="E1342" s="51" t="s">
        <v>738</v>
      </c>
      <c r="F1342" s="40">
        <v>80</v>
      </c>
      <c r="G1342" s="144" t="s">
        <v>399</v>
      </c>
      <c r="H1342" s="40">
        <v>1</v>
      </c>
      <c r="I1342" s="56"/>
    </row>
    <row r="1343" spans="1:9" s="81" customFormat="1" ht="21.6" customHeight="1">
      <c r="A1343" s="27">
        <v>1529</v>
      </c>
      <c r="B1343" s="34" t="s">
        <v>38</v>
      </c>
      <c r="C1343" s="34" t="s">
        <v>739</v>
      </c>
      <c r="D1343" s="52" t="s">
        <v>1559</v>
      </c>
      <c r="E1343" s="3" t="s">
        <v>740</v>
      </c>
      <c r="F1343" s="40">
        <v>80</v>
      </c>
      <c r="G1343" s="144" t="s">
        <v>741</v>
      </c>
      <c r="H1343" s="40">
        <v>1</v>
      </c>
      <c r="I1343" s="56"/>
    </row>
    <row r="1344" spans="1:9" s="81" customFormat="1" ht="21.6" customHeight="1">
      <c r="A1344" s="27">
        <v>1530</v>
      </c>
      <c r="B1344" s="34" t="s">
        <v>38</v>
      </c>
      <c r="C1344" s="34" t="s">
        <v>273</v>
      </c>
      <c r="D1344" s="34" t="s">
        <v>1392</v>
      </c>
      <c r="E1344" s="35" t="s">
        <v>274</v>
      </c>
      <c r="F1344" s="40">
        <v>80</v>
      </c>
      <c r="G1344" s="144" t="s">
        <v>631</v>
      </c>
      <c r="H1344" s="40">
        <v>1</v>
      </c>
      <c r="I1344" s="56" t="s">
        <v>116</v>
      </c>
    </row>
    <row r="1345" spans="1:9" s="81" customFormat="1" ht="21.6" customHeight="1">
      <c r="A1345" s="27">
        <v>1531</v>
      </c>
      <c r="B1345" s="34" t="s">
        <v>38</v>
      </c>
      <c r="C1345" s="34" t="s">
        <v>276</v>
      </c>
      <c r="D1345" s="80" t="s">
        <v>1393</v>
      </c>
      <c r="E1345" s="35" t="s">
        <v>277</v>
      </c>
      <c r="F1345" s="40">
        <v>80</v>
      </c>
      <c r="G1345" s="144" t="s">
        <v>115</v>
      </c>
      <c r="H1345" s="40">
        <v>1</v>
      </c>
      <c r="I1345" s="56" t="s">
        <v>116</v>
      </c>
    </row>
    <row r="1346" spans="1:9" s="58" customFormat="1" ht="21.6" customHeight="1">
      <c r="A1346" s="27">
        <v>1532</v>
      </c>
      <c r="B1346" s="34" t="s">
        <v>38</v>
      </c>
      <c r="C1346" s="34" t="s">
        <v>264</v>
      </c>
      <c r="D1346" s="50" t="s">
        <v>1389</v>
      </c>
      <c r="E1346" s="51" t="s">
        <v>265</v>
      </c>
      <c r="F1346" s="29">
        <v>80</v>
      </c>
      <c r="G1346" s="144" t="s">
        <v>1841</v>
      </c>
      <c r="H1346" s="29">
        <v>1</v>
      </c>
      <c r="I1346" s="31" t="s">
        <v>796</v>
      </c>
    </row>
    <row r="1347" spans="1:9" s="58" customFormat="1" ht="21.6" customHeight="1">
      <c r="A1347" s="27">
        <v>1533</v>
      </c>
      <c r="B1347" s="34" t="s">
        <v>38</v>
      </c>
      <c r="C1347" s="34" t="s">
        <v>268</v>
      </c>
      <c r="D1347" s="50" t="s">
        <v>1390</v>
      </c>
      <c r="E1347" s="51" t="s">
        <v>269</v>
      </c>
      <c r="F1347" s="29">
        <v>80</v>
      </c>
      <c r="G1347" s="144" t="s">
        <v>797</v>
      </c>
      <c r="H1347" s="29">
        <v>1</v>
      </c>
      <c r="I1347" s="31" t="s">
        <v>796</v>
      </c>
    </row>
    <row r="1348" spans="1:9" s="58" customFormat="1" ht="21.6" customHeight="1">
      <c r="A1348" s="27">
        <v>1534</v>
      </c>
      <c r="B1348" s="34" t="s">
        <v>38</v>
      </c>
      <c r="C1348" s="34" t="s">
        <v>271</v>
      </c>
      <c r="D1348" s="50" t="s">
        <v>1391</v>
      </c>
      <c r="E1348" s="51" t="s">
        <v>272</v>
      </c>
      <c r="F1348" s="29">
        <v>80</v>
      </c>
      <c r="G1348" s="144" t="s">
        <v>1842</v>
      </c>
      <c r="H1348" s="29">
        <v>1</v>
      </c>
      <c r="I1348" s="31" t="s">
        <v>796</v>
      </c>
    </row>
    <row r="1349" spans="1:9" s="26" customFormat="1" ht="21.6" customHeight="1">
      <c r="A1349" s="27">
        <v>1535</v>
      </c>
      <c r="B1349" s="34" t="s">
        <v>38</v>
      </c>
      <c r="C1349" s="34" t="s">
        <v>225</v>
      </c>
      <c r="D1349" s="39" t="s">
        <v>1375</v>
      </c>
      <c r="E1349" s="3" t="s">
        <v>226</v>
      </c>
      <c r="F1349" s="29">
        <v>120</v>
      </c>
      <c r="G1349" s="144" t="s">
        <v>1781</v>
      </c>
      <c r="H1349" s="29">
        <v>2</v>
      </c>
      <c r="I1349" s="31" t="s">
        <v>279</v>
      </c>
    </row>
    <row r="1350" spans="1:9" s="26" customFormat="1" ht="21.6" customHeight="1">
      <c r="A1350" s="27">
        <v>1536</v>
      </c>
      <c r="B1350" s="34" t="s">
        <v>38</v>
      </c>
      <c r="C1350" s="34" t="s">
        <v>229</v>
      </c>
      <c r="D1350" s="39" t="s">
        <v>1376</v>
      </c>
      <c r="E1350" s="51" t="s">
        <v>230</v>
      </c>
      <c r="F1350" s="29">
        <v>120</v>
      </c>
      <c r="G1350" s="144" t="s">
        <v>278</v>
      </c>
      <c r="H1350" s="29">
        <v>1</v>
      </c>
      <c r="I1350" s="31" t="s">
        <v>279</v>
      </c>
    </row>
    <row r="1351" spans="1:9" s="58" customFormat="1" ht="21.6" customHeight="1">
      <c r="A1351" s="27">
        <v>1537</v>
      </c>
      <c r="B1351" s="34" t="s">
        <v>38</v>
      </c>
      <c r="C1351" s="34" t="s">
        <v>231</v>
      </c>
      <c r="D1351" s="39" t="s">
        <v>1377</v>
      </c>
      <c r="E1351" s="51" t="s">
        <v>232</v>
      </c>
      <c r="F1351" s="29">
        <v>160</v>
      </c>
      <c r="G1351" s="144" t="s">
        <v>1843</v>
      </c>
      <c r="H1351" s="29">
        <v>1</v>
      </c>
      <c r="I1351" s="31" t="s">
        <v>290</v>
      </c>
    </row>
    <row r="1352" spans="1:9" s="58" customFormat="1" ht="21.6" customHeight="1">
      <c r="A1352" s="27">
        <v>1538</v>
      </c>
      <c r="B1352" s="34" t="s">
        <v>38</v>
      </c>
      <c r="C1352" s="34" t="s">
        <v>235</v>
      </c>
      <c r="D1352" s="50" t="s">
        <v>1378</v>
      </c>
      <c r="E1352" s="51" t="s">
        <v>236</v>
      </c>
      <c r="F1352" s="29">
        <v>160</v>
      </c>
      <c r="G1352" s="144" t="s">
        <v>237</v>
      </c>
      <c r="H1352" s="29">
        <v>1</v>
      </c>
      <c r="I1352" s="31" t="s">
        <v>290</v>
      </c>
    </row>
    <row r="1353" spans="1:9" s="58" customFormat="1" ht="21.6" customHeight="1">
      <c r="A1353" s="27">
        <v>1539</v>
      </c>
      <c r="B1353" s="34" t="s">
        <v>38</v>
      </c>
      <c r="C1353" s="34" t="s">
        <v>238</v>
      </c>
      <c r="D1353" s="50" t="s">
        <v>1379</v>
      </c>
      <c r="E1353" s="51" t="s">
        <v>239</v>
      </c>
      <c r="F1353" s="29">
        <v>160</v>
      </c>
      <c r="G1353" s="144" t="s">
        <v>798</v>
      </c>
      <c r="H1353" s="29">
        <v>1</v>
      </c>
      <c r="I1353" s="31" t="s">
        <v>290</v>
      </c>
    </row>
    <row r="1354" spans="1:9" s="81" customFormat="1" ht="21.6" customHeight="1">
      <c r="A1354" s="27">
        <v>1540</v>
      </c>
      <c r="B1354" s="34" t="s">
        <v>38</v>
      </c>
      <c r="C1354" s="34" t="s">
        <v>751</v>
      </c>
      <c r="D1354" s="80" t="s">
        <v>1562</v>
      </c>
      <c r="E1354" s="35" t="s">
        <v>752</v>
      </c>
      <c r="F1354" s="40">
        <v>84</v>
      </c>
      <c r="G1354" s="144" t="s">
        <v>637</v>
      </c>
      <c r="H1354" s="40" t="s">
        <v>123</v>
      </c>
      <c r="I1354" s="56"/>
    </row>
    <row r="1355" spans="1:9" s="81" customFormat="1" ht="21.6" customHeight="1">
      <c r="A1355" s="27">
        <v>1541</v>
      </c>
      <c r="B1355" s="34" t="s">
        <v>38</v>
      </c>
      <c r="C1355" s="34" t="s">
        <v>753</v>
      </c>
      <c r="D1355" s="34" t="s">
        <v>1563</v>
      </c>
      <c r="E1355" s="35" t="s">
        <v>754</v>
      </c>
      <c r="F1355" s="40">
        <v>84</v>
      </c>
      <c r="G1355" s="144" t="s">
        <v>755</v>
      </c>
      <c r="H1355" s="40" t="s">
        <v>123</v>
      </c>
      <c r="I1355" s="56"/>
    </row>
    <row r="1356" spans="1:9" s="58" customFormat="1" ht="21.6" customHeight="1">
      <c r="A1356" s="27">
        <v>1542</v>
      </c>
      <c r="B1356" s="34" t="s">
        <v>38</v>
      </c>
      <c r="C1356" s="34" t="s">
        <v>295</v>
      </c>
      <c r="D1356" s="39" t="s">
        <v>1399</v>
      </c>
      <c r="E1356" s="3" t="s">
        <v>296</v>
      </c>
      <c r="F1356" s="29">
        <v>80</v>
      </c>
      <c r="G1356" s="144" t="s">
        <v>799</v>
      </c>
      <c r="H1356" s="40" t="s">
        <v>123</v>
      </c>
      <c r="I1356" s="31" t="s">
        <v>796</v>
      </c>
    </row>
    <row r="1357" spans="1:9" s="26" customFormat="1" ht="21.6" customHeight="1">
      <c r="A1357" s="27">
        <v>1543</v>
      </c>
      <c r="B1357" s="34" t="s">
        <v>38</v>
      </c>
      <c r="C1357" s="34" t="s">
        <v>298</v>
      </c>
      <c r="D1357" s="39" t="s">
        <v>1400</v>
      </c>
      <c r="E1357" s="3" t="s">
        <v>299</v>
      </c>
      <c r="F1357" s="29">
        <v>120</v>
      </c>
      <c r="G1357" s="144" t="s">
        <v>300</v>
      </c>
      <c r="H1357" s="40" t="s">
        <v>123</v>
      </c>
      <c r="I1357" s="31" t="s">
        <v>279</v>
      </c>
    </row>
    <row r="1358" spans="1:9" s="58" customFormat="1" ht="21.6" customHeight="1">
      <c r="A1358" s="27">
        <v>1544</v>
      </c>
      <c r="B1358" s="34" t="s">
        <v>38</v>
      </c>
      <c r="C1358" s="34" t="s">
        <v>251</v>
      </c>
      <c r="D1358" s="39" t="s">
        <v>1384</v>
      </c>
      <c r="E1358" s="3" t="s">
        <v>252</v>
      </c>
      <c r="F1358" s="29">
        <v>160</v>
      </c>
      <c r="G1358" s="144" t="s">
        <v>760</v>
      </c>
      <c r="H1358" s="40" t="s">
        <v>123</v>
      </c>
      <c r="I1358" s="31" t="s">
        <v>290</v>
      </c>
    </row>
    <row r="1359" spans="1:9" s="58" customFormat="1" ht="21.6" customHeight="1">
      <c r="A1359" s="27">
        <v>1545</v>
      </c>
      <c r="B1359" s="34" t="s">
        <v>38</v>
      </c>
      <c r="C1359" s="34" t="s">
        <v>761</v>
      </c>
      <c r="D1359" s="39" t="s">
        <v>1565</v>
      </c>
      <c r="E1359" s="3" t="s">
        <v>762</v>
      </c>
      <c r="F1359" s="29">
        <v>210</v>
      </c>
      <c r="G1359" s="144" t="s">
        <v>642</v>
      </c>
      <c r="H1359" s="40" t="s">
        <v>123</v>
      </c>
      <c r="I1359" s="31" t="s">
        <v>84</v>
      </c>
    </row>
    <row r="1360" spans="1:9" s="58" customFormat="1" ht="21.6" customHeight="1">
      <c r="A1360" s="27">
        <v>1546</v>
      </c>
      <c r="B1360" s="34" t="s">
        <v>38</v>
      </c>
      <c r="C1360" s="34" t="s">
        <v>643</v>
      </c>
      <c r="D1360" s="39" t="s">
        <v>1525</v>
      </c>
      <c r="E1360" s="3" t="s">
        <v>644</v>
      </c>
      <c r="F1360" s="29">
        <v>210</v>
      </c>
      <c r="G1360" s="144" t="s">
        <v>645</v>
      </c>
      <c r="H1360" s="40" t="s">
        <v>123</v>
      </c>
      <c r="I1360" s="31"/>
    </row>
    <row r="1361" spans="1:9" s="81" customFormat="1" ht="21.6" customHeight="1">
      <c r="A1361" s="27">
        <v>1548</v>
      </c>
      <c r="B1361" s="34" t="s">
        <v>38</v>
      </c>
      <c r="C1361" s="34" t="s">
        <v>800</v>
      </c>
      <c r="D1361" s="34" t="s">
        <v>1578</v>
      </c>
      <c r="E1361" s="35" t="s">
        <v>801</v>
      </c>
      <c r="F1361" s="40" t="s">
        <v>123</v>
      </c>
      <c r="G1361" s="145" t="s">
        <v>767</v>
      </c>
      <c r="H1361" s="40" t="s">
        <v>123</v>
      </c>
      <c r="I1361" s="56" t="s">
        <v>836</v>
      </c>
    </row>
    <row r="1362" spans="1:9" s="81" customFormat="1" ht="21.6" customHeight="1">
      <c r="A1362" s="27">
        <v>1549</v>
      </c>
      <c r="B1362" s="34" t="s">
        <v>38</v>
      </c>
      <c r="C1362" s="34" t="s">
        <v>837</v>
      </c>
      <c r="D1362" s="34" t="s">
        <v>1594</v>
      </c>
      <c r="E1362" s="35" t="s">
        <v>838</v>
      </c>
      <c r="F1362" s="40" t="s">
        <v>123</v>
      </c>
      <c r="G1362" s="145" t="s">
        <v>767</v>
      </c>
      <c r="H1362" s="40" t="s">
        <v>123</v>
      </c>
      <c r="I1362" s="56" t="s">
        <v>839</v>
      </c>
    </row>
    <row r="1363" spans="1:9" s="81" customFormat="1" ht="21.6" customHeight="1">
      <c r="A1363" s="27">
        <v>1550</v>
      </c>
      <c r="B1363" s="34" t="s">
        <v>38</v>
      </c>
      <c r="C1363" s="34" t="s">
        <v>803</v>
      </c>
      <c r="D1363" s="34" t="s">
        <v>1579</v>
      </c>
      <c r="E1363" s="35" t="s">
        <v>804</v>
      </c>
      <c r="F1363" s="40" t="s">
        <v>123</v>
      </c>
      <c r="G1363" s="145" t="s">
        <v>129</v>
      </c>
      <c r="H1363" s="40" t="s">
        <v>123</v>
      </c>
      <c r="I1363" s="56"/>
    </row>
    <row r="1364" spans="1:9" ht="21.6" customHeight="1">
      <c r="A1364" s="27">
        <v>1551</v>
      </c>
      <c r="B1364" s="34" t="s">
        <v>38</v>
      </c>
      <c r="C1364" s="34" t="s">
        <v>807</v>
      </c>
      <c r="D1364" s="34" t="s">
        <v>1581</v>
      </c>
      <c r="E1364" s="35" t="s">
        <v>808</v>
      </c>
      <c r="F1364" s="40" t="s">
        <v>123</v>
      </c>
      <c r="G1364" s="145" t="s">
        <v>775</v>
      </c>
      <c r="H1364" s="40" t="s">
        <v>123</v>
      </c>
      <c r="I1364" s="56"/>
    </row>
    <row r="1365" spans="1:9" ht="21.6" customHeight="1">
      <c r="A1365" s="27">
        <v>1552</v>
      </c>
      <c r="B1365" s="34" t="s">
        <v>38</v>
      </c>
      <c r="C1365" s="34" t="s">
        <v>805</v>
      </c>
      <c r="D1365" s="34" t="s">
        <v>1580</v>
      </c>
      <c r="E1365" s="35" t="s">
        <v>806</v>
      </c>
      <c r="F1365" s="40" t="s">
        <v>123</v>
      </c>
      <c r="G1365" s="145" t="s">
        <v>772</v>
      </c>
      <c r="H1365" s="40" t="s">
        <v>123</v>
      </c>
      <c r="I1365" s="56"/>
    </row>
    <row r="1366" spans="1:9" ht="21.6" customHeight="1">
      <c r="A1366" s="27">
        <v>1553</v>
      </c>
      <c r="B1366" s="34" t="s">
        <v>38</v>
      </c>
      <c r="C1366" s="34" t="s">
        <v>809</v>
      </c>
      <c r="D1366" s="34" t="s">
        <v>1582</v>
      </c>
      <c r="E1366" s="35" t="s">
        <v>810</v>
      </c>
      <c r="F1366" s="40" t="s">
        <v>123</v>
      </c>
      <c r="G1366" s="145" t="s">
        <v>778</v>
      </c>
      <c r="H1366" s="40" t="s">
        <v>123</v>
      </c>
      <c r="I1366" s="56"/>
    </row>
    <row r="1367" spans="1:9" ht="21.6" customHeight="1">
      <c r="A1367" s="27">
        <v>1554</v>
      </c>
      <c r="B1367" s="34" t="s">
        <v>38</v>
      </c>
      <c r="C1367" s="34" t="s">
        <v>779</v>
      </c>
      <c r="D1367" s="34" t="s">
        <v>1572</v>
      </c>
      <c r="E1367" s="35" t="s">
        <v>780</v>
      </c>
      <c r="F1367" s="40" t="s">
        <v>123</v>
      </c>
      <c r="G1367" s="145" t="s">
        <v>781</v>
      </c>
      <c r="H1367" s="40" t="s">
        <v>123</v>
      </c>
      <c r="I1367" s="56"/>
    </row>
    <row r="1368" spans="1:9" ht="21.6" customHeight="1">
      <c r="A1368" s="27">
        <v>1555</v>
      </c>
      <c r="B1368" s="34" t="s">
        <v>38</v>
      </c>
      <c r="C1368" s="34" t="s">
        <v>782</v>
      </c>
      <c r="D1368" s="34" t="s">
        <v>1573</v>
      </c>
      <c r="E1368" s="35" t="s">
        <v>783</v>
      </c>
      <c r="F1368" s="40" t="s">
        <v>123</v>
      </c>
      <c r="G1368" s="145" t="s">
        <v>787</v>
      </c>
      <c r="H1368" s="40" t="s">
        <v>123</v>
      </c>
      <c r="I1368" s="56"/>
    </row>
    <row r="1369" spans="1:9" ht="21.6" customHeight="1">
      <c r="A1369" s="27">
        <v>1556</v>
      </c>
      <c r="B1369" s="34" t="s">
        <v>38</v>
      </c>
      <c r="C1369" s="34" t="s">
        <v>785</v>
      </c>
      <c r="D1369" s="34" t="s">
        <v>1574</v>
      </c>
      <c r="E1369" s="35" t="s">
        <v>786</v>
      </c>
      <c r="F1369" s="40" t="s">
        <v>123</v>
      </c>
      <c r="G1369" s="145" t="s">
        <v>784</v>
      </c>
      <c r="H1369" s="40" t="s">
        <v>123</v>
      </c>
      <c r="I1369" s="56"/>
    </row>
    <row r="1370" spans="1:9" ht="21.6" customHeight="1">
      <c r="A1370" s="27">
        <v>1557</v>
      </c>
      <c r="B1370" s="34" t="s">
        <v>38</v>
      </c>
      <c r="C1370" s="34" t="s">
        <v>788</v>
      </c>
      <c r="D1370" s="34" t="s">
        <v>1575</v>
      </c>
      <c r="E1370" s="35" t="s">
        <v>789</v>
      </c>
      <c r="F1370" s="40" t="s">
        <v>123</v>
      </c>
      <c r="G1370" s="145" t="s">
        <v>790</v>
      </c>
      <c r="H1370" s="40" t="s">
        <v>123</v>
      </c>
      <c r="I1370" s="56"/>
    </row>
    <row r="1371" spans="1:9" s="81" customFormat="1" ht="21.6" customHeight="1">
      <c r="A1371" s="41">
        <v>1558</v>
      </c>
      <c r="B1371" s="119" t="s">
        <v>38</v>
      </c>
      <c r="C1371" s="97" t="s">
        <v>650</v>
      </c>
      <c r="D1371" s="97" t="s">
        <v>1528</v>
      </c>
      <c r="E1371" s="70" t="s">
        <v>651</v>
      </c>
      <c r="F1371" s="44" t="s">
        <v>123</v>
      </c>
      <c r="G1371" s="147" t="s">
        <v>1821</v>
      </c>
      <c r="H1371" s="44" t="s">
        <v>123</v>
      </c>
      <c r="I1371" s="98"/>
    </row>
    <row r="1372" spans="1:9" s="81" customFormat="1" ht="21.6" customHeight="1">
      <c r="A1372" s="20">
        <v>1559</v>
      </c>
      <c r="B1372" s="73" t="s">
        <v>41</v>
      </c>
      <c r="C1372" s="73" t="s">
        <v>697</v>
      </c>
      <c r="D1372" s="73" t="s">
        <v>1542</v>
      </c>
      <c r="E1372" s="72" t="s">
        <v>698</v>
      </c>
      <c r="F1372" s="74">
        <v>84</v>
      </c>
      <c r="G1372" s="143" t="s">
        <v>193</v>
      </c>
      <c r="H1372" s="74">
        <v>4</v>
      </c>
      <c r="I1372" s="75"/>
    </row>
    <row r="1373" spans="1:9" s="81" customFormat="1" ht="21.6" customHeight="1">
      <c r="A1373" s="27">
        <v>1560</v>
      </c>
      <c r="B1373" s="34" t="s">
        <v>41</v>
      </c>
      <c r="C1373" s="34" t="s">
        <v>699</v>
      </c>
      <c r="D1373" s="34" t="s">
        <v>1543</v>
      </c>
      <c r="E1373" s="35" t="s">
        <v>700</v>
      </c>
      <c r="F1373" s="40">
        <v>84</v>
      </c>
      <c r="G1373" s="145" t="s">
        <v>502</v>
      </c>
      <c r="H1373" s="40">
        <v>1</v>
      </c>
      <c r="I1373" s="56"/>
    </row>
    <row r="1374" spans="1:9" s="81" customFormat="1" ht="21.6" customHeight="1">
      <c r="A1374" s="27">
        <v>1561</v>
      </c>
      <c r="B1374" s="34" t="s">
        <v>41</v>
      </c>
      <c r="C1374" s="34" t="s">
        <v>701</v>
      </c>
      <c r="D1374" s="34" t="s">
        <v>1544</v>
      </c>
      <c r="E1374" s="35" t="s">
        <v>702</v>
      </c>
      <c r="F1374" s="40">
        <v>84</v>
      </c>
      <c r="G1374" s="145" t="s">
        <v>703</v>
      </c>
      <c r="H1374" s="40">
        <v>1</v>
      </c>
      <c r="I1374" s="56"/>
    </row>
    <row r="1375" spans="1:9" s="81" customFormat="1" ht="21.6" customHeight="1">
      <c r="A1375" s="27">
        <v>1562</v>
      </c>
      <c r="B1375" s="34" t="s">
        <v>41</v>
      </c>
      <c r="C1375" s="34" t="s">
        <v>704</v>
      </c>
      <c r="D1375" s="34" t="s">
        <v>1545</v>
      </c>
      <c r="E1375" s="35" t="s">
        <v>705</v>
      </c>
      <c r="F1375" s="40">
        <v>84</v>
      </c>
      <c r="G1375" s="144" t="s">
        <v>706</v>
      </c>
      <c r="H1375" s="40">
        <v>1</v>
      </c>
      <c r="I1375" s="56"/>
    </row>
    <row r="1376" spans="1:9" s="81" customFormat="1" ht="21.6" customHeight="1">
      <c r="A1376" s="27">
        <v>1563</v>
      </c>
      <c r="B1376" s="34" t="s">
        <v>41</v>
      </c>
      <c r="C1376" s="34" t="s">
        <v>707</v>
      </c>
      <c r="D1376" s="34" t="s">
        <v>1546</v>
      </c>
      <c r="E1376" s="35" t="s">
        <v>708</v>
      </c>
      <c r="F1376" s="40">
        <v>84</v>
      </c>
      <c r="G1376" s="145" t="s">
        <v>709</v>
      </c>
      <c r="H1376" s="40">
        <v>1</v>
      </c>
      <c r="I1376" s="56"/>
    </row>
    <row r="1377" spans="1:9" s="81" customFormat="1" ht="21.6" customHeight="1">
      <c r="A1377" s="27">
        <v>1564</v>
      </c>
      <c r="B1377" s="34" t="s">
        <v>41</v>
      </c>
      <c r="C1377" s="34" t="s">
        <v>710</v>
      </c>
      <c r="D1377" s="34" t="s">
        <v>1547</v>
      </c>
      <c r="E1377" s="35" t="s">
        <v>711</v>
      </c>
      <c r="F1377" s="40">
        <v>84</v>
      </c>
      <c r="G1377" s="145" t="s">
        <v>415</v>
      </c>
      <c r="H1377" s="40">
        <v>4</v>
      </c>
      <c r="I1377" s="56"/>
    </row>
    <row r="1378" spans="1:9" s="81" customFormat="1" ht="21.6" customHeight="1">
      <c r="A1378" s="27">
        <v>1565</v>
      </c>
      <c r="B1378" s="34" t="s">
        <v>41</v>
      </c>
      <c r="C1378" s="34" t="s">
        <v>605</v>
      </c>
      <c r="D1378" s="34" t="s">
        <v>1511</v>
      </c>
      <c r="E1378" s="35" t="s">
        <v>606</v>
      </c>
      <c r="F1378" s="40">
        <v>210</v>
      </c>
      <c r="G1378" s="145" t="s">
        <v>533</v>
      </c>
      <c r="H1378" s="40">
        <v>1</v>
      </c>
      <c r="I1378" s="56"/>
    </row>
    <row r="1379" spans="1:9" s="81" customFormat="1" ht="21.6" customHeight="1">
      <c r="A1379" s="27">
        <v>1566</v>
      </c>
      <c r="B1379" s="34" t="s">
        <v>41</v>
      </c>
      <c r="C1379" s="34" t="s">
        <v>712</v>
      </c>
      <c r="D1379" s="34" t="s">
        <v>1548</v>
      </c>
      <c r="E1379" s="35" t="s">
        <v>713</v>
      </c>
      <c r="F1379" s="40">
        <v>210</v>
      </c>
      <c r="G1379" s="145" t="s">
        <v>1775</v>
      </c>
      <c r="H1379" s="40">
        <v>1</v>
      </c>
      <c r="I1379" s="56" t="s">
        <v>84</v>
      </c>
    </row>
    <row r="1380" spans="1:9" s="81" customFormat="1" ht="21.6" customHeight="1">
      <c r="A1380" s="27">
        <v>1567</v>
      </c>
      <c r="B1380" s="34" t="s">
        <v>41</v>
      </c>
      <c r="C1380" s="34" t="s">
        <v>811</v>
      </c>
      <c r="D1380" s="34" t="s">
        <v>1583</v>
      </c>
      <c r="E1380" s="35" t="s">
        <v>812</v>
      </c>
      <c r="F1380" s="40">
        <v>210</v>
      </c>
      <c r="G1380" s="145" t="s">
        <v>87</v>
      </c>
      <c r="H1380" s="40">
        <v>1</v>
      </c>
      <c r="I1380" s="56" t="s">
        <v>84</v>
      </c>
    </row>
    <row r="1381" spans="1:9" s="81" customFormat="1" ht="21.6" customHeight="1">
      <c r="A1381" s="27">
        <v>1569</v>
      </c>
      <c r="B1381" s="34" t="s">
        <v>41</v>
      </c>
      <c r="C1381" s="34" t="s">
        <v>793</v>
      </c>
      <c r="D1381" s="34" t="s">
        <v>1577</v>
      </c>
      <c r="E1381" s="35" t="s">
        <v>794</v>
      </c>
      <c r="F1381" s="40">
        <v>210</v>
      </c>
      <c r="G1381" s="145" t="s">
        <v>718</v>
      </c>
      <c r="H1381" s="40">
        <v>5</v>
      </c>
      <c r="I1381" s="56" t="s">
        <v>795</v>
      </c>
    </row>
    <row r="1382" spans="1:9" s="81" customFormat="1" ht="21.6" customHeight="1">
      <c r="A1382" s="27">
        <v>1570</v>
      </c>
      <c r="B1382" s="34" t="s">
        <v>41</v>
      </c>
      <c r="C1382" s="34" t="s">
        <v>719</v>
      </c>
      <c r="D1382" s="34" t="s">
        <v>1551</v>
      </c>
      <c r="E1382" s="35" t="s">
        <v>720</v>
      </c>
      <c r="F1382" s="40">
        <v>210</v>
      </c>
      <c r="G1382" s="145" t="s">
        <v>101</v>
      </c>
      <c r="H1382" s="40">
        <v>1</v>
      </c>
      <c r="I1382" s="56" t="s">
        <v>84</v>
      </c>
    </row>
    <row r="1383" spans="1:9" s="81" customFormat="1" ht="21.6" customHeight="1">
      <c r="A1383" s="27">
        <v>1571</v>
      </c>
      <c r="B1383" s="34" t="s">
        <v>41</v>
      </c>
      <c r="C1383" s="34" t="s">
        <v>609</v>
      </c>
      <c r="D1383" s="34" t="s">
        <v>1513</v>
      </c>
      <c r="E1383" s="35" t="s">
        <v>610</v>
      </c>
      <c r="F1383" s="40">
        <v>210</v>
      </c>
      <c r="G1383" s="145" t="s">
        <v>1824</v>
      </c>
      <c r="H1383" s="40">
        <v>1</v>
      </c>
      <c r="I1383" s="56" t="s">
        <v>84</v>
      </c>
    </row>
    <row r="1384" spans="1:9" s="81" customFormat="1" ht="21.6" customHeight="1">
      <c r="A1384" s="27">
        <v>1572</v>
      </c>
      <c r="B1384" s="34" t="s">
        <v>41</v>
      </c>
      <c r="C1384" s="34" t="s">
        <v>611</v>
      </c>
      <c r="D1384" s="34" t="s">
        <v>1514</v>
      </c>
      <c r="E1384" s="35" t="s">
        <v>612</v>
      </c>
      <c r="F1384" s="40">
        <v>210</v>
      </c>
      <c r="G1384" s="145" t="s">
        <v>1825</v>
      </c>
      <c r="H1384" s="40">
        <v>1</v>
      </c>
      <c r="I1384" s="56" t="s">
        <v>84</v>
      </c>
    </row>
    <row r="1385" spans="1:9" s="81" customFormat="1" ht="21.6" customHeight="1">
      <c r="A1385" s="27">
        <v>1573</v>
      </c>
      <c r="B1385" s="34" t="s">
        <v>41</v>
      </c>
      <c r="C1385" s="34" t="s">
        <v>613</v>
      </c>
      <c r="D1385" s="34" t="s">
        <v>1515</v>
      </c>
      <c r="E1385" s="35" t="s">
        <v>614</v>
      </c>
      <c r="F1385" s="40">
        <v>210</v>
      </c>
      <c r="G1385" s="145" t="s">
        <v>1826</v>
      </c>
      <c r="H1385" s="40">
        <v>2</v>
      </c>
      <c r="I1385" s="56" t="s">
        <v>84</v>
      </c>
    </row>
    <row r="1386" spans="1:9" s="81" customFormat="1" ht="21.6" customHeight="1">
      <c r="A1386" s="27">
        <v>1574</v>
      </c>
      <c r="B1386" s="34" t="s">
        <v>41</v>
      </c>
      <c r="C1386" s="34" t="s">
        <v>607</v>
      </c>
      <c r="D1386" s="34" t="s">
        <v>1512</v>
      </c>
      <c r="E1386" s="35" t="s">
        <v>608</v>
      </c>
      <c r="F1386" s="40">
        <v>210</v>
      </c>
      <c r="G1386" s="145" t="s">
        <v>1812</v>
      </c>
      <c r="H1386" s="40">
        <v>1</v>
      </c>
      <c r="I1386" s="56" t="s">
        <v>84</v>
      </c>
    </row>
    <row r="1387" spans="1:9" s="81" customFormat="1" ht="21.6" customHeight="1">
      <c r="A1387" s="27">
        <v>1575</v>
      </c>
      <c r="B1387" s="34" t="s">
        <v>41</v>
      </c>
      <c r="C1387" s="34" t="s">
        <v>727</v>
      </c>
      <c r="D1387" s="34" t="s">
        <v>1554</v>
      </c>
      <c r="E1387" s="35" t="s">
        <v>728</v>
      </c>
      <c r="F1387" s="40">
        <v>84</v>
      </c>
      <c r="G1387" s="144" t="s">
        <v>107</v>
      </c>
      <c r="H1387" s="40">
        <v>4</v>
      </c>
      <c r="I1387" s="56"/>
    </row>
    <row r="1388" spans="1:9" s="81" customFormat="1" ht="21.6" customHeight="1">
      <c r="A1388" s="27">
        <v>1576</v>
      </c>
      <c r="B1388" s="34" t="s">
        <v>41</v>
      </c>
      <c r="C1388" s="34" t="s">
        <v>598</v>
      </c>
      <c r="D1388" s="34" t="s">
        <v>1508</v>
      </c>
      <c r="E1388" s="35" t="s">
        <v>599</v>
      </c>
      <c r="F1388" s="40">
        <v>84</v>
      </c>
      <c r="G1388" s="145" t="s">
        <v>104</v>
      </c>
      <c r="H1388" s="40">
        <v>4</v>
      </c>
      <c r="I1388" s="56"/>
    </row>
    <row r="1389" spans="1:9" s="81" customFormat="1" ht="21.6" customHeight="1">
      <c r="A1389" s="27">
        <v>1577</v>
      </c>
      <c r="B1389" s="34" t="s">
        <v>41</v>
      </c>
      <c r="C1389" s="34" t="s">
        <v>729</v>
      </c>
      <c r="D1389" s="34" t="s">
        <v>1555</v>
      </c>
      <c r="E1389" s="35" t="s">
        <v>730</v>
      </c>
      <c r="F1389" s="40">
        <v>84</v>
      </c>
      <c r="G1389" s="144" t="s">
        <v>1822</v>
      </c>
      <c r="H1389" s="40">
        <v>8</v>
      </c>
      <c r="I1389" s="56"/>
    </row>
    <row r="1390" spans="1:9" s="81" customFormat="1" ht="21.6" customHeight="1">
      <c r="A1390" s="27">
        <v>1578</v>
      </c>
      <c r="B1390" s="34" t="s">
        <v>41</v>
      </c>
      <c r="C1390" s="34" t="s">
        <v>731</v>
      </c>
      <c r="D1390" s="34" t="s">
        <v>1556</v>
      </c>
      <c r="E1390" s="35" t="s">
        <v>732</v>
      </c>
      <c r="F1390" s="40">
        <v>84</v>
      </c>
      <c r="G1390" s="144" t="s">
        <v>733</v>
      </c>
      <c r="H1390" s="40">
        <v>4</v>
      </c>
      <c r="I1390" s="56"/>
    </row>
    <row r="1391" spans="1:9" s="81" customFormat="1" ht="21.6" customHeight="1">
      <c r="A1391" s="27">
        <v>1579</v>
      </c>
      <c r="B1391" s="34" t="s">
        <v>41</v>
      </c>
      <c r="C1391" s="34" t="s">
        <v>734</v>
      </c>
      <c r="D1391" s="34" t="s">
        <v>1557</v>
      </c>
      <c r="E1391" s="35" t="s">
        <v>735</v>
      </c>
      <c r="F1391" s="40">
        <v>84</v>
      </c>
      <c r="G1391" s="144" t="s">
        <v>736</v>
      </c>
      <c r="H1391" s="40">
        <v>4</v>
      </c>
      <c r="I1391" s="56"/>
    </row>
    <row r="1392" spans="1:9" s="81" customFormat="1" ht="21.6" customHeight="1">
      <c r="A1392" s="27">
        <v>1580</v>
      </c>
      <c r="B1392" s="34" t="s">
        <v>41</v>
      </c>
      <c r="C1392" s="34" t="s">
        <v>737</v>
      </c>
      <c r="D1392" s="50" t="s">
        <v>1558</v>
      </c>
      <c r="E1392" s="51" t="s">
        <v>738</v>
      </c>
      <c r="F1392" s="40">
        <v>80</v>
      </c>
      <c r="G1392" s="144" t="s">
        <v>399</v>
      </c>
      <c r="H1392" s="40">
        <v>1</v>
      </c>
      <c r="I1392" s="56"/>
    </row>
    <row r="1393" spans="1:9" s="81" customFormat="1" ht="21.6" customHeight="1">
      <c r="A1393" s="27">
        <v>1581</v>
      </c>
      <c r="B1393" s="34" t="s">
        <v>41</v>
      </c>
      <c r="C1393" s="34" t="s">
        <v>739</v>
      </c>
      <c r="D1393" s="52" t="s">
        <v>1559</v>
      </c>
      <c r="E1393" s="3" t="s">
        <v>740</v>
      </c>
      <c r="F1393" s="40">
        <v>80</v>
      </c>
      <c r="G1393" s="144" t="s">
        <v>741</v>
      </c>
      <c r="H1393" s="40">
        <v>1</v>
      </c>
      <c r="I1393" s="56"/>
    </row>
    <row r="1394" spans="1:9" s="81" customFormat="1" ht="21.6" customHeight="1">
      <c r="A1394" s="27">
        <v>1582</v>
      </c>
      <c r="B1394" s="34" t="s">
        <v>41</v>
      </c>
      <c r="C1394" s="34" t="s">
        <v>273</v>
      </c>
      <c r="D1394" s="34" t="s">
        <v>1392</v>
      </c>
      <c r="E1394" s="35" t="s">
        <v>274</v>
      </c>
      <c r="F1394" s="40">
        <v>80</v>
      </c>
      <c r="G1394" s="144" t="s">
        <v>631</v>
      </c>
      <c r="H1394" s="40">
        <v>1</v>
      </c>
      <c r="I1394" s="56" t="s">
        <v>116</v>
      </c>
    </row>
    <row r="1395" spans="1:9" s="81" customFormat="1" ht="21.6" customHeight="1">
      <c r="A1395" s="27">
        <v>1583</v>
      </c>
      <c r="B1395" s="34" t="s">
        <v>41</v>
      </c>
      <c r="C1395" s="34" t="s">
        <v>276</v>
      </c>
      <c r="D1395" s="80" t="s">
        <v>1393</v>
      </c>
      <c r="E1395" s="35" t="s">
        <v>277</v>
      </c>
      <c r="F1395" s="40">
        <v>80</v>
      </c>
      <c r="G1395" s="144" t="s">
        <v>115</v>
      </c>
      <c r="H1395" s="40">
        <v>1</v>
      </c>
      <c r="I1395" s="56" t="s">
        <v>116</v>
      </c>
    </row>
    <row r="1396" spans="1:9" s="58" customFormat="1" ht="21.6" customHeight="1">
      <c r="A1396" s="27">
        <v>1584</v>
      </c>
      <c r="B1396" s="34" t="s">
        <v>41</v>
      </c>
      <c r="C1396" s="34" t="s">
        <v>264</v>
      </c>
      <c r="D1396" s="50" t="s">
        <v>1389</v>
      </c>
      <c r="E1396" s="51" t="s">
        <v>265</v>
      </c>
      <c r="F1396" s="29">
        <v>80</v>
      </c>
      <c r="G1396" s="144" t="s">
        <v>1829</v>
      </c>
      <c r="H1396" s="29">
        <v>1</v>
      </c>
      <c r="I1396" s="31" t="s">
        <v>318</v>
      </c>
    </row>
    <row r="1397" spans="1:9" s="58" customFormat="1" ht="21.6" customHeight="1">
      <c r="A1397" s="27">
        <v>1585</v>
      </c>
      <c r="B1397" s="34" t="s">
        <v>41</v>
      </c>
      <c r="C1397" s="34" t="s">
        <v>268</v>
      </c>
      <c r="D1397" s="50" t="s">
        <v>1390</v>
      </c>
      <c r="E1397" s="51" t="s">
        <v>269</v>
      </c>
      <c r="F1397" s="29">
        <v>80</v>
      </c>
      <c r="G1397" s="144" t="s">
        <v>633</v>
      </c>
      <c r="H1397" s="29">
        <v>1</v>
      </c>
      <c r="I1397" s="31" t="s">
        <v>318</v>
      </c>
    </row>
    <row r="1398" spans="1:9" s="58" customFormat="1" ht="21.6" customHeight="1">
      <c r="A1398" s="27">
        <v>1586</v>
      </c>
      <c r="B1398" s="34" t="s">
        <v>41</v>
      </c>
      <c r="C1398" s="34" t="s">
        <v>271</v>
      </c>
      <c r="D1398" s="50" t="s">
        <v>1391</v>
      </c>
      <c r="E1398" s="51" t="s">
        <v>272</v>
      </c>
      <c r="F1398" s="29">
        <v>80</v>
      </c>
      <c r="G1398" s="144" t="s">
        <v>1830</v>
      </c>
      <c r="H1398" s="29">
        <v>1</v>
      </c>
      <c r="I1398" s="31" t="s">
        <v>318</v>
      </c>
    </row>
    <row r="1399" spans="1:9" s="26" customFormat="1" ht="21.6" customHeight="1">
      <c r="A1399" s="27">
        <v>1587</v>
      </c>
      <c r="B1399" s="34" t="s">
        <v>41</v>
      </c>
      <c r="C1399" s="34" t="s">
        <v>225</v>
      </c>
      <c r="D1399" s="39" t="s">
        <v>1375</v>
      </c>
      <c r="E1399" s="3" t="s">
        <v>226</v>
      </c>
      <c r="F1399" s="29">
        <v>120</v>
      </c>
      <c r="G1399" s="144" t="s">
        <v>1781</v>
      </c>
      <c r="H1399" s="29">
        <v>2</v>
      </c>
      <c r="I1399" s="31" t="s">
        <v>364</v>
      </c>
    </row>
    <row r="1400" spans="1:9" s="26" customFormat="1" ht="21.6" customHeight="1">
      <c r="A1400" s="27">
        <v>1588</v>
      </c>
      <c r="B1400" s="34" t="s">
        <v>41</v>
      </c>
      <c r="C1400" s="34" t="s">
        <v>229</v>
      </c>
      <c r="D1400" s="39" t="s">
        <v>1376</v>
      </c>
      <c r="E1400" s="51" t="s">
        <v>230</v>
      </c>
      <c r="F1400" s="29">
        <v>120</v>
      </c>
      <c r="G1400" s="144" t="s">
        <v>278</v>
      </c>
      <c r="H1400" s="29">
        <v>1</v>
      </c>
      <c r="I1400" s="31" t="s">
        <v>364</v>
      </c>
    </row>
    <row r="1401" spans="1:9" s="58" customFormat="1" ht="21.6" customHeight="1">
      <c r="A1401" s="27">
        <v>1589</v>
      </c>
      <c r="B1401" s="34" t="s">
        <v>41</v>
      </c>
      <c r="C1401" s="34" t="s">
        <v>326</v>
      </c>
      <c r="D1401" s="50" t="s">
        <v>1408</v>
      </c>
      <c r="E1401" s="51" t="s">
        <v>327</v>
      </c>
      <c r="F1401" s="29">
        <v>320</v>
      </c>
      <c r="G1401" s="144" t="s">
        <v>237</v>
      </c>
      <c r="H1401" s="29">
        <v>2</v>
      </c>
      <c r="I1401" s="31" t="s">
        <v>328</v>
      </c>
    </row>
    <row r="1402" spans="1:9" s="58" customFormat="1" ht="21.6" customHeight="1">
      <c r="A1402" s="27">
        <v>1590</v>
      </c>
      <c r="B1402" s="34" t="s">
        <v>41</v>
      </c>
      <c r="C1402" s="34" t="s">
        <v>329</v>
      </c>
      <c r="D1402" s="50" t="s">
        <v>1409</v>
      </c>
      <c r="E1402" s="51" t="s">
        <v>330</v>
      </c>
      <c r="F1402" s="29">
        <v>320</v>
      </c>
      <c r="G1402" s="144" t="s">
        <v>634</v>
      </c>
      <c r="H1402" s="29">
        <v>1</v>
      </c>
      <c r="I1402" s="31" t="s">
        <v>328</v>
      </c>
    </row>
    <row r="1403" spans="1:9" s="81" customFormat="1" ht="21.6" customHeight="1">
      <c r="A1403" s="27">
        <v>1591</v>
      </c>
      <c r="B1403" s="34" t="s">
        <v>41</v>
      </c>
      <c r="C1403" s="34" t="s">
        <v>751</v>
      </c>
      <c r="D1403" s="80" t="s">
        <v>1562</v>
      </c>
      <c r="E1403" s="35" t="s">
        <v>752</v>
      </c>
      <c r="F1403" s="40">
        <v>84</v>
      </c>
      <c r="G1403" s="144" t="s">
        <v>637</v>
      </c>
      <c r="H1403" s="40" t="s">
        <v>123</v>
      </c>
      <c r="I1403" s="56"/>
    </row>
    <row r="1404" spans="1:9" s="81" customFormat="1" ht="21.6" customHeight="1">
      <c r="A1404" s="27">
        <v>1592</v>
      </c>
      <c r="B1404" s="34" t="s">
        <v>41</v>
      </c>
      <c r="C1404" s="34" t="s">
        <v>753</v>
      </c>
      <c r="D1404" s="34" t="s">
        <v>1563</v>
      </c>
      <c r="E1404" s="35" t="s">
        <v>754</v>
      </c>
      <c r="F1404" s="40">
        <v>84</v>
      </c>
      <c r="G1404" s="144" t="s">
        <v>755</v>
      </c>
      <c r="H1404" s="40" t="s">
        <v>123</v>
      </c>
      <c r="I1404" s="56"/>
    </row>
    <row r="1405" spans="1:9" s="58" customFormat="1" ht="21.6" customHeight="1">
      <c r="A1405" s="27">
        <v>1593</v>
      </c>
      <c r="B1405" s="34" t="s">
        <v>41</v>
      </c>
      <c r="C1405" s="34" t="s">
        <v>295</v>
      </c>
      <c r="D1405" s="39" t="s">
        <v>1399</v>
      </c>
      <c r="E1405" s="3" t="s">
        <v>296</v>
      </c>
      <c r="F1405" s="29">
        <v>80</v>
      </c>
      <c r="G1405" s="144" t="s">
        <v>638</v>
      </c>
      <c r="H1405" s="40" t="s">
        <v>123</v>
      </c>
      <c r="I1405" s="31" t="s">
        <v>639</v>
      </c>
    </row>
    <row r="1406" spans="1:9" s="26" customFormat="1" ht="21.6" customHeight="1">
      <c r="A1406" s="27">
        <v>1594</v>
      </c>
      <c r="B1406" s="34" t="s">
        <v>41</v>
      </c>
      <c r="C1406" s="34" t="s">
        <v>298</v>
      </c>
      <c r="D1406" s="39" t="s">
        <v>1400</v>
      </c>
      <c r="E1406" s="3" t="s">
        <v>299</v>
      </c>
      <c r="F1406" s="29">
        <v>120</v>
      </c>
      <c r="G1406" s="144" t="s">
        <v>300</v>
      </c>
      <c r="H1406" s="40" t="s">
        <v>123</v>
      </c>
      <c r="I1406" s="31" t="s">
        <v>321</v>
      </c>
    </row>
    <row r="1407" spans="1:9" s="58" customFormat="1" ht="21.6" customHeight="1">
      <c r="A1407" s="27">
        <v>1597</v>
      </c>
      <c r="B1407" s="34" t="s">
        <v>41</v>
      </c>
      <c r="C1407" s="140" t="s">
        <v>813</v>
      </c>
      <c r="D1407" s="100" t="s">
        <v>1584</v>
      </c>
      <c r="E1407" s="101" t="s">
        <v>814</v>
      </c>
      <c r="F1407" s="29">
        <v>210</v>
      </c>
      <c r="G1407" s="144" t="s">
        <v>642</v>
      </c>
      <c r="H1407" s="40" t="s">
        <v>123</v>
      </c>
      <c r="I1407" s="31" t="s">
        <v>815</v>
      </c>
    </row>
    <row r="1408" spans="1:9" s="58" customFormat="1" ht="21.6" customHeight="1">
      <c r="A1408" s="27">
        <v>1598</v>
      </c>
      <c r="B1408" s="34" t="s">
        <v>41</v>
      </c>
      <c r="C1408" s="34" t="s">
        <v>643</v>
      </c>
      <c r="D1408" s="39" t="s">
        <v>1525</v>
      </c>
      <c r="E1408" s="3" t="s">
        <v>644</v>
      </c>
      <c r="F1408" s="29">
        <v>210</v>
      </c>
      <c r="G1408" s="144" t="s">
        <v>645</v>
      </c>
      <c r="H1408" s="40" t="s">
        <v>123</v>
      </c>
      <c r="I1408" s="31"/>
    </row>
    <row r="1409" spans="1:9" s="81" customFormat="1" ht="21.6" customHeight="1">
      <c r="A1409" s="27">
        <v>1602</v>
      </c>
      <c r="B1409" s="34" t="s">
        <v>41</v>
      </c>
      <c r="C1409" s="34" t="s">
        <v>816</v>
      </c>
      <c r="D1409" s="34" t="s">
        <v>1585</v>
      </c>
      <c r="E1409" s="35" t="s">
        <v>817</v>
      </c>
      <c r="F1409" s="40" t="s">
        <v>123</v>
      </c>
      <c r="G1409" s="145" t="s">
        <v>818</v>
      </c>
      <c r="H1409" s="40" t="s">
        <v>123</v>
      </c>
      <c r="I1409" s="56" t="s">
        <v>586</v>
      </c>
    </row>
    <row r="1410" spans="1:9" s="81" customFormat="1" ht="21.6" customHeight="1">
      <c r="A1410" s="27">
        <v>1603</v>
      </c>
      <c r="B1410" s="34" t="s">
        <v>41</v>
      </c>
      <c r="C1410" s="34" t="s">
        <v>820</v>
      </c>
      <c r="D1410" s="34" t="s">
        <v>1586</v>
      </c>
      <c r="E1410" s="35" t="s">
        <v>821</v>
      </c>
      <c r="F1410" s="40" t="s">
        <v>123</v>
      </c>
      <c r="G1410" s="145" t="s">
        <v>129</v>
      </c>
      <c r="H1410" s="40" t="s">
        <v>123</v>
      </c>
      <c r="I1410" s="56"/>
    </row>
    <row r="1411" spans="1:9" ht="21.6" customHeight="1">
      <c r="A1411" s="27">
        <v>1604</v>
      </c>
      <c r="B1411" s="34" t="s">
        <v>41</v>
      </c>
      <c r="C1411" s="34" t="s">
        <v>822</v>
      </c>
      <c r="D1411" s="34" t="s">
        <v>1587</v>
      </c>
      <c r="E1411" s="35" t="s">
        <v>823</v>
      </c>
      <c r="F1411" s="40" t="s">
        <v>123</v>
      </c>
      <c r="G1411" s="145" t="s">
        <v>772</v>
      </c>
      <c r="H1411" s="40" t="s">
        <v>123</v>
      </c>
      <c r="I1411" s="56"/>
    </row>
    <row r="1412" spans="1:9" ht="21.6" customHeight="1">
      <c r="A1412" s="27">
        <v>1605</v>
      </c>
      <c r="B1412" s="34" t="s">
        <v>41</v>
      </c>
      <c r="C1412" s="34" t="s">
        <v>824</v>
      </c>
      <c r="D1412" s="34" t="s">
        <v>1588</v>
      </c>
      <c r="E1412" s="35" t="s">
        <v>825</v>
      </c>
      <c r="F1412" s="40" t="s">
        <v>123</v>
      </c>
      <c r="G1412" s="145" t="s">
        <v>775</v>
      </c>
      <c r="H1412" s="40" t="s">
        <v>123</v>
      </c>
      <c r="I1412" s="56"/>
    </row>
    <row r="1413" spans="1:9" ht="21.6" customHeight="1">
      <c r="A1413" s="27">
        <v>1606</v>
      </c>
      <c r="B1413" s="34" t="s">
        <v>41</v>
      </c>
      <c r="C1413" s="34" t="s">
        <v>826</v>
      </c>
      <c r="D1413" s="34" t="s">
        <v>1589</v>
      </c>
      <c r="E1413" s="35" t="s">
        <v>827</v>
      </c>
      <c r="F1413" s="40" t="s">
        <v>123</v>
      </c>
      <c r="G1413" s="145" t="s">
        <v>778</v>
      </c>
      <c r="H1413" s="40" t="s">
        <v>123</v>
      </c>
      <c r="I1413" s="56"/>
    </row>
    <row r="1414" spans="1:9" ht="21.6" customHeight="1">
      <c r="A1414" s="27">
        <v>1607</v>
      </c>
      <c r="B1414" s="34" t="s">
        <v>41</v>
      </c>
      <c r="C1414" s="34" t="s">
        <v>828</v>
      </c>
      <c r="D1414" s="34" t="s">
        <v>1590</v>
      </c>
      <c r="E1414" s="35" t="s">
        <v>829</v>
      </c>
      <c r="F1414" s="40" t="s">
        <v>123</v>
      </c>
      <c r="G1414" s="145" t="s">
        <v>781</v>
      </c>
      <c r="H1414" s="40" t="s">
        <v>123</v>
      </c>
      <c r="I1414" s="56"/>
    </row>
    <row r="1415" spans="1:9" ht="21.6" customHeight="1">
      <c r="A1415" s="27">
        <v>1608</v>
      </c>
      <c r="B1415" s="34" t="s">
        <v>41</v>
      </c>
      <c r="C1415" s="34" t="s">
        <v>830</v>
      </c>
      <c r="D1415" s="34" t="s">
        <v>1591</v>
      </c>
      <c r="E1415" s="35" t="s">
        <v>831</v>
      </c>
      <c r="F1415" s="40" t="s">
        <v>123</v>
      </c>
      <c r="G1415" s="145" t="s">
        <v>784</v>
      </c>
      <c r="H1415" s="40" t="s">
        <v>123</v>
      </c>
      <c r="I1415" s="56"/>
    </row>
    <row r="1416" spans="1:9" ht="21.6" customHeight="1">
      <c r="A1416" s="27">
        <v>1609</v>
      </c>
      <c r="B1416" s="34" t="s">
        <v>41</v>
      </c>
      <c r="C1416" s="34" t="s">
        <v>832</v>
      </c>
      <c r="D1416" s="34" t="s">
        <v>1592</v>
      </c>
      <c r="E1416" s="35" t="s">
        <v>833</v>
      </c>
      <c r="F1416" s="40" t="s">
        <v>123</v>
      </c>
      <c r="G1416" s="145" t="s">
        <v>787</v>
      </c>
      <c r="H1416" s="40" t="s">
        <v>123</v>
      </c>
      <c r="I1416" s="56"/>
    </row>
    <row r="1417" spans="1:9" ht="21.6" customHeight="1">
      <c r="A1417" s="27">
        <v>1610</v>
      </c>
      <c r="B1417" s="34" t="s">
        <v>41</v>
      </c>
      <c r="C1417" s="34" t="s">
        <v>834</v>
      </c>
      <c r="D1417" s="34" t="s">
        <v>1593</v>
      </c>
      <c r="E1417" s="35" t="s">
        <v>835</v>
      </c>
      <c r="F1417" s="40" t="s">
        <v>123</v>
      </c>
      <c r="G1417" s="145" t="s">
        <v>790</v>
      </c>
      <c r="H1417" s="40" t="s">
        <v>123</v>
      </c>
      <c r="I1417" s="56"/>
    </row>
    <row r="1418" spans="1:9" s="81" customFormat="1" ht="21.6" customHeight="1">
      <c r="A1418" s="41">
        <v>1611</v>
      </c>
      <c r="B1418" s="119" t="s">
        <v>41</v>
      </c>
      <c r="C1418" s="97" t="s">
        <v>650</v>
      </c>
      <c r="D1418" s="97" t="s">
        <v>1528</v>
      </c>
      <c r="E1418" s="70" t="s">
        <v>651</v>
      </c>
      <c r="F1418" s="44" t="s">
        <v>123</v>
      </c>
      <c r="G1418" s="147" t="s">
        <v>1821</v>
      </c>
      <c r="H1418" s="44" t="s">
        <v>123</v>
      </c>
      <c r="I1418" s="98"/>
    </row>
    <row r="1419" spans="1:9" s="81" customFormat="1" ht="21.6" customHeight="1">
      <c r="A1419" s="20">
        <v>1612</v>
      </c>
      <c r="B1419" s="73" t="s">
        <v>1308</v>
      </c>
      <c r="C1419" s="73" t="s">
        <v>840</v>
      </c>
      <c r="D1419" s="73" t="s">
        <v>1595</v>
      </c>
      <c r="E1419" s="72" t="s">
        <v>841</v>
      </c>
      <c r="F1419" s="74">
        <v>50</v>
      </c>
      <c r="G1419" s="143" t="s">
        <v>193</v>
      </c>
      <c r="H1419" s="74">
        <v>4</v>
      </c>
      <c r="I1419" s="75"/>
    </row>
    <row r="1420" spans="1:9" s="81" customFormat="1" ht="21.6" customHeight="1">
      <c r="A1420" s="27">
        <v>1613</v>
      </c>
      <c r="B1420" s="34" t="s">
        <v>1308</v>
      </c>
      <c r="C1420" s="34" t="s">
        <v>699</v>
      </c>
      <c r="D1420" s="34" t="s">
        <v>1543</v>
      </c>
      <c r="E1420" s="35" t="s">
        <v>700</v>
      </c>
      <c r="F1420" s="40">
        <v>50</v>
      </c>
      <c r="G1420" s="145" t="s">
        <v>502</v>
      </c>
      <c r="H1420" s="40">
        <v>1</v>
      </c>
      <c r="I1420" s="56"/>
    </row>
    <row r="1421" spans="1:9" s="81" customFormat="1" ht="21.6" customHeight="1">
      <c r="A1421" s="27">
        <v>1614</v>
      </c>
      <c r="B1421" s="34" t="s">
        <v>1308</v>
      </c>
      <c r="C1421" s="34" t="s">
        <v>701</v>
      </c>
      <c r="D1421" s="34" t="s">
        <v>1544</v>
      </c>
      <c r="E1421" s="35" t="s">
        <v>702</v>
      </c>
      <c r="F1421" s="40">
        <v>50</v>
      </c>
      <c r="G1421" s="145" t="s">
        <v>703</v>
      </c>
      <c r="H1421" s="40">
        <v>1</v>
      </c>
      <c r="I1421" s="56"/>
    </row>
    <row r="1422" spans="1:9" s="81" customFormat="1" ht="21.6" customHeight="1">
      <c r="A1422" s="27">
        <v>1615</v>
      </c>
      <c r="B1422" s="34" t="s">
        <v>1308</v>
      </c>
      <c r="C1422" s="34" t="s">
        <v>704</v>
      </c>
      <c r="D1422" s="34" t="s">
        <v>1545</v>
      </c>
      <c r="E1422" s="35" t="s">
        <v>705</v>
      </c>
      <c r="F1422" s="40">
        <v>50</v>
      </c>
      <c r="G1422" s="144" t="s">
        <v>706</v>
      </c>
      <c r="H1422" s="40">
        <v>1</v>
      </c>
      <c r="I1422" s="56"/>
    </row>
    <row r="1423" spans="1:9" s="81" customFormat="1" ht="21.6" customHeight="1">
      <c r="A1423" s="27">
        <v>1616</v>
      </c>
      <c r="B1423" s="34" t="s">
        <v>1308</v>
      </c>
      <c r="C1423" s="34" t="s">
        <v>707</v>
      </c>
      <c r="D1423" s="34" t="s">
        <v>1546</v>
      </c>
      <c r="E1423" s="35" t="s">
        <v>708</v>
      </c>
      <c r="F1423" s="40">
        <v>50</v>
      </c>
      <c r="G1423" s="145" t="s">
        <v>709</v>
      </c>
      <c r="H1423" s="40">
        <v>1</v>
      </c>
      <c r="I1423" s="56"/>
    </row>
    <row r="1424" spans="1:9" s="81" customFormat="1" ht="21.6" customHeight="1">
      <c r="A1424" s="27">
        <v>1617</v>
      </c>
      <c r="B1424" s="34" t="s">
        <v>1308</v>
      </c>
      <c r="C1424" s="34" t="s">
        <v>710</v>
      </c>
      <c r="D1424" s="34" t="s">
        <v>1547</v>
      </c>
      <c r="E1424" s="35" t="s">
        <v>711</v>
      </c>
      <c r="F1424" s="40">
        <v>50</v>
      </c>
      <c r="G1424" s="145" t="s">
        <v>415</v>
      </c>
      <c r="H1424" s="40">
        <v>4</v>
      </c>
      <c r="I1424" s="56"/>
    </row>
    <row r="1425" spans="1:9" s="81" customFormat="1" ht="21.6" customHeight="1">
      <c r="A1425" s="27">
        <v>1618</v>
      </c>
      <c r="B1425" s="34" t="s">
        <v>1308</v>
      </c>
      <c r="C1425" s="34" t="s">
        <v>605</v>
      </c>
      <c r="D1425" s="34" t="s">
        <v>1511</v>
      </c>
      <c r="E1425" s="35" t="s">
        <v>606</v>
      </c>
      <c r="F1425" s="40">
        <v>100</v>
      </c>
      <c r="G1425" s="145" t="s">
        <v>533</v>
      </c>
      <c r="H1425" s="40">
        <v>1</v>
      </c>
      <c r="I1425" s="56"/>
    </row>
    <row r="1426" spans="1:9" s="81" customFormat="1" ht="21.6" customHeight="1">
      <c r="A1426" s="27">
        <v>1619</v>
      </c>
      <c r="B1426" s="34" t="s">
        <v>1308</v>
      </c>
      <c r="C1426" s="97" t="s">
        <v>607</v>
      </c>
      <c r="D1426" s="97" t="s">
        <v>1512</v>
      </c>
      <c r="E1426" s="70" t="s">
        <v>608</v>
      </c>
      <c r="F1426" s="40">
        <v>150</v>
      </c>
      <c r="G1426" s="145" t="s">
        <v>1812</v>
      </c>
      <c r="H1426" s="40">
        <v>1</v>
      </c>
      <c r="I1426" s="56"/>
    </row>
    <row r="1427" spans="1:9" s="81" customFormat="1" ht="21.6" customHeight="1">
      <c r="A1427" s="27">
        <v>1621</v>
      </c>
      <c r="B1427" s="34" t="s">
        <v>1308</v>
      </c>
      <c r="C1427" s="34" t="s">
        <v>998</v>
      </c>
      <c r="D1427" s="102" t="s">
        <v>1596</v>
      </c>
      <c r="E1427" s="103" t="s">
        <v>842</v>
      </c>
      <c r="F1427" s="40">
        <v>200</v>
      </c>
      <c r="G1427" s="145" t="s">
        <v>1809</v>
      </c>
      <c r="H1427" s="40">
        <v>1</v>
      </c>
      <c r="I1427" s="89" t="s">
        <v>819</v>
      </c>
    </row>
    <row r="1428" spans="1:9" s="81" customFormat="1" ht="21.6" customHeight="1">
      <c r="A1428" s="27">
        <v>1622</v>
      </c>
      <c r="B1428" s="34" t="s">
        <v>1308</v>
      </c>
      <c r="C1428" s="104" t="s">
        <v>843</v>
      </c>
      <c r="D1428" s="104" t="s">
        <v>1597</v>
      </c>
      <c r="E1428" s="82" t="s">
        <v>844</v>
      </c>
      <c r="F1428" s="40">
        <v>200</v>
      </c>
      <c r="G1428" s="145" t="s">
        <v>87</v>
      </c>
      <c r="H1428" s="40">
        <v>1</v>
      </c>
      <c r="I1428" s="56"/>
    </row>
    <row r="1429" spans="1:9" s="81" customFormat="1" ht="21.6" customHeight="1">
      <c r="A1429" s="27">
        <v>1623</v>
      </c>
      <c r="B1429" s="34" t="s">
        <v>1308</v>
      </c>
      <c r="C1429" s="34" t="s">
        <v>845</v>
      </c>
      <c r="D1429" s="34" t="s">
        <v>1598</v>
      </c>
      <c r="E1429" s="35" t="s">
        <v>846</v>
      </c>
      <c r="F1429" s="40">
        <v>50</v>
      </c>
      <c r="G1429" s="144" t="s">
        <v>107</v>
      </c>
      <c r="H1429" s="40">
        <v>4</v>
      </c>
      <c r="I1429" s="56"/>
    </row>
    <row r="1430" spans="1:9" s="81" customFormat="1" ht="21.6" customHeight="1">
      <c r="A1430" s="27">
        <v>1624</v>
      </c>
      <c r="B1430" s="34" t="s">
        <v>1308</v>
      </c>
      <c r="C1430" s="34" t="s">
        <v>598</v>
      </c>
      <c r="D1430" s="34" t="s">
        <v>1508</v>
      </c>
      <c r="E1430" s="35" t="s">
        <v>599</v>
      </c>
      <c r="F1430" s="40">
        <v>50</v>
      </c>
      <c r="G1430" s="145" t="s">
        <v>104</v>
      </c>
      <c r="H1430" s="40">
        <v>4</v>
      </c>
      <c r="I1430" s="56"/>
    </row>
    <row r="1431" spans="1:9" s="81" customFormat="1" ht="21.6" customHeight="1">
      <c r="A1431" s="27">
        <v>1625</v>
      </c>
      <c r="B1431" s="34" t="s">
        <v>1308</v>
      </c>
      <c r="C1431" s="34" t="s">
        <v>729</v>
      </c>
      <c r="D1431" s="34" t="s">
        <v>1555</v>
      </c>
      <c r="E1431" s="35" t="s">
        <v>730</v>
      </c>
      <c r="F1431" s="40">
        <v>50</v>
      </c>
      <c r="G1431" s="144" t="s">
        <v>1822</v>
      </c>
      <c r="H1431" s="40">
        <v>8</v>
      </c>
      <c r="I1431" s="56"/>
    </row>
    <row r="1432" spans="1:9" s="81" customFormat="1" ht="21.6" customHeight="1">
      <c r="A1432" s="27">
        <v>1626</v>
      </c>
      <c r="B1432" s="34" t="s">
        <v>1308</v>
      </c>
      <c r="C1432" s="34" t="s">
        <v>731</v>
      </c>
      <c r="D1432" s="34" t="s">
        <v>1556</v>
      </c>
      <c r="E1432" s="35" t="s">
        <v>732</v>
      </c>
      <c r="F1432" s="40">
        <v>50</v>
      </c>
      <c r="G1432" s="144" t="s">
        <v>733</v>
      </c>
      <c r="H1432" s="40">
        <v>4</v>
      </c>
      <c r="I1432" s="56"/>
    </row>
    <row r="1433" spans="1:9" s="81" customFormat="1" ht="21.6" customHeight="1">
      <c r="A1433" s="27">
        <v>1627</v>
      </c>
      <c r="B1433" s="34" t="s">
        <v>1308</v>
      </c>
      <c r="C1433" s="34" t="s">
        <v>734</v>
      </c>
      <c r="D1433" s="34" t="s">
        <v>1557</v>
      </c>
      <c r="E1433" s="35" t="s">
        <v>735</v>
      </c>
      <c r="F1433" s="40">
        <v>50</v>
      </c>
      <c r="G1433" s="144" t="s">
        <v>736</v>
      </c>
      <c r="H1433" s="40">
        <v>4</v>
      </c>
      <c r="I1433" s="56"/>
    </row>
    <row r="1434" spans="1:9" s="81" customFormat="1" ht="21.6" customHeight="1">
      <c r="A1434" s="27">
        <v>1628</v>
      </c>
      <c r="B1434" s="34" t="s">
        <v>1308</v>
      </c>
      <c r="C1434" s="34" t="s">
        <v>847</v>
      </c>
      <c r="D1434" s="34" t="s">
        <v>1599</v>
      </c>
      <c r="E1434" s="35" t="s">
        <v>848</v>
      </c>
      <c r="F1434" s="40">
        <v>200</v>
      </c>
      <c r="G1434" s="144" t="s">
        <v>849</v>
      </c>
      <c r="H1434" s="40">
        <v>4</v>
      </c>
      <c r="I1434" s="56"/>
    </row>
    <row r="1435" spans="1:9" s="81" customFormat="1" ht="21.6" customHeight="1">
      <c r="A1435" s="27">
        <v>1629</v>
      </c>
      <c r="B1435" s="34" t="s">
        <v>1308</v>
      </c>
      <c r="C1435" s="34" t="s">
        <v>850</v>
      </c>
      <c r="D1435" s="34" t="s">
        <v>1600</v>
      </c>
      <c r="E1435" s="35" t="s">
        <v>851</v>
      </c>
      <c r="F1435" s="40">
        <v>200</v>
      </c>
      <c r="G1435" s="144" t="s">
        <v>1823</v>
      </c>
      <c r="H1435" s="40">
        <v>4</v>
      </c>
      <c r="I1435" s="56"/>
    </row>
    <row r="1436" spans="1:9" s="81" customFormat="1" ht="21.6" customHeight="1">
      <c r="A1436" s="27">
        <v>1630</v>
      </c>
      <c r="B1436" s="34" t="s">
        <v>1308</v>
      </c>
      <c r="C1436" s="34" t="s">
        <v>609</v>
      </c>
      <c r="D1436" s="34" t="s">
        <v>1513</v>
      </c>
      <c r="E1436" s="35" t="s">
        <v>610</v>
      </c>
      <c r="F1436" s="40">
        <v>150</v>
      </c>
      <c r="G1436" s="144" t="s">
        <v>1824</v>
      </c>
      <c r="H1436" s="40">
        <v>1</v>
      </c>
      <c r="I1436" s="56"/>
    </row>
    <row r="1437" spans="1:9" s="81" customFormat="1" ht="21.6" customHeight="1">
      <c r="A1437" s="27">
        <v>1631</v>
      </c>
      <c r="B1437" s="34" t="s">
        <v>1308</v>
      </c>
      <c r="C1437" s="34" t="s">
        <v>611</v>
      </c>
      <c r="D1437" s="34" t="s">
        <v>1514</v>
      </c>
      <c r="E1437" s="35" t="s">
        <v>612</v>
      </c>
      <c r="F1437" s="40">
        <v>150</v>
      </c>
      <c r="G1437" s="144" t="s">
        <v>1825</v>
      </c>
      <c r="H1437" s="40">
        <v>1</v>
      </c>
      <c r="I1437" s="56"/>
    </row>
    <row r="1438" spans="1:9" s="81" customFormat="1" ht="21.6" customHeight="1">
      <c r="A1438" s="27">
        <v>1632</v>
      </c>
      <c r="B1438" s="34" t="s">
        <v>1308</v>
      </c>
      <c r="C1438" s="34" t="s">
        <v>613</v>
      </c>
      <c r="D1438" s="34" t="s">
        <v>1515</v>
      </c>
      <c r="E1438" s="35" t="s">
        <v>614</v>
      </c>
      <c r="F1438" s="40">
        <v>150</v>
      </c>
      <c r="G1438" s="144">
        <f>+$H$1137</f>
        <v>2</v>
      </c>
      <c r="H1438" s="40">
        <v>2</v>
      </c>
      <c r="I1438" s="56"/>
    </row>
    <row r="1439" spans="1:9" s="81" customFormat="1" ht="21.6" customHeight="1">
      <c r="A1439" s="27">
        <v>1633</v>
      </c>
      <c r="B1439" s="34" t="s">
        <v>1308</v>
      </c>
      <c r="C1439" s="34" t="s">
        <v>719</v>
      </c>
      <c r="D1439" s="34" t="s">
        <v>1551</v>
      </c>
      <c r="E1439" s="35" t="s">
        <v>720</v>
      </c>
      <c r="F1439" s="40">
        <v>200</v>
      </c>
      <c r="G1439" s="144" t="s">
        <v>101</v>
      </c>
      <c r="H1439" s="40">
        <v>2</v>
      </c>
      <c r="I1439" s="56"/>
    </row>
    <row r="1440" spans="1:9" s="81" customFormat="1" ht="21.6" customHeight="1">
      <c r="A1440" s="27">
        <v>1634</v>
      </c>
      <c r="B1440" s="34" t="s">
        <v>1308</v>
      </c>
      <c r="C1440" s="34" t="s">
        <v>622</v>
      </c>
      <c r="D1440" s="34" t="s">
        <v>1519</v>
      </c>
      <c r="E1440" s="35" t="s">
        <v>623</v>
      </c>
      <c r="F1440" s="40">
        <v>200</v>
      </c>
      <c r="G1440" s="144" t="s">
        <v>1827</v>
      </c>
      <c r="H1440" s="40">
        <v>1</v>
      </c>
      <c r="I1440" s="56"/>
    </row>
    <row r="1441" spans="1:9" s="81" customFormat="1" ht="21.6" customHeight="1">
      <c r="A1441" s="27">
        <v>1635</v>
      </c>
      <c r="B1441" s="34" t="s">
        <v>1308</v>
      </c>
      <c r="C1441" s="34" t="s">
        <v>852</v>
      </c>
      <c r="D1441" s="34" t="s">
        <v>1601</v>
      </c>
      <c r="E1441" s="35" t="s">
        <v>853</v>
      </c>
      <c r="F1441" s="40">
        <v>200</v>
      </c>
      <c r="G1441" s="144" t="s">
        <v>1828</v>
      </c>
      <c r="H1441" s="40">
        <v>1</v>
      </c>
      <c r="I1441" s="56"/>
    </row>
    <row r="1442" spans="1:9" s="81" customFormat="1" ht="21.6" customHeight="1">
      <c r="A1442" s="27">
        <v>1636</v>
      </c>
      <c r="B1442" s="34" t="s">
        <v>1308</v>
      </c>
      <c r="C1442" s="34" t="s">
        <v>626</v>
      </c>
      <c r="D1442" s="34" t="s">
        <v>1521</v>
      </c>
      <c r="E1442" s="35" t="s">
        <v>627</v>
      </c>
      <c r="F1442" s="40">
        <v>200</v>
      </c>
      <c r="G1442" s="144" t="s">
        <v>90</v>
      </c>
      <c r="H1442" s="40">
        <v>2</v>
      </c>
      <c r="I1442" s="56"/>
    </row>
    <row r="1443" spans="1:9" s="58" customFormat="1" ht="21.6" customHeight="1">
      <c r="A1443" s="27">
        <v>1637</v>
      </c>
      <c r="B1443" s="34" t="s">
        <v>1308</v>
      </c>
      <c r="C1443" s="34" t="s">
        <v>264</v>
      </c>
      <c r="D1443" s="50" t="s">
        <v>1389</v>
      </c>
      <c r="E1443" s="51" t="s">
        <v>265</v>
      </c>
      <c r="F1443" s="29">
        <v>80</v>
      </c>
      <c r="G1443" s="144" t="s">
        <v>1836</v>
      </c>
      <c r="H1443" s="29">
        <v>1</v>
      </c>
      <c r="I1443" s="31" t="s">
        <v>854</v>
      </c>
    </row>
    <row r="1444" spans="1:9" s="58" customFormat="1" ht="21.6" customHeight="1">
      <c r="A1444" s="27">
        <v>1638</v>
      </c>
      <c r="B1444" s="34" t="s">
        <v>1308</v>
      </c>
      <c r="C1444" s="34" t="s">
        <v>264</v>
      </c>
      <c r="D1444" s="50" t="s">
        <v>1389</v>
      </c>
      <c r="E1444" s="51" t="s">
        <v>265</v>
      </c>
      <c r="F1444" s="29">
        <v>80</v>
      </c>
      <c r="G1444" s="144" t="s">
        <v>745</v>
      </c>
      <c r="H1444" s="29">
        <v>1</v>
      </c>
      <c r="I1444" s="31" t="s">
        <v>854</v>
      </c>
    </row>
    <row r="1445" spans="1:9" s="58" customFormat="1" ht="21.6" customHeight="1">
      <c r="A1445" s="27">
        <v>1639</v>
      </c>
      <c r="B1445" s="34" t="s">
        <v>1308</v>
      </c>
      <c r="C1445" s="34" t="s">
        <v>746</v>
      </c>
      <c r="D1445" s="50" t="s">
        <v>1561</v>
      </c>
      <c r="E1445" s="51" t="s">
        <v>747</v>
      </c>
      <c r="F1445" s="29">
        <v>80</v>
      </c>
      <c r="G1445" s="144" t="s">
        <v>1837</v>
      </c>
      <c r="H1445" s="29">
        <v>1</v>
      </c>
      <c r="I1445" s="31" t="s">
        <v>854</v>
      </c>
    </row>
    <row r="1446" spans="1:9" s="81" customFormat="1" ht="21.6" customHeight="1">
      <c r="A1446" s="27">
        <v>1640</v>
      </c>
      <c r="B1446" s="34" t="s">
        <v>1308</v>
      </c>
      <c r="C1446" s="34" t="s">
        <v>273</v>
      </c>
      <c r="D1446" s="34" t="s">
        <v>1392</v>
      </c>
      <c r="E1446" s="35" t="s">
        <v>274</v>
      </c>
      <c r="F1446" s="40">
        <v>80</v>
      </c>
      <c r="G1446" s="144" t="s">
        <v>631</v>
      </c>
      <c r="H1446" s="40">
        <v>1</v>
      </c>
      <c r="I1446" s="56" t="s">
        <v>116</v>
      </c>
    </row>
    <row r="1447" spans="1:9" s="81" customFormat="1" ht="21.6" customHeight="1">
      <c r="A1447" s="27">
        <v>1641</v>
      </c>
      <c r="B1447" s="34" t="s">
        <v>1308</v>
      </c>
      <c r="C1447" s="34" t="s">
        <v>855</v>
      </c>
      <c r="D1447" s="80" t="s">
        <v>1602</v>
      </c>
      <c r="E1447" s="33" t="s">
        <v>856</v>
      </c>
      <c r="F1447" s="40">
        <v>80</v>
      </c>
      <c r="G1447" s="144" t="s">
        <v>119</v>
      </c>
      <c r="H1447" s="40">
        <v>1</v>
      </c>
      <c r="I1447" s="56" t="s">
        <v>116</v>
      </c>
    </row>
    <row r="1448" spans="1:9" s="58" customFormat="1" ht="21.6" customHeight="1">
      <c r="A1448" s="27">
        <v>1642</v>
      </c>
      <c r="B1448" s="34" t="s">
        <v>1308</v>
      </c>
      <c r="C1448" s="34" t="s">
        <v>225</v>
      </c>
      <c r="D1448" s="39" t="s">
        <v>1375</v>
      </c>
      <c r="E1448" s="3" t="s">
        <v>226</v>
      </c>
      <c r="F1448" s="29">
        <v>120</v>
      </c>
      <c r="G1448" s="145" t="s">
        <v>1838</v>
      </c>
      <c r="H1448" s="29">
        <v>2</v>
      </c>
      <c r="I1448" s="31" t="s">
        <v>857</v>
      </c>
    </row>
    <row r="1449" spans="1:9" s="58" customFormat="1" ht="21.6" customHeight="1">
      <c r="A1449" s="27">
        <v>1643</v>
      </c>
      <c r="B1449" s="34" t="s">
        <v>1308</v>
      </c>
      <c r="C1449" s="34" t="s">
        <v>229</v>
      </c>
      <c r="D1449" s="39" t="s">
        <v>1376</v>
      </c>
      <c r="E1449" s="51" t="s">
        <v>230</v>
      </c>
      <c r="F1449" s="29">
        <v>120</v>
      </c>
      <c r="G1449" s="145" t="s">
        <v>1839</v>
      </c>
      <c r="H1449" s="29">
        <v>1</v>
      </c>
      <c r="I1449" s="31" t="s">
        <v>857</v>
      </c>
    </row>
    <row r="1450" spans="1:9" s="58" customFormat="1" ht="21.6" customHeight="1">
      <c r="A1450" s="27">
        <v>1644</v>
      </c>
      <c r="B1450" s="34" t="s">
        <v>1308</v>
      </c>
      <c r="C1450" s="34" t="s">
        <v>231</v>
      </c>
      <c r="D1450" s="39" t="s">
        <v>1377</v>
      </c>
      <c r="E1450" s="51" t="s">
        <v>232</v>
      </c>
      <c r="F1450" s="29">
        <v>160</v>
      </c>
      <c r="G1450" s="144" t="s">
        <v>1840</v>
      </c>
      <c r="H1450" s="29">
        <v>1</v>
      </c>
      <c r="I1450" s="31" t="s">
        <v>750</v>
      </c>
    </row>
    <row r="1451" spans="1:9" s="58" customFormat="1" ht="21.6" customHeight="1">
      <c r="A1451" s="27">
        <v>1645</v>
      </c>
      <c r="B1451" s="34" t="s">
        <v>1308</v>
      </c>
      <c r="C1451" s="34" t="s">
        <v>235</v>
      </c>
      <c r="D1451" s="50" t="s">
        <v>1378</v>
      </c>
      <c r="E1451" s="51" t="s">
        <v>236</v>
      </c>
      <c r="F1451" s="29">
        <v>160</v>
      </c>
      <c r="G1451" s="144" t="s">
        <v>237</v>
      </c>
      <c r="H1451" s="29">
        <v>1</v>
      </c>
      <c r="I1451" s="31" t="s">
        <v>750</v>
      </c>
    </row>
    <row r="1452" spans="1:9" s="58" customFormat="1" ht="21.6" customHeight="1">
      <c r="A1452" s="27">
        <v>1646</v>
      </c>
      <c r="B1452" s="34" t="s">
        <v>1308</v>
      </c>
      <c r="C1452" s="34" t="s">
        <v>238</v>
      </c>
      <c r="D1452" s="50" t="s">
        <v>1379</v>
      </c>
      <c r="E1452" s="51" t="s">
        <v>239</v>
      </c>
      <c r="F1452" s="29">
        <v>160</v>
      </c>
      <c r="G1452" s="144" t="s">
        <v>749</v>
      </c>
      <c r="H1452" s="29">
        <v>1</v>
      </c>
      <c r="I1452" s="31" t="s">
        <v>750</v>
      </c>
    </row>
    <row r="1453" spans="1:9" s="81" customFormat="1" ht="21.6" customHeight="1">
      <c r="A1453" s="27">
        <v>1647</v>
      </c>
      <c r="B1453" s="34" t="s">
        <v>1308</v>
      </c>
      <c r="C1453" s="34" t="s">
        <v>858</v>
      </c>
      <c r="D1453" s="80" t="s">
        <v>1603</v>
      </c>
      <c r="E1453" s="35" t="s">
        <v>859</v>
      </c>
      <c r="F1453" s="40">
        <v>50</v>
      </c>
      <c r="G1453" s="144" t="s">
        <v>637</v>
      </c>
      <c r="H1453" s="40" t="s">
        <v>123</v>
      </c>
      <c r="I1453" s="56"/>
    </row>
    <row r="1454" spans="1:9" s="81" customFormat="1" ht="21.6" customHeight="1">
      <c r="A1454" s="27">
        <v>1648</v>
      </c>
      <c r="B1454" s="34" t="s">
        <v>1308</v>
      </c>
      <c r="C1454" s="34" t="s">
        <v>860</v>
      </c>
      <c r="D1454" s="34" t="s">
        <v>1604</v>
      </c>
      <c r="E1454" s="35" t="s">
        <v>861</v>
      </c>
      <c r="F1454" s="40">
        <v>50</v>
      </c>
      <c r="G1454" s="144" t="s">
        <v>755</v>
      </c>
      <c r="H1454" s="40" t="s">
        <v>123</v>
      </c>
      <c r="I1454" s="56"/>
    </row>
    <row r="1455" spans="1:9" s="81" customFormat="1" ht="21.6" customHeight="1">
      <c r="A1455" s="27">
        <v>1650</v>
      </c>
      <c r="B1455" s="34" t="s">
        <v>1308</v>
      </c>
      <c r="C1455" s="34" t="s">
        <v>862</v>
      </c>
      <c r="D1455" s="102" t="s">
        <v>1605</v>
      </c>
      <c r="E1455" s="105" t="s">
        <v>863</v>
      </c>
      <c r="F1455" s="40">
        <v>200</v>
      </c>
      <c r="G1455" s="145" t="s">
        <v>244</v>
      </c>
      <c r="H1455" s="40" t="s">
        <v>123</v>
      </c>
      <c r="I1455" s="89" t="s">
        <v>819</v>
      </c>
    </row>
    <row r="1456" spans="1:9" s="81" customFormat="1" ht="21.6" customHeight="1">
      <c r="A1456" s="27">
        <v>1651</v>
      </c>
      <c r="B1456" s="34" t="s">
        <v>1308</v>
      </c>
      <c r="C1456" s="34" t="s">
        <v>643</v>
      </c>
      <c r="D1456" s="34" t="s">
        <v>1525</v>
      </c>
      <c r="E1456" s="35" t="s">
        <v>644</v>
      </c>
      <c r="F1456" s="40">
        <v>150</v>
      </c>
      <c r="G1456" s="144" t="s">
        <v>864</v>
      </c>
      <c r="H1456" s="40" t="s">
        <v>123</v>
      </c>
      <c r="I1456" s="56"/>
    </row>
    <row r="1457" spans="1:9" s="58" customFormat="1" ht="21.6" customHeight="1">
      <c r="A1457" s="27">
        <v>1652</v>
      </c>
      <c r="B1457" s="34" t="s">
        <v>1308</v>
      </c>
      <c r="C1457" s="34" t="s">
        <v>756</v>
      </c>
      <c r="D1457" s="39" t="s">
        <v>1564</v>
      </c>
      <c r="E1457" s="3" t="s">
        <v>757</v>
      </c>
      <c r="F1457" s="29">
        <v>80</v>
      </c>
      <c r="G1457" s="144" t="s">
        <v>758</v>
      </c>
      <c r="H1457" s="40" t="s">
        <v>123</v>
      </c>
      <c r="I1457" s="31" t="s">
        <v>865</v>
      </c>
    </row>
    <row r="1458" spans="1:9" s="58" customFormat="1" ht="21.6" customHeight="1">
      <c r="A1458" s="27">
        <v>1653</v>
      </c>
      <c r="B1458" s="34" t="s">
        <v>1308</v>
      </c>
      <c r="C1458" s="34" t="s">
        <v>248</v>
      </c>
      <c r="D1458" s="39" t="s">
        <v>1383</v>
      </c>
      <c r="E1458" s="3" t="s">
        <v>249</v>
      </c>
      <c r="F1458" s="29">
        <v>120</v>
      </c>
      <c r="G1458" s="144" t="s">
        <v>759</v>
      </c>
      <c r="H1458" s="40" t="s">
        <v>123</v>
      </c>
      <c r="I1458" s="31" t="s">
        <v>857</v>
      </c>
    </row>
    <row r="1459" spans="1:9" s="58" customFormat="1" ht="21.6" customHeight="1">
      <c r="A1459" s="27">
        <v>1654</v>
      </c>
      <c r="B1459" s="34" t="s">
        <v>1308</v>
      </c>
      <c r="C1459" s="34" t="s">
        <v>251</v>
      </c>
      <c r="D1459" s="39" t="s">
        <v>1384</v>
      </c>
      <c r="E1459" s="3" t="s">
        <v>252</v>
      </c>
      <c r="F1459" s="29">
        <v>160</v>
      </c>
      <c r="G1459" s="144" t="s">
        <v>760</v>
      </c>
      <c r="H1459" s="40" t="s">
        <v>123</v>
      </c>
      <c r="I1459" s="31" t="s">
        <v>750</v>
      </c>
    </row>
    <row r="1460" spans="1:9" s="81" customFormat="1" ht="21.6" customHeight="1">
      <c r="A1460" s="27">
        <v>1655</v>
      </c>
      <c r="B1460" s="34" t="s">
        <v>1308</v>
      </c>
      <c r="C1460" s="34" t="s">
        <v>866</v>
      </c>
      <c r="D1460" s="34" t="s">
        <v>1606</v>
      </c>
      <c r="E1460" s="35" t="s">
        <v>867</v>
      </c>
      <c r="F1460" s="40" t="s">
        <v>123</v>
      </c>
      <c r="G1460" s="145" t="s">
        <v>585</v>
      </c>
      <c r="H1460" s="40" t="s">
        <v>123</v>
      </c>
      <c r="I1460" s="56"/>
    </row>
    <row r="1461" spans="1:9" s="81" customFormat="1" ht="21.6" customHeight="1">
      <c r="A1461" s="27">
        <v>1656</v>
      </c>
      <c r="B1461" s="34" t="s">
        <v>1308</v>
      </c>
      <c r="C1461" s="34" t="s">
        <v>868</v>
      </c>
      <c r="D1461" s="34" t="s">
        <v>1607</v>
      </c>
      <c r="E1461" s="35" t="s">
        <v>869</v>
      </c>
      <c r="F1461" s="40" t="s">
        <v>123</v>
      </c>
      <c r="G1461" s="145" t="s">
        <v>129</v>
      </c>
      <c r="H1461" s="40" t="s">
        <v>123</v>
      </c>
      <c r="I1461" s="56"/>
    </row>
    <row r="1462" spans="1:9" ht="21.6" customHeight="1">
      <c r="A1462" s="27">
        <v>1657</v>
      </c>
      <c r="B1462" s="34" t="s">
        <v>1308</v>
      </c>
      <c r="C1462" s="34" t="s">
        <v>870</v>
      </c>
      <c r="D1462" s="34" t="s">
        <v>1608</v>
      </c>
      <c r="E1462" s="35" t="s">
        <v>871</v>
      </c>
      <c r="F1462" s="40" t="s">
        <v>123</v>
      </c>
      <c r="G1462" s="145" t="s">
        <v>772</v>
      </c>
      <c r="H1462" s="40" t="s">
        <v>123</v>
      </c>
      <c r="I1462" s="56"/>
    </row>
    <row r="1463" spans="1:9" ht="21.6" customHeight="1">
      <c r="A1463" s="27">
        <v>1658</v>
      </c>
      <c r="B1463" s="34" t="s">
        <v>1308</v>
      </c>
      <c r="C1463" s="34" t="s">
        <v>872</v>
      </c>
      <c r="D1463" s="34" t="s">
        <v>1609</v>
      </c>
      <c r="E1463" s="35" t="s">
        <v>873</v>
      </c>
      <c r="F1463" s="40" t="s">
        <v>123</v>
      </c>
      <c r="G1463" s="145" t="s">
        <v>775</v>
      </c>
      <c r="H1463" s="40" t="s">
        <v>123</v>
      </c>
      <c r="I1463" s="56"/>
    </row>
    <row r="1464" spans="1:9" ht="21.6" customHeight="1">
      <c r="A1464" s="27">
        <v>1659</v>
      </c>
      <c r="B1464" s="34" t="s">
        <v>1308</v>
      </c>
      <c r="C1464" s="34" t="s">
        <v>874</v>
      </c>
      <c r="D1464" s="34" t="s">
        <v>1610</v>
      </c>
      <c r="E1464" s="35" t="s">
        <v>875</v>
      </c>
      <c r="F1464" s="40" t="s">
        <v>123</v>
      </c>
      <c r="G1464" s="145" t="s">
        <v>778</v>
      </c>
      <c r="H1464" s="40" t="s">
        <v>123</v>
      </c>
      <c r="I1464" s="56"/>
    </row>
    <row r="1465" spans="1:9" ht="21.6" customHeight="1">
      <c r="A1465" s="27">
        <v>1660</v>
      </c>
      <c r="B1465" s="34" t="s">
        <v>1308</v>
      </c>
      <c r="C1465" s="34" t="s">
        <v>876</v>
      </c>
      <c r="D1465" s="34" t="s">
        <v>1611</v>
      </c>
      <c r="E1465" s="35" t="s">
        <v>877</v>
      </c>
      <c r="F1465" s="40" t="s">
        <v>123</v>
      </c>
      <c r="G1465" s="145" t="s">
        <v>781</v>
      </c>
      <c r="H1465" s="40" t="s">
        <v>123</v>
      </c>
      <c r="I1465" s="56"/>
    </row>
    <row r="1466" spans="1:9" ht="21.6" customHeight="1">
      <c r="A1466" s="27">
        <v>1661</v>
      </c>
      <c r="B1466" s="34" t="s">
        <v>1308</v>
      </c>
      <c r="C1466" s="34" t="s">
        <v>878</v>
      </c>
      <c r="D1466" s="34" t="s">
        <v>1612</v>
      </c>
      <c r="E1466" s="35" t="s">
        <v>879</v>
      </c>
      <c r="F1466" s="40" t="s">
        <v>123</v>
      </c>
      <c r="G1466" s="145" t="s">
        <v>784</v>
      </c>
      <c r="H1466" s="40" t="s">
        <v>123</v>
      </c>
      <c r="I1466" s="56"/>
    </row>
    <row r="1467" spans="1:9" ht="21.6" customHeight="1">
      <c r="A1467" s="27">
        <v>1662</v>
      </c>
      <c r="B1467" s="34" t="s">
        <v>1308</v>
      </c>
      <c r="C1467" s="34" t="s">
        <v>880</v>
      </c>
      <c r="D1467" s="34" t="s">
        <v>1613</v>
      </c>
      <c r="E1467" s="35" t="s">
        <v>881</v>
      </c>
      <c r="F1467" s="40" t="s">
        <v>123</v>
      </c>
      <c r="G1467" s="145" t="s">
        <v>787</v>
      </c>
      <c r="H1467" s="40" t="s">
        <v>123</v>
      </c>
      <c r="I1467" s="56"/>
    </row>
    <row r="1468" spans="1:9" ht="21.6" customHeight="1">
      <c r="A1468" s="27">
        <v>1663</v>
      </c>
      <c r="B1468" s="34" t="s">
        <v>1308</v>
      </c>
      <c r="C1468" s="34" t="s">
        <v>882</v>
      </c>
      <c r="D1468" s="34" t="s">
        <v>1614</v>
      </c>
      <c r="E1468" s="35" t="s">
        <v>883</v>
      </c>
      <c r="F1468" s="40" t="s">
        <v>123</v>
      </c>
      <c r="G1468" s="145" t="s">
        <v>790</v>
      </c>
      <c r="H1468" s="40" t="s">
        <v>123</v>
      </c>
      <c r="I1468" s="56"/>
    </row>
    <row r="1469" spans="1:9" ht="21.6" customHeight="1">
      <c r="A1469" s="27">
        <v>1664</v>
      </c>
      <c r="B1469" s="34" t="s">
        <v>1308</v>
      </c>
      <c r="C1469" s="34" t="s">
        <v>791</v>
      </c>
      <c r="D1469" s="34" t="s">
        <v>1576</v>
      </c>
      <c r="E1469" s="35" t="s">
        <v>792</v>
      </c>
      <c r="F1469" s="40" t="s">
        <v>654</v>
      </c>
      <c r="G1469" s="145" t="s">
        <v>1821</v>
      </c>
      <c r="H1469" s="40" t="s">
        <v>123</v>
      </c>
      <c r="I1469" s="56"/>
    </row>
    <row r="1470" spans="1:9" s="81" customFormat="1" ht="21.6" customHeight="1">
      <c r="A1470" s="41">
        <v>1665</v>
      </c>
      <c r="B1470" s="97" t="s">
        <v>1308</v>
      </c>
      <c r="C1470" s="97" t="s">
        <v>884</v>
      </c>
      <c r="D1470" s="97" t="s">
        <v>1615</v>
      </c>
      <c r="E1470" s="70" t="s">
        <v>885</v>
      </c>
      <c r="F1470" s="44" t="s">
        <v>654</v>
      </c>
      <c r="G1470" s="144" t="s">
        <v>1805</v>
      </c>
      <c r="H1470" s="44" t="s">
        <v>123</v>
      </c>
      <c r="I1470" s="98"/>
    </row>
    <row r="1471" spans="1:9" s="81" customFormat="1" ht="21.6" customHeight="1">
      <c r="A1471" s="20">
        <v>1666</v>
      </c>
      <c r="B1471" s="73" t="s">
        <v>39</v>
      </c>
      <c r="C1471" s="73" t="s">
        <v>587</v>
      </c>
      <c r="D1471" s="73" t="s">
        <v>1504</v>
      </c>
      <c r="E1471" s="72" t="s">
        <v>588</v>
      </c>
      <c r="F1471" s="74">
        <v>150</v>
      </c>
      <c r="G1471" s="143" t="s">
        <v>589</v>
      </c>
      <c r="H1471" s="74">
        <v>1</v>
      </c>
      <c r="I1471" s="75" t="s">
        <v>886</v>
      </c>
    </row>
    <row r="1472" spans="1:9" s="81" customFormat="1" ht="21.6" customHeight="1">
      <c r="A1472" s="106">
        <v>1667</v>
      </c>
      <c r="B1472" s="104" t="s">
        <v>39</v>
      </c>
      <c r="C1472" s="104" t="s">
        <v>840</v>
      </c>
      <c r="D1472" s="104" t="s">
        <v>1595</v>
      </c>
      <c r="E1472" s="82" t="s">
        <v>841</v>
      </c>
      <c r="F1472" s="107">
        <v>75</v>
      </c>
      <c r="G1472" s="150" t="s">
        <v>887</v>
      </c>
      <c r="H1472" s="108">
        <v>3</v>
      </c>
      <c r="I1472" s="109" t="s">
        <v>888</v>
      </c>
    </row>
    <row r="1473" spans="1:9" s="81" customFormat="1" ht="21.6" customHeight="1">
      <c r="A1473" s="27">
        <v>1668</v>
      </c>
      <c r="B1473" s="104" t="s">
        <v>39</v>
      </c>
      <c r="C1473" s="104" t="s">
        <v>889</v>
      </c>
      <c r="D1473" s="34" t="s">
        <v>1616</v>
      </c>
      <c r="E1473" s="35" t="s">
        <v>890</v>
      </c>
      <c r="F1473" s="40" t="s">
        <v>891</v>
      </c>
      <c r="G1473" s="145" t="s">
        <v>502</v>
      </c>
      <c r="H1473" s="40">
        <v>1</v>
      </c>
      <c r="I1473" s="56"/>
    </row>
    <row r="1474" spans="1:9" s="81" customFormat="1" ht="21.6" customHeight="1">
      <c r="A1474" s="27">
        <v>1669</v>
      </c>
      <c r="B1474" s="104" t="s">
        <v>39</v>
      </c>
      <c r="C1474" s="104" t="s">
        <v>892</v>
      </c>
      <c r="D1474" s="34" t="s">
        <v>1617</v>
      </c>
      <c r="E1474" s="35" t="s">
        <v>893</v>
      </c>
      <c r="F1474" s="76">
        <v>150</v>
      </c>
      <c r="G1474" s="145" t="s">
        <v>703</v>
      </c>
      <c r="H1474" s="40">
        <v>1</v>
      </c>
      <c r="I1474" s="56"/>
    </row>
    <row r="1475" spans="1:9" s="81" customFormat="1" ht="21.6" customHeight="1">
      <c r="A1475" s="27">
        <v>1670</v>
      </c>
      <c r="B1475" s="104" t="s">
        <v>39</v>
      </c>
      <c r="C1475" s="104" t="s">
        <v>894</v>
      </c>
      <c r="D1475" s="34" t="s">
        <v>1618</v>
      </c>
      <c r="E1475" s="35" t="s">
        <v>895</v>
      </c>
      <c r="F1475" s="40">
        <v>150</v>
      </c>
      <c r="G1475" s="144" t="s">
        <v>706</v>
      </c>
      <c r="H1475" s="40">
        <v>1</v>
      </c>
      <c r="I1475" s="56"/>
    </row>
    <row r="1476" spans="1:9" s="81" customFormat="1" ht="21.6" customHeight="1">
      <c r="A1476" s="27">
        <v>1671</v>
      </c>
      <c r="B1476" s="104" t="s">
        <v>39</v>
      </c>
      <c r="C1476" s="104" t="s">
        <v>896</v>
      </c>
      <c r="D1476" s="34" t="s">
        <v>1619</v>
      </c>
      <c r="E1476" s="35" t="s">
        <v>897</v>
      </c>
      <c r="F1476" s="40">
        <v>150</v>
      </c>
      <c r="G1476" s="145" t="s">
        <v>709</v>
      </c>
      <c r="H1476" s="40">
        <v>1</v>
      </c>
      <c r="I1476" s="56"/>
    </row>
    <row r="1477" spans="1:9" s="81" customFormat="1" ht="21.6" customHeight="1">
      <c r="A1477" s="27">
        <v>1672</v>
      </c>
      <c r="B1477" s="104" t="s">
        <v>39</v>
      </c>
      <c r="C1477" s="104" t="s">
        <v>710</v>
      </c>
      <c r="D1477" s="34" t="s">
        <v>1547</v>
      </c>
      <c r="E1477" s="35" t="s">
        <v>711</v>
      </c>
      <c r="F1477" s="40" t="s">
        <v>898</v>
      </c>
      <c r="G1477" s="145" t="s">
        <v>415</v>
      </c>
      <c r="H1477" s="40">
        <v>1</v>
      </c>
      <c r="I1477" s="56"/>
    </row>
    <row r="1478" spans="1:9" s="81" customFormat="1" ht="21.6" customHeight="1">
      <c r="A1478" s="27">
        <v>1673</v>
      </c>
      <c r="B1478" s="104" t="s">
        <v>39</v>
      </c>
      <c r="C1478" s="104" t="s">
        <v>899</v>
      </c>
      <c r="D1478" s="34" t="s">
        <v>1620</v>
      </c>
      <c r="E1478" s="35" t="s">
        <v>900</v>
      </c>
      <c r="F1478" s="40">
        <v>150</v>
      </c>
      <c r="G1478" s="144" t="s">
        <v>597</v>
      </c>
      <c r="H1478" s="40">
        <v>1</v>
      </c>
      <c r="I1478" s="56"/>
    </row>
    <row r="1479" spans="1:9" s="81" customFormat="1" ht="21.6" customHeight="1">
      <c r="A1479" s="27">
        <v>1674</v>
      </c>
      <c r="B1479" s="104" t="s">
        <v>39</v>
      </c>
      <c r="C1479" s="104" t="s">
        <v>845</v>
      </c>
      <c r="D1479" s="34" t="s">
        <v>1598</v>
      </c>
      <c r="E1479" s="35" t="s">
        <v>846</v>
      </c>
      <c r="F1479" s="76">
        <v>75</v>
      </c>
      <c r="G1479" s="144" t="s">
        <v>901</v>
      </c>
      <c r="H1479" s="40">
        <v>3</v>
      </c>
      <c r="I1479" s="56"/>
    </row>
    <row r="1480" spans="1:9" s="81" customFormat="1" ht="21.6" customHeight="1">
      <c r="A1480" s="27">
        <v>1675</v>
      </c>
      <c r="B1480" s="104" t="s">
        <v>39</v>
      </c>
      <c r="C1480" s="104" t="s">
        <v>598</v>
      </c>
      <c r="D1480" s="34" t="s">
        <v>1508</v>
      </c>
      <c r="E1480" s="35" t="s">
        <v>599</v>
      </c>
      <c r="F1480" s="40" t="s">
        <v>898</v>
      </c>
      <c r="G1480" s="145" t="s">
        <v>600</v>
      </c>
      <c r="H1480" s="40">
        <v>4</v>
      </c>
      <c r="I1480" s="56"/>
    </row>
    <row r="1481" spans="1:9" s="81" customFormat="1" ht="21.6" customHeight="1">
      <c r="A1481" s="27">
        <v>1676</v>
      </c>
      <c r="B1481" s="104" t="s">
        <v>39</v>
      </c>
      <c r="C1481" s="104" t="s">
        <v>601</v>
      </c>
      <c r="D1481" s="34" t="s">
        <v>1509</v>
      </c>
      <c r="E1481" s="35" t="s">
        <v>602</v>
      </c>
      <c r="F1481" s="40" t="s">
        <v>898</v>
      </c>
      <c r="G1481" s="144" t="s">
        <v>1822</v>
      </c>
      <c r="H1481" s="40">
        <v>8</v>
      </c>
      <c r="I1481" s="56"/>
    </row>
    <row r="1482" spans="1:9" s="81" customFormat="1" ht="21.6" customHeight="1">
      <c r="A1482" s="27">
        <v>1677</v>
      </c>
      <c r="B1482" s="104" t="s">
        <v>39</v>
      </c>
      <c r="C1482" s="104" t="s">
        <v>902</v>
      </c>
      <c r="D1482" s="34" t="s">
        <v>1621</v>
      </c>
      <c r="E1482" s="35" t="s">
        <v>903</v>
      </c>
      <c r="F1482" s="40" t="s">
        <v>898</v>
      </c>
      <c r="G1482" s="144" t="s">
        <v>1823</v>
      </c>
      <c r="H1482" s="40">
        <v>4</v>
      </c>
      <c r="I1482" s="56" t="s">
        <v>904</v>
      </c>
    </row>
    <row r="1483" spans="1:9" s="81" customFormat="1" ht="21.6" customHeight="1">
      <c r="A1483" s="27">
        <v>1678</v>
      </c>
      <c r="B1483" s="104" t="s">
        <v>39</v>
      </c>
      <c r="C1483" s="104" t="s">
        <v>905</v>
      </c>
      <c r="D1483" s="34" t="s">
        <v>1622</v>
      </c>
      <c r="E1483" s="35" t="s">
        <v>906</v>
      </c>
      <c r="F1483" s="40" t="s">
        <v>898</v>
      </c>
      <c r="G1483" s="144" t="s">
        <v>1823</v>
      </c>
      <c r="H1483" s="40">
        <v>4</v>
      </c>
      <c r="I1483" s="56" t="s">
        <v>907</v>
      </c>
    </row>
    <row r="1484" spans="1:9" s="81" customFormat="1" ht="21.6" customHeight="1">
      <c r="A1484" s="27">
        <v>1679</v>
      </c>
      <c r="B1484" s="104" t="s">
        <v>39</v>
      </c>
      <c r="C1484" s="104" t="s">
        <v>605</v>
      </c>
      <c r="D1484" s="34" t="s">
        <v>1511</v>
      </c>
      <c r="E1484" s="35" t="s">
        <v>606</v>
      </c>
      <c r="F1484" s="40">
        <v>150</v>
      </c>
      <c r="G1484" s="145" t="s">
        <v>533</v>
      </c>
      <c r="H1484" s="40">
        <v>1</v>
      </c>
      <c r="I1484" s="56"/>
    </row>
    <row r="1485" spans="1:9" s="81" customFormat="1" ht="21.6" customHeight="1">
      <c r="A1485" s="27">
        <v>1680</v>
      </c>
      <c r="B1485" s="104" t="s">
        <v>39</v>
      </c>
      <c r="C1485" s="104" t="s">
        <v>607</v>
      </c>
      <c r="D1485" s="34" t="s">
        <v>1512</v>
      </c>
      <c r="E1485" s="35" t="s">
        <v>608</v>
      </c>
      <c r="F1485" s="40">
        <v>150</v>
      </c>
      <c r="G1485" s="145" t="s">
        <v>1812</v>
      </c>
      <c r="H1485" s="40">
        <v>1</v>
      </c>
      <c r="I1485" s="56"/>
    </row>
    <row r="1486" spans="1:9" s="81" customFormat="1" ht="21.6" customHeight="1">
      <c r="A1486" s="27">
        <v>1681</v>
      </c>
      <c r="B1486" s="104" t="s">
        <v>39</v>
      </c>
      <c r="C1486" s="104" t="s">
        <v>609</v>
      </c>
      <c r="D1486" s="34" t="s">
        <v>1513</v>
      </c>
      <c r="E1486" s="35" t="s">
        <v>610</v>
      </c>
      <c r="F1486" s="40">
        <v>150</v>
      </c>
      <c r="G1486" s="145" t="s">
        <v>1824</v>
      </c>
      <c r="H1486" s="40">
        <v>1</v>
      </c>
      <c r="I1486" s="56"/>
    </row>
    <row r="1487" spans="1:9" s="81" customFormat="1" ht="21.6" customHeight="1">
      <c r="A1487" s="27">
        <v>1682</v>
      </c>
      <c r="B1487" s="104" t="s">
        <v>39</v>
      </c>
      <c r="C1487" s="104" t="s">
        <v>611</v>
      </c>
      <c r="D1487" s="34" t="s">
        <v>1514</v>
      </c>
      <c r="E1487" s="35" t="s">
        <v>612</v>
      </c>
      <c r="F1487" s="40">
        <v>150</v>
      </c>
      <c r="G1487" s="145" t="s">
        <v>1825</v>
      </c>
      <c r="H1487" s="40">
        <v>1</v>
      </c>
      <c r="I1487" s="56"/>
    </row>
    <row r="1488" spans="1:9" s="81" customFormat="1" ht="21.6" customHeight="1">
      <c r="A1488" s="27">
        <v>1683</v>
      </c>
      <c r="B1488" s="104" t="s">
        <v>39</v>
      </c>
      <c r="C1488" s="104" t="s">
        <v>613</v>
      </c>
      <c r="D1488" s="34" t="s">
        <v>1515</v>
      </c>
      <c r="E1488" s="35" t="s">
        <v>614</v>
      </c>
      <c r="F1488" s="40">
        <v>150</v>
      </c>
      <c r="G1488" s="145" t="s">
        <v>1826</v>
      </c>
      <c r="H1488" s="40">
        <v>2</v>
      </c>
      <c r="I1488" s="56"/>
    </row>
    <row r="1489" spans="1:9" s="81" customFormat="1" ht="21.6" customHeight="1">
      <c r="A1489" s="27">
        <v>1684</v>
      </c>
      <c r="B1489" s="34" t="s">
        <v>39</v>
      </c>
      <c r="C1489" s="34" t="s">
        <v>719</v>
      </c>
      <c r="D1489" s="34" t="s">
        <v>1551</v>
      </c>
      <c r="E1489" s="35" t="s">
        <v>720</v>
      </c>
      <c r="F1489" s="40">
        <v>450</v>
      </c>
      <c r="G1489" s="144" t="s">
        <v>101</v>
      </c>
      <c r="H1489" s="40">
        <v>2</v>
      </c>
      <c r="I1489" s="56" t="s">
        <v>617</v>
      </c>
    </row>
    <row r="1490" spans="1:9" s="81" customFormat="1" ht="21.6" customHeight="1">
      <c r="A1490" s="27">
        <v>1686</v>
      </c>
      <c r="B1490" s="104" t="s">
        <v>39</v>
      </c>
      <c r="C1490" s="104" t="s">
        <v>908</v>
      </c>
      <c r="D1490" s="34" t="s">
        <v>1623</v>
      </c>
      <c r="E1490" s="35" t="s">
        <v>909</v>
      </c>
      <c r="F1490" s="40">
        <v>200</v>
      </c>
      <c r="G1490" s="145" t="s">
        <v>1809</v>
      </c>
      <c r="H1490" s="40">
        <v>1</v>
      </c>
      <c r="I1490" s="56" t="s">
        <v>910</v>
      </c>
    </row>
    <row r="1491" spans="1:9" s="81" customFormat="1" ht="21.6" customHeight="1">
      <c r="A1491" s="27">
        <v>1687</v>
      </c>
      <c r="B1491" s="104" t="s">
        <v>39</v>
      </c>
      <c r="C1491" s="104" t="s">
        <v>911</v>
      </c>
      <c r="D1491" s="34" t="s">
        <v>1624</v>
      </c>
      <c r="E1491" s="35" t="s">
        <v>912</v>
      </c>
      <c r="F1491" s="40">
        <v>200</v>
      </c>
      <c r="G1491" s="145" t="s">
        <v>87</v>
      </c>
      <c r="H1491" s="40">
        <v>1</v>
      </c>
      <c r="I1491" s="56"/>
    </row>
    <row r="1492" spans="1:9" s="81" customFormat="1" ht="21.6" customHeight="1">
      <c r="A1492" s="27">
        <v>1688</v>
      </c>
      <c r="B1492" s="104" t="s">
        <v>39</v>
      </c>
      <c r="C1492" s="104" t="s">
        <v>622</v>
      </c>
      <c r="D1492" s="34" t="s">
        <v>1519</v>
      </c>
      <c r="E1492" s="35" t="s">
        <v>623</v>
      </c>
      <c r="F1492" s="40">
        <v>200</v>
      </c>
      <c r="G1492" s="144" t="s">
        <v>1827</v>
      </c>
      <c r="H1492" s="40">
        <v>1</v>
      </c>
      <c r="I1492" s="56"/>
    </row>
    <row r="1493" spans="1:9" s="81" customFormat="1" ht="21.6" customHeight="1">
      <c r="A1493" s="27">
        <v>1689</v>
      </c>
      <c r="B1493" s="104" t="s">
        <v>39</v>
      </c>
      <c r="C1493" s="104" t="s">
        <v>852</v>
      </c>
      <c r="D1493" s="34" t="s">
        <v>1601</v>
      </c>
      <c r="E1493" s="35" t="s">
        <v>853</v>
      </c>
      <c r="F1493" s="40">
        <v>200</v>
      </c>
      <c r="G1493" s="144" t="s">
        <v>1828</v>
      </c>
      <c r="H1493" s="40">
        <v>1</v>
      </c>
      <c r="I1493" s="56"/>
    </row>
    <row r="1494" spans="1:9" s="81" customFormat="1" ht="21.6" customHeight="1">
      <c r="A1494" s="27">
        <v>1690</v>
      </c>
      <c r="B1494" s="104" t="s">
        <v>39</v>
      </c>
      <c r="C1494" s="104" t="s">
        <v>626</v>
      </c>
      <c r="D1494" s="34" t="s">
        <v>1521</v>
      </c>
      <c r="E1494" s="35" t="s">
        <v>627</v>
      </c>
      <c r="F1494" s="40">
        <v>200</v>
      </c>
      <c r="G1494" s="145" t="s">
        <v>628</v>
      </c>
      <c r="H1494" s="40">
        <v>2</v>
      </c>
      <c r="I1494" s="56"/>
    </row>
    <row r="1495" spans="1:9" s="81" customFormat="1" ht="21.6" customHeight="1">
      <c r="A1495" s="27">
        <v>1691</v>
      </c>
      <c r="B1495" s="104" t="s">
        <v>39</v>
      </c>
      <c r="C1495" s="104" t="s">
        <v>273</v>
      </c>
      <c r="D1495" s="34" t="s">
        <v>1392</v>
      </c>
      <c r="E1495" s="35" t="s">
        <v>274</v>
      </c>
      <c r="F1495" s="40">
        <v>80</v>
      </c>
      <c r="G1495" s="144" t="s">
        <v>631</v>
      </c>
      <c r="H1495" s="40">
        <v>1</v>
      </c>
      <c r="I1495" s="56" t="s">
        <v>116</v>
      </c>
    </row>
    <row r="1496" spans="1:9" s="81" customFormat="1" ht="21.6" customHeight="1">
      <c r="A1496" s="27">
        <v>1692</v>
      </c>
      <c r="B1496" s="104" t="s">
        <v>39</v>
      </c>
      <c r="C1496" s="104" t="s">
        <v>276</v>
      </c>
      <c r="D1496" s="80" t="s">
        <v>1393</v>
      </c>
      <c r="E1496" s="35" t="s">
        <v>277</v>
      </c>
      <c r="F1496" s="40">
        <v>80</v>
      </c>
      <c r="G1496" s="144" t="s">
        <v>115</v>
      </c>
      <c r="H1496" s="40">
        <v>1</v>
      </c>
      <c r="I1496" s="56" t="s">
        <v>116</v>
      </c>
    </row>
    <row r="1497" spans="1:9" s="58" customFormat="1" ht="21.6" customHeight="1">
      <c r="A1497" s="27">
        <v>1693</v>
      </c>
      <c r="B1497" s="104" t="s">
        <v>39</v>
      </c>
      <c r="C1497" s="104" t="s">
        <v>264</v>
      </c>
      <c r="D1497" s="50" t="s">
        <v>1389</v>
      </c>
      <c r="E1497" s="51" t="s">
        <v>265</v>
      </c>
      <c r="F1497" s="29">
        <v>80</v>
      </c>
      <c r="G1497" s="144" t="s">
        <v>1841</v>
      </c>
      <c r="H1497" s="29">
        <v>1</v>
      </c>
      <c r="I1497" s="31" t="s">
        <v>796</v>
      </c>
    </row>
    <row r="1498" spans="1:9" s="58" customFormat="1" ht="21.6" customHeight="1">
      <c r="A1498" s="27">
        <v>1694</v>
      </c>
      <c r="B1498" s="104" t="s">
        <v>39</v>
      </c>
      <c r="C1498" s="104" t="s">
        <v>268</v>
      </c>
      <c r="D1498" s="50" t="s">
        <v>1390</v>
      </c>
      <c r="E1498" s="51" t="s">
        <v>269</v>
      </c>
      <c r="F1498" s="29">
        <v>80</v>
      </c>
      <c r="G1498" s="144" t="s">
        <v>797</v>
      </c>
      <c r="H1498" s="29">
        <v>1</v>
      </c>
      <c r="I1498" s="31" t="s">
        <v>796</v>
      </c>
    </row>
    <row r="1499" spans="1:9" s="58" customFormat="1" ht="21.6" customHeight="1">
      <c r="A1499" s="27">
        <v>1695</v>
      </c>
      <c r="B1499" s="104" t="s">
        <v>39</v>
      </c>
      <c r="C1499" s="104" t="s">
        <v>271</v>
      </c>
      <c r="D1499" s="50" t="s">
        <v>1391</v>
      </c>
      <c r="E1499" s="51" t="s">
        <v>272</v>
      </c>
      <c r="F1499" s="29">
        <v>80</v>
      </c>
      <c r="G1499" s="144" t="s">
        <v>1842</v>
      </c>
      <c r="H1499" s="29">
        <v>1</v>
      </c>
      <c r="I1499" s="31" t="s">
        <v>796</v>
      </c>
    </row>
    <row r="1500" spans="1:9" s="26" customFormat="1" ht="21.6" customHeight="1">
      <c r="A1500" s="27">
        <v>1696</v>
      </c>
      <c r="B1500" s="104" t="s">
        <v>39</v>
      </c>
      <c r="C1500" s="104" t="s">
        <v>225</v>
      </c>
      <c r="D1500" s="39" t="s">
        <v>1375</v>
      </c>
      <c r="E1500" s="3" t="s">
        <v>226</v>
      </c>
      <c r="F1500" s="29">
        <v>120</v>
      </c>
      <c r="G1500" s="144" t="s">
        <v>1781</v>
      </c>
      <c r="H1500" s="29">
        <v>2</v>
      </c>
      <c r="I1500" s="31" t="s">
        <v>279</v>
      </c>
    </row>
    <row r="1501" spans="1:9" s="26" customFormat="1" ht="21.6" customHeight="1">
      <c r="A1501" s="27">
        <v>1697</v>
      </c>
      <c r="B1501" s="104" t="s">
        <v>39</v>
      </c>
      <c r="C1501" s="104" t="s">
        <v>229</v>
      </c>
      <c r="D1501" s="39" t="s">
        <v>1376</v>
      </c>
      <c r="E1501" s="51" t="s">
        <v>230</v>
      </c>
      <c r="F1501" s="29">
        <v>120</v>
      </c>
      <c r="G1501" s="144" t="s">
        <v>278</v>
      </c>
      <c r="H1501" s="29">
        <v>1</v>
      </c>
      <c r="I1501" s="31" t="s">
        <v>279</v>
      </c>
    </row>
    <row r="1502" spans="1:9" s="26" customFormat="1" ht="21.6" customHeight="1">
      <c r="A1502" s="27">
        <v>1698</v>
      </c>
      <c r="B1502" s="104" t="s">
        <v>39</v>
      </c>
      <c r="C1502" s="104" t="s">
        <v>280</v>
      </c>
      <c r="D1502" s="39" t="s">
        <v>1394</v>
      </c>
      <c r="E1502" s="51" t="s">
        <v>281</v>
      </c>
      <c r="F1502" s="29">
        <v>120</v>
      </c>
      <c r="G1502" s="144" t="s">
        <v>1782</v>
      </c>
      <c r="H1502" s="29">
        <v>1</v>
      </c>
      <c r="I1502" s="31" t="s">
        <v>283</v>
      </c>
    </row>
    <row r="1503" spans="1:9" s="26" customFormat="1" ht="21.6" customHeight="1">
      <c r="A1503" s="27">
        <v>1699</v>
      </c>
      <c r="B1503" s="104" t="s">
        <v>39</v>
      </c>
      <c r="C1503" s="104" t="s">
        <v>284</v>
      </c>
      <c r="D1503" s="50" t="s">
        <v>1395</v>
      </c>
      <c r="E1503" s="51" t="s">
        <v>226</v>
      </c>
      <c r="F1503" s="29">
        <v>120</v>
      </c>
      <c r="G1503" s="144" t="s">
        <v>285</v>
      </c>
      <c r="H1503" s="29">
        <v>1</v>
      </c>
      <c r="I1503" s="31" t="s">
        <v>286</v>
      </c>
    </row>
    <row r="1504" spans="1:9" s="26" customFormat="1" ht="21.6" customHeight="1">
      <c r="A1504" s="27">
        <v>1700</v>
      </c>
      <c r="B1504" s="104" t="s">
        <v>39</v>
      </c>
      <c r="C1504" s="104" t="s">
        <v>287</v>
      </c>
      <c r="D1504" s="50" t="s">
        <v>1396</v>
      </c>
      <c r="E1504" s="51" t="s">
        <v>288</v>
      </c>
      <c r="F1504" s="29">
        <v>120</v>
      </c>
      <c r="G1504" s="144" t="s">
        <v>282</v>
      </c>
      <c r="H1504" s="29">
        <v>1</v>
      </c>
      <c r="I1504" s="31" t="s">
        <v>286</v>
      </c>
    </row>
    <row r="1505" spans="1:9" s="58" customFormat="1" ht="21.6" customHeight="1">
      <c r="A1505" s="27">
        <v>1701</v>
      </c>
      <c r="B1505" s="104" t="s">
        <v>39</v>
      </c>
      <c r="C1505" s="104" t="s">
        <v>231</v>
      </c>
      <c r="D1505" s="39" t="s">
        <v>1377</v>
      </c>
      <c r="E1505" s="51" t="s">
        <v>232</v>
      </c>
      <c r="F1505" s="29">
        <v>160</v>
      </c>
      <c r="G1505" s="144" t="s">
        <v>1843</v>
      </c>
      <c r="H1505" s="29">
        <v>1</v>
      </c>
      <c r="I1505" s="31" t="s">
        <v>290</v>
      </c>
    </row>
    <row r="1506" spans="1:9" s="58" customFormat="1" ht="21.6" customHeight="1">
      <c r="A1506" s="27">
        <v>1702</v>
      </c>
      <c r="B1506" s="104" t="s">
        <v>39</v>
      </c>
      <c r="C1506" s="104" t="s">
        <v>235</v>
      </c>
      <c r="D1506" s="50" t="s">
        <v>1378</v>
      </c>
      <c r="E1506" s="51" t="s">
        <v>236</v>
      </c>
      <c r="F1506" s="29">
        <v>160</v>
      </c>
      <c r="G1506" s="144" t="s">
        <v>237</v>
      </c>
      <c r="H1506" s="29">
        <v>1</v>
      </c>
      <c r="I1506" s="31" t="s">
        <v>290</v>
      </c>
    </row>
    <row r="1507" spans="1:9" s="58" customFormat="1" ht="21.6" customHeight="1">
      <c r="A1507" s="27">
        <v>1703</v>
      </c>
      <c r="B1507" s="104" t="s">
        <v>39</v>
      </c>
      <c r="C1507" s="104" t="s">
        <v>238</v>
      </c>
      <c r="D1507" s="50" t="s">
        <v>1379</v>
      </c>
      <c r="E1507" s="51" t="s">
        <v>239</v>
      </c>
      <c r="F1507" s="29">
        <v>160</v>
      </c>
      <c r="G1507" s="144" t="s">
        <v>798</v>
      </c>
      <c r="H1507" s="29">
        <v>1</v>
      </c>
      <c r="I1507" s="31" t="s">
        <v>290</v>
      </c>
    </row>
    <row r="1508" spans="1:9" s="81" customFormat="1" ht="21.6" customHeight="1">
      <c r="A1508" s="27">
        <v>1704</v>
      </c>
      <c r="B1508" s="104" t="s">
        <v>39</v>
      </c>
      <c r="C1508" s="104" t="s">
        <v>913</v>
      </c>
      <c r="D1508" s="80" t="s">
        <v>1625</v>
      </c>
      <c r="E1508" s="35" t="s">
        <v>914</v>
      </c>
      <c r="F1508" s="40">
        <v>150</v>
      </c>
      <c r="G1508" s="144" t="s">
        <v>637</v>
      </c>
      <c r="H1508" s="40" t="s">
        <v>123</v>
      </c>
      <c r="I1508" s="56"/>
    </row>
    <row r="1509" spans="1:9" s="81" customFormat="1" ht="21.6" customHeight="1">
      <c r="A1509" s="27">
        <v>1705</v>
      </c>
      <c r="B1509" s="104" t="s">
        <v>39</v>
      </c>
      <c r="C1509" s="104" t="s">
        <v>915</v>
      </c>
      <c r="D1509" s="34" t="s">
        <v>1626</v>
      </c>
      <c r="E1509" s="35" t="s">
        <v>916</v>
      </c>
      <c r="F1509" s="40">
        <v>75</v>
      </c>
      <c r="G1509" s="144" t="s">
        <v>755</v>
      </c>
      <c r="H1509" s="40" t="s">
        <v>123</v>
      </c>
      <c r="I1509" s="56"/>
    </row>
    <row r="1510" spans="1:9" s="58" customFormat="1" ht="21.6" customHeight="1">
      <c r="A1510" s="27">
        <v>1706</v>
      </c>
      <c r="B1510" s="104" t="s">
        <v>39</v>
      </c>
      <c r="C1510" s="104" t="s">
        <v>295</v>
      </c>
      <c r="D1510" s="39" t="s">
        <v>1399</v>
      </c>
      <c r="E1510" s="3" t="s">
        <v>296</v>
      </c>
      <c r="F1510" s="29">
        <v>80</v>
      </c>
      <c r="G1510" s="144" t="s">
        <v>799</v>
      </c>
      <c r="H1510" s="40" t="s">
        <v>123</v>
      </c>
      <c r="I1510" s="31" t="s">
        <v>796</v>
      </c>
    </row>
    <row r="1511" spans="1:9" s="26" customFormat="1" ht="21.6" customHeight="1">
      <c r="A1511" s="27">
        <v>1707</v>
      </c>
      <c r="B1511" s="104" t="s">
        <v>39</v>
      </c>
      <c r="C1511" s="104" t="s">
        <v>298</v>
      </c>
      <c r="D1511" s="39" t="s">
        <v>1400</v>
      </c>
      <c r="E1511" s="3" t="s">
        <v>299</v>
      </c>
      <c r="F1511" s="29">
        <v>120</v>
      </c>
      <c r="G1511" s="144" t="s">
        <v>300</v>
      </c>
      <c r="H1511" s="40" t="s">
        <v>123</v>
      </c>
      <c r="I1511" s="31" t="s">
        <v>279</v>
      </c>
    </row>
    <row r="1512" spans="1:9" s="26" customFormat="1" ht="21.6" customHeight="1">
      <c r="A1512" s="27">
        <v>1708</v>
      </c>
      <c r="B1512" s="104" t="s">
        <v>39</v>
      </c>
      <c r="C1512" s="104" t="s">
        <v>301</v>
      </c>
      <c r="D1512" s="39" t="s">
        <v>1401</v>
      </c>
      <c r="E1512" s="3" t="s">
        <v>302</v>
      </c>
      <c r="F1512" s="29">
        <v>120</v>
      </c>
      <c r="G1512" s="144" t="s">
        <v>303</v>
      </c>
      <c r="H1512" s="40" t="s">
        <v>123</v>
      </c>
      <c r="I1512" s="31" t="s">
        <v>283</v>
      </c>
    </row>
    <row r="1513" spans="1:9" s="58" customFormat="1" ht="21.6" customHeight="1">
      <c r="A1513" s="27">
        <v>1709</v>
      </c>
      <c r="B1513" s="104" t="s">
        <v>39</v>
      </c>
      <c r="C1513" s="104" t="s">
        <v>251</v>
      </c>
      <c r="D1513" s="39" t="s">
        <v>1384</v>
      </c>
      <c r="E1513" s="3" t="s">
        <v>252</v>
      </c>
      <c r="F1513" s="29">
        <v>160</v>
      </c>
      <c r="G1513" s="144" t="s">
        <v>760</v>
      </c>
      <c r="H1513" s="40" t="s">
        <v>123</v>
      </c>
      <c r="I1513" s="31" t="s">
        <v>290</v>
      </c>
    </row>
    <row r="1514" spans="1:9" s="58" customFormat="1" ht="21.6" customHeight="1">
      <c r="A1514" s="27">
        <v>1711</v>
      </c>
      <c r="B1514" s="104" t="s">
        <v>39</v>
      </c>
      <c r="C1514" s="104" t="s">
        <v>917</v>
      </c>
      <c r="D1514" s="39" t="s">
        <v>1627</v>
      </c>
      <c r="E1514" s="3" t="s">
        <v>918</v>
      </c>
      <c r="F1514" s="29">
        <v>200</v>
      </c>
      <c r="G1514" s="144" t="s">
        <v>642</v>
      </c>
      <c r="H1514" s="40" t="s">
        <v>123</v>
      </c>
      <c r="I1514" s="31" t="s">
        <v>910</v>
      </c>
    </row>
    <row r="1515" spans="1:9" s="58" customFormat="1" ht="21.6" customHeight="1">
      <c r="A1515" s="27">
        <v>1712</v>
      </c>
      <c r="B1515" s="104" t="s">
        <v>39</v>
      </c>
      <c r="C1515" s="104" t="s">
        <v>643</v>
      </c>
      <c r="D1515" s="39" t="s">
        <v>1525</v>
      </c>
      <c r="E1515" s="3" t="s">
        <v>644</v>
      </c>
      <c r="F1515" s="29">
        <v>150</v>
      </c>
      <c r="G1515" s="144" t="s">
        <v>645</v>
      </c>
      <c r="H1515" s="40" t="s">
        <v>123</v>
      </c>
      <c r="I1515" s="31"/>
    </row>
    <row r="1516" spans="1:9" s="81" customFormat="1" ht="21.6" customHeight="1">
      <c r="A1516" s="27">
        <v>1713</v>
      </c>
      <c r="B1516" s="104" t="s">
        <v>39</v>
      </c>
      <c r="C1516" s="104" t="s">
        <v>919</v>
      </c>
      <c r="D1516" s="34" t="s">
        <v>1628</v>
      </c>
      <c r="E1516" s="35" t="s">
        <v>920</v>
      </c>
      <c r="F1516" s="40" t="s">
        <v>123</v>
      </c>
      <c r="G1516" s="145" t="s">
        <v>585</v>
      </c>
      <c r="H1516" s="40" t="s">
        <v>123</v>
      </c>
      <c r="I1516" s="56" t="s">
        <v>904</v>
      </c>
    </row>
    <row r="1517" spans="1:9" s="81" customFormat="1" ht="21.6" customHeight="1">
      <c r="A1517" s="27">
        <v>1714</v>
      </c>
      <c r="B1517" s="104" t="s">
        <v>39</v>
      </c>
      <c r="C1517" s="104" t="s">
        <v>921</v>
      </c>
      <c r="D1517" s="34" t="s">
        <v>1629</v>
      </c>
      <c r="E1517" s="35" t="s">
        <v>922</v>
      </c>
      <c r="F1517" s="40" t="s">
        <v>123</v>
      </c>
      <c r="G1517" s="145" t="s">
        <v>585</v>
      </c>
      <c r="H1517" s="40" t="s">
        <v>123</v>
      </c>
      <c r="I1517" s="56" t="s">
        <v>907</v>
      </c>
    </row>
    <row r="1518" spans="1:9" s="81" customFormat="1" ht="21.6" customHeight="1">
      <c r="A1518" s="27">
        <v>1715</v>
      </c>
      <c r="B1518" s="104" t="s">
        <v>39</v>
      </c>
      <c r="C1518" s="104" t="s">
        <v>923</v>
      </c>
      <c r="D1518" s="34" t="s">
        <v>1630</v>
      </c>
      <c r="E1518" s="35" t="s">
        <v>924</v>
      </c>
      <c r="F1518" s="40" t="s">
        <v>123</v>
      </c>
      <c r="G1518" s="145" t="s">
        <v>129</v>
      </c>
      <c r="H1518" s="40" t="s">
        <v>123</v>
      </c>
      <c r="I1518" s="56" t="s">
        <v>925</v>
      </c>
    </row>
    <row r="1519" spans="1:9" ht="21.6" customHeight="1">
      <c r="A1519" s="27">
        <v>1716</v>
      </c>
      <c r="B1519" s="104" t="s">
        <v>39</v>
      </c>
      <c r="C1519" s="104" t="s">
        <v>926</v>
      </c>
      <c r="D1519" s="34" t="s">
        <v>1631</v>
      </c>
      <c r="E1519" s="35" t="s">
        <v>927</v>
      </c>
      <c r="F1519" s="40" t="s">
        <v>123</v>
      </c>
      <c r="G1519" s="145" t="s">
        <v>772</v>
      </c>
      <c r="H1519" s="40" t="s">
        <v>123</v>
      </c>
      <c r="I1519" s="56" t="s">
        <v>925</v>
      </c>
    </row>
    <row r="1520" spans="1:9" ht="21.6" customHeight="1">
      <c r="A1520" s="27">
        <v>1717</v>
      </c>
      <c r="B1520" s="104" t="s">
        <v>39</v>
      </c>
      <c r="C1520" s="104" t="s">
        <v>928</v>
      </c>
      <c r="D1520" s="34" t="s">
        <v>1632</v>
      </c>
      <c r="E1520" s="35" t="s">
        <v>929</v>
      </c>
      <c r="F1520" s="40" t="s">
        <v>123</v>
      </c>
      <c r="G1520" s="145" t="s">
        <v>775</v>
      </c>
      <c r="H1520" s="40" t="s">
        <v>123</v>
      </c>
      <c r="I1520" s="56" t="s">
        <v>925</v>
      </c>
    </row>
    <row r="1521" spans="1:9" ht="21.6" customHeight="1">
      <c r="A1521" s="27">
        <v>1718</v>
      </c>
      <c r="B1521" s="104" t="s">
        <v>39</v>
      </c>
      <c r="C1521" s="104" t="s">
        <v>930</v>
      </c>
      <c r="D1521" s="34" t="s">
        <v>1633</v>
      </c>
      <c r="E1521" s="35" t="s">
        <v>931</v>
      </c>
      <c r="F1521" s="40" t="s">
        <v>123</v>
      </c>
      <c r="G1521" s="145" t="s">
        <v>778</v>
      </c>
      <c r="H1521" s="40" t="s">
        <v>123</v>
      </c>
      <c r="I1521" s="56" t="s">
        <v>925</v>
      </c>
    </row>
    <row r="1522" spans="1:9" s="81" customFormat="1" ht="21.6" customHeight="1">
      <c r="A1522" s="27">
        <v>1719</v>
      </c>
      <c r="B1522" s="104" t="s">
        <v>39</v>
      </c>
      <c r="C1522" s="104" t="s">
        <v>932</v>
      </c>
      <c r="D1522" s="34" t="s">
        <v>1634</v>
      </c>
      <c r="E1522" s="35" t="s">
        <v>933</v>
      </c>
      <c r="F1522" s="40" t="s">
        <v>123</v>
      </c>
      <c r="G1522" s="145" t="s">
        <v>129</v>
      </c>
      <c r="H1522" s="40" t="s">
        <v>123</v>
      </c>
      <c r="I1522" s="56" t="s">
        <v>934</v>
      </c>
    </row>
    <row r="1523" spans="1:9" ht="21.6" customHeight="1">
      <c r="A1523" s="27">
        <v>1720</v>
      </c>
      <c r="B1523" s="104" t="s">
        <v>39</v>
      </c>
      <c r="C1523" s="104" t="s">
        <v>935</v>
      </c>
      <c r="D1523" s="34" t="s">
        <v>1635</v>
      </c>
      <c r="E1523" s="35" t="s">
        <v>936</v>
      </c>
      <c r="F1523" s="40" t="s">
        <v>123</v>
      </c>
      <c r="G1523" s="145" t="s">
        <v>772</v>
      </c>
      <c r="H1523" s="40" t="s">
        <v>123</v>
      </c>
      <c r="I1523" s="56" t="s">
        <v>934</v>
      </c>
    </row>
    <row r="1524" spans="1:9" ht="21.6" customHeight="1">
      <c r="A1524" s="27">
        <v>1721</v>
      </c>
      <c r="B1524" s="104" t="s">
        <v>39</v>
      </c>
      <c r="C1524" s="104" t="s">
        <v>937</v>
      </c>
      <c r="D1524" s="34" t="s">
        <v>1636</v>
      </c>
      <c r="E1524" s="35" t="s">
        <v>938</v>
      </c>
      <c r="F1524" s="40" t="s">
        <v>123</v>
      </c>
      <c r="G1524" s="145" t="s">
        <v>775</v>
      </c>
      <c r="H1524" s="40" t="s">
        <v>123</v>
      </c>
      <c r="I1524" s="56" t="s">
        <v>934</v>
      </c>
    </row>
    <row r="1525" spans="1:9" ht="21.6" customHeight="1">
      <c r="A1525" s="27">
        <v>1722</v>
      </c>
      <c r="B1525" s="104" t="s">
        <v>39</v>
      </c>
      <c r="C1525" s="104" t="s">
        <v>939</v>
      </c>
      <c r="D1525" s="34" t="s">
        <v>1637</v>
      </c>
      <c r="E1525" s="35" t="s">
        <v>940</v>
      </c>
      <c r="F1525" s="40" t="s">
        <v>123</v>
      </c>
      <c r="G1525" s="145" t="s">
        <v>778</v>
      </c>
      <c r="H1525" s="40" t="s">
        <v>123</v>
      </c>
      <c r="I1525" s="56" t="s">
        <v>934</v>
      </c>
    </row>
    <row r="1526" spans="1:9" s="81" customFormat="1" ht="21.6" customHeight="1">
      <c r="A1526" s="41">
        <v>1723</v>
      </c>
      <c r="B1526" s="104" t="s">
        <v>39</v>
      </c>
      <c r="C1526" s="104" t="s">
        <v>650</v>
      </c>
      <c r="D1526" s="34" t="s">
        <v>1528</v>
      </c>
      <c r="E1526" s="35" t="s">
        <v>651</v>
      </c>
      <c r="F1526" s="40" t="s">
        <v>123</v>
      </c>
      <c r="G1526" s="144" t="s">
        <v>1821</v>
      </c>
      <c r="H1526" s="40" t="s">
        <v>123</v>
      </c>
      <c r="I1526" s="56"/>
    </row>
    <row r="1527" spans="1:9" s="81" customFormat="1" ht="21.6" customHeight="1">
      <c r="A1527" s="41">
        <v>1724</v>
      </c>
      <c r="B1527" s="84" t="s">
        <v>39</v>
      </c>
      <c r="C1527" s="84" t="s">
        <v>941</v>
      </c>
      <c r="D1527" s="84" t="s">
        <v>1638</v>
      </c>
      <c r="E1527" s="83" t="s">
        <v>942</v>
      </c>
      <c r="F1527" s="85" t="s">
        <v>654</v>
      </c>
      <c r="G1527" s="150" t="s">
        <v>1805</v>
      </c>
      <c r="H1527" s="85" t="s">
        <v>123</v>
      </c>
      <c r="I1527" s="86"/>
    </row>
    <row r="1528" spans="1:9" s="81" customFormat="1" ht="21.6" customHeight="1">
      <c r="A1528" s="20">
        <v>1725</v>
      </c>
      <c r="B1528" s="73" t="s">
        <v>1309</v>
      </c>
      <c r="C1528" s="73" t="s">
        <v>587</v>
      </c>
      <c r="D1528" s="73" t="s">
        <v>1504</v>
      </c>
      <c r="E1528" s="72" t="s">
        <v>588</v>
      </c>
      <c r="F1528" s="74">
        <v>150</v>
      </c>
      <c r="G1528" s="143" t="s">
        <v>589</v>
      </c>
      <c r="H1528" s="74">
        <v>1</v>
      </c>
      <c r="I1528" s="75" t="s">
        <v>886</v>
      </c>
    </row>
    <row r="1529" spans="1:9" s="81" customFormat="1" ht="21.6" customHeight="1">
      <c r="A1529" s="106">
        <v>1726</v>
      </c>
      <c r="B1529" s="104" t="s">
        <v>1309</v>
      </c>
      <c r="C1529" s="104" t="s">
        <v>840</v>
      </c>
      <c r="D1529" s="104" t="s">
        <v>1595</v>
      </c>
      <c r="E1529" s="82" t="s">
        <v>841</v>
      </c>
      <c r="F1529" s="107">
        <v>75</v>
      </c>
      <c r="G1529" s="150" t="s">
        <v>887</v>
      </c>
      <c r="H1529" s="108">
        <v>3</v>
      </c>
      <c r="I1529" s="109" t="s">
        <v>888</v>
      </c>
    </row>
    <row r="1530" spans="1:9" s="81" customFormat="1" ht="21.6" customHeight="1">
      <c r="A1530" s="27">
        <v>1727</v>
      </c>
      <c r="B1530" s="104" t="s">
        <v>1309</v>
      </c>
      <c r="C1530" s="104" t="s">
        <v>591</v>
      </c>
      <c r="D1530" s="34" t="s">
        <v>1505</v>
      </c>
      <c r="E1530" s="35" t="s">
        <v>592</v>
      </c>
      <c r="F1530" s="40" t="s">
        <v>891</v>
      </c>
      <c r="G1530" s="145" t="s">
        <v>502</v>
      </c>
      <c r="H1530" s="40">
        <v>1</v>
      </c>
      <c r="I1530" s="56"/>
    </row>
    <row r="1531" spans="1:9" s="81" customFormat="1" ht="21.6" customHeight="1">
      <c r="A1531" s="27">
        <v>1728</v>
      </c>
      <c r="B1531" s="104" t="s">
        <v>1309</v>
      </c>
      <c r="C1531" s="104" t="s">
        <v>943</v>
      </c>
      <c r="D1531" s="34" t="s">
        <v>1639</v>
      </c>
      <c r="E1531" s="35" t="s">
        <v>944</v>
      </c>
      <c r="F1531" s="76">
        <v>150</v>
      </c>
      <c r="G1531" s="145" t="s">
        <v>703</v>
      </c>
      <c r="H1531" s="40">
        <v>1</v>
      </c>
      <c r="I1531" s="56"/>
    </row>
    <row r="1532" spans="1:9" s="81" customFormat="1" ht="21.6" customHeight="1">
      <c r="A1532" s="27">
        <v>1729</v>
      </c>
      <c r="B1532" s="104" t="s">
        <v>1309</v>
      </c>
      <c r="C1532" s="104" t="s">
        <v>945</v>
      </c>
      <c r="D1532" s="34" t="s">
        <v>1640</v>
      </c>
      <c r="E1532" s="35" t="s">
        <v>946</v>
      </c>
      <c r="F1532" s="40">
        <v>150</v>
      </c>
      <c r="G1532" s="144" t="s">
        <v>706</v>
      </c>
      <c r="H1532" s="40">
        <v>1</v>
      </c>
      <c r="I1532" s="56"/>
    </row>
    <row r="1533" spans="1:9" s="81" customFormat="1" ht="21.6" customHeight="1">
      <c r="A1533" s="27">
        <v>1730</v>
      </c>
      <c r="B1533" s="104" t="s">
        <v>1309</v>
      </c>
      <c r="C1533" s="104" t="s">
        <v>947</v>
      </c>
      <c r="D1533" s="34" t="s">
        <v>1641</v>
      </c>
      <c r="E1533" s="35" t="s">
        <v>948</v>
      </c>
      <c r="F1533" s="40">
        <v>150</v>
      </c>
      <c r="G1533" s="145" t="s">
        <v>709</v>
      </c>
      <c r="H1533" s="40">
        <v>1</v>
      </c>
      <c r="I1533" s="56"/>
    </row>
    <row r="1534" spans="1:9" s="81" customFormat="1" ht="21.6" customHeight="1">
      <c r="A1534" s="27">
        <v>1731</v>
      </c>
      <c r="B1534" s="104" t="s">
        <v>1309</v>
      </c>
      <c r="C1534" s="104" t="s">
        <v>593</v>
      </c>
      <c r="D1534" s="34" t="s">
        <v>1506</v>
      </c>
      <c r="E1534" s="35" t="s">
        <v>594</v>
      </c>
      <c r="F1534" s="40" t="s">
        <v>898</v>
      </c>
      <c r="G1534" s="145" t="s">
        <v>415</v>
      </c>
      <c r="H1534" s="40">
        <v>1</v>
      </c>
      <c r="I1534" s="56"/>
    </row>
    <row r="1535" spans="1:9" s="81" customFormat="1" ht="21.6" customHeight="1">
      <c r="A1535" s="27">
        <v>1732</v>
      </c>
      <c r="B1535" s="104" t="s">
        <v>1309</v>
      </c>
      <c r="C1535" s="104" t="s">
        <v>595</v>
      </c>
      <c r="D1535" s="34" t="s">
        <v>1507</v>
      </c>
      <c r="E1535" s="35" t="s">
        <v>596</v>
      </c>
      <c r="F1535" s="40">
        <v>150</v>
      </c>
      <c r="G1535" s="144" t="s">
        <v>597</v>
      </c>
      <c r="H1535" s="40">
        <v>1</v>
      </c>
      <c r="I1535" s="56"/>
    </row>
    <row r="1536" spans="1:9" s="81" customFormat="1" ht="21.6" customHeight="1">
      <c r="A1536" s="27">
        <v>1733</v>
      </c>
      <c r="B1536" s="104" t="s">
        <v>1309</v>
      </c>
      <c r="C1536" s="104" t="s">
        <v>949</v>
      </c>
      <c r="D1536" s="34" t="s">
        <v>1642</v>
      </c>
      <c r="E1536" s="35" t="s">
        <v>950</v>
      </c>
      <c r="F1536" s="76">
        <v>75</v>
      </c>
      <c r="G1536" s="144" t="s">
        <v>901</v>
      </c>
      <c r="H1536" s="40">
        <v>3</v>
      </c>
      <c r="I1536" s="56"/>
    </row>
    <row r="1537" spans="1:9" s="81" customFormat="1" ht="21.6" customHeight="1">
      <c r="A1537" s="27">
        <v>1734</v>
      </c>
      <c r="B1537" s="104" t="s">
        <v>1309</v>
      </c>
      <c r="C1537" s="104" t="s">
        <v>598</v>
      </c>
      <c r="D1537" s="34" t="s">
        <v>1508</v>
      </c>
      <c r="E1537" s="35" t="s">
        <v>599</v>
      </c>
      <c r="F1537" s="40" t="s">
        <v>898</v>
      </c>
      <c r="G1537" s="145" t="s">
        <v>600</v>
      </c>
      <c r="H1537" s="40">
        <v>4</v>
      </c>
      <c r="I1537" s="56"/>
    </row>
    <row r="1538" spans="1:9" s="81" customFormat="1" ht="21.6" customHeight="1">
      <c r="A1538" s="27">
        <v>1735</v>
      </c>
      <c r="B1538" s="104" t="s">
        <v>1309</v>
      </c>
      <c r="C1538" s="104" t="s">
        <v>601</v>
      </c>
      <c r="D1538" s="34" t="s">
        <v>1509</v>
      </c>
      <c r="E1538" s="35" t="s">
        <v>602</v>
      </c>
      <c r="F1538" s="40" t="s">
        <v>898</v>
      </c>
      <c r="G1538" s="144" t="s">
        <v>1822</v>
      </c>
      <c r="H1538" s="40">
        <v>8</v>
      </c>
      <c r="I1538" s="56"/>
    </row>
    <row r="1539" spans="1:9" s="81" customFormat="1" ht="21.6" customHeight="1">
      <c r="A1539" s="27">
        <v>1736</v>
      </c>
      <c r="B1539" s="104" t="s">
        <v>1309</v>
      </c>
      <c r="C1539" s="104" t="s">
        <v>603</v>
      </c>
      <c r="D1539" s="34" t="s">
        <v>1510</v>
      </c>
      <c r="E1539" s="35" t="s">
        <v>604</v>
      </c>
      <c r="F1539" s="40" t="s">
        <v>898</v>
      </c>
      <c r="G1539" s="144" t="s">
        <v>1823</v>
      </c>
      <c r="H1539" s="40">
        <v>4</v>
      </c>
      <c r="I1539" s="56"/>
    </row>
    <row r="1540" spans="1:9" s="81" customFormat="1" ht="21.6" customHeight="1">
      <c r="A1540" s="27">
        <v>1737</v>
      </c>
      <c r="B1540" s="104" t="s">
        <v>1309</v>
      </c>
      <c r="C1540" s="104" t="s">
        <v>605</v>
      </c>
      <c r="D1540" s="34" t="s">
        <v>1511</v>
      </c>
      <c r="E1540" s="35" t="s">
        <v>606</v>
      </c>
      <c r="F1540" s="40">
        <v>150</v>
      </c>
      <c r="G1540" s="145" t="s">
        <v>533</v>
      </c>
      <c r="H1540" s="40">
        <v>1</v>
      </c>
      <c r="I1540" s="56"/>
    </row>
    <row r="1541" spans="1:9" s="81" customFormat="1" ht="21.6" customHeight="1">
      <c r="A1541" s="27">
        <v>1738</v>
      </c>
      <c r="B1541" s="104" t="s">
        <v>1309</v>
      </c>
      <c r="C1541" s="104" t="s">
        <v>607</v>
      </c>
      <c r="D1541" s="34" t="s">
        <v>1512</v>
      </c>
      <c r="E1541" s="35" t="s">
        <v>608</v>
      </c>
      <c r="F1541" s="40">
        <v>150</v>
      </c>
      <c r="G1541" s="145" t="s">
        <v>1812</v>
      </c>
      <c r="H1541" s="40">
        <v>1</v>
      </c>
      <c r="I1541" s="56"/>
    </row>
    <row r="1542" spans="1:9" s="81" customFormat="1" ht="21.6" customHeight="1">
      <c r="A1542" s="27">
        <v>1739</v>
      </c>
      <c r="B1542" s="104" t="s">
        <v>1309</v>
      </c>
      <c r="C1542" s="104" t="s">
        <v>609</v>
      </c>
      <c r="D1542" s="34" t="s">
        <v>1513</v>
      </c>
      <c r="E1542" s="35" t="s">
        <v>610</v>
      </c>
      <c r="F1542" s="40">
        <v>150</v>
      </c>
      <c r="G1542" s="145" t="s">
        <v>1824</v>
      </c>
      <c r="H1542" s="40">
        <v>1</v>
      </c>
      <c r="I1542" s="56"/>
    </row>
    <row r="1543" spans="1:9" s="81" customFormat="1" ht="21.6" customHeight="1">
      <c r="A1543" s="27">
        <v>1740</v>
      </c>
      <c r="B1543" s="104" t="s">
        <v>1309</v>
      </c>
      <c r="C1543" s="104" t="s">
        <v>611</v>
      </c>
      <c r="D1543" s="34" t="s">
        <v>1514</v>
      </c>
      <c r="E1543" s="35" t="s">
        <v>612</v>
      </c>
      <c r="F1543" s="40">
        <v>150</v>
      </c>
      <c r="G1543" s="145" t="s">
        <v>1825</v>
      </c>
      <c r="H1543" s="40">
        <v>1</v>
      </c>
      <c r="I1543" s="56"/>
    </row>
    <row r="1544" spans="1:9" s="81" customFormat="1" ht="21.6" customHeight="1">
      <c r="A1544" s="27">
        <v>1741</v>
      </c>
      <c r="B1544" s="104" t="s">
        <v>1309</v>
      </c>
      <c r="C1544" s="104" t="s">
        <v>613</v>
      </c>
      <c r="D1544" s="34" t="s">
        <v>1515</v>
      </c>
      <c r="E1544" s="35" t="s">
        <v>614</v>
      </c>
      <c r="F1544" s="40">
        <v>150</v>
      </c>
      <c r="G1544" s="145" t="s">
        <v>1826</v>
      </c>
      <c r="H1544" s="40">
        <v>2</v>
      </c>
      <c r="I1544" s="56"/>
    </row>
    <row r="1545" spans="1:9" s="81" customFormat="1" ht="21.6" customHeight="1">
      <c r="A1545" s="27">
        <v>1742</v>
      </c>
      <c r="B1545" s="104" t="s">
        <v>1309</v>
      </c>
      <c r="C1545" s="104" t="s">
        <v>615</v>
      </c>
      <c r="D1545" s="34" t="s">
        <v>1516</v>
      </c>
      <c r="E1545" s="35" t="s">
        <v>616</v>
      </c>
      <c r="F1545" s="40">
        <v>450</v>
      </c>
      <c r="G1545" s="144" t="s">
        <v>101</v>
      </c>
      <c r="H1545" s="40">
        <v>2</v>
      </c>
      <c r="I1545" s="56" t="s">
        <v>617</v>
      </c>
    </row>
    <row r="1546" spans="1:9" s="81" customFormat="1" ht="21.6" customHeight="1">
      <c r="A1546" s="27">
        <v>1744</v>
      </c>
      <c r="B1546" s="104" t="s">
        <v>1309</v>
      </c>
      <c r="C1546" s="104" t="s">
        <v>951</v>
      </c>
      <c r="D1546" s="36" t="s">
        <v>1643</v>
      </c>
      <c r="E1546" s="37" t="s">
        <v>952</v>
      </c>
      <c r="F1546" s="40">
        <v>200</v>
      </c>
      <c r="G1546" s="145" t="s">
        <v>1809</v>
      </c>
      <c r="H1546" s="40">
        <v>1</v>
      </c>
      <c r="I1546" s="110" t="s">
        <v>953</v>
      </c>
    </row>
    <row r="1547" spans="1:9" s="81" customFormat="1" ht="21.6" customHeight="1">
      <c r="A1547" s="27">
        <v>1745</v>
      </c>
      <c r="B1547" s="104" t="s">
        <v>1309</v>
      </c>
      <c r="C1547" s="104" t="s">
        <v>620</v>
      </c>
      <c r="D1547" s="34" t="s">
        <v>1518</v>
      </c>
      <c r="E1547" s="35" t="s">
        <v>621</v>
      </c>
      <c r="F1547" s="40">
        <v>200</v>
      </c>
      <c r="G1547" s="145" t="s">
        <v>87</v>
      </c>
      <c r="H1547" s="40">
        <v>1</v>
      </c>
      <c r="I1547" s="56"/>
    </row>
    <row r="1548" spans="1:9" s="81" customFormat="1" ht="21.6" customHeight="1">
      <c r="A1548" s="27">
        <v>1746</v>
      </c>
      <c r="B1548" s="104" t="s">
        <v>1309</v>
      </c>
      <c r="C1548" s="104" t="s">
        <v>626</v>
      </c>
      <c r="D1548" s="34" t="s">
        <v>1521</v>
      </c>
      <c r="E1548" s="35" t="s">
        <v>627</v>
      </c>
      <c r="F1548" s="40">
        <v>200</v>
      </c>
      <c r="G1548" s="145" t="s">
        <v>628</v>
      </c>
      <c r="H1548" s="40">
        <v>2</v>
      </c>
      <c r="I1548" s="56"/>
    </row>
    <row r="1549" spans="1:9" s="81" customFormat="1" ht="21.6" customHeight="1">
      <c r="A1549" s="27">
        <v>1747</v>
      </c>
      <c r="B1549" s="104" t="s">
        <v>1309</v>
      </c>
      <c r="C1549" s="104" t="s">
        <v>629</v>
      </c>
      <c r="D1549" s="34" t="s">
        <v>1522</v>
      </c>
      <c r="E1549" s="35" t="s">
        <v>630</v>
      </c>
      <c r="F1549" s="40">
        <v>120</v>
      </c>
      <c r="G1549" s="144" t="s">
        <v>631</v>
      </c>
      <c r="H1549" s="40">
        <v>2</v>
      </c>
      <c r="I1549" s="56" t="s">
        <v>116</v>
      </c>
    </row>
    <row r="1550" spans="1:9" s="81" customFormat="1" ht="21.6" customHeight="1">
      <c r="A1550" s="27">
        <v>1748</v>
      </c>
      <c r="B1550" s="104" t="s">
        <v>1309</v>
      </c>
      <c r="C1550" s="104" t="s">
        <v>329</v>
      </c>
      <c r="D1550" s="80" t="s">
        <v>1409</v>
      </c>
      <c r="E1550" s="35" t="s">
        <v>330</v>
      </c>
      <c r="F1550" s="40">
        <v>120</v>
      </c>
      <c r="G1550" s="144" t="s">
        <v>115</v>
      </c>
      <c r="H1550" s="40">
        <v>1</v>
      </c>
      <c r="I1550" s="56" t="s">
        <v>116</v>
      </c>
    </row>
    <row r="1551" spans="1:9" s="58" customFormat="1" ht="21.6" customHeight="1">
      <c r="A1551" s="27">
        <v>1749</v>
      </c>
      <c r="B1551" s="104" t="s">
        <v>1309</v>
      </c>
      <c r="C1551" s="104" t="s">
        <v>264</v>
      </c>
      <c r="D1551" s="50" t="s">
        <v>1389</v>
      </c>
      <c r="E1551" s="51" t="s">
        <v>265</v>
      </c>
      <c r="F1551" s="29">
        <v>80</v>
      </c>
      <c r="G1551" s="144" t="s">
        <v>1829</v>
      </c>
      <c r="H1551" s="29">
        <v>1</v>
      </c>
      <c r="I1551" s="31" t="s">
        <v>318</v>
      </c>
    </row>
    <row r="1552" spans="1:9" s="58" customFormat="1" ht="21.6" customHeight="1">
      <c r="A1552" s="27">
        <v>1750</v>
      </c>
      <c r="B1552" s="104" t="s">
        <v>1309</v>
      </c>
      <c r="C1552" s="104" t="s">
        <v>268</v>
      </c>
      <c r="D1552" s="50" t="s">
        <v>1390</v>
      </c>
      <c r="E1552" s="51" t="s">
        <v>269</v>
      </c>
      <c r="F1552" s="29">
        <v>80</v>
      </c>
      <c r="G1552" s="144" t="s">
        <v>633</v>
      </c>
      <c r="H1552" s="29">
        <v>1</v>
      </c>
      <c r="I1552" s="31" t="s">
        <v>318</v>
      </c>
    </row>
    <row r="1553" spans="1:9" s="58" customFormat="1" ht="21.6" customHeight="1">
      <c r="A1553" s="27">
        <v>1751</v>
      </c>
      <c r="B1553" s="104" t="s">
        <v>1309</v>
      </c>
      <c r="C1553" s="104" t="s">
        <v>271</v>
      </c>
      <c r="D1553" s="50" t="s">
        <v>1391</v>
      </c>
      <c r="E1553" s="51" t="s">
        <v>272</v>
      </c>
      <c r="F1553" s="29">
        <v>80</v>
      </c>
      <c r="G1553" s="144" t="s">
        <v>1830</v>
      </c>
      <c r="H1553" s="29">
        <v>1</v>
      </c>
      <c r="I1553" s="31" t="s">
        <v>318</v>
      </c>
    </row>
    <row r="1554" spans="1:9" s="26" customFormat="1" ht="21.6" customHeight="1">
      <c r="A1554" s="27">
        <v>1752</v>
      </c>
      <c r="B1554" s="104" t="s">
        <v>1309</v>
      </c>
      <c r="C1554" s="104" t="s">
        <v>225</v>
      </c>
      <c r="D1554" s="39" t="s">
        <v>1375</v>
      </c>
      <c r="E1554" s="3" t="s">
        <v>226</v>
      </c>
      <c r="F1554" s="29">
        <v>120</v>
      </c>
      <c r="G1554" s="144" t="s">
        <v>1781</v>
      </c>
      <c r="H1554" s="29">
        <v>2</v>
      </c>
      <c r="I1554" s="31" t="s">
        <v>364</v>
      </c>
    </row>
    <row r="1555" spans="1:9" s="26" customFormat="1" ht="21.6" customHeight="1">
      <c r="A1555" s="27">
        <v>1753</v>
      </c>
      <c r="B1555" s="104" t="s">
        <v>1309</v>
      </c>
      <c r="C1555" s="104" t="s">
        <v>229</v>
      </c>
      <c r="D1555" s="39" t="s">
        <v>1376</v>
      </c>
      <c r="E1555" s="51" t="s">
        <v>230</v>
      </c>
      <c r="F1555" s="29">
        <v>120</v>
      </c>
      <c r="G1555" s="144" t="s">
        <v>278</v>
      </c>
      <c r="H1555" s="29">
        <v>1</v>
      </c>
      <c r="I1555" s="31" t="s">
        <v>364</v>
      </c>
    </row>
    <row r="1556" spans="1:9" s="26" customFormat="1" ht="21.6" customHeight="1">
      <c r="A1556" s="27">
        <v>1754</v>
      </c>
      <c r="B1556" s="104" t="s">
        <v>1309</v>
      </c>
      <c r="C1556" s="104" t="s">
        <v>323</v>
      </c>
      <c r="D1556" s="39" t="s">
        <v>1407</v>
      </c>
      <c r="E1556" s="51" t="s">
        <v>324</v>
      </c>
      <c r="F1556" s="29">
        <v>120</v>
      </c>
      <c r="G1556" s="144" t="s">
        <v>1782</v>
      </c>
      <c r="H1556" s="29">
        <v>1</v>
      </c>
      <c r="I1556" s="31" t="s">
        <v>325</v>
      </c>
    </row>
    <row r="1557" spans="1:9" s="26" customFormat="1" ht="21.6" customHeight="1">
      <c r="A1557" s="27">
        <v>1755</v>
      </c>
      <c r="B1557" s="104" t="s">
        <v>1309</v>
      </c>
      <c r="C1557" s="104" t="s">
        <v>284</v>
      </c>
      <c r="D1557" s="50" t="s">
        <v>1395</v>
      </c>
      <c r="E1557" s="51" t="s">
        <v>226</v>
      </c>
      <c r="F1557" s="29">
        <v>120</v>
      </c>
      <c r="G1557" s="144" t="s">
        <v>285</v>
      </c>
      <c r="H1557" s="29">
        <v>1</v>
      </c>
      <c r="I1557" s="31" t="s">
        <v>325</v>
      </c>
    </row>
    <row r="1558" spans="1:9" s="26" customFormat="1" ht="21.6" customHeight="1">
      <c r="A1558" s="27">
        <v>1756</v>
      </c>
      <c r="B1558" s="104" t="s">
        <v>1309</v>
      </c>
      <c r="C1558" s="104" t="s">
        <v>287</v>
      </c>
      <c r="D1558" s="50" t="s">
        <v>1396</v>
      </c>
      <c r="E1558" s="51" t="s">
        <v>288</v>
      </c>
      <c r="F1558" s="29">
        <v>120</v>
      </c>
      <c r="G1558" s="144" t="s">
        <v>282</v>
      </c>
      <c r="H1558" s="29">
        <v>1</v>
      </c>
      <c r="I1558" s="31" t="s">
        <v>325</v>
      </c>
    </row>
    <row r="1559" spans="1:9" s="58" customFormat="1" ht="21.6" customHeight="1">
      <c r="A1559" s="27">
        <v>1757</v>
      </c>
      <c r="B1559" s="104" t="s">
        <v>1309</v>
      </c>
      <c r="C1559" s="104" t="s">
        <v>326</v>
      </c>
      <c r="D1559" s="50" t="s">
        <v>1408</v>
      </c>
      <c r="E1559" s="51" t="s">
        <v>327</v>
      </c>
      <c r="F1559" s="29">
        <v>320</v>
      </c>
      <c r="G1559" s="144" t="s">
        <v>237</v>
      </c>
      <c r="H1559" s="29">
        <v>2</v>
      </c>
      <c r="I1559" s="31" t="s">
        <v>328</v>
      </c>
    </row>
    <row r="1560" spans="1:9" s="58" customFormat="1" ht="21.6" customHeight="1">
      <c r="A1560" s="27">
        <v>1758</v>
      </c>
      <c r="B1560" s="104" t="s">
        <v>1309</v>
      </c>
      <c r="C1560" s="104" t="s">
        <v>329</v>
      </c>
      <c r="D1560" s="50" t="s">
        <v>1409</v>
      </c>
      <c r="E1560" s="51" t="s">
        <v>330</v>
      </c>
      <c r="F1560" s="29">
        <v>320</v>
      </c>
      <c r="G1560" s="144" t="s">
        <v>634</v>
      </c>
      <c r="H1560" s="29">
        <v>1</v>
      </c>
      <c r="I1560" s="31" t="s">
        <v>328</v>
      </c>
    </row>
    <row r="1561" spans="1:9" ht="21.6" customHeight="1">
      <c r="A1561" s="27">
        <v>1759</v>
      </c>
      <c r="B1561" s="132" t="s">
        <v>1309</v>
      </c>
      <c r="C1561" s="132" t="s">
        <v>332</v>
      </c>
      <c r="D1561" s="34" t="s">
        <v>1410</v>
      </c>
      <c r="E1561" s="35" t="s">
        <v>333</v>
      </c>
      <c r="F1561" s="40">
        <v>500</v>
      </c>
      <c r="G1561" s="144" t="s">
        <v>1784</v>
      </c>
      <c r="H1561" s="40">
        <v>2</v>
      </c>
      <c r="I1561" s="55" t="s">
        <v>334</v>
      </c>
    </row>
    <row r="1562" spans="1:9" ht="21.6" customHeight="1">
      <c r="A1562" s="27">
        <v>1760</v>
      </c>
      <c r="B1562" s="132" t="s">
        <v>1309</v>
      </c>
      <c r="C1562" s="132" t="s">
        <v>335</v>
      </c>
      <c r="D1562" s="34" t="s">
        <v>1411</v>
      </c>
      <c r="E1562" s="35" t="s">
        <v>336</v>
      </c>
      <c r="F1562" s="40">
        <v>500</v>
      </c>
      <c r="G1562" s="144" t="s">
        <v>337</v>
      </c>
      <c r="H1562" s="40">
        <v>1</v>
      </c>
      <c r="I1562" s="55" t="s">
        <v>338</v>
      </c>
    </row>
    <row r="1563" spans="1:9" ht="21.6" customHeight="1">
      <c r="A1563" s="27">
        <v>1761</v>
      </c>
      <c r="B1563" s="132" t="s">
        <v>1309</v>
      </c>
      <c r="C1563" s="132" t="s">
        <v>339</v>
      </c>
      <c r="D1563" s="34" t="s">
        <v>1412</v>
      </c>
      <c r="E1563" s="35" t="s">
        <v>340</v>
      </c>
      <c r="F1563" s="40">
        <v>500</v>
      </c>
      <c r="G1563" s="145" t="s">
        <v>341</v>
      </c>
      <c r="H1563" s="40">
        <v>1</v>
      </c>
      <c r="I1563" s="55" t="s">
        <v>338</v>
      </c>
    </row>
    <row r="1564" spans="1:9" s="81" customFormat="1" ht="21.6" customHeight="1">
      <c r="A1564" s="27">
        <v>1762</v>
      </c>
      <c r="B1564" s="104" t="s">
        <v>1309</v>
      </c>
      <c r="C1564" s="104" t="s">
        <v>635</v>
      </c>
      <c r="D1564" s="80" t="s">
        <v>1523</v>
      </c>
      <c r="E1564" s="35" t="s">
        <v>636</v>
      </c>
      <c r="F1564" s="40">
        <v>150</v>
      </c>
      <c r="G1564" s="144" t="s">
        <v>637</v>
      </c>
      <c r="H1564" s="40" t="s">
        <v>123</v>
      </c>
      <c r="I1564" s="56"/>
    </row>
    <row r="1565" spans="1:9" s="81" customFormat="1" ht="21.6" customHeight="1">
      <c r="A1565" s="27">
        <v>1763</v>
      </c>
      <c r="B1565" s="104" t="s">
        <v>1309</v>
      </c>
      <c r="C1565" s="104" t="s">
        <v>954</v>
      </c>
      <c r="D1565" s="34" t="s">
        <v>1644</v>
      </c>
      <c r="E1565" s="35" t="s">
        <v>955</v>
      </c>
      <c r="F1565" s="40">
        <v>75</v>
      </c>
      <c r="G1565" s="144" t="s">
        <v>755</v>
      </c>
      <c r="H1565" s="40" t="s">
        <v>123</v>
      </c>
      <c r="I1565" s="56"/>
    </row>
    <row r="1566" spans="1:9" s="58" customFormat="1" ht="21.6" customHeight="1">
      <c r="A1566" s="27">
        <v>1764</v>
      </c>
      <c r="B1566" s="104" t="s">
        <v>1309</v>
      </c>
      <c r="C1566" s="104" t="s">
        <v>295</v>
      </c>
      <c r="D1566" s="39" t="s">
        <v>1399</v>
      </c>
      <c r="E1566" s="3" t="s">
        <v>296</v>
      </c>
      <c r="F1566" s="29">
        <v>80</v>
      </c>
      <c r="G1566" s="144" t="s">
        <v>638</v>
      </c>
      <c r="H1566" s="40" t="s">
        <v>123</v>
      </c>
      <c r="I1566" s="31" t="s">
        <v>639</v>
      </c>
    </row>
    <row r="1567" spans="1:9" s="26" customFormat="1" ht="21.6" customHeight="1">
      <c r="A1567" s="27">
        <v>1765</v>
      </c>
      <c r="B1567" s="104" t="s">
        <v>1309</v>
      </c>
      <c r="C1567" s="104" t="s">
        <v>298</v>
      </c>
      <c r="D1567" s="39" t="s">
        <v>1400</v>
      </c>
      <c r="E1567" s="3" t="s">
        <v>299</v>
      </c>
      <c r="F1567" s="29">
        <v>120</v>
      </c>
      <c r="G1567" s="144" t="s">
        <v>300</v>
      </c>
      <c r="H1567" s="40" t="s">
        <v>123</v>
      </c>
      <c r="I1567" s="31" t="s">
        <v>321</v>
      </c>
    </row>
    <row r="1568" spans="1:9" s="26" customFormat="1" ht="21.6" customHeight="1">
      <c r="A1568" s="27">
        <v>1766</v>
      </c>
      <c r="B1568" s="104" t="s">
        <v>1309</v>
      </c>
      <c r="C1568" s="104" t="s">
        <v>345</v>
      </c>
      <c r="D1568" s="39" t="s">
        <v>1414</v>
      </c>
      <c r="E1568" s="3" t="s">
        <v>346</v>
      </c>
      <c r="F1568" s="29">
        <v>120</v>
      </c>
      <c r="G1568" s="144" t="s">
        <v>303</v>
      </c>
      <c r="H1568" s="40" t="s">
        <v>123</v>
      </c>
      <c r="I1568" s="31" t="s">
        <v>325</v>
      </c>
    </row>
    <row r="1569" spans="1:9" ht="21.6" customHeight="1">
      <c r="A1569" s="27">
        <v>1768</v>
      </c>
      <c r="B1569" s="132" t="s">
        <v>1309</v>
      </c>
      <c r="C1569" s="132" t="s">
        <v>347</v>
      </c>
      <c r="D1569" s="34" t="s">
        <v>1415</v>
      </c>
      <c r="E1569" s="35" t="s">
        <v>348</v>
      </c>
      <c r="F1569" s="40">
        <v>500</v>
      </c>
      <c r="G1569" s="144" t="s">
        <v>349</v>
      </c>
      <c r="H1569" s="40" t="s">
        <v>123</v>
      </c>
      <c r="I1569" s="55" t="s">
        <v>334</v>
      </c>
    </row>
    <row r="1570" spans="1:9" s="58" customFormat="1" ht="21.6" customHeight="1">
      <c r="A1570" s="27">
        <v>1770</v>
      </c>
      <c r="B1570" s="104" t="s">
        <v>1309</v>
      </c>
      <c r="C1570" s="104" t="s">
        <v>956</v>
      </c>
      <c r="D1570" s="102" t="s">
        <v>1645</v>
      </c>
      <c r="E1570" s="111" t="s">
        <v>957</v>
      </c>
      <c r="F1570" s="29">
        <v>200</v>
      </c>
      <c r="G1570" s="144" t="s">
        <v>642</v>
      </c>
      <c r="H1570" s="40" t="s">
        <v>123</v>
      </c>
      <c r="I1570" s="110" t="s">
        <v>910</v>
      </c>
    </row>
    <row r="1571" spans="1:9" s="58" customFormat="1" ht="21.6" customHeight="1">
      <c r="A1571" s="27">
        <v>1771</v>
      </c>
      <c r="B1571" s="104" t="s">
        <v>1309</v>
      </c>
      <c r="C1571" s="104" t="s">
        <v>643</v>
      </c>
      <c r="D1571" s="39" t="s">
        <v>1525</v>
      </c>
      <c r="E1571" s="3" t="s">
        <v>644</v>
      </c>
      <c r="F1571" s="29">
        <v>150</v>
      </c>
      <c r="G1571" s="144" t="s">
        <v>645</v>
      </c>
      <c r="H1571" s="40" t="s">
        <v>123</v>
      </c>
      <c r="I1571" s="31"/>
    </row>
    <row r="1572" spans="1:9" s="81" customFormat="1" ht="21.6" customHeight="1">
      <c r="A1572" s="27">
        <v>1773</v>
      </c>
      <c r="B1572" s="104" t="s">
        <v>1309</v>
      </c>
      <c r="C1572" s="104" t="s">
        <v>958</v>
      </c>
      <c r="D1572" s="36" t="s">
        <v>1646</v>
      </c>
      <c r="E1572" s="35" t="s">
        <v>959</v>
      </c>
      <c r="F1572" s="40" t="s">
        <v>123</v>
      </c>
      <c r="G1572" s="145" t="s">
        <v>585</v>
      </c>
      <c r="H1572" s="40" t="s">
        <v>123</v>
      </c>
      <c r="I1572" s="56" t="s">
        <v>960</v>
      </c>
    </row>
    <row r="1573" spans="1:9" s="81" customFormat="1" ht="21.6" customHeight="1">
      <c r="A1573" s="27">
        <v>1774</v>
      </c>
      <c r="B1573" s="104" t="s">
        <v>1309</v>
      </c>
      <c r="C1573" s="104" t="s">
        <v>961</v>
      </c>
      <c r="D1573" s="34" t="s">
        <v>1647</v>
      </c>
      <c r="E1573" s="35" t="s">
        <v>962</v>
      </c>
      <c r="F1573" s="40" t="s">
        <v>123</v>
      </c>
      <c r="G1573" s="145" t="s">
        <v>129</v>
      </c>
      <c r="H1573" s="40" t="s">
        <v>123</v>
      </c>
      <c r="I1573" s="56"/>
    </row>
    <row r="1574" spans="1:9" ht="21.6" customHeight="1">
      <c r="A1574" s="27">
        <v>1775</v>
      </c>
      <c r="B1574" s="104" t="s">
        <v>1309</v>
      </c>
      <c r="C1574" s="104" t="s">
        <v>963</v>
      </c>
      <c r="D1574" s="34" t="s">
        <v>1648</v>
      </c>
      <c r="E1574" s="35" t="s">
        <v>964</v>
      </c>
      <c r="F1574" s="40" t="s">
        <v>123</v>
      </c>
      <c r="G1574" s="145" t="s">
        <v>772</v>
      </c>
      <c r="H1574" s="40" t="s">
        <v>123</v>
      </c>
      <c r="I1574" s="56"/>
    </row>
    <row r="1575" spans="1:9" ht="21.6" customHeight="1">
      <c r="A1575" s="27">
        <v>1776</v>
      </c>
      <c r="B1575" s="104" t="s">
        <v>1309</v>
      </c>
      <c r="C1575" s="104" t="s">
        <v>965</v>
      </c>
      <c r="D1575" s="34" t="s">
        <v>1649</v>
      </c>
      <c r="E1575" s="35" t="s">
        <v>966</v>
      </c>
      <c r="F1575" s="40" t="s">
        <v>123</v>
      </c>
      <c r="G1575" s="145" t="s">
        <v>775</v>
      </c>
      <c r="H1575" s="40" t="s">
        <v>123</v>
      </c>
      <c r="I1575" s="56"/>
    </row>
    <row r="1576" spans="1:9" ht="21.6" customHeight="1">
      <c r="A1576" s="27">
        <v>1777</v>
      </c>
      <c r="B1576" s="104" t="s">
        <v>1309</v>
      </c>
      <c r="C1576" s="104" t="s">
        <v>967</v>
      </c>
      <c r="D1576" s="34" t="s">
        <v>1650</v>
      </c>
      <c r="E1576" s="35" t="s">
        <v>968</v>
      </c>
      <c r="F1576" s="40" t="s">
        <v>123</v>
      </c>
      <c r="G1576" s="145" t="s">
        <v>778</v>
      </c>
      <c r="H1576" s="40" t="s">
        <v>123</v>
      </c>
      <c r="I1576" s="56"/>
    </row>
    <row r="1577" spans="1:9" s="81" customFormat="1" ht="21.6" customHeight="1">
      <c r="A1577" s="41">
        <v>1778</v>
      </c>
      <c r="B1577" s="104" t="s">
        <v>1309</v>
      </c>
      <c r="C1577" s="104" t="s">
        <v>650</v>
      </c>
      <c r="D1577" s="34" t="s">
        <v>1528</v>
      </c>
      <c r="E1577" s="35" t="s">
        <v>651</v>
      </c>
      <c r="F1577" s="40" t="s">
        <v>123</v>
      </c>
      <c r="G1577" s="144" t="s">
        <v>1821</v>
      </c>
      <c r="H1577" s="40" t="s">
        <v>123</v>
      </c>
      <c r="I1577" s="56"/>
    </row>
    <row r="1578" spans="1:9" s="81" customFormat="1" ht="21.6" customHeight="1">
      <c r="A1578" s="41">
        <v>1779</v>
      </c>
      <c r="B1578" s="84" t="s">
        <v>1309</v>
      </c>
      <c r="C1578" s="84" t="s">
        <v>969</v>
      </c>
      <c r="D1578" s="84" t="s">
        <v>1651</v>
      </c>
      <c r="E1578" s="83" t="s">
        <v>970</v>
      </c>
      <c r="F1578" s="85" t="s">
        <v>654</v>
      </c>
      <c r="G1578" s="150" t="s">
        <v>1805</v>
      </c>
      <c r="H1578" s="85" t="s">
        <v>123</v>
      </c>
      <c r="I1578" s="86"/>
    </row>
    <row r="1579" spans="1:9" ht="21.6" customHeight="1">
      <c r="A1579" s="27">
        <v>1795</v>
      </c>
      <c r="B1579" s="34" t="s">
        <v>1310</v>
      </c>
      <c r="C1579" s="34" t="s">
        <v>971</v>
      </c>
      <c r="D1579" s="66" t="s">
        <v>1652</v>
      </c>
      <c r="E1579" s="30" t="s">
        <v>972</v>
      </c>
      <c r="F1579" s="68">
        <v>75</v>
      </c>
      <c r="G1579" s="144" t="s">
        <v>1844</v>
      </c>
      <c r="H1579" s="40">
        <v>1</v>
      </c>
      <c r="I1579" s="56" t="s">
        <v>973</v>
      </c>
    </row>
    <row r="1580" spans="1:9" ht="21.6" customHeight="1">
      <c r="A1580" s="27">
        <v>1797</v>
      </c>
      <c r="B1580" s="34" t="s">
        <v>1310</v>
      </c>
      <c r="C1580" s="34" t="s">
        <v>974</v>
      </c>
      <c r="D1580" s="67" t="s">
        <v>1653</v>
      </c>
      <c r="E1580" s="30" t="s">
        <v>975</v>
      </c>
      <c r="F1580" s="68">
        <v>75</v>
      </c>
      <c r="G1580" s="144" t="s">
        <v>1845</v>
      </c>
      <c r="H1580" s="40">
        <v>1</v>
      </c>
      <c r="I1580" s="56" t="s">
        <v>973</v>
      </c>
    </row>
    <row r="1581" spans="1:9" ht="21.6" customHeight="1">
      <c r="A1581" s="27">
        <v>1799</v>
      </c>
      <c r="B1581" s="34" t="s">
        <v>1310</v>
      </c>
      <c r="C1581" s="34" t="s">
        <v>976</v>
      </c>
      <c r="D1581" s="67" t="s">
        <v>1654</v>
      </c>
      <c r="E1581" s="30" t="s">
        <v>977</v>
      </c>
      <c r="F1581" s="68">
        <v>75</v>
      </c>
      <c r="G1581" s="144" t="s">
        <v>1846</v>
      </c>
      <c r="H1581" s="40">
        <v>1</v>
      </c>
      <c r="I1581" s="56" t="s">
        <v>973</v>
      </c>
    </row>
    <row r="1582" spans="1:9" ht="21.6" customHeight="1">
      <c r="A1582" s="27">
        <v>1801</v>
      </c>
      <c r="B1582" s="34" t="s">
        <v>1310</v>
      </c>
      <c r="C1582" s="34" t="s">
        <v>978</v>
      </c>
      <c r="D1582" s="67" t="s">
        <v>1655</v>
      </c>
      <c r="E1582" s="30" t="s">
        <v>979</v>
      </c>
      <c r="F1582" s="68">
        <v>75</v>
      </c>
      <c r="G1582" s="144" t="s">
        <v>1847</v>
      </c>
      <c r="H1582" s="40">
        <v>1</v>
      </c>
      <c r="I1582" s="56" t="s">
        <v>973</v>
      </c>
    </row>
    <row r="1583" spans="1:9" ht="21.6" customHeight="1">
      <c r="A1583" s="27">
        <v>1803</v>
      </c>
      <c r="B1583" s="34" t="s">
        <v>1310</v>
      </c>
      <c r="C1583" s="34" t="s">
        <v>980</v>
      </c>
      <c r="D1583" s="67" t="s">
        <v>1656</v>
      </c>
      <c r="E1583" s="30" t="s">
        <v>981</v>
      </c>
      <c r="F1583" s="68">
        <v>150</v>
      </c>
      <c r="G1583" s="144" t="s">
        <v>1821</v>
      </c>
      <c r="H1583" s="40">
        <v>1</v>
      </c>
      <c r="I1583" s="56" t="s">
        <v>973</v>
      </c>
    </row>
    <row r="1584" spans="1:9" ht="21.6" customHeight="1">
      <c r="A1584" s="27">
        <v>1805</v>
      </c>
      <c r="B1584" s="34" t="s">
        <v>1310</v>
      </c>
      <c r="C1584" s="34" t="s">
        <v>982</v>
      </c>
      <c r="D1584" s="67" t="s">
        <v>1657</v>
      </c>
      <c r="E1584" s="30" t="s">
        <v>983</v>
      </c>
      <c r="F1584" s="68">
        <v>150</v>
      </c>
      <c r="G1584" s="144" t="s">
        <v>582</v>
      </c>
      <c r="H1584" s="40">
        <v>1</v>
      </c>
      <c r="I1584" s="56" t="s">
        <v>973</v>
      </c>
    </row>
    <row r="1585" spans="1:9" ht="21.6" customHeight="1">
      <c r="A1585" s="27">
        <v>1806</v>
      </c>
      <c r="B1585" s="34" t="s">
        <v>1310</v>
      </c>
      <c r="C1585" s="34" t="s">
        <v>984</v>
      </c>
      <c r="D1585" s="67" t="s">
        <v>1658</v>
      </c>
      <c r="E1585" s="30" t="s">
        <v>985</v>
      </c>
      <c r="F1585" s="68">
        <v>300</v>
      </c>
      <c r="G1585" s="144" t="s">
        <v>1805</v>
      </c>
      <c r="H1585" s="40">
        <v>1</v>
      </c>
      <c r="I1585" s="56" t="s">
        <v>194</v>
      </c>
    </row>
    <row r="1586" spans="1:9" ht="21.6" customHeight="1">
      <c r="A1586" s="41">
        <v>1809</v>
      </c>
      <c r="B1586" s="97" t="s">
        <v>1310</v>
      </c>
      <c r="C1586" s="97" t="s">
        <v>986</v>
      </c>
      <c r="D1586" s="34" t="s">
        <v>1659</v>
      </c>
      <c r="E1586" s="43" t="s">
        <v>987</v>
      </c>
      <c r="F1586" s="112">
        <v>150</v>
      </c>
      <c r="G1586" s="147" t="s">
        <v>585</v>
      </c>
      <c r="H1586" s="44">
        <v>1</v>
      </c>
      <c r="I1586" s="98" t="s">
        <v>988</v>
      </c>
    </row>
    <row r="1587" spans="1:9" ht="21.6" customHeight="1">
      <c r="A1587" s="41">
        <v>1811</v>
      </c>
      <c r="B1587" s="97" t="s">
        <v>1310</v>
      </c>
      <c r="C1587" s="97" t="s">
        <v>989</v>
      </c>
      <c r="D1587" s="113" t="s">
        <v>1660</v>
      </c>
      <c r="E1587" s="43" t="s">
        <v>990</v>
      </c>
      <c r="F1587" s="112">
        <v>50</v>
      </c>
      <c r="G1587" s="147" t="s">
        <v>991</v>
      </c>
      <c r="H1587" s="44">
        <v>1</v>
      </c>
      <c r="I1587" s="98" t="s">
        <v>973</v>
      </c>
    </row>
    <row r="1588" spans="1:9" ht="21.6" customHeight="1">
      <c r="A1588" s="41">
        <v>1813</v>
      </c>
      <c r="B1588" s="97" t="s">
        <v>1310</v>
      </c>
      <c r="C1588" s="97" t="s">
        <v>992</v>
      </c>
      <c r="D1588" s="113" t="s">
        <v>1661</v>
      </c>
      <c r="E1588" s="43" t="s">
        <v>993</v>
      </c>
      <c r="F1588" s="112">
        <v>120</v>
      </c>
      <c r="G1588" s="147" t="s">
        <v>406</v>
      </c>
      <c r="H1588" s="44">
        <v>1</v>
      </c>
      <c r="I1588" s="98" t="s">
        <v>973</v>
      </c>
    </row>
    <row r="1589" spans="1:9" ht="21.6" customHeight="1">
      <c r="A1589" s="41">
        <v>1815</v>
      </c>
      <c r="B1589" s="97" t="s">
        <v>1310</v>
      </c>
      <c r="C1589" s="97" t="s">
        <v>994</v>
      </c>
      <c r="D1589" s="113" t="s">
        <v>1662</v>
      </c>
      <c r="E1589" s="43" t="s">
        <v>995</v>
      </c>
      <c r="F1589" s="112">
        <v>120</v>
      </c>
      <c r="G1589" s="147" t="s">
        <v>304</v>
      </c>
      <c r="H1589" s="44">
        <v>1</v>
      </c>
      <c r="I1589" s="98" t="s">
        <v>973</v>
      </c>
    </row>
    <row r="1590" spans="1:9" ht="21.6" customHeight="1">
      <c r="A1590" s="41">
        <v>1817</v>
      </c>
      <c r="B1590" s="97" t="s">
        <v>1310</v>
      </c>
      <c r="C1590" s="97" t="s">
        <v>996</v>
      </c>
      <c r="D1590" s="113" t="s">
        <v>1663</v>
      </c>
      <c r="E1590" s="43" t="s">
        <v>997</v>
      </c>
      <c r="F1590" s="112">
        <v>100</v>
      </c>
      <c r="G1590" s="147" t="s">
        <v>303</v>
      </c>
      <c r="H1590" s="44">
        <v>1</v>
      </c>
      <c r="I1590" s="98" t="s">
        <v>973</v>
      </c>
    </row>
    <row r="1591" spans="1:9" s="81" customFormat="1" ht="21.6" customHeight="1">
      <c r="A1591" s="20">
        <v>1818</v>
      </c>
      <c r="B1591" s="73" t="s">
        <v>1311</v>
      </c>
      <c r="C1591" s="73" t="s">
        <v>840</v>
      </c>
      <c r="D1591" s="73" t="s">
        <v>1595</v>
      </c>
      <c r="E1591" s="72" t="s">
        <v>841</v>
      </c>
      <c r="F1591" s="74">
        <v>60</v>
      </c>
      <c r="G1591" s="143" t="s">
        <v>193</v>
      </c>
      <c r="H1591" s="74">
        <v>4</v>
      </c>
      <c r="I1591" s="75"/>
    </row>
    <row r="1592" spans="1:9" s="81" customFormat="1" ht="21.6" customHeight="1">
      <c r="A1592" s="27">
        <v>1819</v>
      </c>
      <c r="B1592" s="34" t="s">
        <v>1311</v>
      </c>
      <c r="C1592" s="34" t="s">
        <v>699</v>
      </c>
      <c r="D1592" s="34" t="s">
        <v>1543</v>
      </c>
      <c r="E1592" s="35" t="s">
        <v>700</v>
      </c>
      <c r="F1592" s="40">
        <v>60</v>
      </c>
      <c r="G1592" s="145" t="s">
        <v>502</v>
      </c>
      <c r="H1592" s="40">
        <v>1</v>
      </c>
      <c r="I1592" s="56"/>
    </row>
    <row r="1593" spans="1:9" s="81" customFormat="1" ht="21.6" customHeight="1">
      <c r="A1593" s="27">
        <v>1820</v>
      </c>
      <c r="B1593" s="34" t="s">
        <v>1311</v>
      </c>
      <c r="C1593" s="34" t="s">
        <v>701</v>
      </c>
      <c r="D1593" s="34" t="s">
        <v>1544</v>
      </c>
      <c r="E1593" s="35" t="s">
        <v>702</v>
      </c>
      <c r="F1593" s="40">
        <v>60</v>
      </c>
      <c r="G1593" s="145" t="s">
        <v>703</v>
      </c>
      <c r="H1593" s="40">
        <v>1</v>
      </c>
      <c r="I1593" s="56"/>
    </row>
    <row r="1594" spans="1:9" s="81" customFormat="1" ht="21.6" customHeight="1">
      <c r="A1594" s="27">
        <v>1821</v>
      </c>
      <c r="B1594" s="34" t="s">
        <v>1311</v>
      </c>
      <c r="C1594" s="34" t="s">
        <v>704</v>
      </c>
      <c r="D1594" s="34" t="s">
        <v>1545</v>
      </c>
      <c r="E1594" s="35" t="s">
        <v>705</v>
      </c>
      <c r="F1594" s="40">
        <v>60</v>
      </c>
      <c r="G1594" s="144" t="s">
        <v>706</v>
      </c>
      <c r="H1594" s="40">
        <v>1</v>
      </c>
      <c r="I1594" s="56"/>
    </row>
    <row r="1595" spans="1:9" s="81" customFormat="1" ht="21.6" customHeight="1">
      <c r="A1595" s="27">
        <v>1822</v>
      </c>
      <c r="B1595" s="34" t="s">
        <v>1311</v>
      </c>
      <c r="C1595" s="34" t="s">
        <v>707</v>
      </c>
      <c r="D1595" s="34" t="s">
        <v>1546</v>
      </c>
      <c r="E1595" s="35" t="s">
        <v>708</v>
      </c>
      <c r="F1595" s="40">
        <v>60</v>
      </c>
      <c r="G1595" s="145" t="s">
        <v>709</v>
      </c>
      <c r="H1595" s="40">
        <v>1</v>
      </c>
      <c r="I1595" s="56"/>
    </row>
    <row r="1596" spans="1:9" s="81" customFormat="1" ht="21.6" customHeight="1">
      <c r="A1596" s="27">
        <v>1823</v>
      </c>
      <c r="B1596" s="34" t="s">
        <v>1311</v>
      </c>
      <c r="C1596" s="34" t="s">
        <v>710</v>
      </c>
      <c r="D1596" s="34" t="s">
        <v>1547</v>
      </c>
      <c r="E1596" s="35" t="s">
        <v>711</v>
      </c>
      <c r="F1596" s="40">
        <v>60</v>
      </c>
      <c r="G1596" s="145" t="s">
        <v>415</v>
      </c>
      <c r="H1596" s="40">
        <v>4</v>
      </c>
      <c r="I1596" s="56"/>
    </row>
    <row r="1597" spans="1:9" s="81" customFormat="1" ht="21.6" customHeight="1">
      <c r="A1597" s="27">
        <v>1824</v>
      </c>
      <c r="B1597" s="34" t="s">
        <v>1311</v>
      </c>
      <c r="C1597" s="34" t="s">
        <v>605</v>
      </c>
      <c r="D1597" s="34" t="s">
        <v>1511</v>
      </c>
      <c r="E1597" s="35" t="s">
        <v>606</v>
      </c>
      <c r="F1597" s="40">
        <v>120</v>
      </c>
      <c r="G1597" s="145" t="s">
        <v>533</v>
      </c>
      <c r="H1597" s="40">
        <v>1</v>
      </c>
      <c r="I1597" s="56"/>
    </row>
    <row r="1598" spans="1:9" s="81" customFormat="1" ht="21.6" customHeight="1">
      <c r="A1598" s="27">
        <v>1825</v>
      </c>
      <c r="B1598" s="34" t="s">
        <v>1311</v>
      </c>
      <c r="C1598" s="34" t="s">
        <v>607</v>
      </c>
      <c r="D1598" s="34" t="s">
        <v>1512</v>
      </c>
      <c r="E1598" s="70" t="s">
        <v>608</v>
      </c>
      <c r="F1598" s="40">
        <v>180</v>
      </c>
      <c r="G1598" s="145" t="s">
        <v>1812</v>
      </c>
      <c r="H1598" s="40">
        <v>1</v>
      </c>
      <c r="I1598" s="56"/>
    </row>
    <row r="1599" spans="1:9" s="81" customFormat="1" ht="21.6" customHeight="1">
      <c r="A1599" s="27">
        <v>1827</v>
      </c>
      <c r="B1599" s="34" t="s">
        <v>1311</v>
      </c>
      <c r="C1599" s="34" t="s">
        <v>998</v>
      </c>
      <c r="D1599" s="102" t="s">
        <v>1596</v>
      </c>
      <c r="E1599" s="114" t="s">
        <v>842</v>
      </c>
      <c r="F1599" s="40">
        <v>240</v>
      </c>
      <c r="G1599" s="145" t="s">
        <v>1809</v>
      </c>
      <c r="H1599" s="40">
        <v>1</v>
      </c>
      <c r="I1599" s="89" t="s">
        <v>819</v>
      </c>
    </row>
    <row r="1600" spans="1:9" s="81" customFormat="1" ht="21.6" customHeight="1">
      <c r="A1600" s="27">
        <v>1828</v>
      </c>
      <c r="B1600" s="34" t="s">
        <v>1311</v>
      </c>
      <c r="C1600" s="34" t="s">
        <v>843</v>
      </c>
      <c r="D1600" s="34" t="s">
        <v>1597</v>
      </c>
      <c r="E1600" s="35" t="s">
        <v>844</v>
      </c>
      <c r="F1600" s="40">
        <v>240</v>
      </c>
      <c r="G1600" s="145" t="s">
        <v>87</v>
      </c>
      <c r="H1600" s="40">
        <v>1</v>
      </c>
      <c r="I1600" s="56"/>
    </row>
    <row r="1601" spans="1:9" s="81" customFormat="1" ht="21.6" customHeight="1">
      <c r="A1601" s="27">
        <v>1829</v>
      </c>
      <c r="B1601" s="34" t="s">
        <v>1311</v>
      </c>
      <c r="C1601" s="34" t="s">
        <v>845</v>
      </c>
      <c r="D1601" s="34" t="s">
        <v>1598</v>
      </c>
      <c r="E1601" s="35" t="s">
        <v>846</v>
      </c>
      <c r="F1601" s="40">
        <v>60</v>
      </c>
      <c r="G1601" s="144" t="s">
        <v>107</v>
      </c>
      <c r="H1601" s="40">
        <v>4</v>
      </c>
      <c r="I1601" s="56"/>
    </row>
    <row r="1602" spans="1:9" s="81" customFormat="1" ht="21.6" customHeight="1">
      <c r="A1602" s="27">
        <v>1830</v>
      </c>
      <c r="B1602" s="34" t="s">
        <v>1311</v>
      </c>
      <c r="C1602" s="34" t="s">
        <v>598</v>
      </c>
      <c r="D1602" s="34" t="s">
        <v>1508</v>
      </c>
      <c r="E1602" s="35" t="s">
        <v>599</v>
      </c>
      <c r="F1602" s="40">
        <v>60</v>
      </c>
      <c r="G1602" s="145" t="s">
        <v>104</v>
      </c>
      <c r="H1602" s="40">
        <v>4</v>
      </c>
      <c r="I1602" s="56"/>
    </row>
    <row r="1603" spans="1:9" s="81" customFormat="1" ht="21.6" customHeight="1">
      <c r="A1603" s="27">
        <v>1831</v>
      </c>
      <c r="B1603" s="34" t="s">
        <v>1311</v>
      </c>
      <c r="C1603" s="34" t="s">
        <v>729</v>
      </c>
      <c r="D1603" s="34" t="s">
        <v>1555</v>
      </c>
      <c r="E1603" s="35" t="s">
        <v>730</v>
      </c>
      <c r="F1603" s="40">
        <v>60</v>
      </c>
      <c r="G1603" s="144" t="s">
        <v>1822</v>
      </c>
      <c r="H1603" s="40">
        <v>8</v>
      </c>
      <c r="I1603" s="56"/>
    </row>
    <row r="1604" spans="1:9" s="81" customFormat="1" ht="21.6" customHeight="1">
      <c r="A1604" s="27">
        <v>1832</v>
      </c>
      <c r="B1604" s="34" t="s">
        <v>1311</v>
      </c>
      <c r="C1604" s="34" t="s">
        <v>731</v>
      </c>
      <c r="D1604" s="34" t="s">
        <v>1556</v>
      </c>
      <c r="E1604" s="35" t="s">
        <v>732</v>
      </c>
      <c r="F1604" s="40">
        <v>60</v>
      </c>
      <c r="G1604" s="144" t="s">
        <v>733</v>
      </c>
      <c r="H1604" s="40">
        <v>4</v>
      </c>
      <c r="I1604" s="56"/>
    </row>
    <row r="1605" spans="1:9" s="81" customFormat="1" ht="21.6" customHeight="1">
      <c r="A1605" s="27">
        <v>1833</v>
      </c>
      <c r="B1605" s="34" t="s">
        <v>1311</v>
      </c>
      <c r="C1605" s="34" t="s">
        <v>734</v>
      </c>
      <c r="D1605" s="34" t="s">
        <v>1557</v>
      </c>
      <c r="E1605" s="35" t="s">
        <v>735</v>
      </c>
      <c r="F1605" s="40">
        <v>60</v>
      </c>
      <c r="G1605" s="144" t="s">
        <v>736</v>
      </c>
      <c r="H1605" s="40">
        <v>4</v>
      </c>
      <c r="I1605" s="56"/>
    </row>
    <row r="1606" spans="1:9" s="81" customFormat="1" ht="21.6" customHeight="1">
      <c r="A1606" s="27">
        <v>1834</v>
      </c>
      <c r="B1606" s="34" t="s">
        <v>1311</v>
      </c>
      <c r="C1606" s="34" t="s">
        <v>847</v>
      </c>
      <c r="D1606" s="34" t="s">
        <v>1599</v>
      </c>
      <c r="E1606" s="35" t="s">
        <v>848</v>
      </c>
      <c r="F1606" s="40">
        <v>240</v>
      </c>
      <c r="G1606" s="144">
        <f>+$H$1434</f>
        <v>4</v>
      </c>
      <c r="H1606" s="40">
        <v>4</v>
      </c>
      <c r="I1606" s="56"/>
    </row>
    <row r="1607" spans="1:9" s="81" customFormat="1" ht="21.6" customHeight="1">
      <c r="A1607" s="27">
        <v>1835</v>
      </c>
      <c r="B1607" s="34" t="s">
        <v>1311</v>
      </c>
      <c r="C1607" s="34" t="s">
        <v>850</v>
      </c>
      <c r="D1607" s="34" t="s">
        <v>1600</v>
      </c>
      <c r="E1607" s="35" t="s">
        <v>851</v>
      </c>
      <c r="F1607" s="40">
        <v>240</v>
      </c>
      <c r="G1607" s="144">
        <f>+$H$1435</f>
        <v>4</v>
      </c>
      <c r="H1607" s="40">
        <v>4</v>
      </c>
      <c r="I1607" s="56"/>
    </row>
    <row r="1608" spans="1:9" s="81" customFormat="1" ht="21.6" customHeight="1">
      <c r="A1608" s="27">
        <v>1836</v>
      </c>
      <c r="B1608" s="34" t="s">
        <v>1311</v>
      </c>
      <c r="C1608" s="34" t="s">
        <v>609</v>
      </c>
      <c r="D1608" s="34" t="s">
        <v>1513</v>
      </c>
      <c r="E1608" s="35" t="s">
        <v>610</v>
      </c>
      <c r="F1608" s="40">
        <v>180</v>
      </c>
      <c r="G1608" s="144" t="s">
        <v>1824</v>
      </c>
      <c r="H1608" s="40">
        <v>1</v>
      </c>
      <c r="I1608" s="56"/>
    </row>
    <row r="1609" spans="1:9" s="81" customFormat="1" ht="21.6" customHeight="1">
      <c r="A1609" s="27">
        <v>1837</v>
      </c>
      <c r="B1609" s="34" t="s">
        <v>1311</v>
      </c>
      <c r="C1609" s="34" t="s">
        <v>611</v>
      </c>
      <c r="D1609" s="34" t="s">
        <v>1514</v>
      </c>
      <c r="E1609" s="35" t="s">
        <v>612</v>
      </c>
      <c r="F1609" s="40">
        <v>180</v>
      </c>
      <c r="G1609" s="144" t="s">
        <v>1825</v>
      </c>
      <c r="H1609" s="40">
        <v>1</v>
      </c>
      <c r="I1609" s="56"/>
    </row>
    <row r="1610" spans="1:9" s="81" customFormat="1" ht="21.6" customHeight="1">
      <c r="A1610" s="27">
        <v>1838</v>
      </c>
      <c r="B1610" s="34" t="s">
        <v>1311</v>
      </c>
      <c r="C1610" s="34" t="s">
        <v>613</v>
      </c>
      <c r="D1610" s="34" t="s">
        <v>1515</v>
      </c>
      <c r="E1610" s="35" t="s">
        <v>614</v>
      </c>
      <c r="F1610" s="40">
        <v>180</v>
      </c>
      <c r="G1610" s="144">
        <f>+$H$1137</f>
        <v>2</v>
      </c>
      <c r="H1610" s="40">
        <v>2</v>
      </c>
      <c r="I1610" s="56"/>
    </row>
    <row r="1611" spans="1:9" s="81" customFormat="1" ht="21.6" customHeight="1">
      <c r="A1611" s="27">
        <v>1839</v>
      </c>
      <c r="B1611" s="34" t="s">
        <v>1311</v>
      </c>
      <c r="C1611" s="34" t="s">
        <v>719</v>
      </c>
      <c r="D1611" s="34" t="s">
        <v>1551</v>
      </c>
      <c r="E1611" s="35" t="s">
        <v>720</v>
      </c>
      <c r="F1611" s="40">
        <v>240</v>
      </c>
      <c r="G1611" s="144" t="s">
        <v>101</v>
      </c>
      <c r="H1611" s="40">
        <v>2</v>
      </c>
      <c r="I1611" s="56"/>
    </row>
    <row r="1612" spans="1:9" s="81" customFormat="1" ht="21.6" customHeight="1">
      <c r="A1612" s="27">
        <v>1840</v>
      </c>
      <c r="B1612" s="34" t="s">
        <v>1311</v>
      </c>
      <c r="C1612" s="34" t="s">
        <v>622</v>
      </c>
      <c r="D1612" s="34" t="s">
        <v>1519</v>
      </c>
      <c r="E1612" s="35" t="s">
        <v>623</v>
      </c>
      <c r="F1612" s="40">
        <v>240</v>
      </c>
      <c r="G1612" s="144">
        <f>+$H$1440</f>
        <v>1</v>
      </c>
      <c r="H1612" s="40">
        <v>1</v>
      </c>
      <c r="I1612" s="56"/>
    </row>
    <row r="1613" spans="1:9" s="81" customFormat="1" ht="21.6" customHeight="1">
      <c r="A1613" s="27">
        <v>1841</v>
      </c>
      <c r="B1613" s="34" t="s">
        <v>1311</v>
      </c>
      <c r="C1613" s="34" t="s">
        <v>852</v>
      </c>
      <c r="D1613" s="34" t="s">
        <v>1601</v>
      </c>
      <c r="E1613" s="35" t="s">
        <v>853</v>
      </c>
      <c r="F1613" s="40">
        <v>240</v>
      </c>
      <c r="G1613" s="144">
        <f>+$H$1441</f>
        <v>1</v>
      </c>
      <c r="H1613" s="40">
        <v>1</v>
      </c>
      <c r="I1613" s="56"/>
    </row>
    <row r="1614" spans="1:9" s="81" customFormat="1" ht="21.6" customHeight="1">
      <c r="A1614" s="27">
        <v>1842</v>
      </c>
      <c r="B1614" s="34" t="s">
        <v>1311</v>
      </c>
      <c r="C1614" s="34" t="s">
        <v>626</v>
      </c>
      <c r="D1614" s="34" t="s">
        <v>1521</v>
      </c>
      <c r="E1614" s="35" t="s">
        <v>627</v>
      </c>
      <c r="F1614" s="40">
        <v>240</v>
      </c>
      <c r="G1614" s="144" t="s">
        <v>90</v>
      </c>
      <c r="H1614" s="40">
        <v>2</v>
      </c>
      <c r="I1614" s="56"/>
    </row>
    <row r="1615" spans="1:9" s="58" customFormat="1" ht="21.6" customHeight="1">
      <c r="A1615" s="27">
        <v>1843</v>
      </c>
      <c r="B1615" s="34" t="s">
        <v>1311</v>
      </c>
      <c r="C1615" s="34" t="s">
        <v>264</v>
      </c>
      <c r="D1615" s="50" t="s">
        <v>1389</v>
      </c>
      <c r="E1615" s="51" t="s">
        <v>265</v>
      </c>
      <c r="F1615" s="29">
        <v>80</v>
      </c>
      <c r="G1615" s="144" t="s">
        <v>1836</v>
      </c>
      <c r="H1615" s="29">
        <v>1</v>
      </c>
      <c r="I1615" s="31" t="s">
        <v>854</v>
      </c>
    </row>
    <row r="1616" spans="1:9" s="58" customFormat="1" ht="21.6" customHeight="1">
      <c r="A1616" s="27">
        <v>1844</v>
      </c>
      <c r="B1616" s="34" t="s">
        <v>1311</v>
      </c>
      <c r="C1616" s="34" t="s">
        <v>264</v>
      </c>
      <c r="D1616" s="50" t="s">
        <v>1389</v>
      </c>
      <c r="E1616" s="51" t="s">
        <v>265</v>
      </c>
      <c r="F1616" s="29">
        <v>80</v>
      </c>
      <c r="G1616" s="144" t="s">
        <v>745</v>
      </c>
      <c r="H1616" s="29">
        <v>1</v>
      </c>
      <c r="I1616" s="31" t="s">
        <v>854</v>
      </c>
    </row>
    <row r="1617" spans="1:9" s="58" customFormat="1" ht="21.6" customHeight="1">
      <c r="A1617" s="27">
        <v>1845</v>
      </c>
      <c r="B1617" s="34" t="s">
        <v>1311</v>
      </c>
      <c r="C1617" s="34" t="s">
        <v>746</v>
      </c>
      <c r="D1617" s="50" t="s">
        <v>1561</v>
      </c>
      <c r="E1617" s="51" t="s">
        <v>747</v>
      </c>
      <c r="F1617" s="29">
        <v>80</v>
      </c>
      <c r="G1617" s="144" t="s">
        <v>1837</v>
      </c>
      <c r="H1617" s="29">
        <v>1</v>
      </c>
      <c r="I1617" s="31" t="s">
        <v>854</v>
      </c>
    </row>
    <row r="1618" spans="1:9" s="81" customFormat="1" ht="21.6" customHeight="1">
      <c r="A1618" s="27">
        <v>1846</v>
      </c>
      <c r="B1618" s="34" t="s">
        <v>1311</v>
      </c>
      <c r="C1618" s="34" t="s">
        <v>273</v>
      </c>
      <c r="D1618" s="34" t="s">
        <v>1392</v>
      </c>
      <c r="E1618" s="35" t="s">
        <v>274</v>
      </c>
      <c r="F1618" s="40">
        <v>80</v>
      </c>
      <c r="G1618" s="144" t="s">
        <v>631</v>
      </c>
      <c r="H1618" s="40">
        <v>1</v>
      </c>
      <c r="I1618" s="56" t="s">
        <v>116</v>
      </c>
    </row>
    <row r="1619" spans="1:9" s="81" customFormat="1" ht="21.6" customHeight="1">
      <c r="A1619" s="27">
        <v>1847</v>
      </c>
      <c r="B1619" s="34" t="s">
        <v>1311</v>
      </c>
      <c r="C1619" s="34" t="s">
        <v>855</v>
      </c>
      <c r="D1619" s="80" t="s">
        <v>1602</v>
      </c>
      <c r="E1619" s="33" t="s">
        <v>856</v>
      </c>
      <c r="F1619" s="40">
        <v>80</v>
      </c>
      <c r="G1619" s="144" t="s">
        <v>119</v>
      </c>
      <c r="H1619" s="40">
        <v>1</v>
      </c>
      <c r="I1619" s="56" t="s">
        <v>116</v>
      </c>
    </row>
    <row r="1620" spans="1:9" s="58" customFormat="1" ht="21.6" customHeight="1">
      <c r="A1620" s="27">
        <v>1848</v>
      </c>
      <c r="B1620" s="34" t="s">
        <v>1311</v>
      </c>
      <c r="C1620" s="34" t="s">
        <v>225</v>
      </c>
      <c r="D1620" s="39" t="s">
        <v>1375</v>
      </c>
      <c r="E1620" s="3" t="s">
        <v>226</v>
      </c>
      <c r="F1620" s="29">
        <v>120</v>
      </c>
      <c r="G1620" s="145" t="s">
        <v>1838</v>
      </c>
      <c r="H1620" s="29">
        <v>2</v>
      </c>
      <c r="I1620" s="31" t="s">
        <v>857</v>
      </c>
    </row>
    <row r="1621" spans="1:9" s="58" customFormat="1" ht="21.6" customHeight="1">
      <c r="A1621" s="27">
        <v>1849</v>
      </c>
      <c r="B1621" s="34" t="s">
        <v>1311</v>
      </c>
      <c r="C1621" s="34" t="s">
        <v>229</v>
      </c>
      <c r="D1621" s="39" t="s">
        <v>1376</v>
      </c>
      <c r="E1621" s="51" t="s">
        <v>230</v>
      </c>
      <c r="F1621" s="29">
        <v>120</v>
      </c>
      <c r="G1621" s="145" t="s">
        <v>1839</v>
      </c>
      <c r="H1621" s="29">
        <v>1</v>
      </c>
      <c r="I1621" s="31" t="s">
        <v>857</v>
      </c>
    </row>
    <row r="1622" spans="1:9" s="58" customFormat="1" ht="21.6" customHeight="1">
      <c r="A1622" s="27">
        <v>1850</v>
      </c>
      <c r="B1622" s="34" t="s">
        <v>1311</v>
      </c>
      <c r="C1622" s="34" t="s">
        <v>231</v>
      </c>
      <c r="D1622" s="39" t="s">
        <v>1377</v>
      </c>
      <c r="E1622" s="51" t="s">
        <v>232</v>
      </c>
      <c r="F1622" s="29">
        <v>160</v>
      </c>
      <c r="G1622" s="144" t="s">
        <v>1840</v>
      </c>
      <c r="H1622" s="29">
        <v>1</v>
      </c>
      <c r="I1622" s="31" t="s">
        <v>750</v>
      </c>
    </row>
    <row r="1623" spans="1:9" s="58" customFormat="1" ht="21.6" customHeight="1">
      <c r="A1623" s="27">
        <v>1851</v>
      </c>
      <c r="B1623" s="34" t="s">
        <v>1311</v>
      </c>
      <c r="C1623" s="34" t="s">
        <v>235</v>
      </c>
      <c r="D1623" s="50" t="s">
        <v>1378</v>
      </c>
      <c r="E1623" s="51" t="s">
        <v>236</v>
      </c>
      <c r="F1623" s="29">
        <v>160</v>
      </c>
      <c r="G1623" s="144" t="s">
        <v>237</v>
      </c>
      <c r="H1623" s="29">
        <v>1</v>
      </c>
      <c r="I1623" s="31" t="s">
        <v>750</v>
      </c>
    </row>
    <row r="1624" spans="1:9" s="58" customFormat="1" ht="21.6" customHeight="1">
      <c r="A1624" s="27">
        <v>1852</v>
      </c>
      <c r="B1624" s="34" t="s">
        <v>1311</v>
      </c>
      <c r="C1624" s="34" t="s">
        <v>238</v>
      </c>
      <c r="D1624" s="50" t="s">
        <v>1379</v>
      </c>
      <c r="E1624" s="51" t="s">
        <v>239</v>
      </c>
      <c r="F1624" s="29">
        <v>160</v>
      </c>
      <c r="G1624" s="144" t="s">
        <v>749</v>
      </c>
      <c r="H1624" s="29">
        <v>1</v>
      </c>
      <c r="I1624" s="31" t="s">
        <v>750</v>
      </c>
    </row>
    <row r="1625" spans="1:9" s="81" customFormat="1" ht="21.6" customHeight="1">
      <c r="A1625" s="27">
        <v>1853</v>
      </c>
      <c r="B1625" s="34" t="s">
        <v>1311</v>
      </c>
      <c r="C1625" s="34" t="s">
        <v>858</v>
      </c>
      <c r="D1625" s="80" t="s">
        <v>1603</v>
      </c>
      <c r="E1625" s="35" t="s">
        <v>859</v>
      </c>
      <c r="F1625" s="40">
        <v>60</v>
      </c>
      <c r="G1625" s="144" t="s">
        <v>637</v>
      </c>
      <c r="H1625" s="40" t="s">
        <v>123</v>
      </c>
      <c r="I1625" s="56"/>
    </row>
    <row r="1626" spans="1:9" s="81" customFormat="1" ht="21.6" customHeight="1">
      <c r="A1626" s="27">
        <v>1854</v>
      </c>
      <c r="B1626" s="34" t="s">
        <v>1311</v>
      </c>
      <c r="C1626" s="34" t="s">
        <v>860</v>
      </c>
      <c r="D1626" s="34" t="s">
        <v>1604</v>
      </c>
      <c r="E1626" s="70" t="s">
        <v>861</v>
      </c>
      <c r="F1626" s="40">
        <v>60</v>
      </c>
      <c r="G1626" s="144" t="s">
        <v>755</v>
      </c>
      <c r="H1626" s="40" t="s">
        <v>123</v>
      </c>
      <c r="I1626" s="56"/>
    </row>
    <row r="1627" spans="1:9" s="81" customFormat="1" ht="21.6" customHeight="1">
      <c r="A1627" s="27">
        <v>1856</v>
      </c>
      <c r="B1627" s="34" t="s">
        <v>1311</v>
      </c>
      <c r="C1627" s="34" t="s">
        <v>862</v>
      </c>
      <c r="D1627" s="102" t="s">
        <v>1605</v>
      </c>
      <c r="E1627" s="105" t="s">
        <v>863</v>
      </c>
      <c r="F1627" s="115">
        <v>240</v>
      </c>
      <c r="G1627" s="145" t="s">
        <v>244</v>
      </c>
      <c r="H1627" s="40" t="s">
        <v>123</v>
      </c>
      <c r="I1627" s="89" t="s">
        <v>819</v>
      </c>
    </row>
    <row r="1628" spans="1:9" s="81" customFormat="1" ht="21.6" customHeight="1">
      <c r="A1628" s="27">
        <v>1857</v>
      </c>
      <c r="B1628" s="34" t="s">
        <v>1311</v>
      </c>
      <c r="C1628" s="34" t="s">
        <v>643</v>
      </c>
      <c r="D1628" s="34" t="s">
        <v>1525</v>
      </c>
      <c r="E1628" s="82" t="s">
        <v>644</v>
      </c>
      <c r="F1628" s="40">
        <v>180</v>
      </c>
      <c r="G1628" s="144" t="str">
        <f>+$H$1456</f>
        <v>-</v>
      </c>
      <c r="H1628" s="40" t="s">
        <v>123</v>
      </c>
      <c r="I1628" s="56"/>
    </row>
    <row r="1629" spans="1:9" s="58" customFormat="1" ht="21.6" customHeight="1">
      <c r="A1629" s="27">
        <v>1858</v>
      </c>
      <c r="B1629" s="34" t="s">
        <v>1311</v>
      </c>
      <c r="C1629" s="34" t="s">
        <v>756</v>
      </c>
      <c r="D1629" s="39" t="s">
        <v>1564</v>
      </c>
      <c r="E1629" s="3" t="s">
        <v>757</v>
      </c>
      <c r="F1629" s="29">
        <v>80</v>
      </c>
      <c r="G1629" s="144" t="s">
        <v>758</v>
      </c>
      <c r="H1629" s="40" t="s">
        <v>123</v>
      </c>
      <c r="I1629" s="31" t="s">
        <v>865</v>
      </c>
    </row>
    <row r="1630" spans="1:9" s="58" customFormat="1" ht="21.6" customHeight="1">
      <c r="A1630" s="27">
        <v>1859</v>
      </c>
      <c r="B1630" s="34" t="s">
        <v>1311</v>
      </c>
      <c r="C1630" s="34" t="s">
        <v>248</v>
      </c>
      <c r="D1630" s="39" t="s">
        <v>1383</v>
      </c>
      <c r="E1630" s="3" t="s">
        <v>249</v>
      </c>
      <c r="F1630" s="29">
        <v>120</v>
      </c>
      <c r="G1630" s="144" t="s">
        <v>759</v>
      </c>
      <c r="H1630" s="40" t="s">
        <v>123</v>
      </c>
      <c r="I1630" s="31" t="s">
        <v>857</v>
      </c>
    </row>
    <row r="1631" spans="1:9" s="58" customFormat="1" ht="21.6" customHeight="1">
      <c r="A1631" s="27">
        <v>1860</v>
      </c>
      <c r="B1631" s="34" t="s">
        <v>1311</v>
      </c>
      <c r="C1631" s="34" t="s">
        <v>251</v>
      </c>
      <c r="D1631" s="39" t="s">
        <v>1384</v>
      </c>
      <c r="E1631" s="3" t="s">
        <v>252</v>
      </c>
      <c r="F1631" s="29">
        <v>160</v>
      </c>
      <c r="G1631" s="144" t="s">
        <v>760</v>
      </c>
      <c r="H1631" s="40" t="s">
        <v>123</v>
      </c>
      <c r="I1631" s="31" t="s">
        <v>750</v>
      </c>
    </row>
    <row r="1632" spans="1:9" s="81" customFormat="1" ht="21.6" customHeight="1">
      <c r="A1632" s="27">
        <v>1861</v>
      </c>
      <c r="B1632" s="34" t="s">
        <v>1311</v>
      </c>
      <c r="C1632" s="34" t="s">
        <v>866</v>
      </c>
      <c r="D1632" s="34" t="s">
        <v>1606</v>
      </c>
      <c r="E1632" s="35" t="s">
        <v>867</v>
      </c>
      <c r="F1632" s="40" t="s">
        <v>123</v>
      </c>
      <c r="G1632" s="145" t="s">
        <v>585</v>
      </c>
      <c r="H1632" s="40" t="s">
        <v>123</v>
      </c>
      <c r="I1632" s="56"/>
    </row>
    <row r="1633" spans="1:9" s="81" customFormat="1" ht="21.6" customHeight="1">
      <c r="A1633" s="27">
        <v>1862</v>
      </c>
      <c r="B1633" s="34" t="s">
        <v>1311</v>
      </c>
      <c r="C1633" s="34" t="s">
        <v>868</v>
      </c>
      <c r="D1633" s="34" t="s">
        <v>1607</v>
      </c>
      <c r="E1633" s="35" t="s">
        <v>869</v>
      </c>
      <c r="F1633" s="40" t="s">
        <v>123</v>
      </c>
      <c r="G1633" s="145" t="s">
        <v>129</v>
      </c>
      <c r="H1633" s="40" t="s">
        <v>123</v>
      </c>
      <c r="I1633" s="56"/>
    </row>
    <row r="1634" spans="1:9" ht="21.6" customHeight="1">
      <c r="A1634" s="27">
        <v>1863</v>
      </c>
      <c r="B1634" s="34" t="s">
        <v>1311</v>
      </c>
      <c r="C1634" s="34" t="s">
        <v>870</v>
      </c>
      <c r="D1634" s="34" t="s">
        <v>1608</v>
      </c>
      <c r="E1634" s="35" t="s">
        <v>871</v>
      </c>
      <c r="F1634" s="40" t="s">
        <v>123</v>
      </c>
      <c r="G1634" s="145" t="s">
        <v>772</v>
      </c>
      <c r="H1634" s="40" t="s">
        <v>123</v>
      </c>
      <c r="I1634" s="56"/>
    </row>
    <row r="1635" spans="1:9" ht="21.6" customHeight="1">
      <c r="A1635" s="27">
        <v>1864</v>
      </c>
      <c r="B1635" s="34" t="s">
        <v>1311</v>
      </c>
      <c r="C1635" s="34" t="s">
        <v>872</v>
      </c>
      <c r="D1635" s="34" t="s">
        <v>1609</v>
      </c>
      <c r="E1635" s="35" t="s">
        <v>873</v>
      </c>
      <c r="F1635" s="40" t="s">
        <v>123</v>
      </c>
      <c r="G1635" s="145" t="s">
        <v>775</v>
      </c>
      <c r="H1635" s="40" t="s">
        <v>123</v>
      </c>
      <c r="I1635" s="56"/>
    </row>
    <row r="1636" spans="1:9" ht="21.6" customHeight="1">
      <c r="A1636" s="27">
        <v>1865</v>
      </c>
      <c r="B1636" s="34" t="s">
        <v>1311</v>
      </c>
      <c r="C1636" s="34" t="s">
        <v>874</v>
      </c>
      <c r="D1636" s="34" t="s">
        <v>1610</v>
      </c>
      <c r="E1636" s="35" t="s">
        <v>875</v>
      </c>
      <c r="F1636" s="40" t="s">
        <v>123</v>
      </c>
      <c r="G1636" s="145" t="s">
        <v>778</v>
      </c>
      <c r="H1636" s="40" t="s">
        <v>123</v>
      </c>
      <c r="I1636" s="56"/>
    </row>
    <row r="1637" spans="1:9" ht="21.6" customHeight="1">
      <c r="A1637" s="27">
        <v>1866</v>
      </c>
      <c r="B1637" s="34" t="s">
        <v>1311</v>
      </c>
      <c r="C1637" s="34" t="s">
        <v>876</v>
      </c>
      <c r="D1637" s="34" t="s">
        <v>1611</v>
      </c>
      <c r="E1637" s="35" t="s">
        <v>877</v>
      </c>
      <c r="F1637" s="40" t="s">
        <v>123</v>
      </c>
      <c r="G1637" s="145" t="s">
        <v>781</v>
      </c>
      <c r="H1637" s="40" t="s">
        <v>123</v>
      </c>
      <c r="I1637" s="56"/>
    </row>
    <row r="1638" spans="1:9" ht="21.6" customHeight="1">
      <c r="A1638" s="27">
        <v>1867</v>
      </c>
      <c r="B1638" s="34" t="s">
        <v>1311</v>
      </c>
      <c r="C1638" s="34" t="s">
        <v>878</v>
      </c>
      <c r="D1638" s="34" t="s">
        <v>1612</v>
      </c>
      <c r="E1638" s="35" t="s">
        <v>879</v>
      </c>
      <c r="F1638" s="40" t="s">
        <v>123</v>
      </c>
      <c r="G1638" s="145" t="s">
        <v>784</v>
      </c>
      <c r="H1638" s="40" t="s">
        <v>123</v>
      </c>
      <c r="I1638" s="56"/>
    </row>
    <row r="1639" spans="1:9" ht="21.6" customHeight="1">
      <c r="A1639" s="27">
        <v>1868</v>
      </c>
      <c r="B1639" s="34" t="s">
        <v>1311</v>
      </c>
      <c r="C1639" s="34" t="s">
        <v>880</v>
      </c>
      <c r="D1639" s="34" t="s">
        <v>1613</v>
      </c>
      <c r="E1639" s="35" t="s">
        <v>881</v>
      </c>
      <c r="F1639" s="40" t="s">
        <v>123</v>
      </c>
      <c r="G1639" s="145" t="s">
        <v>787</v>
      </c>
      <c r="H1639" s="40" t="s">
        <v>123</v>
      </c>
      <c r="I1639" s="56"/>
    </row>
    <row r="1640" spans="1:9" ht="21.6" customHeight="1">
      <c r="A1640" s="27">
        <v>1869</v>
      </c>
      <c r="B1640" s="34" t="s">
        <v>1311</v>
      </c>
      <c r="C1640" s="34" t="s">
        <v>882</v>
      </c>
      <c r="D1640" s="34" t="s">
        <v>1614</v>
      </c>
      <c r="E1640" s="35" t="s">
        <v>883</v>
      </c>
      <c r="F1640" s="40" t="s">
        <v>123</v>
      </c>
      <c r="G1640" s="145" t="s">
        <v>790</v>
      </c>
      <c r="H1640" s="40" t="s">
        <v>123</v>
      </c>
      <c r="I1640" s="56"/>
    </row>
    <row r="1641" spans="1:9" ht="21.6" customHeight="1">
      <c r="A1641" s="27">
        <v>1870</v>
      </c>
      <c r="B1641" s="34" t="s">
        <v>1311</v>
      </c>
      <c r="C1641" s="34" t="s">
        <v>791</v>
      </c>
      <c r="D1641" s="34" t="s">
        <v>1576</v>
      </c>
      <c r="E1641" s="35" t="s">
        <v>792</v>
      </c>
      <c r="F1641" s="40" t="s">
        <v>654</v>
      </c>
      <c r="G1641" s="145" t="s">
        <v>1821</v>
      </c>
      <c r="H1641" s="40" t="s">
        <v>123</v>
      </c>
      <c r="I1641" s="56"/>
    </row>
    <row r="1642" spans="1:9" s="81" customFormat="1" ht="21.6" customHeight="1">
      <c r="A1642" s="41">
        <v>1871</v>
      </c>
      <c r="B1642" s="97" t="s">
        <v>1311</v>
      </c>
      <c r="C1642" s="97" t="s">
        <v>884</v>
      </c>
      <c r="D1642" s="97" t="s">
        <v>1615</v>
      </c>
      <c r="E1642" s="70" t="s">
        <v>885</v>
      </c>
      <c r="F1642" s="44" t="s">
        <v>654</v>
      </c>
      <c r="G1642" s="144" t="s">
        <v>1805</v>
      </c>
      <c r="H1642" s="44" t="s">
        <v>123</v>
      </c>
      <c r="I1642" s="98"/>
    </row>
    <row r="1643" spans="1:9" s="81" customFormat="1" ht="21.6" customHeight="1">
      <c r="A1643" s="20">
        <v>1872</v>
      </c>
      <c r="B1643" s="73" t="s">
        <v>1312</v>
      </c>
      <c r="C1643" s="73" t="s">
        <v>587</v>
      </c>
      <c r="D1643" s="73" t="s">
        <v>1504</v>
      </c>
      <c r="E1643" s="72" t="s">
        <v>588</v>
      </c>
      <c r="F1643" s="74">
        <v>180</v>
      </c>
      <c r="G1643" s="143" t="s">
        <v>589</v>
      </c>
      <c r="H1643" s="74">
        <v>1</v>
      </c>
      <c r="I1643" s="75" t="s">
        <v>999</v>
      </c>
    </row>
    <row r="1644" spans="1:9" s="81" customFormat="1" ht="21.6" customHeight="1">
      <c r="A1644" s="106">
        <v>1873</v>
      </c>
      <c r="B1644" s="104" t="s">
        <v>1312</v>
      </c>
      <c r="C1644" s="104" t="s">
        <v>840</v>
      </c>
      <c r="D1644" s="104" t="s">
        <v>1595</v>
      </c>
      <c r="E1644" s="82" t="s">
        <v>841</v>
      </c>
      <c r="F1644" s="107">
        <v>90</v>
      </c>
      <c r="G1644" s="150" t="s">
        <v>887</v>
      </c>
      <c r="H1644" s="108">
        <v>3</v>
      </c>
      <c r="I1644" s="109" t="s">
        <v>888</v>
      </c>
    </row>
    <row r="1645" spans="1:9" s="81" customFormat="1" ht="21.6" customHeight="1">
      <c r="A1645" s="27">
        <v>1874</v>
      </c>
      <c r="B1645" s="104" t="s">
        <v>1312</v>
      </c>
      <c r="C1645" s="104" t="s">
        <v>889</v>
      </c>
      <c r="D1645" s="34" t="s">
        <v>1616</v>
      </c>
      <c r="E1645" s="35" t="s">
        <v>890</v>
      </c>
      <c r="F1645" s="40" t="s">
        <v>1000</v>
      </c>
      <c r="G1645" s="145" t="s">
        <v>502</v>
      </c>
      <c r="H1645" s="40">
        <v>1</v>
      </c>
      <c r="I1645" s="56"/>
    </row>
    <row r="1646" spans="1:9" s="81" customFormat="1" ht="21.6" customHeight="1">
      <c r="A1646" s="27">
        <v>1875</v>
      </c>
      <c r="B1646" s="104" t="s">
        <v>1312</v>
      </c>
      <c r="C1646" s="104" t="s">
        <v>892</v>
      </c>
      <c r="D1646" s="34" t="s">
        <v>1617</v>
      </c>
      <c r="E1646" s="35" t="s">
        <v>893</v>
      </c>
      <c r="F1646" s="76">
        <v>180</v>
      </c>
      <c r="G1646" s="145" t="s">
        <v>703</v>
      </c>
      <c r="H1646" s="40">
        <v>1</v>
      </c>
      <c r="I1646" s="56"/>
    </row>
    <row r="1647" spans="1:9" s="81" customFormat="1" ht="21.6" customHeight="1">
      <c r="A1647" s="27">
        <v>1876</v>
      </c>
      <c r="B1647" s="104" t="s">
        <v>1312</v>
      </c>
      <c r="C1647" s="104" t="s">
        <v>894</v>
      </c>
      <c r="D1647" s="34" t="s">
        <v>1618</v>
      </c>
      <c r="E1647" s="35" t="s">
        <v>895</v>
      </c>
      <c r="F1647" s="40">
        <v>180</v>
      </c>
      <c r="G1647" s="144" t="s">
        <v>706</v>
      </c>
      <c r="H1647" s="40">
        <v>1</v>
      </c>
      <c r="I1647" s="56"/>
    </row>
    <row r="1648" spans="1:9" s="81" customFormat="1" ht="21.6" customHeight="1">
      <c r="A1648" s="27">
        <v>1877</v>
      </c>
      <c r="B1648" s="104" t="s">
        <v>1312</v>
      </c>
      <c r="C1648" s="104" t="s">
        <v>896</v>
      </c>
      <c r="D1648" s="34" t="s">
        <v>1619</v>
      </c>
      <c r="E1648" s="35" t="s">
        <v>897</v>
      </c>
      <c r="F1648" s="40">
        <v>180</v>
      </c>
      <c r="G1648" s="145" t="s">
        <v>709</v>
      </c>
      <c r="H1648" s="40">
        <v>1</v>
      </c>
      <c r="I1648" s="56"/>
    </row>
    <row r="1649" spans="1:9" s="81" customFormat="1" ht="21.6" customHeight="1">
      <c r="A1649" s="27">
        <v>1878</v>
      </c>
      <c r="B1649" s="104" t="s">
        <v>1312</v>
      </c>
      <c r="C1649" s="104" t="s">
        <v>710</v>
      </c>
      <c r="D1649" s="34" t="s">
        <v>1547</v>
      </c>
      <c r="E1649" s="35" t="s">
        <v>711</v>
      </c>
      <c r="F1649" s="40" t="s">
        <v>1001</v>
      </c>
      <c r="G1649" s="145" t="s">
        <v>415</v>
      </c>
      <c r="H1649" s="40">
        <v>1</v>
      </c>
      <c r="I1649" s="56"/>
    </row>
    <row r="1650" spans="1:9" s="81" customFormat="1" ht="21.6" customHeight="1">
      <c r="A1650" s="27">
        <v>1879</v>
      </c>
      <c r="B1650" s="104" t="s">
        <v>1312</v>
      </c>
      <c r="C1650" s="104" t="s">
        <v>899</v>
      </c>
      <c r="D1650" s="34" t="s">
        <v>1620</v>
      </c>
      <c r="E1650" s="35" t="s">
        <v>900</v>
      </c>
      <c r="F1650" s="40">
        <v>180</v>
      </c>
      <c r="G1650" s="144" t="s">
        <v>597</v>
      </c>
      <c r="H1650" s="40">
        <v>1</v>
      </c>
      <c r="I1650" s="56"/>
    </row>
    <row r="1651" spans="1:9" s="81" customFormat="1" ht="21.6" customHeight="1">
      <c r="A1651" s="27">
        <v>1880</v>
      </c>
      <c r="B1651" s="104" t="s">
        <v>1312</v>
      </c>
      <c r="C1651" s="104" t="s">
        <v>845</v>
      </c>
      <c r="D1651" s="34" t="s">
        <v>1598</v>
      </c>
      <c r="E1651" s="35" t="s">
        <v>846</v>
      </c>
      <c r="F1651" s="76">
        <v>90</v>
      </c>
      <c r="G1651" s="144" t="s">
        <v>901</v>
      </c>
      <c r="H1651" s="40">
        <v>3</v>
      </c>
      <c r="I1651" s="56"/>
    </row>
    <row r="1652" spans="1:9" s="81" customFormat="1" ht="21.6" customHeight="1">
      <c r="A1652" s="27">
        <v>1881</v>
      </c>
      <c r="B1652" s="104" t="s">
        <v>1312</v>
      </c>
      <c r="C1652" s="104" t="s">
        <v>598</v>
      </c>
      <c r="D1652" s="34" t="s">
        <v>1508</v>
      </c>
      <c r="E1652" s="35" t="s">
        <v>599</v>
      </c>
      <c r="F1652" s="40" t="s">
        <v>1002</v>
      </c>
      <c r="G1652" s="145" t="s">
        <v>600</v>
      </c>
      <c r="H1652" s="40">
        <v>4</v>
      </c>
      <c r="I1652" s="56"/>
    </row>
    <row r="1653" spans="1:9" s="81" customFormat="1" ht="21.6" customHeight="1">
      <c r="A1653" s="27">
        <v>1882</v>
      </c>
      <c r="B1653" s="104" t="s">
        <v>1312</v>
      </c>
      <c r="C1653" s="104" t="s">
        <v>601</v>
      </c>
      <c r="D1653" s="34" t="s">
        <v>1509</v>
      </c>
      <c r="E1653" s="35" t="s">
        <v>602</v>
      </c>
      <c r="F1653" s="40" t="s">
        <v>1002</v>
      </c>
      <c r="G1653" s="144" t="s">
        <v>1822</v>
      </c>
      <c r="H1653" s="40">
        <v>8</v>
      </c>
      <c r="I1653" s="56"/>
    </row>
    <row r="1654" spans="1:9" s="81" customFormat="1" ht="21.6" customHeight="1">
      <c r="A1654" s="27">
        <v>1883</v>
      </c>
      <c r="B1654" s="104" t="s">
        <v>1312</v>
      </c>
      <c r="C1654" s="104" t="s">
        <v>902</v>
      </c>
      <c r="D1654" s="34" t="s">
        <v>1621</v>
      </c>
      <c r="E1654" s="35" t="s">
        <v>903</v>
      </c>
      <c r="F1654" s="40" t="s">
        <v>1001</v>
      </c>
      <c r="G1654" s="144" t="s">
        <v>1823</v>
      </c>
      <c r="H1654" s="40">
        <v>4</v>
      </c>
      <c r="I1654" s="56" t="s">
        <v>1003</v>
      </c>
    </row>
    <row r="1655" spans="1:9" s="81" customFormat="1" ht="21.6" customHeight="1">
      <c r="A1655" s="27">
        <v>1884</v>
      </c>
      <c r="B1655" s="104" t="s">
        <v>1312</v>
      </c>
      <c r="C1655" s="104" t="s">
        <v>905</v>
      </c>
      <c r="D1655" s="34" t="s">
        <v>1622</v>
      </c>
      <c r="E1655" s="35" t="s">
        <v>906</v>
      </c>
      <c r="F1655" s="40" t="s">
        <v>1001</v>
      </c>
      <c r="G1655" s="144" t="s">
        <v>1823</v>
      </c>
      <c r="H1655" s="40">
        <v>4</v>
      </c>
      <c r="I1655" s="56" t="s">
        <v>1004</v>
      </c>
    </row>
    <row r="1656" spans="1:9" s="81" customFormat="1" ht="21.6" customHeight="1">
      <c r="A1656" s="27">
        <v>1885</v>
      </c>
      <c r="B1656" s="104" t="s">
        <v>1312</v>
      </c>
      <c r="C1656" s="104" t="s">
        <v>605</v>
      </c>
      <c r="D1656" s="34" t="s">
        <v>1511</v>
      </c>
      <c r="E1656" s="35" t="s">
        <v>606</v>
      </c>
      <c r="F1656" s="40">
        <v>180</v>
      </c>
      <c r="G1656" s="145" t="s">
        <v>533</v>
      </c>
      <c r="H1656" s="40">
        <v>1</v>
      </c>
      <c r="I1656" s="56"/>
    </row>
    <row r="1657" spans="1:9" s="81" customFormat="1" ht="21.6" customHeight="1">
      <c r="A1657" s="27">
        <v>1886</v>
      </c>
      <c r="B1657" s="104" t="s">
        <v>1312</v>
      </c>
      <c r="C1657" s="104" t="s">
        <v>607</v>
      </c>
      <c r="D1657" s="34" t="s">
        <v>1512</v>
      </c>
      <c r="E1657" s="35" t="s">
        <v>608</v>
      </c>
      <c r="F1657" s="40">
        <v>180</v>
      </c>
      <c r="G1657" s="145" t="s">
        <v>1812</v>
      </c>
      <c r="H1657" s="40">
        <v>1</v>
      </c>
      <c r="I1657" s="56"/>
    </row>
    <row r="1658" spans="1:9" s="81" customFormat="1" ht="21.6" customHeight="1">
      <c r="A1658" s="27">
        <v>1887</v>
      </c>
      <c r="B1658" s="104" t="s">
        <v>1312</v>
      </c>
      <c r="C1658" s="104" t="s">
        <v>609</v>
      </c>
      <c r="D1658" s="34" t="s">
        <v>1513</v>
      </c>
      <c r="E1658" s="35" t="s">
        <v>610</v>
      </c>
      <c r="F1658" s="40">
        <v>180</v>
      </c>
      <c r="G1658" s="145" t="s">
        <v>1824</v>
      </c>
      <c r="H1658" s="40">
        <v>1</v>
      </c>
      <c r="I1658" s="56"/>
    </row>
    <row r="1659" spans="1:9" s="81" customFormat="1" ht="21.6" customHeight="1">
      <c r="A1659" s="27">
        <v>1888</v>
      </c>
      <c r="B1659" s="104" t="s">
        <v>1312</v>
      </c>
      <c r="C1659" s="104" t="s">
        <v>611</v>
      </c>
      <c r="D1659" s="34" t="s">
        <v>1514</v>
      </c>
      <c r="E1659" s="35" t="s">
        <v>612</v>
      </c>
      <c r="F1659" s="40">
        <v>180</v>
      </c>
      <c r="G1659" s="145" t="s">
        <v>1825</v>
      </c>
      <c r="H1659" s="40">
        <v>1</v>
      </c>
      <c r="I1659" s="56"/>
    </row>
    <row r="1660" spans="1:9" s="81" customFormat="1" ht="21.6" customHeight="1">
      <c r="A1660" s="27">
        <v>1889</v>
      </c>
      <c r="B1660" s="104" t="s">
        <v>1312</v>
      </c>
      <c r="C1660" s="104" t="s">
        <v>613</v>
      </c>
      <c r="D1660" s="34" t="s">
        <v>1515</v>
      </c>
      <c r="E1660" s="35" t="s">
        <v>614</v>
      </c>
      <c r="F1660" s="40">
        <v>180</v>
      </c>
      <c r="G1660" s="145" t="s">
        <v>1826</v>
      </c>
      <c r="H1660" s="40">
        <v>2</v>
      </c>
      <c r="I1660" s="56"/>
    </row>
    <row r="1661" spans="1:9" s="81" customFormat="1" ht="21.6" customHeight="1">
      <c r="A1661" s="27">
        <v>1890</v>
      </c>
      <c r="B1661" s="34" t="s">
        <v>1312</v>
      </c>
      <c r="C1661" s="34" t="s">
        <v>719</v>
      </c>
      <c r="D1661" s="34" t="s">
        <v>1551</v>
      </c>
      <c r="E1661" s="35" t="s">
        <v>720</v>
      </c>
      <c r="F1661" s="40">
        <v>540</v>
      </c>
      <c r="G1661" s="144" t="s">
        <v>101</v>
      </c>
      <c r="H1661" s="40">
        <v>2</v>
      </c>
      <c r="I1661" s="56" t="s">
        <v>617</v>
      </c>
    </row>
    <row r="1662" spans="1:9" s="81" customFormat="1" ht="21.6" customHeight="1">
      <c r="A1662" s="27">
        <v>1892</v>
      </c>
      <c r="B1662" s="104" t="s">
        <v>1312</v>
      </c>
      <c r="C1662" s="104" t="s">
        <v>908</v>
      </c>
      <c r="D1662" s="34" t="s">
        <v>1623</v>
      </c>
      <c r="E1662" s="35" t="s">
        <v>909</v>
      </c>
      <c r="F1662" s="40">
        <v>240</v>
      </c>
      <c r="G1662" s="145" t="s">
        <v>1809</v>
      </c>
      <c r="H1662" s="40">
        <v>1</v>
      </c>
      <c r="I1662" s="56" t="s">
        <v>910</v>
      </c>
    </row>
    <row r="1663" spans="1:9" s="81" customFormat="1" ht="21.6" customHeight="1">
      <c r="A1663" s="27">
        <v>1893</v>
      </c>
      <c r="B1663" s="104" t="s">
        <v>1312</v>
      </c>
      <c r="C1663" s="104" t="s">
        <v>911</v>
      </c>
      <c r="D1663" s="34" t="s">
        <v>1624</v>
      </c>
      <c r="E1663" s="35" t="s">
        <v>912</v>
      </c>
      <c r="F1663" s="40">
        <v>240</v>
      </c>
      <c r="G1663" s="145" t="s">
        <v>87</v>
      </c>
      <c r="H1663" s="40">
        <v>1</v>
      </c>
      <c r="I1663" s="56"/>
    </row>
    <row r="1664" spans="1:9" s="81" customFormat="1" ht="21.6" customHeight="1">
      <c r="A1664" s="27">
        <v>1894</v>
      </c>
      <c r="B1664" s="104" t="s">
        <v>1312</v>
      </c>
      <c r="C1664" s="104" t="s">
        <v>622</v>
      </c>
      <c r="D1664" s="34" t="s">
        <v>1519</v>
      </c>
      <c r="E1664" s="35" t="s">
        <v>623</v>
      </c>
      <c r="F1664" s="40">
        <v>240</v>
      </c>
      <c r="G1664" s="144" t="s">
        <v>1827</v>
      </c>
      <c r="H1664" s="40">
        <v>1</v>
      </c>
      <c r="I1664" s="56"/>
    </row>
    <row r="1665" spans="1:9" s="81" customFormat="1" ht="21.6" customHeight="1">
      <c r="A1665" s="27">
        <v>1895</v>
      </c>
      <c r="B1665" s="104" t="s">
        <v>1312</v>
      </c>
      <c r="C1665" s="104" t="s">
        <v>852</v>
      </c>
      <c r="D1665" s="34" t="s">
        <v>1601</v>
      </c>
      <c r="E1665" s="35" t="s">
        <v>853</v>
      </c>
      <c r="F1665" s="40">
        <v>240</v>
      </c>
      <c r="G1665" s="144" t="s">
        <v>1828</v>
      </c>
      <c r="H1665" s="40">
        <v>1</v>
      </c>
      <c r="I1665" s="56"/>
    </row>
    <row r="1666" spans="1:9" s="81" customFormat="1" ht="21.6" customHeight="1">
      <c r="A1666" s="27">
        <v>1896</v>
      </c>
      <c r="B1666" s="104" t="s">
        <v>1312</v>
      </c>
      <c r="C1666" s="104" t="s">
        <v>626</v>
      </c>
      <c r="D1666" s="34" t="s">
        <v>1521</v>
      </c>
      <c r="E1666" s="35" t="s">
        <v>627</v>
      </c>
      <c r="F1666" s="40">
        <v>240</v>
      </c>
      <c r="G1666" s="145" t="s">
        <v>628</v>
      </c>
      <c r="H1666" s="40">
        <v>2</v>
      </c>
      <c r="I1666" s="56"/>
    </row>
    <row r="1667" spans="1:9" s="81" customFormat="1" ht="21.6" customHeight="1">
      <c r="A1667" s="27">
        <v>1897</v>
      </c>
      <c r="B1667" s="104" t="s">
        <v>1312</v>
      </c>
      <c r="C1667" s="104" t="s">
        <v>273</v>
      </c>
      <c r="D1667" s="34" t="s">
        <v>1392</v>
      </c>
      <c r="E1667" s="35" t="s">
        <v>274</v>
      </c>
      <c r="F1667" s="40">
        <v>80</v>
      </c>
      <c r="G1667" s="144" t="s">
        <v>631</v>
      </c>
      <c r="H1667" s="40">
        <v>1</v>
      </c>
      <c r="I1667" s="56" t="s">
        <v>116</v>
      </c>
    </row>
    <row r="1668" spans="1:9" s="81" customFormat="1" ht="21.6" customHeight="1">
      <c r="A1668" s="27">
        <v>1898</v>
      </c>
      <c r="B1668" s="104" t="s">
        <v>1312</v>
      </c>
      <c r="C1668" s="104" t="s">
        <v>276</v>
      </c>
      <c r="D1668" s="80" t="s">
        <v>1393</v>
      </c>
      <c r="E1668" s="35" t="s">
        <v>277</v>
      </c>
      <c r="F1668" s="40">
        <v>80</v>
      </c>
      <c r="G1668" s="144" t="s">
        <v>115</v>
      </c>
      <c r="H1668" s="40">
        <v>1</v>
      </c>
      <c r="I1668" s="56" t="s">
        <v>116</v>
      </c>
    </row>
    <row r="1669" spans="1:9" s="58" customFormat="1" ht="21.6" customHeight="1">
      <c r="A1669" s="27">
        <v>1899</v>
      </c>
      <c r="B1669" s="104" t="s">
        <v>1312</v>
      </c>
      <c r="C1669" s="104" t="s">
        <v>264</v>
      </c>
      <c r="D1669" s="50" t="s">
        <v>1389</v>
      </c>
      <c r="E1669" s="51" t="s">
        <v>265</v>
      </c>
      <c r="F1669" s="29">
        <v>80</v>
      </c>
      <c r="G1669" s="144" t="s">
        <v>1841</v>
      </c>
      <c r="H1669" s="29">
        <v>1</v>
      </c>
      <c r="I1669" s="31" t="s">
        <v>796</v>
      </c>
    </row>
    <row r="1670" spans="1:9" s="58" customFormat="1" ht="21.6" customHeight="1">
      <c r="A1670" s="27">
        <v>1900</v>
      </c>
      <c r="B1670" s="104" t="s">
        <v>1312</v>
      </c>
      <c r="C1670" s="104" t="s">
        <v>268</v>
      </c>
      <c r="D1670" s="50" t="s">
        <v>1390</v>
      </c>
      <c r="E1670" s="51" t="s">
        <v>269</v>
      </c>
      <c r="F1670" s="29">
        <v>80</v>
      </c>
      <c r="G1670" s="144" t="s">
        <v>797</v>
      </c>
      <c r="H1670" s="29">
        <v>1</v>
      </c>
      <c r="I1670" s="31" t="s">
        <v>796</v>
      </c>
    </row>
    <row r="1671" spans="1:9" s="58" customFormat="1" ht="21.6" customHeight="1">
      <c r="A1671" s="27">
        <v>1901</v>
      </c>
      <c r="B1671" s="104" t="s">
        <v>1312</v>
      </c>
      <c r="C1671" s="104" t="s">
        <v>271</v>
      </c>
      <c r="D1671" s="50" t="s">
        <v>1391</v>
      </c>
      <c r="E1671" s="51" t="s">
        <v>272</v>
      </c>
      <c r="F1671" s="29">
        <v>80</v>
      </c>
      <c r="G1671" s="144" t="s">
        <v>1842</v>
      </c>
      <c r="H1671" s="29">
        <v>1</v>
      </c>
      <c r="I1671" s="31" t="s">
        <v>796</v>
      </c>
    </row>
    <row r="1672" spans="1:9" s="26" customFormat="1" ht="21.6" customHeight="1">
      <c r="A1672" s="27">
        <v>1902</v>
      </c>
      <c r="B1672" s="104" t="s">
        <v>1312</v>
      </c>
      <c r="C1672" s="104" t="s">
        <v>225</v>
      </c>
      <c r="D1672" s="39" t="s">
        <v>1375</v>
      </c>
      <c r="E1672" s="3" t="s">
        <v>226</v>
      </c>
      <c r="F1672" s="29">
        <v>120</v>
      </c>
      <c r="G1672" s="144" t="s">
        <v>1781</v>
      </c>
      <c r="H1672" s="29">
        <v>2</v>
      </c>
      <c r="I1672" s="31" t="s">
        <v>279</v>
      </c>
    </row>
    <row r="1673" spans="1:9" s="26" customFormat="1" ht="21.6" customHeight="1">
      <c r="A1673" s="27">
        <v>1903</v>
      </c>
      <c r="B1673" s="104" t="s">
        <v>1312</v>
      </c>
      <c r="C1673" s="104" t="s">
        <v>229</v>
      </c>
      <c r="D1673" s="39" t="s">
        <v>1376</v>
      </c>
      <c r="E1673" s="51" t="s">
        <v>230</v>
      </c>
      <c r="F1673" s="29">
        <v>120</v>
      </c>
      <c r="G1673" s="144" t="s">
        <v>278</v>
      </c>
      <c r="H1673" s="29">
        <v>1</v>
      </c>
      <c r="I1673" s="31" t="s">
        <v>279</v>
      </c>
    </row>
    <row r="1674" spans="1:9" s="26" customFormat="1" ht="21.6" customHeight="1">
      <c r="A1674" s="27">
        <v>1904</v>
      </c>
      <c r="B1674" s="104" t="s">
        <v>1312</v>
      </c>
      <c r="C1674" s="104" t="s">
        <v>280</v>
      </c>
      <c r="D1674" s="39" t="s">
        <v>1394</v>
      </c>
      <c r="E1674" s="51" t="s">
        <v>281</v>
      </c>
      <c r="F1674" s="29">
        <v>120</v>
      </c>
      <c r="G1674" s="144" t="s">
        <v>1782</v>
      </c>
      <c r="H1674" s="29">
        <v>1</v>
      </c>
      <c r="I1674" s="31" t="s">
        <v>283</v>
      </c>
    </row>
    <row r="1675" spans="1:9" s="26" customFormat="1" ht="21.6" customHeight="1">
      <c r="A1675" s="27">
        <v>1905</v>
      </c>
      <c r="B1675" s="104" t="s">
        <v>1312</v>
      </c>
      <c r="C1675" s="104" t="s">
        <v>284</v>
      </c>
      <c r="D1675" s="50" t="s">
        <v>1395</v>
      </c>
      <c r="E1675" s="51" t="s">
        <v>226</v>
      </c>
      <c r="F1675" s="29">
        <v>120</v>
      </c>
      <c r="G1675" s="144" t="s">
        <v>285</v>
      </c>
      <c r="H1675" s="29">
        <v>1</v>
      </c>
      <c r="I1675" s="31" t="s">
        <v>286</v>
      </c>
    </row>
    <row r="1676" spans="1:9" s="26" customFormat="1" ht="21.6" customHeight="1">
      <c r="A1676" s="27">
        <v>1906</v>
      </c>
      <c r="B1676" s="104" t="s">
        <v>1312</v>
      </c>
      <c r="C1676" s="104" t="s">
        <v>287</v>
      </c>
      <c r="D1676" s="50" t="s">
        <v>1396</v>
      </c>
      <c r="E1676" s="51" t="s">
        <v>288</v>
      </c>
      <c r="F1676" s="29">
        <v>120</v>
      </c>
      <c r="G1676" s="144" t="s">
        <v>282</v>
      </c>
      <c r="H1676" s="29">
        <v>1</v>
      </c>
      <c r="I1676" s="31" t="s">
        <v>286</v>
      </c>
    </row>
    <row r="1677" spans="1:9" s="58" customFormat="1" ht="21.6" customHeight="1">
      <c r="A1677" s="27">
        <v>1907</v>
      </c>
      <c r="B1677" s="104" t="s">
        <v>1312</v>
      </c>
      <c r="C1677" s="104" t="s">
        <v>231</v>
      </c>
      <c r="D1677" s="39" t="s">
        <v>1377</v>
      </c>
      <c r="E1677" s="51" t="s">
        <v>232</v>
      </c>
      <c r="F1677" s="29">
        <v>160</v>
      </c>
      <c r="G1677" s="144" t="s">
        <v>1843</v>
      </c>
      <c r="H1677" s="29">
        <v>1</v>
      </c>
      <c r="I1677" s="31" t="s">
        <v>290</v>
      </c>
    </row>
    <row r="1678" spans="1:9" s="58" customFormat="1" ht="21.6" customHeight="1">
      <c r="A1678" s="27">
        <v>1908</v>
      </c>
      <c r="B1678" s="104" t="s">
        <v>1312</v>
      </c>
      <c r="C1678" s="104" t="s">
        <v>235</v>
      </c>
      <c r="D1678" s="50" t="s">
        <v>1378</v>
      </c>
      <c r="E1678" s="51" t="s">
        <v>236</v>
      </c>
      <c r="F1678" s="29">
        <v>160</v>
      </c>
      <c r="G1678" s="144" t="s">
        <v>237</v>
      </c>
      <c r="H1678" s="29">
        <v>1</v>
      </c>
      <c r="I1678" s="31" t="s">
        <v>290</v>
      </c>
    </row>
    <row r="1679" spans="1:9" s="58" customFormat="1" ht="21.6" customHeight="1">
      <c r="A1679" s="27">
        <v>1909</v>
      </c>
      <c r="B1679" s="104" t="s">
        <v>1312</v>
      </c>
      <c r="C1679" s="104" t="s">
        <v>238</v>
      </c>
      <c r="D1679" s="50" t="s">
        <v>1379</v>
      </c>
      <c r="E1679" s="51" t="s">
        <v>239</v>
      </c>
      <c r="F1679" s="29">
        <v>160</v>
      </c>
      <c r="G1679" s="144" t="s">
        <v>798</v>
      </c>
      <c r="H1679" s="29">
        <v>1</v>
      </c>
      <c r="I1679" s="31" t="s">
        <v>290</v>
      </c>
    </row>
    <row r="1680" spans="1:9" s="81" customFormat="1" ht="21.6" customHeight="1">
      <c r="A1680" s="27">
        <v>1910</v>
      </c>
      <c r="B1680" s="104" t="s">
        <v>1312</v>
      </c>
      <c r="C1680" s="104" t="s">
        <v>913</v>
      </c>
      <c r="D1680" s="80" t="s">
        <v>1625</v>
      </c>
      <c r="E1680" s="35" t="s">
        <v>914</v>
      </c>
      <c r="F1680" s="40">
        <v>180</v>
      </c>
      <c r="G1680" s="144" t="s">
        <v>637</v>
      </c>
      <c r="H1680" s="40" t="s">
        <v>123</v>
      </c>
      <c r="I1680" s="56"/>
    </row>
    <row r="1681" spans="1:9" s="81" customFormat="1" ht="21.6" customHeight="1">
      <c r="A1681" s="27">
        <v>1911</v>
      </c>
      <c r="B1681" s="104" t="s">
        <v>1312</v>
      </c>
      <c r="C1681" s="104" t="s">
        <v>915</v>
      </c>
      <c r="D1681" s="34" t="s">
        <v>1626</v>
      </c>
      <c r="E1681" s="35" t="s">
        <v>916</v>
      </c>
      <c r="F1681" s="40">
        <v>90</v>
      </c>
      <c r="G1681" s="144" t="s">
        <v>755</v>
      </c>
      <c r="H1681" s="40" t="s">
        <v>123</v>
      </c>
      <c r="I1681" s="56"/>
    </row>
    <row r="1682" spans="1:9" s="58" customFormat="1" ht="21.6" customHeight="1">
      <c r="A1682" s="27">
        <v>1912</v>
      </c>
      <c r="B1682" s="104" t="s">
        <v>1312</v>
      </c>
      <c r="C1682" s="104" t="s">
        <v>295</v>
      </c>
      <c r="D1682" s="39" t="s">
        <v>1399</v>
      </c>
      <c r="E1682" s="3" t="s">
        <v>296</v>
      </c>
      <c r="F1682" s="29">
        <v>80</v>
      </c>
      <c r="G1682" s="144" t="s">
        <v>799</v>
      </c>
      <c r="H1682" s="40" t="s">
        <v>123</v>
      </c>
      <c r="I1682" s="31" t="s">
        <v>796</v>
      </c>
    </row>
    <row r="1683" spans="1:9" s="26" customFormat="1" ht="21.6" customHeight="1">
      <c r="A1683" s="27">
        <v>1913</v>
      </c>
      <c r="B1683" s="104" t="s">
        <v>1312</v>
      </c>
      <c r="C1683" s="104" t="s">
        <v>298</v>
      </c>
      <c r="D1683" s="39" t="s">
        <v>1400</v>
      </c>
      <c r="E1683" s="3" t="s">
        <v>299</v>
      </c>
      <c r="F1683" s="29">
        <v>120</v>
      </c>
      <c r="G1683" s="144" t="s">
        <v>300</v>
      </c>
      <c r="H1683" s="40" t="s">
        <v>123</v>
      </c>
      <c r="I1683" s="31" t="s">
        <v>279</v>
      </c>
    </row>
    <row r="1684" spans="1:9" s="26" customFormat="1" ht="21.6" customHeight="1">
      <c r="A1684" s="27">
        <v>1914</v>
      </c>
      <c r="B1684" s="104" t="s">
        <v>1312</v>
      </c>
      <c r="C1684" s="104" t="s">
        <v>301</v>
      </c>
      <c r="D1684" s="39" t="s">
        <v>1401</v>
      </c>
      <c r="E1684" s="3" t="s">
        <v>302</v>
      </c>
      <c r="F1684" s="29">
        <v>120</v>
      </c>
      <c r="G1684" s="144" t="s">
        <v>303</v>
      </c>
      <c r="H1684" s="40" t="s">
        <v>123</v>
      </c>
      <c r="I1684" s="31" t="s">
        <v>283</v>
      </c>
    </row>
    <row r="1685" spans="1:9" s="58" customFormat="1" ht="21.6" customHeight="1">
      <c r="A1685" s="27">
        <v>1915</v>
      </c>
      <c r="B1685" s="104" t="s">
        <v>1312</v>
      </c>
      <c r="C1685" s="104" t="s">
        <v>251</v>
      </c>
      <c r="D1685" s="39" t="s">
        <v>1384</v>
      </c>
      <c r="E1685" s="3" t="s">
        <v>252</v>
      </c>
      <c r="F1685" s="29">
        <v>160</v>
      </c>
      <c r="G1685" s="144" t="s">
        <v>760</v>
      </c>
      <c r="H1685" s="40" t="s">
        <v>123</v>
      </c>
      <c r="I1685" s="31" t="s">
        <v>290</v>
      </c>
    </row>
    <row r="1686" spans="1:9" s="58" customFormat="1" ht="21.6" customHeight="1">
      <c r="A1686" s="27">
        <v>1917</v>
      </c>
      <c r="B1686" s="104" t="s">
        <v>1312</v>
      </c>
      <c r="C1686" s="141" t="s">
        <v>917</v>
      </c>
      <c r="D1686" s="116" t="s">
        <v>1627</v>
      </c>
      <c r="E1686" s="117" t="s">
        <v>918</v>
      </c>
      <c r="F1686" s="29">
        <v>240</v>
      </c>
      <c r="G1686" s="144" t="s">
        <v>642</v>
      </c>
      <c r="H1686" s="40" t="s">
        <v>123</v>
      </c>
      <c r="I1686" s="31" t="s">
        <v>526</v>
      </c>
    </row>
    <row r="1687" spans="1:9" s="58" customFormat="1" ht="21.6" customHeight="1">
      <c r="A1687" s="27">
        <v>1918</v>
      </c>
      <c r="B1687" s="104" t="s">
        <v>1312</v>
      </c>
      <c r="C1687" s="104" t="s">
        <v>643</v>
      </c>
      <c r="D1687" s="39" t="s">
        <v>1525</v>
      </c>
      <c r="E1687" s="3" t="s">
        <v>644</v>
      </c>
      <c r="F1687" s="29">
        <v>180</v>
      </c>
      <c r="G1687" s="144" t="s">
        <v>645</v>
      </c>
      <c r="H1687" s="40" t="s">
        <v>123</v>
      </c>
      <c r="I1687" s="31"/>
    </row>
    <row r="1688" spans="1:9" s="81" customFormat="1" ht="21.6" customHeight="1">
      <c r="A1688" s="27">
        <v>1919</v>
      </c>
      <c r="B1688" s="104" t="s">
        <v>1312</v>
      </c>
      <c r="C1688" s="104" t="s">
        <v>919</v>
      </c>
      <c r="D1688" s="34" t="s">
        <v>1628</v>
      </c>
      <c r="E1688" s="35" t="s">
        <v>920</v>
      </c>
      <c r="F1688" s="40" t="s">
        <v>123</v>
      </c>
      <c r="G1688" s="145" t="s">
        <v>585</v>
      </c>
      <c r="H1688" s="40" t="s">
        <v>123</v>
      </c>
      <c r="I1688" s="56" t="s">
        <v>1003</v>
      </c>
    </row>
    <row r="1689" spans="1:9" s="81" customFormat="1" ht="21.6" customHeight="1">
      <c r="A1689" s="27">
        <v>1920</v>
      </c>
      <c r="B1689" s="104" t="s">
        <v>1312</v>
      </c>
      <c r="C1689" s="104" t="s">
        <v>921</v>
      </c>
      <c r="D1689" s="34" t="s">
        <v>1629</v>
      </c>
      <c r="E1689" s="35" t="s">
        <v>922</v>
      </c>
      <c r="F1689" s="40" t="s">
        <v>123</v>
      </c>
      <c r="G1689" s="145" t="s">
        <v>585</v>
      </c>
      <c r="H1689" s="40" t="s">
        <v>123</v>
      </c>
      <c r="I1689" s="56" t="s">
        <v>1004</v>
      </c>
    </row>
    <row r="1690" spans="1:9" s="81" customFormat="1" ht="21.6" customHeight="1">
      <c r="A1690" s="27">
        <v>1921</v>
      </c>
      <c r="B1690" s="104" t="s">
        <v>1312</v>
      </c>
      <c r="C1690" s="104" t="s">
        <v>923</v>
      </c>
      <c r="D1690" s="34" t="s">
        <v>1630</v>
      </c>
      <c r="E1690" s="35" t="s">
        <v>924</v>
      </c>
      <c r="F1690" s="40" t="s">
        <v>123</v>
      </c>
      <c r="G1690" s="145" t="s">
        <v>129</v>
      </c>
      <c r="H1690" s="40" t="s">
        <v>123</v>
      </c>
      <c r="I1690" s="56" t="s">
        <v>1003</v>
      </c>
    </row>
    <row r="1691" spans="1:9" ht="21.6" customHeight="1">
      <c r="A1691" s="27">
        <v>1922</v>
      </c>
      <c r="B1691" s="104" t="s">
        <v>1312</v>
      </c>
      <c r="C1691" s="104" t="s">
        <v>926</v>
      </c>
      <c r="D1691" s="34" t="s">
        <v>1631</v>
      </c>
      <c r="E1691" s="35" t="s">
        <v>927</v>
      </c>
      <c r="F1691" s="40" t="s">
        <v>123</v>
      </c>
      <c r="G1691" s="145" t="s">
        <v>772</v>
      </c>
      <c r="H1691" s="40" t="s">
        <v>123</v>
      </c>
      <c r="I1691" s="56" t="s">
        <v>1005</v>
      </c>
    </row>
    <row r="1692" spans="1:9" ht="21.6" customHeight="1">
      <c r="A1692" s="27">
        <v>1923</v>
      </c>
      <c r="B1692" s="104" t="s">
        <v>1312</v>
      </c>
      <c r="C1692" s="104" t="s">
        <v>928</v>
      </c>
      <c r="D1692" s="34" t="s">
        <v>1632</v>
      </c>
      <c r="E1692" s="35" t="s">
        <v>929</v>
      </c>
      <c r="F1692" s="40" t="s">
        <v>123</v>
      </c>
      <c r="G1692" s="145" t="s">
        <v>775</v>
      </c>
      <c r="H1692" s="40" t="s">
        <v>123</v>
      </c>
      <c r="I1692" s="56" t="s">
        <v>1005</v>
      </c>
    </row>
    <row r="1693" spans="1:9" ht="21.6" customHeight="1">
      <c r="A1693" s="27">
        <v>1924</v>
      </c>
      <c r="B1693" s="104" t="s">
        <v>1312</v>
      </c>
      <c r="C1693" s="104" t="s">
        <v>930</v>
      </c>
      <c r="D1693" s="34" t="s">
        <v>1633</v>
      </c>
      <c r="E1693" s="35" t="s">
        <v>931</v>
      </c>
      <c r="F1693" s="40" t="s">
        <v>123</v>
      </c>
      <c r="G1693" s="145" t="s">
        <v>778</v>
      </c>
      <c r="H1693" s="40" t="s">
        <v>123</v>
      </c>
      <c r="I1693" s="56" t="s">
        <v>1005</v>
      </c>
    </row>
    <row r="1694" spans="1:9" s="81" customFormat="1" ht="21.6" customHeight="1">
      <c r="A1694" s="27">
        <v>1925</v>
      </c>
      <c r="B1694" s="104" t="s">
        <v>1312</v>
      </c>
      <c r="C1694" s="104" t="s">
        <v>932</v>
      </c>
      <c r="D1694" s="34" t="s">
        <v>1634</v>
      </c>
      <c r="E1694" s="35" t="s">
        <v>933</v>
      </c>
      <c r="F1694" s="40" t="s">
        <v>654</v>
      </c>
      <c r="G1694" s="145" t="s">
        <v>129</v>
      </c>
      <c r="H1694" s="40" t="s">
        <v>654</v>
      </c>
      <c r="I1694" s="56" t="s">
        <v>1004</v>
      </c>
    </row>
    <row r="1695" spans="1:9" ht="21.6" customHeight="1">
      <c r="A1695" s="27">
        <v>1926</v>
      </c>
      <c r="B1695" s="104" t="s">
        <v>1312</v>
      </c>
      <c r="C1695" s="104" t="s">
        <v>935</v>
      </c>
      <c r="D1695" s="34" t="s">
        <v>1635</v>
      </c>
      <c r="E1695" s="35" t="s">
        <v>936</v>
      </c>
      <c r="F1695" s="40" t="s">
        <v>654</v>
      </c>
      <c r="G1695" s="145" t="s">
        <v>772</v>
      </c>
      <c r="H1695" s="40" t="s">
        <v>654</v>
      </c>
      <c r="I1695" s="56" t="s">
        <v>1006</v>
      </c>
    </row>
    <row r="1696" spans="1:9" ht="21.6" customHeight="1">
      <c r="A1696" s="27">
        <v>1927</v>
      </c>
      <c r="B1696" s="104" t="s">
        <v>1312</v>
      </c>
      <c r="C1696" s="104" t="s">
        <v>937</v>
      </c>
      <c r="D1696" s="34" t="s">
        <v>1636</v>
      </c>
      <c r="E1696" s="35" t="s">
        <v>938</v>
      </c>
      <c r="F1696" s="40" t="s">
        <v>654</v>
      </c>
      <c r="G1696" s="145" t="s">
        <v>775</v>
      </c>
      <c r="H1696" s="40" t="s">
        <v>654</v>
      </c>
      <c r="I1696" s="56" t="s">
        <v>1006</v>
      </c>
    </row>
    <row r="1697" spans="1:9" ht="21.6" customHeight="1">
      <c r="A1697" s="27">
        <v>1928</v>
      </c>
      <c r="B1697" s="104" t="s">
        <v>1312</v>
      </c>
      <c r="C1697" s="104" t="s">
        <v>939</v>
      </c>
      <c r="D1697" s="34" t="s">
        <v>1637</v>
      </c>
      <c r="E1697" s="35" t="s">
        <v>940</v>
      </c>
      <c r="F1697" s="40" t="s">
        <v>654</v>
      </c>
      <c r="G1697" s="145" t="s">
        <v>778</v>
      </c>
      <c r="H1697" s="40" t="s">
        <v>654</v>
      </c>
      <c r="I1697" s="56" t="s">
        <v>1006</v>
      </c>
    </row>
    <row r="1698" spans="1:9" s="81" customFormat="1" ht="21.6" customHeight="1">
      <c r="A1698" s="41">
        <v>1929</v>
      </c>
      <c r="B1698" s="104" t="s">
        <v>1312</v>
      </c>
      <c r="C1698" s="104" t="s">
        <v>650</v>
      </c>
      <c r="D1698" s="34" t="s">
        <v>1528</v>
      </c>
      <c r="E1698" s="35" t="s">
        <v>651</v>
      </c>
      <c r="F1698" s="40" t="s">
        <v>123</v>
      </c>
      <c r="G1698" s="144" t="s">
        <v>1821</v>
      </c>
      <c r="H1698" s="40" t="s">
        <v>123</v>
      </c>
      <c r="I1698" s="56"/>
    </row>
    <row r="1699" spans="1:9" s="81" customFormat="1" ht="21.6" customHeight="1">
      <c r="A1699" s="41">
        <v>1930</v>
      </c>
      <c r="B1699" s="84" t="s">
        <v>1312</v>
      </c>
      <c r="C1699" s="84" t="s">
        <v>941</v>
      </c>
      <c r="D1699" s="84" t="s">
        <v>1638</v>
      </c>
      <c r="E1699" s="83" t="s">
        <v>942</v>
      </c>
      <c r="F1699" s="85" t="s">
        <v>654</v>
      </c>
      <c r="G1699" s="150" t="s">
        <v>1805</v>
      </c>
      <c r="H1699" s="85" t="s">
        <v>123</v>
      </c>
      <c r="I1699" s="86"/>
    </row>
    <row r="1700" spans="1:9" s="81" customFormat="1" ht="21.6" customHeight="1">
      <c r="A1700" s="20">
        <v>1931</v>
      </c>
      <c r="B1700" s="73" t="s">
        <v>44</v>
      </c>
      <c r="C1700" s="73" t="s">
        <v>587</v>
      </c>
      <c r="D1700" s="73" t="s">
        <v>1504</v>
      </c>
      <c r="E1700" s="72" t="s">
        <v>588</v>
      </c>
      <c r="F1700" s="74">
        <v>180</v>
      </c>
      <c r="G1700" s="143" t="s">
        <v>589</v>
      </c>
      <c r="H1700" s="74">
        <v>1</v>
      </c>
      <c r="I1700" s="75" t="s">
        <v>999</v>
      </c>
    </row>
    <row r="1701" spans="1:9" s="81" customFormat="1" ht="21.6" customHeight="1">
      <c r="A1701" s="106">
        <v>1932</v>
      </c>
      <c r="B1701" s="104" t="s">
        <v>44</v>
      </c>
      <c r="C1701" s="104" t="s">
        <v>840</v>
      </c>
      <c r="D1701" s="104" t="s">
        <v>1595</v>
      </c>
      <c r="E1701" s="82" t="s">
        <v>841</v>
      </c>
      <c r="F1701" s="107">
        <v>90</v>
      </c>
      <c r="G1701" s="150" t="s">
        <v>887</v>
      </c>
      <c r="H1701" s="108">
        <v>3</v>
      </c>
      <c r="I1701" s="109" t="s">
        <v>888</v>
      </c>
    </row>
    <row r="1702" spans="1:9" s="81" customFormat="1" ht="21.6" customHeight="1">
      <c r="A1702" s="27">
        <v>1933</v>
      </c>
      <c r="B1702" s="104" t="s">
        <v>44</v>
      </c>
      <c r="C1702" s="104" t="s">
        <v>591</v>
      </c>
      <c r="D1702" s="34" t="s">
        <v>1505</v>
      </c>
      <c r="E1702" s="35" t="s">
        <v>592</v>
      </c>
      <c r="F1702" s="40" t="s">
        <v>1000</v>
      </c>
      <c r="G1702" s="145" t="s">
        <v>502</v>
      </c>
      <c r="H1702" s="40">
        <v>1</v>
      </c>
      <c r="I1702" s="56"/>
    </row>
    <row r="1703" spans="1:9" s="81" customFormat="1" ht="21.6" customHeight="1">
      <c r="A1703" s="27">
        <v>1934</v>
      </c>
      <c r="B1703" s="104" t="s">
        <v>44</v>
      </c>
      <c r="C1703" s="104" t="s">
        <v>943</v>
      </c>
      <c r="D1703" s="34" t="s">
        <v>1639</v>
      </c>
      <c r="E1703" s="35" t="s">
        <v>944</v>
      </c>
      <c r="F1703" s="76">
        <v>180</v>
      </c>
      <c r="G1703" s="145" t="s">
        <v>703</v>
      </c>
      <c r="H1703" s="40">
        <v>1</v>
      </c>
      <c r="I1703" s="56"/>
    </row>
    <row r="1704" spans="1:9" s="81" customFormat="1" ht="21.6" customHeight="1">
      <c r="A1704" s="27">
        <v>1935</v>
      </c>
      <c r="B1704" s="104" t="s">
        <v>44</v>
      </c>
      <c r="C1704" s="104" t="s">
        <v>945</v>
      </c>
      <c r="D1704" s="34" t="s">
        <v>1640</v>
      </c>
      <c r="E1704" s="35" t="s">
        <v>946</v>
      </c>
      <c r="F1704" s="40">
        <v>180</v>
      </c>
      <c r="G1704" s="144" t="s">
        <v>706</v>
      </c>
      <c r="H1704" s="40">
        <v>1</v>
      </c>
      <c r="I1704" s="56"/>
    </row>
    <row r="1705" spans="1:9" s="81" customFormat="1" ht="21.6" customHeight="1">
      <c r="A1705" s="27">
        <v>1936</v>
      </c>
      <c r="B1705" s="104" t="s">
        <v>44</v>
      </c>
      <c r="C1705" s="104" t="s">
        <v>947</v>
      </c>
      <c r="D1705" s="34" t="s">
        <v>1641</v>
      </c>
      <c r="E1705" s="35" t="s">
        <v>948</v>
      </c>
      <c r="F1705" s="40">
        <v>180</v>
      </c>
      <c r="G1705" s="145" t="s">
        <v>709</v>
      </c>
      <c r="H1705" s="40">
        <v>1</v>
      </c>
      <c r="I1705" s="56"/>
    </row>
    <row r="1706" spans="1:9" s="81" customFormat="1" ht="21.6" customHeight="1">
      <c r="A1706" s="27">
        <v>1937</v>
      </c>
      <c r="B1706" s="104" t="s">
        <v>44</v>
      </c>
      <c r="C1706" s="104" t="s">
        <v>593</v>
      </c>
      <c r="D1706" s="34" t="s">
        <v>1506</v>
      </c>
      <c r="E1706" s="35" t="s">
        <v>594</v>
      </c>
      <c r="F1706" s="40" t="s">
        <v>1001</v>
      </c>
      <c r="G1706" s="145" t="s">
        <v>415</v>
      </c>
      <c r="H1706" s="40">
        <v>1</v>
      </c>
      <c r="I1706" s="56"/>
    </row>
    <row r="1707" spans="1:9" s="81" customFormat="1" ht="21.6" customHeight="1">
      <c r="A1707" s="27">
        <v>1938</v>
      </c>
      <c r="B1707" s="104" t="s">
        <v>44</v>
      </c>
      <c r="C1707" s="104" t="s">
        <v>595</v>
      </c>
      <c r="D1707" s="34" t="s">
        <v>1507</v>
      </c>
      <c r="E1707" s="35" t="s">
        <v>596</v>
      </c>
      <c r="F1707" s="40">
        <v>180</v>
      </c>
      <c r="G1707" s="144" t="s">
        <v>597</v>
      </c>
      <c r="H1707" s="40">
        <v>1</v>
      </c>
      <c r="I1707" s="56"/>
    </row>
    <row r="1708" spans="1:9" s="81" customFormat="1" ht="21.6" customHeight="1">
      <c r="A1708" s="27">
        <v>1939</v>
      </c>
      <c r="B1708" s="104" t="s">
        <v>44</v>
      </c>
      <c r="C1708" s="104" t="s">
        <v>949</v>
      </c>
      <c r="D1708" s="34" t="s">
        <v>1642</v>
      </c>
      <c r="E1708" s="35" t="s">
        <v>950</v>
      </c>
      <c r="F1708" s="76">
        <v>90</v>
      </c>
      <c r="G1708" s="144" t="s">
        <v>901</v>
      </c>
      <c r="H1708" s="40">
        <v>3</v>
      </c>
      <c r="I1708" s="56"/>
    </row>
    <row r="1709" spans="1:9" s="81" customFormat="1" ht="21.6" customHeight="1">
      <c r="A1709" s="27">
        <v>1940</v>
      </c>
      <c r="B1709" s="104" t="s">
        <v>44</v>
      </c>
      <c r="C1709" s="104" t="s">
        <v>598</v>
      </c>
      <c r="D1709" s="34" t="s">
        <v>1508</v>
      </c>
      <c r="E1709" s="35" t="s">
        <v>599</v>
      </c>
      <c r="F1709" s="40" t="s">
        <v>1002</v>
      </c>
      <c r="G1709" s="145" t="s">
        <v>600</v>
      </c>
      <c r="H1709" s="40">
        <v>4</v>
      </c>
      <c r="I1709" s="56"/>
    </row>
    <row r="1710" spans="1:9" s="81" customFormat="1" ht="21.6" customHeight="1">
      <c r="A1710" s="27">
        <v>1941</v>
      </c>
      <c r="B1710" s="104" t="s">
        <v>44</v>
      </c>
      <c r="C1710" s="104" t="s">
        <v>601</v>
      </c>
      <c r="D1710" s="34" t="s">
        <v>1509</v>
      </c>
      <c r="E1710" s="35" t="s">
        <v>602</v>
      </c>
      <c r="F1710" s="40" t="s">
        <v>1002</v>
      </c>
      <c r="G1710" s="144" t="s">
        <v>1822</v>
      </c>
      <c r="H1710" s="40">
        <v>8</v>
      </c>
      <c r="I1710" s="56"/>
    </row>
    <row r="1711" spans="1:9" s="81" customFormat="1" ht="21.6" customHeight="1">
      <c r="A1711" s="27">
        <v>1942</v>
      </c>
      <c r="B1711" s="104" t="s">
        <v>44</v>
      </c>
      <c r="C1711" s="104" t="s">
        <v>603</v>
      </c>
      <c r="D1711" s="34" t="s">
        <v>1510</v>
      </c>
      <c r="E1711" s="35" t="s">
        <v>604</v>
      </c>
      <c r="F1711" s="40" t="s">
        <v>1001</v>
      </c>
      <c r="G1711" s="144" t="s">
        <v>1823</v>
      </c>
      <c r="H1711" s="40">
        <v>4</v>
      </c>
      <c r="I1711" s="56"/>
    </row>
    <row r="1712" spans="1:9" s="81" customFormat="1" ht="21.6" customHeight="1">
      <c r="A1712" s="27">
        <v>1943</v>
      </c>
      <c r="B1712" s="104" t="s">
        <v>44</v>
      </c>
      <c r="C1712" s="104" t="s">
        <v>605</v>
      </c>
      <c r="D1712" s="34" t="s">
        <v>1511</v>
      </c>
      <c r="E1712" s="35" t="s">
        <v>606</v>
      </c>
      <c r="F1712" s="40">
        <v>180</v>
      </c>
      <c r="G1712" s="145" t="s">
        <v>533</v>
      </c>
      <c r="H1712" s="40">
        <v>1</v>
      </c>
      <c r="I1712" s="56"/>
    </row>
    <row r="1713" spans="1:9" s="81" customFormat="1" ht="21.6" customHeight="1">
      <c r="A1713" s="27">
        <v>1944</v>
      </c>
      <c r="B1713" s="104" t="s">
        <v>44</v>
      </c>
      <c r="C1713" s="104" t="s">
        <v>607</v>
      </c>
      <c r="D1713" s="34" t="s">
        <v>1512</v>
      </c>
      <c r="E1713" s="35" t="s">
        <v>608</v>
      </c>
      <c r="F1713" s="40">
        <v>180</v>
      </c>
      <c r="G1713" s="145" t="s">
        <v>1812</v>
      </c>
      <c r="H1713" s="40">
        <v>1</v>
      </c>
      <c r="I1713" s="56"/>
    </row>
    <row r="1714" spans="1:9" s="81" customFormat="1" ht="21.6" customHeight="1">
      <c r="A1714" s="27">
        <v>1945</v>
      </c>
      <c r="B1714" s="104" t="s">
        <v>44</v>
      </c>
      <c r="C1714" s="104" t="s">
        <v>609</v>
      </c>
      <c r="D1714" s="34" t="s">
        <v>1513</v>
      </c>
      <c r="E1714" s="35" t="s">
        <v>610</v>
      </c>
      <c r="F1714" s="40">
        <v>180</v>
      </c>
      <c r="G1714" s="145" t="s">
        <v>1824</v>
      </c>
      <c r="H1714" s="40">
        <v>1</v>
      </c>
      <c r="I1714" s="56"/>
    </row>
    <row r="1715" spans="1:9" s="81" customFormat="1" ht="21.6" customHeight="1">
      <c r="A1715" s="27">
        <v>1946</v>
      </c>
      <c r="B1715" s="104" t="s">
        <v>44</v>
      </c>
      <c r="C1715" s="104" t="s">
        <v>611</v>
      </c>
      <c r="D1715" s="34" t="s">
        <v>1514</v>
      </c>
      <c r="E1715" s="35" t="s">
        <v>612</v>
      </c>
      <c r="F1715" s="40">
        <v>180</v>
      </c>
      <c r="G1715" s="145" t="s">
        <v>1825</v>
      </c>
      <c r="H1715" s="40">
        <v>1</v>
      </c>
      <c r="I1715" s="56"/>
    </row>
    <row r="1716" spans="1:9" s="81" customFormat="1" ht="21.6" customHeight="1">
      <c r="A1716" s="27">
        <v>1947</v>
      </c>
      <c r="B1716" s="104" t="s">
        <v>44</v>
      </c>
      <c r="C1716" s="104" t="s">
        <v>613</v>
      </c>
      <c r="D1716" s="34" t="s">
        <v>1515</v>
      </c>
      <c r="E1716" s="35" t="s">
        <v>614</v>
      </c>
      <c r="F1716" s="40">
        <v>180</v>
      </c>
      <c r="G1716" s="145" t="s">
        <v>1826</v>
      </c>
      <c r="H1716" s="40">
        <v>2</v>
      </c>
      <c r="I1716" s="56"/>
    </row>
    <row r="1717" spans="1:9" s="81" customFormat="1" ht="21.6" customHeight="1">
      <c r="A1717" s="27">
        <v>1948</v>
      </c>
      <c r="B1717" s="104" t="s">
        <v>44</v>
      </c>
      <c r="C1717" s="104" t="s">
        <v>615</v>
      </c>
      <c r="D1717" s="34" t="s">
        <v>1516</v>
      </c>
      <c r="E1717" s="35" t="s">
        <v>616</v>
      </c>
      <c r="F1717" s="40">
        <v>540</v>
      </c>
      <c r="G1717" s="144" t="s">
        <v>101</v>
      </c>
      <c r="H1717" s="40">
        <v>2</v>
      </c>
      <c r="I1717" s="56" t="s">
        <v>617</v>
      </c>
    </row>
    <row r="1718" spans="1:9" s="81" customFormat="1" ht="21.6" customHeight="1">
      <c r="A1718" s="27">
        <v>1950</v>
      </c>
      <c r="B1718" s="104" t="s">
        <v>44</v>
      </c>
      <c r="C1718" s="104" t="s">
        <v>951</v>
      </c>
      <c r="D1718" s="36" t="s">
        <v>1643</v>
      </c>
      <c r="E1718" s="37" t="s">
        <v>952</v>
      </c>
      <c r="F1718" s="40">
        <v>240</v>
      </c>
      <c r="G1718" s="145" t="s">
        <v>1809</v>
      </c>
      <c r="H1718" s="40">
        <v>1</v>
      </c>
      <c r="I1718" s="110" t="s">
        <v>953</v>
      </c>
    </row>
    <row r="1719" spans="1:9" s="81" customFormat="1" ht="21.6" customHeight="1">
      <c r="A1719" s="27">
        <v>1951</v>
      </c>
      <c r="B1719" s="104" t="s">
        <v>44</v>
      </c>
      <c r="C1719" s="104" t="s">
        <v>620</v>
      </c>
      <c r="D1719" s="34" t="s">
        <v>1518</v>
      </c>
      <c r="E1719" s="35" t="s">
        <v>621</v>
      </c>
      <c r="F1719" s="40">
        <v>240</v>
      </c>
      <c r="G1719" s="145" t="s">
        <v>87</v>
      </c>
      <c r="H1719" s="40">
        <v>1</v>
      </c>
      <c r="I1719" s="56"/>
    </row>
    <row r="1720" spans="1:9" s="81" customFormat="1" ht="21.6" customHeight="1">
      <c r="A1720" s="27">
        <v>1952</v>
      </c>
      <c r="B1720" s="104" t="s">
        <v>44</v>
      </c>
      <c r="C1720" s="104" t="s">
        <v>626</v>
      </c>
      <c r="D1720" s="34" t="s">
        <v>1521</v>
      </c>
      <c r="E1720" s="35" t="s">
        <v>627</v>
      </c>
      <c r="F1720" s="40">
        <v>240</v>
      </c>
      <c r="G1720" s="145" t="s">
        <v>628</v>
      </c>
      <c r="H1720" s="40">
        <v>2</v>
      </c>
      <c r="I1720" s="56"/>
    </row>
    <row r="1721" spans="1:9" s="81" customFormat="1" ht="21.6" customHeight="1">
      <c r="A1721" s="27">
        <v>1953</v>
      </c>
      <c r="B1721" s="104" t="s">
        <v>44</v>
      </c>
      <c r="C1721" s="104" t="s">
        <v>629</v>
      </c>
      <c r="D1721" s="34" t="s">
        <v>1522</v>
      </c>
      <c r="E1721" s="35" t="s">
        <v>630</v>
      </c>
      <c r="F1721" s="40">
        <v>120</v>
      </c>
      <c r="G1721" s="144" t="s">
        <v>631</v>
      </c>
      <c r="H1721" s="40">
        <v>2</v>
      </c>
      <c r="I1721" s="56" t="s">
        <v>116</v>
      </c>
    </row>
    <row r="1722" spans="1:9" s="81" customFormat="1" ht="21.6" customHeight="1">
      <c r="A1722" s="27">
        <v>1954</v>
      </c>
      <c r="B1722" s="104" t="s">
        <v>44</v>
      </c>
      <c r="C1722" s="104" t="s">
        <v>329</v>
      </c>
      <c r="D1722" s="80" t="s">
        <v>1409</v>
      </c>
      <c r="E1722" s="35" t="s">
        <v>330</v>
      </c>
      <c r="F1722" s="40">
        <v>120</v>
      </c>
      <c r="G1722" s="144" t="s">
        <v>115</v>
      </c>
      <c r="H1722" s="40">
        <v>1</v>
      </c>
      <c r="I1722" s="56" t="s">
        <v>116</v>
      </c>
    </row>
    <row r="1723" spans="1:9" s="58" customFormat="1" ht="21.6" customHeight="1">
      <c r="A1723" s="27">
        <v>1955</v>
      </c>
      <c r="B1723" s="104" t="s">
        <v>44</v>
      </c>
      <c r="C1723" s="104" t="s">
        <v>264</v>
      </c>
      <c r="D1723" s="50" t="s">
        <v>1389</v>
      </c>
      <c r="E1723" s="51" t="s">
        <v>265</v>
      </c>
      <c r="F1723" s="29">
        <v>80</v>
      </c>
      <c r="G1723" s="144" t="s">
        <v>1829</v>
      </c>
      <c r="H1723" s="29">
        <v>1</v>
      </c>
      <c r="I1723" s="31" t="s">
        <v>318</v>
      </c>
    </row>
    <row r="1724" spans="1:9" s="58" customFormat="1" ht="21.6" customHeight="1">
      <c r="A1724" s="27">
        <v>1956</v>
      </c>
      <c r="B1724" s="104" t="s">
        <v>44</v>
      </c>
      <c r="C1724" s="104" t="s">
        <v>268</v>
      </c>
      <c r="D1724" s="50" t="s">
        <v>1390</v>
      </c>
      <c r="E1724" s="51" t="s">
        <v>269</v>
      </c>
      <c r="F1724" s="29">
        <v>80</v>
      </c>
      <c r="G1724" s="144" t="s">
        <v>633</v>
      </c>
      <c r="H1724" s="29">
        <v>1</v>
      </c>
      <c r="I1724" s="31" t="s">
        <v>318</v>
      </c>
    </row>
    <row r="1725" spans="1:9" s="58" customFormat="1" ht="21.6" customHeight="1">
      <c r="A1725" s="27">
        <v>1957</v>
      </c>
      <c r="B1725" s="104" t="s">
        <v>44</v>
      </c>
      <c r="C1725" s="104" t="s">
        <v>271</v>
      </c>
      <c r="D1725" s="50" t="s">
        <v>1391</v>
      </c>
      <c r="E1725" s="51" t="s">
        <v>272</v>
      </c>
      <c r="F1725" s="29">
        <v>80</v>
      </c>
      <c r="G1725" s="144" t="s">
        <v>1830</v>
      </c>
      <c r="H1725" s="29">
        <v>1</v>
      </c>
      <c r="I1725" s="31" t="s">
        <v>318</v>
      </c>
    </row>
    <row r="1726" spans="1:9" s="26" customFormat="1" ht="21.6" customHeight="1">
      <c r="A1726" s="27">
        <v>1958</v>
      </c>
      <c r="B1726" s="104" t="s">
        <v>44</v>
      </c>
      <c r="C1726" s="104" t="s">
        <v>225</v>
      </c>
      <c r="D1726" s="39" t="s">
        <v>1375</v>
      </c>
      <c r="E1726" s="3" t="s">
        <v>226</v>
      </c>
      <c r="F1726" s="29">
        <v>120</v>
      </c>
      <c r="G1726" s="144" t="s">
        <v>1781</v>
      </c>
      <c r="H1726" s="29">
        <v>2</v>
      </c>
      <c r="I1726" s="31" t="s">
        <v>364</v>
      </c>
    </row>
    <row r="1727" spans="1:9" s="26" customFormat="1" ht="21.6" customHeight="1">
      <c r="A1727" s="27">
        <v>1959</v>
      </c>
      <c r="B1727" s="104" t="s">
        <v>44</v>
      </c>
      <c r="C1727" s="104" t="s">
        <v>229</v>
      </c>
      <c r="D1727" s="39" t="s">
        <v>1376</v>
      </c>
      <c r="E1727" s="51" t="s">
        <v>230</v>
      </c>
      <c r="F1727" s="29">
        <v>120</v>
      </c>
      <c r="G1727" s="144" t="s">
        <v>278</v>
      </c>
      <c r="H1727" s="29">
        <v>1</v>
      </c>
      <c r="I1727" s="31" t="s">
        <v>364</v>
      </c>
    </row>
    <row r="1728" spans="1:9" s="26" customFormat="1" ht="21.6" customHeight="1">
      <c r="A1728" s="27">
        <v>1960</v>
      </c>
      <c r="B1728" s="104" t="s">
        <v>44</v>
      </c>
      <c r="C1728" s="104" t="s">
        <v>323</v>
      </c>
      <c r="D1728" s="39" t="s">
        <v>1407</v>
      </c>
      <c r="E1728" s="51" t="s">
        <v>324</v>
      </c>
      <c r="F1728" s="29">
        <v>120</v>
      </c>
      <c r="G1728" s="144" t="s">
        <v>1782</v>
      </c>
      <c r="H1728" s="29">
        <v>1</v>
      </c>
      <c r="I1728" s="31" t="s">
        <v>325</v>
      </c>
    </row>
    <row r="1729" spans="1:9" s="26" customFormat="1" ht="21.6" customHeight="1">
      <c r="A1729" s="27">
        <v>1961</v>
      </c>
      <c r="B1729" s="104" t="s">
        <v>44</v>
      </c>
      <c r="C1729" s="104" t="s">
        <v>284</v>
      </c>
      <c r="D1729" s="50" t="s">
        <v>1395</v>
      </c>
      <c r="E1729" s="51" t="s">
        <v>226</v>
      </c>
      <c r="F1729" s="29">
        <v>120</v>
      </c>
      <c r="G1729" s="144" t="s">
        <v>285</v>
      </c>
      <c r="H1729" s="29">
        <v>1</v>
      </c>
      <c r="I1729" s="31" t="s">
        <v>325</v>
      </c>
    </row>
    <row r="1730" spans="1:9" s="26" customFormat="1" ht="21.6" customHeight="1">
      <c r="A1730" s="27">
        <v>1962</v>
      </c>
      <c r="B1730" s="104" t="s">
        <v>44</v>
      </c>
      <c r="C1730" s="104" t="s">
        <v>287</v>
      </c>
      <c r="D1730" s="50" t="s">
        <v>1396</v>
      </c>
      <c r="E1730" s="51" t="s">
        <v>288</v>
      </c>
      <c r="F1730" s="29">
        <v>120</v>
      </c>
      <c r="G1730" s="144" t="s">
        <v>282</v>
      </c>
      <c r="H1730" s="29">
        <v>1</v>
      </c>
      <c r="I1730" s="31" t="s">
        <v>325</v>
      </c>
    </row>
    <row r="1731" spans="1:9" s="58" customFormat="1" ht="21.6" customHeight="1">
      <c r="A1731" s="27">
        <v>1963</v>
      </c>
      <c r="B1731" s="104" t="s">
        <v>44</v>
      </c>
      <c r="C1731" s="104" t="s">
        <v>326</v>
      </c>
      <c r="D1731" s="50" t="s">
        <v>1408</v>
      </c>
      <c r="E1731" s="51" t="s">
        <v>327</v>
      </c>
      <c r="F1731" s="29">
        <v>320</v>
      </c>
      <c r="G1731" s="144" t="s">
        <v>237</v>
      </c>
      <c r="H1731" s="29">
        <v>2</v>
      </c>
      <c r="I1731" s="31" t="s">
        <v>328</v>
      </c>
    </row>
    <row r="1732" spans="1:9" s="58" customFormat="1" ht="21.6" customHeight="1">
      <c r="A1732" s="27">
        <v>1964</v>
      </c>
      <c r="B1732" s="104" t="s">
        <v>44</v>
      </c>
      <c r="C1732" s="104" t="s">
        <v>329</v>
      </c>
      <c r="D1732" s="50" t="s">
        <v>1409</v>
      </c>
      <c r="E1732" s="51" t="s">
        <v>330</v>
      </c>
      <c r="F1732" s="29">
        <v>320</v>
      </c>
      <c r="G1732" s="144" t="s">
        <v>634</v>
      </c>
      <c r="H1732" s="29">
        <v>1</v>
      </c>
      <c r="I1732" s="31" t="s">
        <v>328</v>
      </c>
    </row>
    <row r="1733" spans="1:9" ht="21.6" customHeight="1">
      <c r="A1733" s="27">
        <v>1965</v>
      </c>
      <c r="B1733" s="132" t="s">
        <v>44</v>
      </c>
      <c r="C1733" s="132" t="s">
        <v>332</v>
      </c>
      <c r="D1733" s="34" t="s">
        <v>1410</v>
      </c>
      <c r="E1733" s="35" t="s">
        <v>333</v>
      </c>
      <c r="F1733" s="40">
        <v>500</v>
      </c>
      <c r="G1733" s="144" t="s">
        <v>1784</v>
      </c>
      <c r="H1733" s="40">
        <v>2</v>
      </c>
      <c r="I1733" s="55" t="s">
        <v>334</v>
      </c>
    </row>
    <row r="1734" spans="1:9" ht="21.6" customHeight="1">
      <c r="A1734" s="27">
        <v>1966</v>
      </c>
      <c r="B1734" s="132" t="s">
        <v>44</v>
      </c>
      <c r="C1734" s="132" t="s">
        <v>335</v>
      </c>
      <c r="D1734" s="34" t="s">
        <v>1411</v>
      </c>
      <c r="E1734" s="35" t="s">
        <v>336</v>
      </c>
      <c r="F1734" s="40">
        <v>500</v>
      </c>
      <c r="G1734" s="144" t="s">
        <v>337</v>
      </c>
      <c r="H1734" s="40">
        <v>1</v>
      </c>
      <c r="I1734" s="55" t="s">
        <v>338</v>
      </c>
    </row>
    <row r="1735" spans="1:9" ht="21.6" customHeight="1">
      <c r="A1735" s="27">
        <v>1967</v>
      </c>
      <c r="B1735" s="132" t="s">
        <v>44</v>
      </c>
      <c r="C1735" s="132" t="s">
        <v>339</v>
      </c>
      <c r="D1735" s="34" t="s">
        <v>1412</v>
      </c>
      <c r="E1735" s="35" t="s">
        <v>340</v>
      </c>
      <c r="F1735" s="40">
        <v>500</v>
      </c>
      <c r="G1735" s="145" t="s">
        <v>341</v>
      </c>
      <c r="H1735" s="40">
        <v>1</v>
      </c>
      <c r="I1735" s="55" t="s">
        <v>338</v>
      </c>
    </row>
    <row r="1736" spans="1:9" s="81" customFormat="1" ht="21.6" customHeight="1">
      <c r="A1736" s="27">
        <v>1968</v>
      </c>
      <c r="B1736" s="104" t="s">
        <v>44</v>
      </c>
      <c r="C1736" s="104" t="s">
        <v>635</v>
      </c>
      <c r="D1736" s="80" t="s">
        <v>1523</v>
      </c>
      <c r="E1736" s="35" t="s">
        <v>636</v>
      </c>
      <c r="F1736" s="40">
        <v>180</v>
      </c>
      <c r="G1736" s="144" t="s">
        <v>637</v>
      </c>
      <c r="H1736" s="40" t="s">
        <v>123</v>
      </c>
      <c r="I1736" s="56"/>
    </row>
    <row r="1737" spans="1:9" s="81" customFormat="1" ht="21.6" customHeight="1">
      <c r="A1737" s="27">
        <v>1969</v>
      </c>
      <c r="B1737" s="104" t="s">
        <v>44</v>
      </c>
      <c r="C1737" s="104" t="s">
        <v>954</v>
      </c>
      <c r="D1737" s="34" t="s">
        <v>1644</v>
      </c>
      <c r="E1737" s="35" t="s">
        <v>955</v>
      </c>
      <c r="F1737" s="40">
        <v>90</v>
      </c>
      <c r="G1737" s="144" t="s">
        <v>755</v>
      </c>
      <c r="H1737" s="40" t="s">
        <v>123</v>
      </c>
      <c r="I1737" s="56"/>
    </row>
    <row r="1738" spans="1:9" s="58" customFormat="1" ht="21.6" customHeight="1">
      <c r="A1738" s="27">
        <v>1970</v>
      </c>
      <c r="B1738" s="104" t="s">
        <v>44</v>
      </c>
      <c r="C1738" s="104" t="s">
        <v>295</v>
      </c>
      <c r="D1738" s="39" t="s">
        <v>1399</v>
      </c>
      <c r="E1738" s="3" t="s">
        <v>296</v>
      </c>
      <c r="F1738" s="29">
        <v>80</v>
      </c>
      <c r="G1738" s="144" t="s">
        <v>638</v>
      </c>
      <c r="H1738" s="40" t="s">
        <v>123</v>
      </c>
      <c r="I1738" s="31" t="s">
        <v>639</v>
      </c>
    </row>
    <row r="1739" spans="1:9" s="26" customFormat="1" ht="21.6" customHeight="1">
      <c r="A1739" s="27">
        <v>1971</v>
      </c>
      <c r="B1739" s="104" t="s">
        <v>44</v>
      </c>
      <c r="C1739" s="104" t="s">
        <v>298</v>
      </c>
      <c r="D1739" s="39" t="s">
        <v>1400</v>
      </c>
      <c r="E1739" s="3" t="s">
        <v>299</v>
      </c>
      <c r="F1739" s="29">
        <v>120</v>
      </c>
      <c r="G1739" s="144" t="s">
        <v>300</v>
      </c>
      <c r="H1739" s="40" t="s">
        <v>123</v>
      </c>
      <c r="I1739" s="31" t="s">
        <v>321</v>
      </c>
    </row>
    <row r="1740" spans="1:9" s="26" customFormat="1" ht="21.6" customHeight="1">
      <c r="A1740" s="27">
        <v>1972</v>
      </c>
      <c r="B1740" s="104" t="s">
        <v>44</v>
      </c>
      <c r="C1740" s="104" t="s">
        <v>345</v>
      </c>
      <c r="D1740" s="39" t="s">
        <v>1414</v>
      </c>
      <c r="E1740" s="3" t="s">
        <v>346</v>
      </c>
      <c r="F1740" s="29">
        <v>120</v>
      </c>
      <c r="G1740" s="144" t="s">
        <v>303</v>
      </c>
      <c r="H1740" s="40" t="s">
        <v>123</v>
      </c>
      <c r="I1740" s="31" t="s">
        <v>325</v>
      </c>
    </row>
    <row r="1741" spans="1:9" ht="21.6" customHeight="1">
      <c r="A1741" s="27">
        <v>1974</v>
      </c>
      <c r="B1741" s="132" t="s">
        <v>44</v>
      </c>
      <c r="C1741" s="132" t="s">
        <v>347</v>
      </c>
      <c r="D1741" s="34" t="s">
        <v>1415</v>
      </c>
      <c r="E1741" s="35" t="s">
        <v>348</v>
      </c>
      <c r="F1741" s="40">
        <v>500</v>
      </c>
      <c r="G1741" s="144" t="s">
        <v>349</v>
      </c>
      <c r="H1741" s="40" t="s">
        <v>123</v>
      </c>
      <c r="I1741" s="55" t="s">
        <v>334</v>
      </c>
    </row>
    <row r="1742" spans="1:9" s="58" customFormat="1" ht="21.6" customHeight="1">
      <c r="A1742" s="27">
        <v>1976</v>
      </c>
      <c r="B1742" s="104" t="s">
        <v>44</v>
      </c>
      <c r="C1742" s="104" t="s">
        <v>956</v>
      </c>
      <c r="D1742" s="102" t="s">
        <v>1645</v>
      </c>
      <c r="E1742" s="111" t="s">
        <v>957</v>
      </c>
      <c r="F1742" s="29">
        <v>240</v>
      </c>
      <c r="G1742" s="144" t="s">
        <v>642</v>
      </c>
      <c r="H1742" s="40" t="s">
        <v>123</v>
      </c>
      <c r="I1742" s="110" t="s">
        <v>910</v>
      </c>
    </row>
    <row r="1743" spans="1:9" s="58" customFormat="1" ht="21.6" customHeight="1">
      <c r="A1743" s="27">
        <v>1977</v>
      </c>
      <c r="B1743" s="104" t="s">
        <v>44</v>
      </c>
      <c r="C1743" s="104" t="s">
        <v>643</v>
      </c>
      <c r="D1743" s="39" t="s">
        <v>1525</v>
      </c>
      <c r="E1743" s="3" t="s">
        <v>644</v>
      </c>
      <c r="F1743" s="29">
        <v>180</v>
      </c>
      <c r="G1743" s="144" t="s">
        <v>645</v>
      </c>
      <c r="H1743" s="40" t="s">
        <v>123</v>
      </c>
      <c r="I1743" s="31"/>
    </row>
    <row r="1744" spans="1:9" s="81" customFormat="1" ht="21.6" customHeight="1">
      <c r="A1744" s="27">
        <v>1978</v>
      </c>
      <c r="B1744" s="104" t="s">
        <v>44</v>
      </c>
      <c r="C1744" s="104" t="s">
        <v>1007</v>
      </c>
      <c r="D1744" s="36" t="s">
        <v>1664</v>
      </c>
      <c r="E1744" s="35" t="s">
        <v>1008</v>
      </c>
      <c r="F1744" s="40" t="s">
        <v>123</v>
      </c>
      <c r="G1744" s="145" t="s">
        <v>585</v>
      </c>
      <c r="H1744" s="40" t="s">
        <v>123</v>
      </c>
      <c r="I1744" s="56" t="s">
        <v>1009</v>
      </c>
    </row>
    <row r="1745" spans="1:9" s="81" customFormat="1" ht="21.6" customHeight="1">
      <c r="A1745" s="27">
        <v>1979</v>
      </c>
      <c r="B1745" s="104" t="s">
        <v>44</v>
      </c>
      <c r="C1745" s="104" t="s">
        <v>958</v>
      </c>
      <c r="D1745" s="36" t="s">
        <v>1646</v>
      </c>
      <c r="E1745" s="35" t="s">
        <v>959</v>
      </c>
      <c r="F1745" s="40" t="s">
        <v>123</v>
      </c>
      <c r="G1745" s="145" t="s">
        <v>585</v>
      </c>
      <c r="H1745" s="40" t="s">
        <v>123</v>
      </c>
      <c r="I1745" s="56" t="s">
        <v>960</v>
      </c>
    </row>
    <row r="1746" spans="1:9" s="81" customFormat="1" ht="21.6" customHeight="1">
      <c r="A1746" s="27">
        <v>1980</v>
      </c>
      <c r="B1746" s="104" t="s">
        <v>44</v>
      </c>
      <c r="C1746" s="104" t="s">
        <v>961</v>
      </c>
      <c r="D1746" s="34" t="s">
        <v>1647</v>
      </c>
      <c r="E1746" s="35" t="s">
        <v>962</v>
      </c>
      <c r="F1746" s="40" t="s">
        <v>654</v>
      </c>
      <c r="G1746" s="145" t="s">
        <v>129</v>
      </c>
      <c r="H1746" s="40" t="s">
        <v>654</v>
      </c>
      <c r="I1746" s="56"/>
    </row>
    <row r="1747" spans="1:9" ht="21.6" customHeight="1">
      <c r="A1747" s="27">
        <v>1981</v>
      </c>
      <c r="B1747" s="104" t="s">
        <v>44</v>
      </c>
      <c r="C1747" s="104" t="s">
        <v>963</v>
      </c>
      <c r="D1747" s="34" t="s">
        <v>1648</v>
      </c>
      <c r="E1747" s="35" t="s">
        <v>964</v>
      </c>
      <c r="F1747" s="40" t="s">
        <v>654</v>
      </c>
      <c r="G1747" s="145" t="s">
        <v>772</v>
      </c>
      <c r="H1747" s="40" t="s">
        <v>654</v>
      </c>
      <c r="I1747" s="56"/>
    </row>
    <row r="1748" spans="1:9" ht="21.6" customHeight="1">
      <c r="A1748" s="27">
        <v>1982</v>
      </c>
      <c r="B1748" s="104" t="s">
        <v>44</v>
      </c>
      <c r="C1748" s="104" t="s">
        <v>965</v>
      </c>
      <c r="D1748" s="34" t="s">
        <v>1649</v>
      </c>
      <c r="E1748" s="35" t="s">
        <v>966</v>
      </c>
      <c r="F1748" s="40" t="s">
        <v>654</v>
      </c>
      <c r="G1748" s="145" t="s">
        <v>775</v>
      </c>
      <c r="H1748" s="40" t="s">
        <v>654</v>
      </c>
      <c r="I1748" s="56"/>
    </row>
    <row r="1749" spans="1:9" ht="21.6" customHeight="1">
      <c r="A1749" s="27">
        <v>1983</v>
      </c>
      <c r="B1749" s="104" t="s">
        <v>44</v>
      </c>
      <c r="C1749" s="104" t="s">
        <v>967</v>
      </c>
      <c r="D1749" s="34" t="s">
        <v>1650</v>
      </c>
      <c r="E1749" s="35" t="s">
        <v>968</v>
      </c>
      <c r="F1749" s="40" t="s">
        <v>654</v>
      </c>
      <c r="G1749" s="145" t="s">
        <v>778</v>
      </c>
      <c r="H1749" s="40" t="s">
        <v>654</v>
      </c>
      <c r="I1749" s="56"/>
    </row>
    <row r="1750" spans="1:9" s="81" customFormat="1" ht="21.6" customHeight="1">
      <c r="A1750" s="41">
        <v>1984</v>
      </c>
      <c r="B1750" s="104" t="s">
        <v>44</v>
      </c>
      <c r="C1750" s="104" t="s">
        <v>650</v>
      </c>
      <c r="D1750" s="34" t="s">
        <v>1528</v>
      </c>
      <c r="E1750" s="35" t="s">
        <v>651</v>
      </c>
      <c r="F1750" s="40" t="s">
        <v>123</v>
      </c>
      <c r="G1750" s="144" t="s">
        <v>1821</v>
      </c>
      <c r="H1750" s="40" t="s">
        <v>123</v>
      </c>
      <c r="I1750" s="56"/>
    </row>
    <row r="1751" spans="1:9" s="81" customFormat="1" ht="21.6" customHeight="1">
      <c r="A1751" s="41">
        <v>1985</v>
      </c>
      <c r="B1751" s="84" t="s">
        <v>44</v>
      </c>
      <c r="C1751" s="84" t="s">
        <v>969</v>
      </c>
      <c r="D1751" s="84" t="s">
        <v>1651</v>
      </c>
      <c r="E1751" s="83" t="s">
        <v>970</v>
      </c>
      <c r="F1751" s="85" t="s">
        <v>654</v>
      </c>
      <c r="G1751" s="150" t="s">
        <v>1805</v>
      </c>
      <c r="H1751" s="85" t="s">
        <v>123</v>
      </c>
      <c r="I1751" s="86"/>
    </row>
    <row r="1752" spans="1:9" s="81" customFormat="1" ht="21.6" customHeight="1">
      <c r="A1752" s="20">
        <v>1986</v>
      </c>
      <c r="B1752" s="73" t="s">
        <v>1313</v>
      </c>
      <c r="C1752" s="73" t="s">
        <v>840</v>
      </c>
      <c r="D1752" s="73" t="s">
        <v>1595</v>
      </c>
      <c r="E1752" s="72" t="s">
        <v>841</v>
      </c>
      <c r="F1752" s="74">
        <v>70</v>
      </c>
      <c r="G1752" s="143" t="s">
        <v>193</v>
      </c>
      <c r="H1752" s="74">
        <v>4</v>
      </c>
      <c r="I1752" s="75"/>
    </row>
    <row r="1753" spans="1:9" s="81" customFormat="1" ht="21.6" customHeight="1">
      <c r="A1753" s="27">
        <v>1987</v>
      </c>
      <c r="B1753" s="34" t="s">
        <v>1313</v>
      </c>
      <c r="C1753" s="34" t="s">
        <v>699</v>
      </c>
      <c r="D1753" s="34" t="s">
        <v>1543</v>
      </c>
      <c r="E1753" s="35" t="s">
        <v>700</v>
      </c>
      <c r="F1753" s="40">
        <v>70</v>
      </c>
      <c r="G1753" s="145" t="s">
        <v>502</v>
      </c>
      <c r="H1753" s="40">
        <v>1</v>
      </c>
      <c r="I1753" s="56"/>
    </row>
    <row r="1754" spans="1:9" s="81" customFormat="1" ht="21.6" customHeight="1">
      <c r="A1754" s="27">
        <v>1988</v>
      </c>
      <c r="B1754" s="34" t="s">
        <v>1313</v>
      </c>
      <c r="C1754" s="34" t="s">
        <v>701</v>
      </c>
      <c r="D1754" s="34" t="s">
        <v>1544</v>
      </c>
      <c r="E1754" s="35" t="s">
        <v>702</v>
      </c>
      <c r="F1754" s="40">
        <v>70</v>
      </c>
      <c r="G1754" s="145" t="s">
        <v>703</v>
      </c>
      <c r="H1754" s="40">
        <v>1</v>
      </c>
      <c r="I1754" s="56"/>
    </row>
    <row r="1755" spans="1:9" s="81" customFormat="1" ht="21.6" customHeight="1">
      <c r="A1755" s="27">
        <v>1989</v>
      </c>
      <c r="B1755" s="34" t="s">
        <v>1313</v>
      </c>
      <c r="C1755" s="34" t="s">
        <v>704</v>
      </c>
      <c r="D1755" s="34" t="s">
        <v>1545</v>
      </c>
      <c r="E1755" s="35" t="s">
        <v>705</v>
      </c>
      <c r="F1755" s="40">
        <v>70</v>
      </c>
      <c r="G1755" s="144" t="s">
        <v>706</v>
      </c>
      <c r="H1755" s="40">
        <v>1</v>
      </c>
      <c r="I1755" s="56"/>
    </row>
    <row r="1756" spans="1:9" s="81" customFormat="1" ht="21.6" customHeight="1">
      <c r="A1756" s="27">
        <v>1990</v>
      </c>
      <c r="B1756" s="34" t="s">
        <v>1313</v>
      </c>
      <c r="C1756" s="34" t="s">
        <v>707</v>
      </c>
      <c r="D1756" s="34" t="s">
        <v>1546</v>
      </c>
      <c r="E1756" s="35" t="s">
        <v>708</v>
      </c>
      <c r="F1756" s="40">
        <v>70</v>
      </c>
      <c r="G1756" s="145" t="s">
        <v>709</v>
      </c>
      <c r="H1756" s="40">
        <v>1</v>
      </c>
      <c r="I1756" s="56"/>
    </row>
    <row r="1757" spans="1:9" s="81" customFormat="1" ht="21.6" customHeight="1">
      <c r="A1757" s="27">
        <v>1991</v>
      </c>
      <c r="B1757" s="34" t="s">
        <v>1313</v>
      </c>
      <c r="C1757" s="34" t="s">
        <v>710</v>
      </c>
      <c r="D1757" s="34" t="s">
        <v>1547</v>
      </c>
      <c r="E1757" s="35" t="s">
        <v>711</v>
      </c>
      <c r="F1757" s="40">
        <v>70</v>
      </c>
      <c r="G1757" s="145" t="s">
        <v>415</v>
      </c>
      <c r="H1757" s="40">
        <v>4</v>
      </c>
      <c r="I1757" s="56"/>
    </row>
    <row r="1758" spans="1:9" s="81" customFormat="1" ht="21.6" customHeight="1">
      <c r="A1758" s="27">
        <v>1992</v>
      </c>
      <c r="B1758" s="34" t="s">
        <v>1313</v>
      </c>
      <c r="C1758" s="34" t="s">
        <v>605</v>
      </c>
      <c r="D1758" s="34" t="s">
        <v>1511</v>
      </c>
      <c r="E1758" s="35" t="s">
        <v>606</v>
      </c>
      <c r="F1758" s="40">
        <v>140</v>
      </c>
      <c r="G1758" s="145" t="s">
        <v>533</v>
      </c>
      <c r="H1758" s="40">
        <v>1</v>
      </c>
      <c r="I1758" s="56"/>
    </row>
    <row r="1759" spans="1:9" s="81" customFormat="1" ht="21.6" customHeight="1">
      <c r="A1759" s="27">
        <v>1993</v>
      </c>
      <c r="B1759" s="34" t="s">
        <v>1313</v>
      </c>
      <c r="C1759" s="97" t="s">
        <v>607</v>
      </c>
      <c r="D1759" s="97" t="s">
        <v>1512</v>
      </c>
      <c r="E1759" s="70" t="s">
        <v>608</v>
      </c>
      <c r="F1759" s="40">
        <v>210</v>
      </c>
      <c r="G1759" s="145" t="s">
        <v>1812</v>
      </c>
      <c r="H1759" s="40">
        <v>1</v>
      </c>
      <c r="I1759" s="56"/>
    </row>
    <row r="1760" spans="1:9" s="81" customFormat="1" ht="21.6" customHeight="1">
      <c r="A1760" s="27">
        <v>1995</v>
      </c>
      <c r="B1760" s="34" t="s">
        <v>1313</v>
      </c>
      <c r="C1760" s="34" t="s">
        <v>998</v>
      </c>
      <c r="D1760" s="102" t="s">
        <v>1596</v>
      </c>
      <c r="E1760" s="103" t="s">
        <v>842</v>
      </c>
      <c r="F1760" s="115">
        <v>280</v>
      </c>
      <c r="G1760" s="145" t="s">
        <v>1809</v>
      </c>
      <c r="H1760" s="40">
        <v>1</v>
      </c>
      <c r="I1760" s="89" t="s">
        <v>819</v>
      </c>
    </row>
    <row r="1761" spans="1:9" s="81" customFormat="1" ht="21.6" customHeight="1">
      <c r="A1761" s="27">
        <v>1996</v>
      </c>
      <c r="B1761" s="34" t="s">
        <v>1313</v>
      </c>
      <c r="C1761" s="104" t="s">
        <v>843</v>
      </c>
      <c r="D1761" s="104" t="s">
        <v>1597</v>
      </c>
      <c r="E1761" s="82" t="s">
        <v>844</v>
      </c>
      <c r="F1761" s="40">
        <v>280</v>
      </c>
      <c r="G1761" s="145" t="s">
        <v>87</v>
      </c>
      <c r="H1761" s="40">
        <v>1</v>
      </c>
      <c r="I1761" s="56"/>
    </row>
    <row r="1762" spans="1:9" s="81" customFormat="1" ht="21.6" customHeight="1">
      <c r="A1762" s="27">
        <v>1997</v>
      </c>
      <c r="B1762" s="34" t="s">
        <v>1313</v>
      </c>
      <c r="C1762" s="34" t="s">
        <v>845</v>
      </c>
      <c r="D1762" s="34" t="s">
        <v>1598</v>
      </c>
      <c r="E1762" s="35" t="s">
        <v>846</v>
      </c>
      <c r="F1762" s="40">
        <v>70</v>
      </c>
      <c r="G1762" s="144" t="s">
        <v>107</v>
      </c>
      <c r="H1762" s="40">
        <v>4</v>
      </c>
      <c r="I1762" s="56"/>
    </row>
    <row r="1763" spans="1:9" s="81" customFormat="1" ht="21.6" customHeight="1">
      <c r="A1763" s="27">
        <v>1998</v>
      </c>
      <c r="B1763" s="34" t="s">
        <v>1313</v>
      </c>
      <c r="C1763" s="34" t="s">
        <v>598</v>
      </c>
      <c r="D1763" s="34" t="s">
        <v>1508</v>
      </c>
      <c r="E1763" s="35" t="s">
        <v>599</v>
      </c>
      <c r="F1763" s="40">
        <v>70</v>
      </c>
      <c r="G1763" s="145" t="s">
        <v>104</v>
      </c>
      <c r="H1763" s="40">
        <v>4</v>
      </c>
      <c r="I1763" s="56"/>
    </row>
    <row r="1764" spans="1:9" s="81" customFormat="1" ht="21.6" customHeight="1">
      <c r="A1764" s="27">
        <v>1999</v>
      </c>
      <c r="B1764" s="34" t="s">
        <v>1313</v>
      </c>
      <c r="C1764" s="34" t="s">
        <v>729</v>
      </c>
      <c r="D1764" s="34" t="s">
        <v>1555</v>
      </c>
      <c r="E1764" s="35" t="s">
        <v>730</v>
      </c>
      <c r="F1764" s="40">
        <v>70</v>
      </c>
      <c r="G1764" s="144" t="s">
        <v>1822</v>
      </c>
      <c r="H1764" s="40">
        <v>8</v>
      </c>
      <c r="I1764" s="56"/>
    </row>
    <row r="1765" spans="1:9" s="81" customFormat="1" ht="21.6" customHeight="1">
      <c r="A1765" s="27">
        <v>2000</v>
      </c>
      <c r="B1765" s="34" t="s">
        <v>1313</v>
      </c>
      <c r="C1765" s="34" t="s">
        <v>731</v>
      </c>
      <c r="D1765" s="34" t="s">
        <v>1556</v>
      </c>
      <c r="E1765" s="35" t="s">
        <v>732</v>
      </c>
      <c r="F1765" s="40">
        <v>70</v>
      </c>
      <c r="G1765" s="144" t="s">
        <v>733</v>
      </c>
      <c r="H1765" s="40">
        <v>4</v>
      </c>
      <c r="I1765" s="56"/>
    </row>
    <row r="1766" spans="1:9" s="81" customFormat="1" ht="21.6" customHeight="1">
      <c r="A1766" s="27">
        <v>2001</v>
      </c>
      <c r="B1766" s="34" t="s">
        <v>1313</v>
      </c>
      <c r="C1766" s="34" t="s">
        <v>734</v>
      </c>
      <c r="D1766" s="34" t="s">
        <v>1557</v>
      </c>
      <c r="E1766" s="35" t="s">
        <v>735</v>
      </c>
      <c r="F1766" s="40">
        <v>70</v>
      </c>
      <c r="G1766" s="144" t="s">
        <v>736</v>
      </c>
      <c r="H1766" s="40">
        <v>4</v>
      </c>
      <c r="I1766" s="56"/>
    </row>
    <row r="1767" spans="1:9" s="81" customFormat="1" ht="21.6" customHeight="1">
      <c r="A1767" s="27">
        <v>2002</v>
      </c>
      <c r="B1767" s="34" t="s">
        <v>1313</v>
      </c>
      <c r="C1767" s="34" t="s">
        <v>847</v>
      </c>
      <c r="D1767" s="34" t="s">
        <v>1599</v>
      </c>
      <c r="E1767" s="35" t="s">
        <v>848</v>
      </c>
      <c r="F1767" s="40">
        <v>280</v>
      </c>
      <c r="G1767" s="144">
        <f>+$H$1434</f>
        <v>4</v>
      </c>
      <c r="H1767" s="40">
        <v>4</v>
      </c>
      <c r="I1767" s="56"/>
    </row>
    <row r="1768" spans="1:9" s="81" customFormat="1" ht="21.6" customHeight="1">
      <c r="A1768" s="27">
        <v>2003</v>
      </c>
      <c r="B1768" s="34" t="s">
        <v>1313</v>
      </c>
      <c r="C1768" s="34" t="s">
        <v>850</v>
      </c>
      <c r="D1768" s="34" t="s">
        <v>1600</v>
      </c>
      <c r="E1768" s="35" t="s">
        <v>851</v>
      </c>
      <c r="F1768" s="40">
        <v>280</v>
      </c>
      <c r="G1768" s="144">
        <f>+$H$1435</f>
        <v>4</v>
      </c>
      <c r="H1768" s="40">
        <v>4</v>
      </c>
      <c r="I1768" s="56"/>
    </row>
    <row r="1769" spans="1:9" s="81" customFormat="1" ht="21.6" customHeight="1">
      <c r="A1769" s="27">
        <v>2004</v>
      </c>
      <c r="B1769" s="34" t="s">
        <v>1313</v>
      </c>
      <c r="C1769" s="34" t="s">
        <v>609</v>
      </c>
      <c r="D1769" s="34" t="s">
        <v>1513</v>
      </c>
      <c r="E1769" s="35" t="s">
        <v>610</v>
      </c>
      <c r="F1769" s="40">
        <v>210</v>
      </c>
      <c r="G1769" s="144" t="s">
        <v>1824</v>
      </c>
      <c r="H1769" s="40">
        <v>1</v>
      </c>
      <c r="I1769" s="56"/>
    </row>
    <row r="1770" spans="1:9" s="81" customFormat="1" ht="21.6" customHeight="1">
      <c r="A1770" s="27">
        <v>2005</v>
      </c>
      <c r="B1770" s="34" t="s">
        <v>1313</v>
      </c>
      <c r="C1770" s="34" t="s">
        <v>611</v>
      </c>
      <c r="D1770" s="34" t="s">
        <v>1514</v>
      </c>
      <c r="E1770" s="35" t="s">
        <v>612</v>
      </c>
      <c r="F1770" s="40">
        <v>210</v>
      </c>
      <c r="G1770" s="144" t="s">
        <v>1825</v>
      </c>
      <c r="H1770" s="40">
        <v>1</v>
      </c>
      <c r="I1770" s="56"/>
    </row>
    <row r="1771" spans="1:9" s="81" customFormat="1" ht="21.6" customHeight="1">
      <c r="A1771" s="27">
        <v>2006</v>
      </c>
      <c r="B1771" s="34" t="s">
        <v>1313</v>
      </c>
      <c r="C1771" s="34" t="s">
        <v>613</v>
      </c>
      <c r="D1771" s="34" t="s">
        <v>1515</v>
      </c>
      <c r="E1771" s="35" t="s">
        <v>614</v>
      </c>
      <c r="F1771" s="40">
        <v>210</v>
      </c>
      <c r="G1771" s="144">
        <f>+$H$1137</f>
        <v>2</v>
      </c>
      <c r="H1771" s="40">
        <v>2</v>
      </c>
      <c r="I1771" s="56"/>
    </row>
    <row r="1772" spans="1:9" s="81" customFormat="1" ht="21.6" customHeight="1">
      <c r="A1772" s="27">
        <v>2007</v>
      </c>
      <c r="B1772" s="34" t="s">
        <v>1313</v>
      </c>
      <c r="C1772" s="34" t="s">
        <v>719</v>
      </c>
      <c r="D1772" s="34" t="s">
        <v>1551</v>
      </c>
      <c r="E1772" s="35" t="s">
        <v>720</v>
      </c>
      <c r="F1772" s="40">
        <v>280</v>
      </c>
      <c r="G1772" s="144" t="s">
        <v>101</v>
      </c>
      <c r="H1772" s="40">
        <v>2</v>
      </c>
      <c r="I1772" s="56"/>
    </row>
    <row r="1773" spans="1:9" s="81" customFormat="1" ht="21.6" customHeight="1">
      <c r="A1773" s="27">
        <v>2008</v>
      </c>
      <c r="B1773" s="34" t="s">
        <v>1313</v>
      </c>
      <c r="C1773" s="34" t="s">
        <v>622</v>
      </c>
      <c r="D1773" s="34" t="s">
        <v>1519</v>
      </c>
      <c r="E1773" s="35" t="s">
        <v>623</v>
      </c>
      <c r="F1773" s="40">
        <v>280</v>
      </c>
      <c r="G1773" s="144">
        <f>+$H$1440</f>
        <v>1</v>
      </c>
      <c r="H1773" s="40">
        <v>1</v>
      </c>
      <c r="I1773" s="56"/>
    </row>
    <row r="1774" spans="1:9" s="81" customFormat="1" ht="21.6" customHeight="1">
      <c r="A1774" s="27">
        <v>2009</v>
      </c>
      <c r="B1774" s="34" t="s">
        <v>1313</v>
      </c>
      <c r="C1774" s="34" t="s">
        <v>852</v>
      </c>
      <c r="D1774" s="34" t="s">
        <v>1601</v>
      </c>
      <c r="E1774" s="35" t="s">
        <v>853</v>
      </c>
      <c r="F1774" s="40">
        <v>280</v>
      </c>
      <c r="G1774" s="144">
        <f>+$H$1441</f>
        <v>1</v>
      </c>
      <c r="H1774" s="40">
        <v>1</v>
      </c>
      <c r="I1774" s="56"/>
    </row>
    <row r="1775" spans="1:9" s="81" customFormat="1" ht="21.6" customHeight="1">
      <c r="A1775" s="27">
        <v>2010</v>
      </c>
      <c r="B1775" s="34" t="s">
        <v>1313</v>
      </c>
      <c r="C1775" s="34" t="s">
        <v>626</v>
      </c>
      <c r="D1775" s="34" t="s">
        <v>1521</v>
      </c>
      <c r="E1775" s="35" t="s">
        <v>627</v>
      </c>
      <c r="F1775" s="40">
        <v>280</v>
      </c>
      <c r="G1775" s="144" t="s">
        <v>90</v>
      </c>
      <c r="H1775" s="40">
        <v>2</v>
      </c>
      <c r="I1775" s="56"/>
    </row>
    <row r="1776" spans="1:9" s="58" customFormat="1" ht="21.6" customHeight="1">
      <c r="A1776" s="27">
        <v>2011</v>
      </c>
      <c r="B1776" s="34" t="s">
        <v>1313</v>
      </c>
      <c r="C1776" s="34" t="s">
        <v>264</v>
      </c>
      <c r="D1776" s="50" t="s">
        <v>1389</v>
      </c>
      <c r="E1776" s="51" t="s">
        <v>265</v>
      </c>
      <c r="F1776" s="29">
        <v>80</v>
      </c>
      <c r="G1776" s="144" t="s">
        <v>1836</v>
      </c>
      <c r="H1776" s="29">
        <v>1</v>
      </c>
      <c r="I1776" s="31" t="s">
        <v>854</v>
      </c>
    </row>
    <row r="1777" spans="1:9" s="58" customFormat="1" ht="21.6" customHeight="1">
      <c r="A1777" s="27">
        <v>2012</v>
      </c>
      <c r="B1777" s="34" t="s">
        <v>1313</v>
      </c>
      <c r="C1777" s="34" t="s">
        <v>264</v>
      </c>
      <c r="D1777" s="50" t="s">
        <v>1389</v>
      </c>
      <c r="E1777" s="51" t="s">
        <v>265</v>
      </c>
      <c r="F1777" s="29">
        <v>80</v>
      </c>
      <c r="G1777" s="144" t="s">
        <v>745</v>
      </c>
      <c r="H1777" s="29">
        <v>1</v>
      </c>
      <c r="I1777" s="31" t="s">
        <v>854</v>
      </c>
    </row>
    <row r="1778" spans="1:9" s="58" customFormat="1" ht="21.6" customHeight="1">
      <c r="A1778" s="27">
        <v>2013</v>
      </c>
      <c r="B1778" s="34" t="s">
        <v>1313</v>
      </c>
      <c r="C1778" s="34" t="s">
        <v>746</v>
      </c>
      <c r="D1778" s="50" t="s">
        <v>1561</v>
      </c>
      <c r="E1778" s="51" t="s">
        <v>747</v>
      </c>
      <c r="F1778" s="29">
        <v>80</v>
      </c>
      <c r="G1778" s="144" t="s">
        <v>1837</v>
      </c>
      <c r="H1778" s="29">
        <v>1</v>
      </c>
      <c r="I1778" s="31" t="s">
        <v>854</v>
      </c>
    </row>
    <row r="1779" spans="1:9" s="81" customFormat="1" ht="21.6" customHeight="1">
      <c r="A1779" s="27">
        <v>2014</v>
      </c>
      <c r="B1779" s="34" t="s">
        <v>1313</v>
      </c>
      <c r="C1779" s="34" t="s">
        <v>273</v>
      </c>
      <c r="D1779" s="34" t="s">
        <v>1392</v>
      </c>
      <c r="E1779" s="35" t="s">
        <v>274</v>
      </c>
      <c r="F1779" s="40">
        <v>80</v>
      </c>
      <c r="G1779" s="144" t="s">
        <v>631</v>
      </c>
      <c r="H1779" s="40">
        <v>1</v>
      </c>
      <c r="I1779" s="56" t="s">
        <v>116</v>
      </c>
    </row>
    <row r="1780" spans="1:9" s="81" customFormat="1" ht="21.6" customHeight="1">
      <c r="A1780" s="27">
        <v>2015</v>
      </c>
      <c r="B1780" s="34" t="s">
        <v>1313</v>
      </c>
      <c r="C1780" s="34" t="s">
        <v>855</v>
      </c>
      <c r="D1780" s="80" t="s">
        <v>1602</v>
      </c>
      <c r="E1780" s="33" t="s">
        <v>856</v>
      </c>
      <c r="F1780" s="40">
        <v>80</v>
      </c>
      <c r="G1780" s="144" t="s">
        <v>119</v>
      </c>
      <c r="H1780" s="40">
        <v>1</v>
      </c>
      <c r="I1780" s="56" t="s">
        <v>116</v>
      </c>
    </row>
    <row r="1781" spans="1:9" s="58" customFormat="1" ht="21.6" customHeight="1">
      <c r="A1781" s="27">
        <v>2016</v>
      </c>
      <c r="B1781" s="34" t="s">
        <v>1313</v>
      </c>
      <c r="C1781" s="34" t="s">
        <v>225</v>
      </c>
      <c r="D1781" s="39" t="s">
        <v>1375</v>
      </c>
      <c r="E1781" s="3" t="s">
        <v>226</v>
      </c>
      <c r="F1781" s="29">
        <v>120</v>
      </c>
      <c r="G1781" s="145" t="s">
        <v>1838</v>
      </c>
      <c r="H1781" s="29">
        <v>2</v>
      </c>
      <c r="I1781" s="31" t="s">
        <v>857</v>
      </c>
    </row>
    <row r="1782" spans="1:9" s="58" customFormat="1" ht="21.6" customHeight="1">
      <c r="A1782" s="27">
        <v>2017</v>
      </c>
      <c r="B1782" s="34" t="s">
        <v>1313</v>
      </c>
      <c r="C1782" s="34" t="s">
        <v>229</v>
      </c>
      <c r="D1782" s="39" t="s">
        <v>1376</v>
      </c>
      <c r="E1782" s="51" t="s">
        <v>230</v>
      </c>
      <c r="F1782" s="29">
        <v>120</v>
      </c>
      <c r="G1782" s="145" t="s">
        <v>1839</v>
      </c>
      <c r="H1782" s="29">
        <v>1</v>
      </c>
      <c r="I1782" s="31" t="s">
        <v>857</v>
      </c>
    </row>
    <row r="1783" spans="1:9" s="58" customFormat="1" ht="21.6" customHeight="1">
      <c r="A1783" s="27">
        <v>2018</v>
      </c>
      <c r="B1783" s="34" t="s">
        <v>1313</v>
      </c>
      <c r="C1783" s="34" t="s">
        <v>231</v>
      </c>
      <c r="D1783" s="39" t="s">
        <v>1377</v>
      </c>
      <c r="E1783" s="51" t="s">
        <v>232</v>
      </c>
      <c r="F1783" s="29">
        <v>160</v>
      </c>
      <c r="G1783" s="144" t="s">
        <v>1840</v>
      </c>
      <c r="H1783" s="29">
        <v>1</v>
      </c>
      <c r="I1783" s="31" t="s">
        <v>750</v>
      </c>
    </row>
    <row r="1784" spans="1:9" s="58" customFormat="1" ht="21.6" customHeight="1">
      <c r="A1784" s="27">
        <v>2019</v>
      </c>
      <c r="B1784" s="34" t="s">
        <v>1313</v>
      </c>
      <c r="C1784" s="34" t="s">
        <v>235</v>
      </c>
      <c r="D1784" s="50" t="s">
        <v>1378</v>
      </c>
      <c r="E1784" s="51" t="s">
        <v>236</v>
      </c>
      <c r="F1784" s="29">
        <v>160</v>
      </c>
      <c r="G1784" s="144" t="s">
        <v>237</v>
      </c>
      <c r="H1784" s="29">
        <v>1</v>
      </c>
      <c r="I1784" s="31" t="s">
        <v>750</v>
      </c>
    </row>
    <row r="1785" spans="1:9" s="58" customFormat="1" ht="21.6" customHeight="1">
      <c r="A1785" s="27">
        <v>2020</v>
      </c>
      <c r="B1785" s="34" t="s">
        <v>1313</v>
      </c>
      <c r="C1785" s="34" t="s">
        <v>238</v>
      </c>
      <c r="D1785" s="50" t="s">
        <v>1379</v>
      </c>
      <c r="E1785" s="51" t="s">
        <v>239</v>
      </c>
      <c r="F1785" s="29">
        <v>160</v>
      </c>
      <c r="G1785" s="144" t="s">
        <v>749</v>
      </c>
      <c r="H1785" s="29">
        <v>1</v>
      </c>
      <c r="I1785" s="31" t="s">
        <v>750</v>
      </c>
    </row>
    <row r="1786" spans="1:9" s="81" customFormat="1" ht="21.6" customHeight="1">
      <c r="A1786" s="27">
        <v>2021</v>
      </c>
      <c r="B1786" s="34" t="s">
        <v>1313</v>
      </c>
      <c r="C1786" s="34" t="s">
        <v>858</v>
      </c>
      <c r="D1786" s="80" t="s">
        <v>1603</v>
      </c>
      <c r="E1786" s="35" t="s">
        <v>859</v>
      </c>
      <c r="F1786" s="40">
        <v>70</v>
      </c>
      <c r="G1786" s="144" t="s">
        <v>637</v>
      </c>
      <c r="H1786" s="40" t="s">
        <v>123</v>
      </c>
      <c r="I1786" s="56"/>
    </row>
    <row r="1787" spans="1:9" s="81" customFormat="1" ht="21.6" customHeight="1">
      <c r="A1787" s="27">
        <v>2022</v>
      </c>
      <c r="B1787" s="34" t="s">
        <v>1313</v>
      </c>
      <c r="C1787" s="97" t="s">
        <v>860</v>
      </c>
      <c r="D1787" s="97" t="s">
        <v>1604</v>
      </c>
      <c r="E1787" s="70" t="s">
        <v>861</v>
      </c>
      <c r="F1787" s="40">
        <v>70</v>
      </c>
      <c r="G1787" s="144" t="s">
        <v>755</v>
      </c>
      <c r="H1787" s="40" t="s">
        <v>123</v>
      </c>
      <c r="I1787" s="56"/>
    </row>
    <row r="1788" spans="1:9" s="81" customFormat="1" ht="21.6" customHeight="1">
      <c r="A1788" s="27">
        <v>2024</v>
      </c>
      <c r="B1788" s="34" t="s">
        <v>1313</v>
      </c>
      <c r="C1788" s="34" t="s">
        <v>862</v>
      </c>
      <c r="D1788" s="102" t="s">
        <v>1605</v>
      </c>
      <c r="E1788" s="105" t="s">
        <v>863</v>
      </c>
      <c r="F1788" s="115">
        <v>280</v>
      </c>
      <c r="G1788" s="145" t="s">
        <v>244</v>
      </c>
      <c r="H1788" s="40" t="s">
        <v>123</v>
      </c>
      <c r="I1788" s="89" t="s">
        <v>819</v>
      </c>
    </row>
    <row r="1789" spans="1:9" s="81" customFormat="1" ht="21.6" customHeight="1">
      <c r="A1789" s="27">
        <v>2025</v>
      </c>
      <c r="B1789" s="34" t="s">
        <v>1313</v>
      </c>
      <c r="C1789" s="104" t="s">
        <v>643</v>
      </c>
      <c r="D1789" s="104" t="s">
        <v>1525</v>
      </c>
      <c r="E1789" s="82" t="s">
        <v>644</v>
      </c>
      <c r="F1789" s="40">
        <v>210</v>
      </c>
      <c r="G1789" s="144" t="str">
        <f>+$H$1456</f>
        <v>-</v>
      </c>
      <c r="H1789" s="40" t="s">
        <v>123</v>
      </c>
      <c r="I1789" s="56"/>
    </row>
    <row r="1790" spans="1:9" s="58" customFormat="1" ht="21.6" customHeight="1">
      <c r="A1790" s="27">
        <v>2026</v>
      </c>
      <c r="B1790" s="34" t="s">
        <v>1313</v>
      </c>
      <c r="C1790" s="34" t="s">
        <v>756</v>
      </c>
      <c r="D1790" s="39" t="s">
        <v>1564</v>
      </c>
      <c r="E1790" s="3" t="s">
        <v>757</v>
      </c>
      <c r="F1790" s="29">
        <v>80</v>
      </c>
      <c r="G1790" s="144" t="s">
        <v>758</v>
      </c>
      <c r="H1790" s="40" t="s">
        <v>123</v>
      </c>
      <c r="I1790" s="31" t="s">
        <v>865</v>
      </c>
    </row>
    <row r="1791" spans="1:9" s="58" customFormat="1" ht="21.6" customHeight="1">
      <c r="A1791" s="27">
        <v>2027</v>
      </c>
      <c r="B1791" s="34" t="s">
        <v>1313</v>
      </c>
      <c r="C1791" s="34" t="s">
        <v>248</v>
      </c>
      <c r="D1791" s="39" t="s">
        <v>1383</v>
      </c>
      <c r="E1791" s="3" t="s">
        <v>249</v>
      </c>
      <c r="F1791" s="29">
        <v>120</v>
      </c>
      <c r="G1791" s="144" t="s">
        <v>759</v>
      </c>
      <c r="H1791" s="40" t="s">
        <v>123</v>
      </c>
      <c r="I1791" s="31" t="s">
        <v>857</v>
      </c>
    </row>
    <row r="1792" spans="1:9" s="58" customFormat="1" ht="21.6" customHeight="1">
      <c r="A1792" s="27">
        <v>2028</v>
      </c>
      <c r="B1792" s="34" t="s">
        <v>1313</v>
      </c>
      <c r="C1792" s="34" t="s">
        <v>251</v>
      </c>
      <c r="D1792" s="39" t="s">
        <v>1384</v>
      </c>
      <c r="E1792" s="3" t="s">
        <v>252</v>
      </c>
      <c r="F1792" s="29">
        <v>160</v>
      </c>
      <c r="G1792" s="144" t="s">
        <v>760</v>
      </c>
      <c r="H1792" s="40" t="s">
        <v>123</v>
      </c>
      <c r="I1792" s="31" t="s">
        <v>750</v>
      </c>
    </row>
    <row r="1793" spans="1:9" s="81" customFormat="1" ht="21.6" customHeight="1">
      <c r="A1793" s="27">
        <v>2029</v>
      </c>
      <c r="B1793" s="34" t="s">
        <v>1313</v>
      </c>
      <c r="C1793" s="34" t="s">
        <v>866</v>
      </c>
      <c r="D1793" s="34" t="s">
        <v>1606</v>
      </c>
      <c r="E1793" s="35" t="s">
        <v>867</v>
      </c>
      <c r="F1793" s="40" t="s">
        <v>123</v>
      </c>
      <c r="G1793" s="145" t="s">
        <v>585</v>
      </c>
      <c r="H1793" s="40" t="s">
        <v>123</v>
      </c>
      <c r="I1793" s="56"/>
    </row>
    <row r="1794" spans="1:9" s="81" customFormat="1" ht="21.6" customHeight="1">
      <c r="A1794" s="27">
        <v>2030</v>
      </c>
      <c r="B1794" s="34" t="s">
        <v>1313</v>
      </c>
      <c r="C1794" s="34" t="s">
        <v>868</v>
      </c>
      <c r="D1794" s="34" t="s">
        <v>1607</v>
      </c>
      <c r="E1794" s="35" t="s">
        <v>869</v>
      </c>
      <c r="F1794" s="40" t="s">
        <v>123</v>
      </c>
      <c r="G1794" s="145" t="s">
        <v>129</v>
      </c>
      <c r="H1794" s="40" t="s">
        <v>123</v>
      </c>
      <c r="I1794" s="56"/>
    </row>
    <row r="1795" spans="1:9" ht="21.6" customHeight="1">
      <c r="A1795" s="27">
        <v>2031</v>
      </c>
      <c r="B1795" s="34" t="s">
        <v>1313</v>
      </c>
      <c r="C1795" s="34" t="s">
        <v>870</v>
      </c>
      <c r="D1795" s="34" t="s">
        <v>1608</v>
      </c>
      <c r="E1795" s="35" t="s">
        <v>871</v>
      </c>
      <c r="F1795" s="40" t="s">
        <v>123</v>
      </c>
      <c r="G1795" s="145" t="s">
        <v>772</v>
      </c>
      <c r="H1795" s="40" t="s">
        <v>123</v>
      </c>
      <c r="I1795" s="56"/>
    </row>
    <row r="1796" spans="1:9" ht="21.6" customHeight="1">
      <c r="A1796" s="27">
        <v>2032</v>
      </c>
      <c r="B1796" s="34" t="s">
        <v>1313</v>
      </c>
      <c r="C1796" s="34" t="s">
        <v>872</v>
      </c>
      <c r="D1796" s="34" t="s">
        <v>1609</v>
      </c>
      <c r="E1796" s="35" t="s">
        <v>873</v>
      </c>
      <c r="F1796" s="40" t="s">
        <v>123</v>
      </c>
      <c r="G1796" s="145" t="s">
        <v>775</v>
      </c>
      <c r="H1796" s="40" t="s">
        <v>123</v>
      </c>
      <c r="I1796" s="56"/>
    </row>
    <row r="1797" spans="1:9" ht="21.6" customHeight="1">
      <c r="A1797" s="27">
        <v>2033</v>
      </c>
      <c r="B1797" s="34" t="s">
        <v>1313</v>
      </c>
      <c r="C1797" s="34" t="s">
        <v>874</v>
      </c>
      <c r="D1797" s="34" t="s">
        <v>1610</v>
      </c>
      <c r="E1797" s="35" t="s">
        <v>875</v>
      </c>
      <c r="F1797" s="40" t="s">
        <v>123</v>
      </c>
      <c r="G1797" s="145" t="s">
        <v>778</v>
      </c>
      <c r="H1797" s="40" t="s">
        <v>123</v>
      </c>
      <c r="I1797" s="56"/>
    </row>
    <row r="1798" spans="1:9" ht="21.6" customHeight="1">
      <c r="A1798" s="27">
        <v>2034</v>
      </c>
      <c r="B1798" s="34" t="s">
        <v>1313</v>
      </c>
      <c r="C1798" s="34" t="s">
        <v>876</v>
      </c>
      <c r="D1798" s="34" t="s">
        <v>1611</v>
      </c>
      <c r="E1798" s="35" t="s">
        <v>877</v>
      </c>
      <c r="F1798" s="40" t="s">
        <v>123</v>
      </c>
      <c r="G1798" s="145" t="s">
        <v>781</v>
      </c>
      <c r="H1798" s="40" t="s">
        <v>123</v>
      </c>
      <c r="I1798" s="56"/>
    </row>
    <row r="1799" spans="1:9" ht="21.6" customHeight="1">
      <c r="A1799" s="27">
        <v>2035</v>
      </c>
      <c r="B1799" s="34" t="s">
        <v>1313</v>
      </c>
      <c r="C1799" s="34" t="s">
        <v>878</v>
      </c>
      <c r="D1799" s="34" t="s">
        <v>1612</v>
      </c>
      <c r="E1799" s="35" t="s">
        <v>879</v>
      </c>
      <c r="F1799" s="40" t="s">
        <v>123</v>
      </c>
      <c r="G1799" s="145" t="s">
        <v>784</v>
      </c>
      <c r="H1799" s="40" t="s">
        <v>123</v>
      </c>
      <c r="I1799" s="56"/>
    </row>
    <row r="1800" spans="1:9" ht="21.6" customHeight="1">
      <c r="A1800" s="27">
        <v>2036</v>
      </c>
      <c r="B1800" s="34" t="s">
        <v>1313</v>
      </c>
      <c r="C1800" s="34" t="s">
        <v>880</v>
      </c>
      <c r="D1800" s="34" t="s">
        <v>1613</v>
      </c>
      <c r="E1800" s="35" t="s">
        <v>881</v>
      </c>
      <c r="F1800" s="40" t="s">
        <v>123</v>
      </c>
      <c r="G1800" s="145" t="s">
        <v>787</v>
      </c>
      <c r="H1800" s="40" t="s">
        <v>123</v>
      </c>
      <c r="I1800" s="56"/>
    </row>
    <row r="1801" spans="1:9" ht="21.6" customHeight="1">
      <c r="A1801" s="27">
        <v>2037</v>
      </c>
      <c r="B1801" s="34" t="s">
        <v>1313</v>
      </c>
      <c r="C1801" s="34" t="s">
        <v>882</v>
      </c>
      <c r="D1801" s="34" t="s">
        <v>1614</v>
      </c>
      <c r="E1801" s="35" t="s">
        <v>883</v>
      </c>
      <c r="F1801" s="40" t="s">
        <v>123</v>
      </c>
      <c r="G1801" s="145" t="s">
        <v>790</v>
      </c>
      <c r="H1801" s="40" t="s">
        <v>123</v>
      </c>
      <c r="I1801" s="56"/>
    </row>
    <row r="1802" spans="1:9" ht="21.6" customHeight="1">
      <c r="A1802" s="27">
        <v>2038</v>
      </c>
      <c r="B1802" s="34" t="s">
        <v>1313</v>
      </c>
      <c r="C1802" s="34" t="s">
        <v>791</v>
      </c>
      <c r="D1802" s="34" t="s">
        <v>1576</v>
      </c>
      <c r="E1802" s="35" t="s">
        <v>792</v>
      </c>
      <c r="F1802" s="40" t="s">
        <v>654</v>
      </c>
      <c r="G1802" s="145" t="s">
        <v>1821</v>
      </c>
      <c r="H1802" s="40" t="s">
        <v>123</v>
      </c>
      <c r="I1802" s="56"/>
    </row>
    <row r="1803" spans="1:9" s="81" customFormat="1" ht="21.6" customHeight="1">
      <c r="A1803" s="41">
        <v>2039</v>
      </c>
      <c r="B1803" s="97" t="s">
        <v>1313</v>
      </c>
      <c r="C1803" s="97" t="s">
        <v>884</v>
      </c>
      <c r="D1803" s="97" t="s">
        <v>1615</v>
      </c>
      <c r="E1803" s="70" t="s">
        <v>885</v>
      </c>
      <c r="F1803" s="44" t="s">
        <v>654</v>
      </c>
      <c r="G1803" s="144" t="s">
        <v>1805</v>
      </c>
      <c r="H1803" s="44" t="s">
        <v>123</v>
      </c>
      <c r="I1803" s="98"/>
    </row>
    <row r="1804" spans="1:9" s="81" customFormat="1" ht="21.6" customHeight="1">
      <c r="A1804" s="20">
        <v>2040</v>
      </c>
      <c r="B1804" s="73" t="s">
        <v>46</v>
      </c>
      <c r="C1804" s="73" t="s">
        <v>587</v>
      </c>
      <c r="D1804" s="73" t="s">
        <v>1504</v>
      </c>
      <c r="E1804" s="72" t="s">
        <v>588</v>
      </c>
      <c r="F1804" s="74">
        <v>210</v>
      </c>
      <c r="G1804" s="143" t="s">
        <v>589</v>
      </c>
      <c r="H1804" s="74">
        <v>1</v>
      </c>
      <c r="I1804" s="75" t="s">
        <v>590</v>
      </c>
    </row>
    <row r="1805" spans="1:9" s="81" customFormat="1" ht="21.6" customHeight="1">
      <c r="A1805" s="106">
        <v>2041</v>
      </c>
      <c r="B1805" s="104" t="s">
        <v>46</v>
      </c>
      <c r="C1805" s="104" t="s">
        <v>840</v>
      </c>
      <c r="D1805" s="104" t="s">
        <v>1595</v>
      </c>
      <c r="E1805" s="82" t="s">
        <v>841</v>
      </c>
      <c r="F1805" s="107">
        <v>105</v>
      </c>
      <c r="G1805" s="150" t="s">
        <v>887</v>
      </c>
      <c r="H1805" s="108">
        <v>3</v>
      </c>
      <c r="I1805" s="109" t="s">
        <v>1010</v>
      </c>
    </row>
    <row r="1806" spans="1:9" s="81" customFormat="1" ht="21.6" customHeight="1">
      <c r="A1806" s="27">
        <v>2042</v>
      </c>
      <c r="B1806" s="104" t="s">
        <v>46</v>
      </c>
      <c r="C1806" s="104" t="s">
        <v>889</v>
      </c>
      <c r="D1806" s="34" t="s">
        <v>1616</v>
      </c>
      <c r="E1806" s="35" t="s">
        <v>890</v>
      </c>
      <c r="F1806" s="40" t="s">
        <v>1011</v>
      </c>
      <c r="G1806" s="145" t="s">
        <v>502</v>
      </c>
      <c r="H1806" s="40">
        <v>1</v>
      </c>
      <c r="I1806" s="56"/>
    </row>
    <row r="1807" spans="1:9" s="81" customFormat="1" ht="21.6" customHeight="1">
      <c r="A1807" s="27">
        <v>2043</v>
      </c>
      <c r="B1807" s="104" t="s">
        <v>46</v>
      </c>
      <c r="C1807" s="104" t="s">
        <v>892</v>
      </c>
      <c r="D1807" s="34" t="s">
        <v>1617</v>
      </c>
      <c r="E1807" s="35" t="s">
        <v>893</v>
      </c>
      <c r="F1807" s="76">
        <v>210</v>
      </c>
      <c r="G1807" s="145" t="s">
        <v>703</v>
      </c>
      <c r="H1807" s="40">
        <v>1</v>
      </c>
      <c r="I1807" s="56"/>
    </row>
    <row r="1808" spans="1:9" s="81" customFormat="1" ht="21.6" customHeight="1">
      <c r="A1808" s="27">
        <v>2044</v>
      </c>
      <c r="B1808" s="104" t="s">
        <v>46</v>
      </c>
      <c r="C1808" s="104" t="s">
        <v>894</v>
      </c>
      <c r="D1808" s="34" t="s">
        <v>1618</v>
      </c>
      <c r="E1808" s="35" t="s">
        <v>895</v>
      </c>
      <c r="F1808" s="40">
        <v>210</v>
      </c>
      <c r="G1808" s="144" t="s">
        <v>706</v>
      </c>
      <c r="H1808" s="40">
        <v>1</v>
      </c>
      <c r="I1808" s="56"/>
    </row>
    <row r="1809" spans="1:9" s="81" customFormat="1" ht="21.6" customHeight="1">
      <c r="A1809" s="27">
        <v>2045</v>
      </c>
      <c r="B1809" s="104" t="s">
        <v>46</v>
      </c>
      <c r="C1809" s="104" t="s">
        <v>896</v>
      </c>
      <c r="D1809" s="34" t="s">
        <v>1619</v>
      </c>
      <c r="E1809" s="35" t="s">
        <v>897</v>
      </c>
      <c r="F1809" s="40">
        <v>210</v>
      </c>
      <c r="G1809" s="145" t="s">
        <v>709</v>
      </c>
      <c r="H1809" s="40">
        <v>1</v>
      </c>
      <c r="I1809" s="56"/>
    </row>
    <row r="1810" spans="1:9" s="81" customFormat="1" ht="21.6" customHeight="1">
      <c r="A1810" s="27">
        <v>2046</v>
      </c>
      <c r="B1810" s="104" t="s">
        <v>46</v>
      </c>
      <c r="C1810" s="104" t="s">
        <v>710</v>
      </c>
      <c r="D1810" s="34" t="s">
        <v>1547</v>
      </c>
      <c r="E1810" s="35" t="s">
        <v>711</v>
      </c>
      <c r="F1810" s="40" t="s">
        <v>1012</v>
      </c>
      <c r="G1810" s="145" t="s">
        <v>415</v>
      </c>
      <c r="H1810" s="40">
        <v>1</v>
      </c>
      <c r="I1810" s="56"/>
    </row>
    <row r="1811" spans="1:9" s="81" customFormat="1" ht="21.6" customHeight="1">
      <c r="A1811" s="27">
        <v>2047</v>
      </c>
      <c r="B1811" s="104" t="s">
        <v>46</v>
      </c>
      <c r="C1811" s="104" t="s">
        <v>899</v>
      </c>
      <c r="D1811" s="34" t="s">
        <v>1620</v>
      </c>
      <c r="E1811" s="35" t="s">
        <v>900</v>
      </c>
      <c r="F1811" s="40">
        <v>210</v>
      </c>
      <c r="G1811" s="144" t="s">
        <v>597</v>
      </c>
      <c r="H1811" s="40">
        <v>1</v>
      </c>
      <c r="I1811" s="56"/>
    </row>
    <row r="1812" spans="1:9" s="81" customFormat="1" ht="21.6" customHeight="1">
      <c r="A1812" s="27">
        <v>2048</v>
      </c>
      <c r="B1812" s="104" t="s">
        <v>46</v>
      </c>
      <c r="C1812" s="104" t="s">
        <v>845</v>
      </c>
      <c r="D1812" s="34" t="s">
        <v>1598</v>
      </c>
      <c r="E1812" s="35" t="s">
        <v>846</v>
      </c>
      <c r="F1812" s="76">
        <v>105</v>
      </c>
      <c r="G1812" s="144" t="s">
        <v>901</v>
      </c>
      <c r="H1812" s="40">
        <v>3</v>
      </c>
      <c r="I1812" s="56"/>
    </row>
    <row r="1813" spans="1:9" s="81" customFormat="1" ht="21.6" customHeight="1">
      <c r="A1813" s="27">
        <v>2049</v>
      </c>
      <c r="B1813" s="104" t="s">
        <v>46</v>
      </c>
      <c r="C1813" s="104" t="s">
        <v>598</v>
      </c>
      <c r="D1813" s="34" t="s">
        <v>1508</v>
      </c>
      <c r="E1813" s="35" t="s">
        <v>599</v>
      </c>
      <c r="F1813" s="40" t="s">
        <v>1013</v>
      </c>
      <c r="G1813" s="145" t="s">
        <v>600</v>
      </c>
      <c r="H1813" s="40">
        <v>4</v>
      </c>
      <c r="I1813" s="56"/>
    </row>
    <row r="1814" spans="1:9" s="81" customFormat="1" ht="21.6" customHeight="1">
      <c r="A1814" s="27">
        <v>2050</v>
      </c>
      <c r="B1814" s="104" t="s">
        <v>46</v>
      </c>
      <c r="C1814" s="104" t="s">
        <v>601</v>
      </c>
      <c r="D1814" s="34" t="s">
        <v>1509</v>
      </c>
      <c r="E1814" s="35" t="s">
        <v>602</v>
      </c>
      <c r="F1814" s="40" t="s">
        <v>1013</v>
      </c>
      <c r="G1814" s="144" t="s">
        <v>1822</v>
      </c>
      <c r="H1814" s="40">
        <v>8</v>
      </c>
      <c r="I1814" s="56"/>
    </row>
    <row r="1815" spans="1:9" s="81" customFormat="1" ht="21.6" customHeight="1">
      <c r="A1815" s="27">
        <v>2051</v>
      </c>
      <c r="B1815" s="104" t="s">
        <v>46</v>
      </c>
      <c r="C1815" s="104" t="s">
        <v>902</v>
      </c>
      <c r="D1815" s="34" t="s">
        <v>1621</v>
      </c>
      <c r="E1815" s="35" t="s">
        <v>903</v>
      </c>
      <c r="F1815" s="40" t="s">
        <v>1012</v>
      </c>
      <c r="G1815" s="144" t="s">
        <v>1823</v>
      </c>
      <c r="H1815" s="40">
        <v>4</v>
      </c>
      <c r="I1815" s="56" t="s">
        <v>1014</v>
      </c>
    </row>
    <row r="1816" spans="1:9" s="81" customFormat="1" ht="21.6" customHeight="1">
      <c r="A1816" s="27">
        <v>2052</v>
      </c>
      <c r="B1816" s="104" t="s">
        <v>46</v>
      </c>
      <c r="C1816" s="104" t="s">
        <v>905</v>
      </c>
      <c r="D1816" s="34" t="s">
        <v>1622</v>
      </c>
      <c r="E1816" s="35" t="s">
        <v>906</v>
      </c>
      <c r="F1816" s="40" t="s">
        <v>1012</v>
      </c>
      <c r="G1816" s="144" t="s">
        <v>1823</v>
      </c>
      <c r="H1816" s="40">
        <v>4</v>
      </c>
      <c r="I1816" s="56" t="s">
        <v>1015</v>
      </c>
    </row>
    <row r="1817" spans="1:9" s="81" customFormat="1" ht="21.6" customHeight="1">
      <c r="A1817" s="27">
        <v>2053</v>
      </c>
      <c r="B1817" s="104" t="s">
        <v>46</v>
      </c>
      <c r="C1817" s="104" t="s">
        <v>605</v>
      </c>
      <c r="D1817" s="34" t="s">
        <v>1511</v>
      </c>
      <c r="E1817" s="35" t="s">
        <v>606</v>
      </c>
      <c r="F1817" s="40">
        <v>210</v>
      </c>
      <c r="G1817" s="145" t="s">
        <v>533</v>
      </c>
      <c r="H1817" s="40">
        <v>1</v>
      </c>
      <c r="I1817" s="56"/>
    </row>
    <row r="1818" spans="1:9" s="81" customFormat="1" ht="21.6" customHeight="1">
      <c r="A1818" s="27">
        <v>2054</v>
      </c>
      <c r="B1818" s="104" t="s">
        <v>46</v>
      </c>
      <c r="C1818" s="104" t="s">
        <v>607</v>
      </c>
      <c r="D1818" s="34" t="s">
        <v>1512</v>
      </c>
      <c r="E1818" s="35" t="s">
        <v>608</v>
      </c>
      <c r="F1818" s="40">
        <v>210</v>
      </c>
      <c r="G1818" s="145" t="s">
        <v>1812</v>
      </c>
      <c r="H1818" s="40">
        <v>1</v>
      </c>
      <c r="I1818" s="56"/>
    </row>
    <row r="1819" spans="1:9" s="81" customFormat="1" ht="21.6" customHeight="1">
      <c r="A1819" s="27">
        <v>2055</v>
      </c>
      <c r="B1819" s="104" t="s">
        <v>46</v>
      </c>
      <c r="C1819" s="104" t="s">
        <v>609</v>
      </c>
      <c r="D1819" s="34" t="s">
        <v>1513</v>
      </c>
      <c r="E1819" s="35" t="s">
        <v>610</v>
      </c>
      <c r="F1819" s="40">
        <v>210</v>
      </c>
      <c r="G1819" s="145" t="s">
        <v>1824</v>
      </c>
      <c r="H1819" s="40">
        <v>1</v>
      </c>
      <c r="I1819" s="56"/>
    </row>
    <row r="1820" spans="1:9" s="81" customFormat="1" ht="21.6" customHeight="1">
      <c r="A1820" s="27">
        <v>2056</v>
      </c>
      <c r="B1820" s="104" t="s">
        <v>46</v>
      </c>
      <c r="C1820" s="104" t="s">
        <v>611</v>
      </c>
      <c r="D1820" s="34" t="s">
        <v>1514</v>
      </c>
      <c r="E1820" s="35" t="s">
        <v>612</v>
      </c>
      <c r="F1820" s="40">
        <v>210</v>
      </c>
      <c r="G1820" s="145" t="s">
        <v>1825</v>
      </c>
      <c r="H1820" s="40">
        <v>1</v>
      </c>
      <c r="I1820" s="56"/>
    </row>
    <row r="1821" spans="1:9" s="81" customFormat="1" ht="21.6" customHeight="1">
      <c r="A1821" s="27">
        <v>2057</v>
      </c>
      <c r="B1821" s="104" t="s">
        <v>46</v>
      </c>
      <c r="C1821" s="104" t="s">
        <v>613</v>
      </c>
      <c r="D1821" s="34" t="s">
        <v>1515</v>
      </c>
      <c r="E1821" s="35" t="s">
        <v>614</v>
      </c>
      <c r="F1821" s="40">
        <v>210</v>
      </c>
      <c r="G1821" s="145" t="s">
        <v>1826</v>
      </c>
      <c r="H1821" s="40">
        <v>2</v>
      </c>
      <c r="I1821" s="56"/>
    </row>
    <row r="1822" spans="1:9" s="81" customFormat="1" ht="21.6" customHeight="1">
      <c r="A1822" s="27">
        <v>2058</v>
      </c>
      <c r="B1822" s="34" t="s">
        <v>46</v>
      </c>
      <c r="C1822" s="34" t="s">
        <v>719</v>
      </c>
      <c r="D1822" s="34" t="s">
        <v>1551</v>
      </c>
      <c r="E1822" s="35" t="s">
        <v>720</v>
      </c>
      <c r="F1822" s="40">
        <v>630</v>
      </c>
      <c r="G1822" s="144" t="s">
        <v>101</v>
      </c>
      <c r="H1822" s="40">
        <v>2</v>
      </c>
      <c r="I1822" s="56" t="s">
        <v>617</v>
      </c>
    </row>
    <row r="1823" spans="1:9" s="81" customFormat="1" ht="21.6" customHeight="1">
      <c r="A1823" s="27">
        <v>2060</v>
      </c>
      <c r="B1823" s="104" t="s">
        <v>46</v>
      </c>
      <c r="C1823" s="104" t="s">
        <v>908</v>
      </c>
      <c r="D1823" s="34" t="s">
        <v>1623</v>
      </c>
      <c r="E1823" s="35" t="s">
        <v>909</v>
      </c>
      <c r="F1823" s="40">
        <v>280</v>
      </c>
      <c r="G1823" s="145" t="s">
        <v>1809</v>
      </c>
      <c r="H1823" s="40">
        <v>1</v>
      </c>
      <c r="I1823" s="31" t="s">
        <v>910</v>
      </c>
    </row>
    <row r="1824" spans="1:9" s="81" customFormat="1" ht="21.6" customHeight="1">
      <c r="A1824" s="27">
        <v>2061</v>
      </c>
      <c r="B1824" s="104" t="s">
        <v>46</v>
      </c>
      <c r="C1824" s="104" t="s">
        <v>911</v>
      </c>
      <c r="D1824" s="34" t="s">
        <v>1624</v>
      </c>
      <c r="E1824" s="35" t="s">
        <v>912</v>
      </c>
      <c r="F1824" s="40">
        <v>280</v>
      </c>
      <c r="G1824" s="145" t="s">
        <v>87</v>
      </c>
      <c r="H1824" s="40">
        <v>1</v>
      </c>
      <c r="I1824" s="56"/>
    </row>
    <row r="1825" spans="1:9" s="81" customFormat="1" ht="21.6" customHeight="1">
      <c r="A1825" s="27">
        <v>2062</v>
      </c>
      <c r="B1825" s="104" t="s">
        <v>46</v>
      </c>
      <c r="C1825" s="104" t="s">
        <v>622</v>
      </c>
      <c r="D1825" s="34" t="s">
        <v>1519</v>
      </c>
      <c r="E1825" s="35" t="s">
        <v>623</v>
      </c>
      <c r="F1825" s="40">
        <v>280</v>
      </c>
      <c r="G1825" s="144" t="s">
        <v>1827</v>
      </c>
      <c r="H1825" s="40">
        <v>1</v>
      </c>
      <c r="I1825" s="56"/>
    </row>
    <row r="1826" spans="1:9" s="81" customFormat="1" ht="21.6" customHeight="1">
      <c r="A1826" s="27">
        <v>2063</v>
      </c>
      <c r="B1826" s="104" t="s">
        <v>46</v>
      </c>
      <c r="C1826" s="104" t="s">
        <v>852</v>
      </c>
      <c r="D1826" s="34" t="s">
        <v>1601</v>
      </c>
      <c r="E1826" s="35" t="s">
        <v>853</v>
      </c>
      <c r="F1826" s="40">
        <v>280</v>
      </c>
      <c r="G1826" s="144" t="s">
        <v>1828</v>
      </c>
      <c r="H1826" s="40">
        <v>1</v>
      </c>
      <c r="I1826" s="56"/>
    </row>
    <row r="1827" spans="1:9" s="81" customFormat="1" ht="21.6" customHeight="1">
      <c r="A1827" s="27">
        <v>2064</v>
      </c>
      <c r="B1827" s="104" t="s">
        <v>46</v>
      </c>
      <c r="C1827" s="104" t="s">
        <v>626</v>
      </c>
      <c r="D1827" s="34" t="s">
        <v>1521</v>
      </c>
      <c r="E1827" s="35" t="s">
        <v>627</v>
      </c>
      <c r="F1827" s="40">
        <v>280</v>
      </c>
      <c r="G1827" s="145" t="s">
        <v>628</v>
      </c>
      <c r="H1827" s="40">
        <v>2</v>
      </c>
      <c r="I1827" s="56"/>
    </row>
    <row r="1828" spans="1:9" s="81" customFormat="1" ht="21.6" customHeight="1">
      <c r="A1828" s="27">
        <v>2065</v>
      </c>
      <c r="B1828" s="104" t="s">
        <v>46</v>
      </c>
      <c r="C1828" s="104" t="s">
        <v>273</v>
      </c>
      <c r="D1828" s="34" t="s">
        <v>1392</v>
      </c>
      <c r="E1828" s="35" t="s">
        <v>274</v>
      </c>
      <c r="F1828" s="40">
        <v>80</v>
      </c>
      <c r="G1828" s="144" t="s">
        <v>631</v>
      </c>
      <c r="H1828" s="40">
        <v>1</v>
      </c>
      <c r="I1828" s="56" t="s">
        <v>116</v>
      </c>
    </row>
    <row r="1829" spans="1:9" s="81" customFormat="1" ht="21.6" customHeight="1">
      <c r="A1829" s="27">
        <v>2066</v>
      </c>
      <c r="B1829" s="104" t="s">
        <v>46</v>
      </c>
      <c r="C1829" s="104" t="s">
        <v>276</v>
      </c>
      <c r="D1829" s="80" t="s">
        <v>1393</v>
      </c>
      <c r="E1829" s="35" t="s">
        <v>277</v>
      </c>
      <c r="F1829" s="40">
        <v>80</v>
      </c>
      <c r="G1829" s="144" t="s">
        <v>115</v>
      </c>
      <c r="H1829" s="40">
        <v>1</v>
      </c>
      <c r="I1829" s="56" t="s">
        <v>116</v>
      </c>
    </row>
    <row r="1830" spans="1:9" s="58" customFormat="1" ht="21.6" customHeight="1">
      <c r="A1830" s="27">
        <v>2067</v>
      </c>
      <c r="B1830" s="104" t="s">
        <v>46</v>
      </c>
      <c r="C1830" s="104" t="s">
        <v>264</v>
      </c>
      <c r="D1830" s="50" t="s">
        <v>1389</v>
      </c>
      <c r="E1830" s="51" t="s">
        <v>265</v>
      </c>
      <c r="F1830" s="29">
        <v>80</v>
      </c>
      <c r="G1830" s="144" t="s">
        <v>1841</v>
      </c>
      <c r="H1830" s="29">
        <v>1</v>
      </c>
      <c r="I1830" s="31" t="s">
        <v>796</v>
      </c>
    </row>
    <row r="1831" spans="1:9" s="58" customFormat="1" ht="21.6" customHeight="1">
      <c r="A1831" s="27">
        <v>2068</v>
      </c>
      <c r="B1831" s="104" t="s">
        <v>46</v>
      </c>
      <c r="C1831" s="104" t="s">
        <v>268</v>
      </c>
      <c r="D1831" s="50" t="s">
        <v>1390</v>
      </c>
      <c r="E1831" s="51" t="s">
        <v>269</v>
      </c>
      <c r="F1831" s="29">
        <v>80</v>
      </c>
      <c r="G1831" s="144" t="s">
        <v>797</v>
      </c>
      <c r="H1831" s="29">
        <v>1</v>
      </c>
      <c r="I1831" s="31" t="s">
        <v>796</v>
      </c>
    </row>
    <row r="1832" spans="1:9" s="58" customFormat="1" ht="21.6" customHeight="1">
      <c r="A1832" s="27">
        <v>2069</v>
      </c>
      <c r="B1832" s="104" t="s">
        <v>46</v>
      </c>
      <c r="C1832" s="104" t="s">
        <v>271</v>
      </c>
      <c r="D1832" s="50" t="s">
        <v>1391</v>
      </c>
      <c r="E1832" s="51" t="s">
        <v>272</v>
      </c>
      <c r="F1832" s="29">
        <v>80</v>
      </c>
      <c r="G1832" s="144" t="s">
        <v>1842</v>
      </c>
      <c r="H1832" s="29">
        <v>1</v>
      </c>
      <c r="I1832" s="31" t="s">
        <v>796</v>
      </c>
    </row>
    <row r="1833" spans="1:9" s="26" customFormat="1" ht="21.6" customHeight="1">
      <c r="A1833" s="27">
        <v>2070</v>
      </c>
      <c r="B1833" s="104" t="s">
        <v>46</v>
      </c>
      <c r="C1833" s="104" t="s">
        <v>225</v>
      </c>
      <c r="D1833" s="39" t="s">
        <v>1375</v>
      </c>
      <c r="E1833" s="3" t="s">
        <v>226</v>
      </c>
      <c r="F1833" s="29">
        <v>120</v>
      </c>
      <c r="G1833" s="144" t="s">
        <v>1781</v>
      </c>
      <c r="H1833" s="29">
        <v>2</v>
      </c>
      <c r="I1833" s="31" t="s">
        <v>279</v>
      </c>
    </row>
    <row r="1834" spans="1:9" s="26" customFormat="1" ht="21.6" customHeight="1">
      <c r="A1834" s="27">
        <v>2071</v>
      </c>
      <c r="B1834" s="104" t="s">
        <v>46</v>
      </c>
      <c r="C1834" s="104" t="s">
        <v>229</v>
      </c>
      <c r="D1834" s="39" t="s">
        <v>1376</v>
      </c>
      <c r="E1834" s="51" t="s">
        <v>230</v>
      </c>
      <c r="F1834" s="29">
        <v>120</v>
      </c>
      <c r="G1834" s="144" t="s">
        <v>278</v>
      </c>
      <c r="H1834" s="29">
        <v>1</v>
      </c>
      <c r="I1834" s="31" t="s">
        <v>279</v>
      </c>
    </row>
    <row r="1835" spans="1:9" s="26" customFormat="1" ht="21.6" customHeight="1">
      <c r="A1835" s="27">
        <v>2072</v>
      </c>
      <c r="B1835" s="104" t="s">
        <v>46</v>
      </c>
      <c r="C1835" s="104" t="s">
        <v>280</v>
      </c>
      <c r="D1835" s="39" t="s">
        <v>1394</v>
      </c>
      <c r="E1835" s="51" t="s">
        <v>281</v>
      </c>
      <c r="F1835" s="29">
        <v>120</v>
      </c>
      <c r="G1835" s="144" t="s">
        <v>1782</v>
      </c>
      <c r="H1835" s="29">
        <v>1</v>
      </c>
      <c r="I1835" s="31" t="s">
        <v>283</v>
      </c>
    </row>
    <row r="1836" spans="1:9" s="26" customFormat="1" ht="21.6" customHeight="1">
      <c r="A1836" s="27">
        <v>2073</v>
      </c>
      <c r="B1836" s="104" t="s">
        <v>46</v>
      </c>
      <c r="C1836" s="104" t="s">
        <v>284</v>
      </c>
      <c r="D1836" s="50" t="s">
        <v>1395</v>
      </c>
      <c r="E1836" s="51" t="s">
        <v>226</v>
      </c>
      <c r="F1836" s="29">
        <v>120</v>
      </c>
      <c r="G1836" s="144" t="s">
        <v>285</v>
      </c>
      <c r="H1836" s="29">
        <v>1</v>
      </c>
      <c r="I1836" s="31" t="s">
        <v>286</v>
      </c>
    </row>
    <row r="1837" spans="1:9" s="26" customFormat="1" ht="21.6" customHeight="1">
      <c r="A1837" s="27">
        <v>2074</v>
      </c>
      <c r="B1837" s="104" t="s">
        <v>46</v>
      </c>
      <c r="C1837" s="104" t="s">
        <v>287</v>
      </c>
      <c r="D1837" s="50" t="s">
        <v>1396</v>
      </c>
      <c r="E1837" s="51" t="s">
        <v>288</v>
      </c>
      <c r="F1837" s="29">
        <v>120</v>
      </c>
      <c r="G1837" s="144" t="s">
        <v>282</v>
      </c>
      <c r="H1837" s="29">
        <v>1</v>
      </c>
      <c r="I1837" s="31" t="s">
        <v>286</v>
      </c>
    </row>
    <row r="1838" spans="1:9" s="58" customFormat="1" ht="21.6" customHeight="1">
      <c r="A1838" s="27">
        <v>2075</v>
      </c>
      <c r="B1838" s="104" t="s">
        <v>46</v>
      </c>
      <c r="C1838" s="104" t="s">
        <v>231</v>
      </c>
      <c r="D1838" s="39" t="s">
        <v>1377</v>
      </c>
      <c r="E1838" s="51" t="s">
        <v>232</v>
      </c>
      <c r="F1838" s="29">
        <v>160</v>
      </c>
      <c r="G1838" s="144" t="s">
        <v>1843</v>
      </c>
      <c r="H1838" s="29">
        <v>1</v>
      </c>
      <c r="I1838" s="31" t="s">
        <v>290</v>
      </c>
    </row>
    <row r="1839" spans="1:9" s="58" customFormat="1" ht="21.6" customHeight="1">
      <c r="A1839" s="27">
        <v>2076</v>
      </c>
      <c r="B1839" s="104" t="s">
        <v>46</v>
      </c>
      <c r="C1839" s="104" t="s">
        <v>235</v>
      </c>
      <c r="D1839" s="50" t="s">
        <v>1378</v>
      </c>
      <c r="E1839" s="51" t="s">
        <v>236</v>
      </c>
      <c r="F1839" s="29">
        <v>160</v>
      </c>
      <c r="G1839" s="144" t="s">
        <v>237</v>
      </c>
      <c r="H1839" s="29">
        <v>1</v>
      </c>
      <c r="I1839" s="31" t="s">
        <v>290</v>
      </c>
    </row>
    <row r="1840" spans="1:9" s="58" customFormat="1" ht="21.6" customHeight="1">
      <c r="A1840" s="27">
        <v>2077</v>
      </c>
      <c r="B1840" s="104" t="s">
        <v>46</v>
      </c>
      <c r="C1840" s="104" t="s">
        <v>238</v>
      </c>
      <c r="D1840" s="50" t="s">
        <v>1379</v>
      </c>
      <c r="E1840" s="51" t="s">
        <v>239</v>
      </c>
      <c r="F1840" s="29">
        <v>160</v>
      </c>
      <c r="G1840" s="144" t="s">
        <v>798</v>
      </c>
      <c r="H1840" s="29">
        <v>1</v>
      </c>
      <c r="I1840" s="31" t="s">
        <v>290</v>
      </c>
    </row>
    <row r="1841" spans="1:9" s="81" customFormat="1" ht="21.6" customHeight="1">
      <c r="A1841" s="27">
        <v>2078</v>
      </c>
      <c r="B1841" s="104" t="s">
        <v>46</v>
      </c>
      <c r="C1841" s="104" t="s">
        <v>913</v>
      </c>
      <c r="D1841" s="80" t="s">
        <v>1625</v>
      </c>
      <c r="E1841" s="35" t="s">
        <v>914</v>
      </c>
      <c r="F1841" s="40">
        <v>210</v>
      </c>
      <c r="G1841" s="144" t="s">
        <v>637</v>
      </c>
      <c r="H1841" s="40" t="s">
        <v>123</v>
      </c>
      <c r="I1841" s="56"/>
    </row>
    <row r="1842" spans="1:9" s="81" customFormat="1" ht="21.6" customHeight="1">
      <c r="A1842" s="27">
        <v>2079</v>
      </c>
      <c r="B1842" s="104" t="s">
        <v>46</v>
      </c>
      <c r="C1842" s="104" t="s">
        <v>915</v>
      </c>
      <c r="D1842" s="34" t="s">
        <v>1626</v>
      </c>
      <c r="E1842" s="35" t="s">
        <v>916</v>
      </c>
      <c r="F1842" s="40">
        <v>105</v>
      </c>
      <c r="G1842" s="144" t="s">
        <v>755</v>
      </c>
      <c r="H1842" s="40" t="s">
        <v>123</v>
      </c>
      <c r="I1842" s="56"/>
    </row>
    <row r="1843" spans="1:9" s="58" customFormat="1" ht="21.6" customHeight="1">
      <c r="A1843" s="27">
        <v>2080</v>
      </c>
      <c r="B1843" s="104" t="s">
        <v>46</v>
      </c>
      <c r="C1843" s="104" t="s">
        <v>295</v>
      </c>
      <c r="D1843" s="39" t="s">
        <v>1399</v>
      </c>
      <c r="E1843" s="3" t="s">
        <v>296</v>
      </c>
      <c r="F1843" s="29">
        <v>80</v>
      </c>
      <c r="G1843" s="144" t="s">
        <v>799</v>
      </c>
      <c r="H1843" s="40" t="s">
        <v>123</v>
      </c>
      <c r="I1843" s="31" t="s">
        <v>796</v>
      </c>
    </row>
    <row r="1844" spans="1:9" s="26" customFormat="1" ht="21.6" customHeight="1">
      <c r="A1844" s="27">
        <v>2081</v>
      </c>
      <c r="B1844" s="104" t="s">
        <v>46</v>
      </c>
      <c r="C1844" s="104" t="s">
        <v>298</v>
      </c>
      <c r="D1844" s="39" t="s">
        <v>1400</v>
      </c>
      <c r="E1844" s="3" t="s">
        <v>299</v>
      </c>
      <c r="F1844" s="29">
        <v>120</v>
      </c>
      <c r="G1844" s="144" t="s">
        <v>300</v>
      </c>
      <c r="H1844" s="40" t="s">
        <v>123</v>
      </c>
      <c r="I1844" s="31" t="s">
        <v>279</v>
      </c>
    </row>
    <row r="1845" spans="1:9" s="26" customFormat="1" ht="21.6" customHeight="1">
      <c r="A1845" s="27">
        <v>2082</v>
      </c>
      <c r="B1845" s="104" t="s">
        <v>46</v>
      </c>
      <c r="C1845" s="104" t="s">
        <v>301</v>
      </c>
      <c r="D1845" s="39" t="s">
        <v>1401</v>
      </c>
      <c r="E1845" s="3" t="s">
        <v>302</v>
      </c>
      <c r="F1845" s="29">
        <v>120</v>
      </c>
      <c r="G1845" s="144" t="s">
        <v>303</v>
      </c>
      <c r="H1845" s="40" t="s">
        <v>123</v>
      </c>
      <c r="I1845" s="31" t="s">
        <v>283</v>
      </c>
    </row>
    <row r="1846" spans="1:9" s="58" customFormat="1" ht="21.6" customHeight="1">
      <c r="A1846" s="27">
        <v>2083</v>
      </c>
      <c r="B1846" s="104" t="s">
        <v>46</v>
      </c>
      <c r="C1846" s="104" t="s">
        <v>251</v>
      </c>
      <c r="D1846" s="39" t="s">
        <v>1384</v>
      </c>
      <c r="E1846" s="3" t="s">
        <v>252</v>
      </c>
      <c r="F1846" s="29">
        <v>160</v>
      </c>
      <c r="G1846" s="144" t="s">
        <v>760</v>
      </c>
      <c r="H1846" s="40" t="s">
        <v>123</v>
      </c>
      <c r="I1846" s="31" t="s">
        <v>290</v>
      </c>
    </row>
    <row r="1847" spans="1:9" s="58" customFormat="1" ht="21.6" customHeight="1">
      <c r="A1847" s="27">
        <v>2084</v>
      </c>
      <c r="B1847" s="104" t="s">
        <v>46</v>
      </c>
      <c r="C1847" s="104" t="s">
        <v>1016</v>
      </c>
      <c r="D1847" s="39" t="s">
        <v>1665</v>
      </c>
      <c r="E1847" s="3" t="s">
        <v>1017</v>
      </c>
      <c r="F1847" s="29">
        <v>280</v>
      </c>
      <c r="G1847" s="144" t="s">
        <v>642</v>
      </c>
      <c r="H1847" s="40" t="s">
        <v>123</v>
      </c>
      <c r="I1847" s="31" t="s">
        <v>1018</v>
      </c>
    </row>
    <row r="1848" spans="1:9" s="58" customFormat="1" ht="21.6" customHeight="1">
      <c r="A1848" s="27">
        <v>2085</v>
      </c>
      <c r="B1848" s="104" t="s">
        <v>46</v>
      </c>
      <c r="C1848" s="104" t="s">
        <v>917</v>
      </c>
      <c r="D1848" s="39" t="s">
        <v>1627</v>
      </c>
      <c r="E1848" s="3" t="s">
        <v>918</v>
      </c>
      <c r="F1848" s="29">
        <v>280</v>
      </c>
      <c r="G1848" s="144" t="s">
        <v>642</v>
      </c>
      <c r="H1848" s="40" t="s">
        <v>123</v>
      </c>
      <c r="I1848" s="31" t="s">
        <v>526</v>
      </c>
    </row>
    <row r="1849" spans="1:9" s="58" customFormat="1" ht="21.6" customHeight="1">
      <c r="A1849" s="27">
        <v>2086</v>
      </c>
      <c r="B1849" s="104" t="s">
        <v>46</v>
      </c>
      <c r="C1849" s="104" t="s">
        <v>643</v>
      </c>
      <c r="D1849" s="39" t="s">
        <v>1525</v>
      </c>
      <c r="E1849" s="3" t="s">
        <v>644</v>
      </c>
      <c r="F1849" s="29">
        <v>210</v>
      </c>
      <c r="G1849" s="144" t="s">
        <v>645</v>
      </c>
      <c r="H1849" s="40" t="s">
        <v>123</v>
      </c>
      <c r="I1849" s="31"/>
    </row>
    <row r="1850" spans="1:9" s="81" customFormat="1" ht="21.6" customHeight="1">
      <c r="A1850" s="27">
        <v>2087</v>
      </c>
      <c r="B1850" s="104" t="s">
        <v>46</v>
      </c>
      <c r="C1850" s="104" t="s">
        <v>919</v>
      </c>
      <c r="D1850" s="34" t="s">
        <v>1628</v>
      </c>
      <c r="E1850" s="35" t="s">
        <v>920</v>
      </c>
      <c r="F1850" s="40" t="s">
        <v>123</v>
      </c>
      <c r="G1850" s="145" t="s">
        <v>585</v>
      </c>
      <c r="H1850" s="40" t="s">
        <v>123</v>
      </c>
      <c r="I1850" s="56" t="s">
        <v>1014</v>
      </c>
    </row>
    <row r="1851" spans="1:9" s="81" customFormat="1" ht="21.6" customHeight="1">
      <c r="A1851" s="27">
        <v>2088</v>
      </c>
      <c r="B1851" s="104" t="s">
        <v>46</v>
      </c>
      <c r="C1851" s="104" t="s">
        <v>921</v>
      </c>
      <c r="D1851" s="34" t="s">
        <v>1629</v>
      </c>
      <c r="E1851" s="35" t="s">
        <v>922</v>
      </c>
      <c r="F1851" s="40" t="s">
        <v>123</v>
      </c>
      <c r="G1851" s="145" t="s">
        <v>585</v>
      </c>
      <c r="H1851" s="40" t="s">
        <v>123</v>
      </c>
      <c r="I1851" s="56" t="s">
        <v>1015</v>
      </c>
    </row>
    <row r="1852" spans="1:9" s="81" customFormat="1" ht="21.6" customHeight="1">
      <c r="A1852" s="27">
        <v>2089</v>
      </c>
      <c r="B1852" s="104" t="s">
        <v>46</v>
      </c>
      <c r="C1852" s="104" t="s">
        <v>923</v>
      </c>
      <c r="D1852" s="34" t="s">
        <v>1630</v>
      </c>
      <c r="E1852" s="35" t="s">
        <v>924</v>
      </c>
      <c r="F1852" s="40" t="s">
        <v>123</v>
      </c>
      <c r="G1852" s="145" t="s">
        <v>129</v>
      </c>
      <c r="H1852" s="40" t="s">
        <v>123</v>
      </c>
      <c r="I1852" s="56" t="s">
        <v>1019</v>
      </c>
    </row>
    <row r="1853" spans="1:9" ht="21.6" customHeight="1">
      <c r="A1853" s="27">
        <v>2090</v>
      </c>
      <c r="B1853" s="104" t="s">
        <v>46</v>
      </c>
      <c r="C1853" s="104" t="s">
        <v>926</v>
      </c>
      <c r="D1853" s="34" t="s">
        <v>1631</v>
      </c>
      <c r="E1853" s="35" t="s">
        <v>927</v>
      </c>
      <c r="F1853" s="40" t="s">
        <v>123</v>
      </c>
      <c r="G1853" s="145" t="s">
        <v>772</v>
      </c>
      <c r="H1853" s="40" t="s">
        <v>123</v>
      </c>
      <c r="I1853" s="56" t="s">
        <v>1019</v>
      </c>
    </row>
    <row r="1854" spans="1:9" ht="21.6" customHeight="1">
      <c r="A1854" s="27">
        <v>2091</v>
      </c>
      <c r="B1854" s="104" t="s">
        <v>46</v>
      </c>
      <c r="C1854" s="104" t="s">
        <v>928</v>
      </c>
      <c r="D1854" s="34" t="s">
        <v>1632</v>
      </c>
      <c r="E1854" s="35" t="s">
        <v>929</v>
      </c>
      <c r="F1854" s="40" t="s">
        <v>123</v>
      </c>
      <c r="G1854" s="145" t="s">
        <v>775</v>
      </c>
      <c r="H1854" s="40" t="s">
        <v>123</v>
      </c>
      <c r="I1854" s="56" t="s">
        <v>1019</v>
      </c>
    </row>
    <row r="1855" spans="1:9" ht="21.6" customHeight="1">
      <c r="A1855" s="27">
        <v>2092</v>
      </c>
      <c r="B1855" s="104" t="s">
        <v>46</v>
      </c>
      <c r="C1855" s="104" t="s">
        <v>930</v>
      </c>
      <c r="D1855" s="34" t="s">
        <v>1633</v>
      </c>
      <c r="E1855" s="35" t="s">
        <v>931</v>
      </c>
      <c r="F1855" s="40" t="s">
        <v>123</v>
      </c>
      <c r="G1855" s="145" t="s">
        <v>778</v>
      </c>
      <c r="H1855" s="40" t="s">
        <v>123</v>
      </c>
      <c r="I1855" s="56" t="s">
        <v>1019</v>
      </c>
    </row>
    <row r="1856" spans="1:9" s="81" customFormat="1" ht="21.6" customHeight="1">
      <c r="A1856" s="27">
        <v>2093</v>
      </c>
      <c r="B1856" s="104" t="s">
        <v>46</v>
      </c>
      <c r="C1856" s="104" t="s">
        <v>932</v>
      </c>
      <c r="D1856" s="34" t="s">
        <v>1634</v>
      </c>
      <c r="E1856" s="35" t="s">
        <v>933</v>
      </c>
      <c r="F1856" s="40" t="s">
        <v>654</v>
      </c>
      <c r="G1856" s="145" t="s">
        <v>129</v>
      </c>
      <c r="H1856" s="40" t="s">
        <v>654</v>
      </c>
      <c r="I1856" s="56" t="s">
        <v>1020</v>
      </c>
    </row>
    <row r="1857" spans="1:9" ht="21.6" customHeight="1">
      <c r="A1857" s="27">
        <v>2094</v>
      </c>
      <c r="B1857" s="104" t="s">
        <v>46</v>
      </c>
      <c r="C1857" s="104" t="s">
        <v>935</v>
      </c>
      <c r="D1857" s="34" t="s">
        <v>1635</v>
      </c>
      <c r="E1857" s="35" t="s">
        <v>936</v>
      </c>
      <c r="F1857" s="40" t="s">
        <v>654</v>
      </c>
      <c r="G1857" s="145" t="s">
        <v>772</v>
      </c>
      <c r="H1857" s="40" t="s">
        <v>654</v>
      </c>
      <c r="I1857" s="56" t="s">
        <v>1020</v>
      </c>
    </row>
    <row r="1858" spans="1:9" ht="21.6" customHeight="1">
      <c r="A1858" s="27">
        <v>2095</v>
      </c>
      <c r="B1858" s="104" t="s">
        <v>46</v>
      </c>
      <c r="C1858" s="104" t="s">
        <v>937</v>
      </c>
      <c r="D1858" s="34" t="s">
        <v>1636</v>
      </c>
      <c r="E1858" s="35" t="s">
        <v>938</v>
      </c>
      <c r="F1858" s="40" t="s">
        <v>654</v>
      </c>
      <c r="G1858" s="145" t="s">
        <v>775</v>
      </c>
      <c r="H1858" s="40" t="s">
        <v>654</v>
      </c>
      <c r="I1858" s="56" t="s">
        <v>1020</v>
      </c>
    </row>
    <row r="1859" spans="1:9" ht="21.6" customHeight="1">
      <c r="A1859" s="27">
        <v>2096</v>
      </c>
      <c r="B1859" s="104" t="s">
        <v>46</v>
      </c>
      <c r="C1859" s="104" t="s">
        <v>939</v>
      </c>
      <c r="D1859" s="34" t="s">
        <v>1637</v>
      </c>
      <c r="E1859" s="35" t="s">
        <v>940</v>
      </c>
      <c r="F1859" s="40" t="s">
        <v>654</v>
      </c>
      <c r="G1859" s="145" t="s">
        <v>778</v>
      </c>
      <c r="H1859" s="40" t="s">
        <v>654</v>
      </c>
      <c r="I1859" s="56" t="s">
        <v>1020</v>
      </c>
    </row>
    <row r="1860" spans="1:9" s="81" customFormat="1" ht="21.6" customHeight="1">
      <c r="A1860" s="41">
        <v>2097</v>
      </c>
      <c r="B1860" s="104" t="s">
        <v>46</v>
      </c>
      <c r="C1860" s="104" t="s">
        <v>650</v>
      </c>
      <c r="D1860" s="34" t="s">
        <v>1528</v>
      </c>
      <c r="E1860" s="35" t="s">
        <v>651</v>
      </c>
      <c r="F1860" s="40" t="s">
        <v>123</v>
      </c>
      <c r="G1860" s="144" t="s">
        <v>1821</v>
      </c>
      <c r="H1860" s="40" t="s">
        <v>123</v>
      </c>
      <c r="I1860" s="56"/>
    </row>
    <row r="1861" spans="1:9" s="81" customFormat="1" ht="21.6" customHeight="1">
      <c r="A1861" s="41">
        <v>2098</v>
      </c>
      <c r="B1861" s="84" t="s">
        <v>46</v>
      </c>
      <c r="C1861" s="84" t="s">
        <v>941</v>
      </c>
      <c r="D1861" s="84" t="s">
        <v>1638</v>
      </c>
      <c r="E1861" s="83" t="s">
        <v>942</v>
      </c>
      <c r="F1861" s="85" t="s">
        <v>654</v>
      </c>
      <c r="G1861" s="150" t="s">
        <v>1805</v>
      </c>
      <c r="H1861" s="85" t="s">
        <v>123</v>
      </c>
      <c r="I1861" s="86"/>
    </row>
    <row r="1862" spans="1:9" s="81" customFormat="1" ht="21.6" customHeight="1">
      <c r="A1862" s="20">
        <v>2099</v>
      </c>
      <c r="B1862" s="73" t="s">
        <v>48</v>
      </c>
      <c r="C1862" s="73" t="s">
        <v>587</v>
      </c>
      <c r="D1862" s="73" t="s">
        <v>1504</v>
      </c>
      <c r="E1862" s="72" t="s">
        <v>588</v>
      </c>
      <c r="F1862" s="74">
        <v>210</v>
      </c>
      <c r="G1862" s="143" t="s">
        <v>589</v>
      </c>
      <c r="H1862" s="74">
        <v>1</v>
      </c>
      <c r="I1862" s="75" t="s">
        <v>590</v>
      </c>
    </row>
    <row r="1863" spans="1:9" s="81" customFormat="1" ht="21.6" customHeight="1">
      <c r="A1863" s="106">
        <v>2100</v>
      </c>
      <c r="B1863" s="104" t="s">
        <v>48</v>
      </c>
      <c r="C1863" s="104" t="s">
        <v>840</v>
      </c>
      <c r="D1863" s="104" t="s">
        <v>1595</v>
      </c>
      <c r="E1863" s="82" t="s">
        <v>841</v>
      </c>
      <c r="F1863" s="107">
        <v>105</v>
      </c>
      <c r="G1863" s="150" t="s">
        <v>887</v>
      </c>
      <c r="H1863" s="108">
        <v>3</v>
      </c>
      <c r="I1863" s="109" t="s">
        <v>1010</v>
      </c>
    </row>
    <row r="1864" spans="1:9" s="81" customFormat="1" ht="21.6" customHeight="1">
      <c r="A1864" s="27">
        <v>2101</v>
      </c>
      <c r="B1864" s="104" t="s">
        <v>48</v>
      </c>
      <c r="C1864" s="104" t="s">
        <v>591</v>
      </c>
      <c r="D1864" s="34" t="s">
        <v>1505</v>
      </c>
      <c r="E1864" s="35" t="s">
        <v>592</v>
      </c>
      <c r="F1864" s="40" t="s">
        <v>1011</v>
      </c>
      <c r="G1864" s="145" t="s">
        <v>502</v>
      </c>
      <c r="H1864" s="40">
        <v>1</v>
      </c>
      <c r="I1864" s="56"/>
    </row>
    <row r="1865" spans="1:9" s="81" customFormat="1" ht="21.6" customHeight="1">
      <c r="A1865" s="27">
        <v>2102</v>
      </c>
      <c r="B1865" s="104" t="s">
        <v>48</v>
      </c>
      <c r="C1865" s="104" t="s">
        <v>943</v>
      </c>
      <c r="D1865" s="34" t="s">
        <v>1639</v>
      </c>
      <c r="E1865" s="35" t="s">
        <v>944</v>
      </c>
      <c r="F1865" s="76">
        <v>210</v>
      </c>
      <c r="G1865" s="145" t="s">
        <v>703</v>
      </c>
      <c r="H1865" s="40">
        <v>1</v>
      </c>
      <c r="I1865" s="56"/>
    </row>
    <row r="1866" spans="1:9" s="81" customFormat="1" ht="21.6" customHeight="1">
      <c r="A1866" s="27">
        <v>2103</v>
      </c>
      <c r="B1866" s="104" t="s">
        <v>48</v>
      </c>
      <c r="C1866" s="104" t="s">
        <v>945</v>
      </c>
      <c r="D1866" s="34" t="s">
        <v>1640</v>
      </c>
      <c r="E1866" s="35" t="s">
        <v>946</v>
      </c>
      <c r="F1866" s="40">
        <v>210</v>
      </c>
      <c r="G1866" s="144" t="s">
        <v>706</v>
      </c>
      <c r="H1866" s="40">
        <v>1</v>
      </c>
      <c r="I1866" s="56"/>
    </row>
    <row r="1867" spans="1:9" s="81" customFormat="1" ht="21.6" customHeight="1">
      <c r="A1867" s="27">
        <v>2104</v>
      </c>
      <c r="B1867" s="104" t="s">
        <v>48</v>
      </c>
      <c r="C1867" s="104" t="s">
        <v>947</v>
      </c>
      <c r="D1867" s="34" t="s">
        <v>1641</v>
      </c>
      <c r="E1867" s="35" t="s">
        <v>948</v>
      </c>
      <c r="F1867" s="40">
        <v>210</v>
      </c>
      <c r="G1867" s="145" t="s">
        <v>709</v>
      </c>
      <c r="H1867" s="40">
        <v>1</v>
      </c>
      <c r="I1867" s="56"/>
    </row>
    <row r="1868" spans="1:9" s="81" customFormat="1" ht="21.6" customHeight="1">
      <c r="A1868" s="27">
        <v>2105</v>
      </c>
      <c r="B1868" s="104" t="s">
        <v>48</v>
      </c>
      <c r="C1868" s="104" t="s">
        <v>593</v>
      </c>
      <c r="D1868" s="34" t="s">
        <v>1506</v>
      </c>
      <c r="E1868" s="35" t="s">
        <v>594</v>
      </c>
      <c r="F1868" s="40" t="s">
        <v>1012</v>
      </c>
      <c r="G1868" s="145" t="s">
        <v>415</v>
      </c>
      <c r="H1868" s="40">
        <v>1</v>
      </c>
      <c r="I1868" s="56"/>
    </row>
    <row r="1869" spans="1:9" s="81" customFormat="1" ht="21.6" customHeight="1">
      <c r="A1869" s="27">
        <v>2106</v>
      </c>
      <c r="B1869" s="104" t="s">
        <v>48</v>
      </c>
      <c r="C1869" s="104" t="s">
        <v>595</v>
      </c>
      <c r="D1869" s="34" t="s">
        <v>1507</v>
      </c>
      <c r="E1869" s="35" t="s">
        <v>596</v>
      </c>
      <c r="F1869" s="40">
        <v>210</v>
      </c>
      <c r="G1869" s="144" t="s">
        <v>597</v>
      </c>
      <c r="H1869" s="40">
        <v>1</v>
      </c>
      <c r="I1869" s="56"/>
    </row>
    <row r="1870" spans="1:9" s="81" customFormat="1" ht="21.6" customHeight="1">
      <c r="A1870" s="27">
        <v>2107</v>
      </c>
      <c r="B1870" s="104" t="s">
        <v>48</v>
      </c>
      <c r="C1870" s="104" t="s">
        <v>949</v>
      </c>
      <c r="D1870" s="34" t="s">
        <v>1642</v>
      </c>
      <c r="E1870" s="35" t="s">
        <v>950</v>
      </c>
      <c r="F1870" s="76">
        <v>105</v>
      </c>
      <c r="G1870" s="144" t="s">
        <v>901</v>
      </c>
      <c r="H1870" s="40">
        <v>3</v>
      </c>
      <c r="I1870" s="56"/>
    </row>
    <row r="1871" spans="1:9" s="81" customFormat="1" ht="21.6" customHeight="1">
      <c r="A1871" s="27">
        <v>2108</v>
      </c>
      <c r="B1871" s="104" t="s">
        <v>48</v>
      </c>
      <c r="C1871" s="104" t="s">
        <v>598</v>
      </c>
      <c r="D1871" s="34" t="s">
        <v>1508</v>
      </c>
      <c r="E1871" s="35" t="s">
        <v>599</v>
      </c>
      <c r="F1871" s="40" t="s">
        <v>1013</v>
      </c>
      <c r="G1871" s="145" t="s">
        <v>600</v>
      </c>
      <c r="H1871" s="40">
        <v>4</v>
      </c>
      <c r="I1871" s="56"/>
    </row>
    <row r="1872" spans="1:9" s="81" customFormat="1" ht="21.6" customHeight="1">
      <c r="A1872" s="27">
        <v>2109</v>
      </c>
      <c r="B1872" s="104" t="s">
        <v>48</v>
      </c>
      <c r="C1872" s="104" t="s">
        <v>601</v>
      </c>
      <c r="D1872" s="34" t="s">
        <v>1509</v>
      </c>
      <c r="E1872" s="35" t="s">
        <v>602</v>
      </c>
      <c r="F1872" s="40" t="s">
        <v>1013</v>
      </c>
      <c r="G1872" s="144" t="s">
        <v>1822</v>
      </c>
      <c r="H1872" s="40">
        <v>8</v>
      </c>
      <c r="I1872" s="56"/>
    </row>
    <row r="1873" spans="1:9" s="81" customFormat="1" ht="21.6" customHeight="1">
      <c r="A1873" s="27">
        <v>2110</v>
      </c>
      <c r="B1873" s="104" t="s">
        <v>48</v>
      </c>
      <c r="C1873" s="104" t="s">
        <v>603</v>
      </c>
      <c r="D1873" s="34" t="s">
        <v>1510</v>
      </c>
      <c r="E1873" s="35" t="s">
        <v>604</v>
      </c>
      <c r="F1873" s="40" t="s">
        <v>1012</v>
      </c>
      <c r="G1873" s="144" t="s">
        <v>1823</v>
      </c>
      <c r="H1873" s="40">
        <v>4</v>
      </c>
      <c r="I1873" s="56"/>
    </row>
    <row r="1874" spans="1:9" s="81" customFormat="1" ht="21.6" customHeight="1">
      <c r="A1874" s="27">
        <v>2111</v>
      </c>
      <c r="B1874" s="104" t="s">
        <v>48</v>
      </c>
      <c r="C1874" s="104" t="s">
        <v>605</v>
      </c>
      <c r="D1874" s="34" t="s">
        <v>1511</v>
      </c>
      <c r="E1874" s="35" t="s">
        <v>606</v>
      </c>
      <c r="F1874" s="40">
        <v>210</v>
      </c>
      <c r="G1874" s="145" t="s">
        <v>533</v>
      </c>
      <c r="H1874" s="40">
        <v>1</v>
      </c>
      <c r="I1874" s="56"/>
    </row>
    <row r="1875" spans="1:9" s="81" customFormat="1" ht="21.6" customHeight="1">
      <c r="A1875" s="27">
        <v>2112</v>
      </c>
      <c r="B1875" s="104" t="s">
        <v>48</v>
      </c>
      <c r="C1875" s="104" t="s">
        <v>607</v>
      </c>
      <c r="D1875" s="34" t="s">
        <v>1512</v>
      </c>
      <c r="E1875" s="35" t="s">
        <v>608</v>
      </c>
      <c r="F1875" s="40">
        <v>210</v>
      </c>
      <c r="G1875" s="145" t="s">
        <v>1812</v>
      </c>
      <c r="H1875" s="40">
        <v>1</v>
      </c>
      <c r="I1875" s="56"/>
    </row>
    <row r="1876" spans="1:9" s="81" customFormat="1" ht="21.6" customHeight="1">
      <c r="A1876" s="27">
        <v>2113</v>
      </c>
      <c r="B1876" s="104" t="s">
        <v>48</v>
      </c>
      <c r="C1876" s="104" t="s">
        <v>609</v>
      </c>
      <c r="D1876" s="34" t="s">
        <v>1513</v>
      </c>
      <c r="E1876" s="35" t="s">
        <v>610</v>
      </c>
      <c r="F1876" s="40">
        <v>210</v>
      </c>
      <c r="G1876" s="145" t="s">
        <v>1824</v>
      </c>
      <c r="H1876" s="40">
        <v>1</v>
      </c>
      <c r="I1876" s="56"/>
    </row>
    <row r="1877" spans="1:9" s="81" customFormat="1" ht="21.6" customHeight="1">
      <c r="A1877" s="27">
        <v>2114</v>
      </c>
      <c r="B1877" s="104" t="s">
        <v>48</v>
      </c>
      <c r="C1877" s="104" t="s">
        <v>611</v>
      </c>
      <c r="D1877" s="34" t="s">
        <v>1514</v>
      </c>
      <c r="E1877" s="35" t="s">
        <v>612</v>
      </c>
      <c r="F1877" s="40">
        <v>210</v>
      </c>
      <c r="G1877" s="145" t="s">
        <v>1825</v>
      </c>
      <c r="H1877" s="40">
        <v>1</v>
      </c>
      <c r="I1877" s="56"/>
    </row>
    <row r="1878" spans="1:9" s="81" customFormat="1" ht="21.6" customHeight="1">
      <c r="A1878" s="27">
        <v>2115</v>
      </c>
      <c r="B1878" s="104" t="s">
        <v>48</v>
      </c>
      <c r="C1878" s="104" t="s">
        <v>613</v>
      </c>
      <c r="D1878" s="34" t="s">
        <v>1515</v>
      </c>
      <c r="E1878" s="35" t="s">
        <v>614</v>
      </c>
      <c r="F1878" s="40">
        <v>210</v>
      </c>
      <c r="G1878" s="145" t="s">
        <v>1826</v>
      </c>
      <c r="H1878" s="40">
        <v>2</v>
      </c>
      <c r="I1878" s="56"/>
    </row>
    <row r="1879" spans="1:9" s="81" customFormat="1" ht="21.6" customHeight="1">
      <c r="A1879" s="27">
        <v>2116</v>
      </c>
      <c r="B1879" s="104" t="s">
        <v>48</v>
      </c>
      <c r="C1879" s="104" t="s">
        <v>615</v>
      </c>
      <c r="D1879" s="34" t="s">
        <v>1516</v>
      </c>
      <c r="E1879" s="35" t="s">
        <v>616</v>
      </c>
      <c r="F1879" s="40">
        <v>630</v>
      </c>
      <c r="G1879" s="144" t="s">
        <v>101</v>
      </c>
      <c r="H1879" s="40">
        <v>2</v>
      </c>
      <c r="I1879" s="56" t="s">
        <v>617</v>
      </c>
    </row>
    <row r="1880" spans="1:9" s="81" customFormat="1" ht="21.6" customHeight="1">
      <c r="A1880" s="27">
        <v>2118</v>
      </c>
      <c r="B1880" s="104" t="s">
        <v>48</v>
      </c>
      <c r="C1880" s="104" t="s">
        <v>951</v>
      </c>
      <c r="D1880" s="36" t="s">
        <v>1643</v>
      </c>
      <c r="E1880" s="37" t="s">
        <v>952</v>
      </c>
      <c r="F1880" s="40">
        <v>280</v>
      </c>
      <c r="G1880" s="145" t="s">
        <v>1809</v>
      </c>
      <c r="H1880" s="40">
        <v>1</v>
      </c>
      <c r="I1880" s="110" t="s">
        <v>953</v>
      </c>
    </row>
    <row r="1881" spans="1:9" s="81" customFormat="1" ht="21.6" customHeight="1">
      <c r="A1881" s="27">
        <v>2119</v>
      </c>
      <c r="B1881" s="104" t="s">
        <v>48</v>
      </c>
      <c r="C1881" s="104" t="s">
        <v>620</v>
      </c>
      <c r="D1881" s="34" t="s">
        <v>1518</v>
      </c>
      <c r="E1881" s="35" t="s">
        <v>621</v>
      </c>
      <c r="F1881" s="40">
        <v>280</v>
      </c>
      <c r="G1881" s="145" t="s">
        <v>87</v>
      </c>
      <c r="H1881" s="40">
        <v>1</v>
      </c>
      <c r="I1881" s="56"/>
    </row>
    <row r="1882" spans="1:9" s="81" customFormat="1" ht="21.6" customHeight="1">
      <c r="A1882" s="27">
        <v>2120</v>
      </c>
      <c r="B1882" s="104" t="s">
        <v>48</v>
      </c>
      <c r="C1882" s="104" t="s">
        <v>626</v>
      </c>
      <c r="D1882" s="34" t="s">
        <v>1521</v>
      </c>
      <c r="E1882" s="35" t="s">
        <v>627</v>
      </c>
      <c r="F1882" s="40">
        <v>280</v>
      </c>
      <c r="G1882" s="145" t="s">
        <v>628</v>
      </c>
      <c r="H1882" s="40">
        <v>2</v>
      </c>
      <c r="I1882" s="56"/>
    </row>
    <row r="1883" spans="1:9" s="81" customFormat="1" ht="21.6" customHeight="1">
      <c r="A1883" s="27">
        <v>2121</v>
      </c>
      <c r="B1883" s="104" t="s">
        <v>48</v>
      </c>
      <c r="C1883" s="104" t="s">
        <v>629</v>
      </c>
      <c r="D1883" s="34" t="s">
        <v>1522</v>
      </c>
      <c r="E1883" s="35" t="s">
        <v>630</v>
      </c>
      <c r="F1883" s="40">
        <v>120</v>
      </c>
      <c r="G1883" s="144" t="s">
        <v>631</v>
      </c>
      <c r="H1883" s="40">
        <v>2</v>
      </c>
      <c r="I1883" s="56" t="s">
        <v>116</v>
      </c>
    </row>
    <row r="1884" spans="1:9" s="81" customFormat="1" ht="21.6" customHeight="1">
      <c r="A1884" s="27">
        <v>2122</v>
      </c>
      <c r="B1884" s="104" t="s">
        <v>48</v>
      </c>
      <c r="C1884" s="104" t="s">
        <v>329</v>
      </c>
      <c r="D1884" s="80" t="s">
        <v>1409</v>
      </c>
      <c r="E1884" s="35" t="s">
        <v>330</v>
      </c>
      <c r="F1884" s="40">
        <v>120</v>
      </c>
      <c r="G1884" s="144" t="s">
        <v>115</v>
      </c>
      <c r="H1884" s="40">
        <v>1</v>
      </c>
      <c r="I1884" s="56" t="s">
        <v>116</v>
      </c>
    </row>
    <row r="1885" spans="1:9" s="58" customFormat="1" ht="21.6" customHeight="1">
      <c r="A1885" s="27">
        <v>2123</v>
      </c>
      <c r="B1885" s="104" t="s">
        <v>48</v>
      </c>
      <c r="C1885" s="104" t="s">
        <v>264</v>
      </c>
      <c r="D1885" s="50" t="s">
        <v>1389</v>
      </c>
      <c r="E1885" s="51" t="s">
        <v>265</v>
      </c>
      <c r="F1885" s="29">
        <v>80</v>
      </c>
      <c r="G1885" s="144" t="s">
        <v>1829</v>
      </c>
      <c r="H1885" s="29">
        <v>1</v>
      </c>
      <c r="I1885" s="31" t="s">
        <v>318</v>
      </c>
    </row>
    <row r="1886" spans="1:9" s="58" customFormat="1" ht="21.6" customHeight="1">
      <c r="A1886" s="27">
        <v>2124</v>
      </c>
      <c r="B1886" s="104" t="s">
        <v>48</v>
      </c>
      <c r="C1886" s="104" t="s">
        <v>268</v>
      </c>
      <c r="D1886" s="50" t="s">
        <v>1390</v>
      </c>
      <c r="E1886" s="51" t="s">
        <v>269</v>
      </c>
      <c r="F1886" s="29">
        <v>80</v>
      </c>
      <c r="G1886" s="144" t="s">
        <v>633</v>
      </c>
      <c r="H1886" s="29">
        <v>1</v>
      </c>
      <c r="I1886" s="31" t="s">
        <v>318</v>
      </c>
    </row>
    <row r="1887" spans="1:9" s="58" customFormat="1" ht="21.6" customHeight="1">
      <c r="A1887" s="27">
        <v>2125</v>
      </c>
      <c r="B1887" s="104" t="s">
        <v>48</v>
      </c>
      <c r="C1887" s="104" t="s">
        <v>271</v>
      </c>
      <c r="D1887" s="50" t="s">
        <v>1391</v>
      </c>
      <c r="E1887" s="51" t="s">
        <v>272</v>
      </c>
      <c r="F1887" s="29">
        <v>80</v>
      </c>
      <c r="G1887" s="144" t="s">
        <v>1830</v>
      </c>
      <c r="H1887" s="29">
        <v>1</v>
      </c>
      <c r="I1887" s="31" t="s">
        <v>318</v>
      </c>
    </row>
    <row r="1888" spans="1:9" s="26" customFormat="1" ht="21.6" customHeight="1">
      <c r="A1888" s="27">
        <v>2126</v>
      </c>
      <c r="B1888" s="104" t="s">
        <v>48</v>
      </c>
      <c r="C1888" s="104" t="s">
        <v>225</v>
      </c>
      <c r="D1888" s="39" t="s">
        <v>1375</v>
      </c>
      <c r="E1888" s="3" t="s">
        <v>226</v>
      </c>
      <c r="F1888" s="29">
        <v>120</v>
      </c>
      <c r="G1888" s="144" t="s">
        <v>1781</v>
      </c>
      <c r="H1888" s="29">
        <v>2</v>
      </c>
      <c r="I1888" s="31" t="s">
        <v>364</v>
      </c>
    </row>
    <row r="1889" spans="1:9" s="26" customFormat="1" ht="21.6" customHeight="1">
      <c r="A1889" s="27">
        <v>2127</v>
      </c>
      <c r="B1889" s="104" t="s">
        <v>48</v>
      </c>
      <c r="C1889" s="104" t="s">
        <v>229</v>
      </c>
      <c r="D1889" s="39" t="s">
        <v>1376</v>
      </c>
      <c r="E1889" s="51" t="s">
        <v>230</v>
      </c>
      <c r="F1889" s="29">
        <v>120</v>
      </c>
      <c r="G1889" s="144" t="s">
        <v>278</v>
      </c>
      <c r="H1889" s="29">
        <v>1</v>
      </c>
      <c r="I1889" s="31" t="s">
        <v>364</v>
      </c>
    </row>
    <row r="1890" spans="1:9" s="26" customFormat="1" ht="21.6" customHeight="1">
      <c r="A1890" s="27">
        <v>2128</v>
      </c>
      <c r="B1890" s="104" t="s">
        <v>48</v>
      </c>
      <c r="C1890" s="104" t="s">
        <v>323</v>
      </c>
      <c r="D1890" s="39" t="s">
        <v>1407</v>
      </c>
      <c r="E1890" s="51" t="s">
        <v>324</v>
      </c>
      <c r="F1890" s="29">
        <v>120</v>
      </c>
      <c r="G1890" s="144" t="s">
        <v>1782</v>
      </c>
      <c r="H1890" s="29">
        <v>1</v>
      </c>
      <c r="I1890" s="31" t="s">
        <v>325</v>
      </c>
    </row>
    <row r="1891" spans="1:9" s="26" customFormat="1" ht="21.6" customHeight="1">
      <c r="A1891" s="27">
        <v>2129</v>
      </c>
      <c r="B1891" s="104" t="s">
        <v>48</v>
      </c>
      <c r="C1891" s="104" t="s">
        <v>284</v>
      </c>
      <c r="D1891" s="50" t="s">
        <v>1395</v>
      </c>
      <c r="E1891" s="51" t="s">
        <v>226</v>
      </c>
      <c r="F1891" s="29">
        <v>120</v>
      </c>
      <c r="G1891" s="144" t="s">
        <v>285</v>
      </c>
      <c r="H1891" s="29">
        <v>1</v>
      </c>
      <c r="I1891" s="31" t="s">
        <v>325</v>
      </c>
    </row>
    <row r="1892" spans="1:9" s="26" customFormat="1" ht="21.6" customHeight="1">
      <c r="A1892" s="27">
        <v>2130</v>
      </c>
      <c r="B1892" s="104" t="s">
        <v>48</v>
      </c>
      <c r="C1892" s="104" t="s">
        <v>287</v>
      </c>
      <c r="D1892" s="50" t="s">
        <v>1396</v>
      </c>
      <c r="E1892" s="51" t="s">
        <v>288</v>
      </c>
      <c r="F1892" s="29">
        <v>120</v>
      </c>
      <c r="G1892" s="144" t="s">
        <v>282</v>
      </c>
      <c r="H1892" s="29">
        <v>1</v>
      </c>
      <c r="I1892" s="31" t="s">
        <v>325</v>
      </c>
    </row>
    <row r="1893" spans="1:9" s="58" customFormat="1" ht="21.6" customHeight="1">
      <c r="A1893" s="27">
        <v>2131</v>
      </c>
      <c r="B1893" s="104" t="s">
        <v>48</v>
      </c>
      <c r="C1893" s="104" t="s">
        <v>326</v>
      </c>
      <c r="D1893" s="50" t="s">
        <v>1408</v>
      </c>
      <c r="E1893" s="51" t="s">
        <v>327</v>
      </c>
      <c r="F1893" s="29">
        <v>320</v>
      </c>
      <c r="G1893" s="144" t="s">
        <v>237</v>
      </c>
      <c r="H1893" s="29">
        <v>2</v>
      </c>
      <c r="I1893" s="31" t="s">
        <v>328</v>
      </c>
    </row>
    <row r="1894" spans="1:9" s="58" customFormat="1" ht="21.6" customHeight="1">
      <c r="A1894" s="27">
        <v>2132</v>
      </c>
      <c r="B1894" s="104" t="s">
        <v>48</v>
      </c>
      <c r="C1894" s="104" t="s">
        <v>329</v>
      </c>
      <c r="D1894" s="50" t="s">
        <v>1409</v>
      </c>
      <c r="E1894" s="51" t="s">
        <v>330</v>
      </c>
      <c r="F1894" s="29">
        <v>320</v>
      </c>
      <c r="G1894" s="144" t="s">
        <v>634</v>
      </c>
      <c r="H1894" s="29">
        <v>1</v>
      </c>
      <c r="I1894" s="31" t="s">
        <v>328</v>
      </c>
    </row>
    <row r="1895" spans="1:9" ht="21.6" customHeight="1">
      <c r="A1895" s="27">
        <v>2133</v>
      </c>
      <c r="B1895" s="132" t="s">
        <v>48</v>
      </c>
      <c r="C1895" s="132" t="s">
        <v>332</v>
      </c>
      <c r="D1895" s="34" t="s">
        <v>1410</v>
      </c>
      <c r="E1895" s="35" t="s">
        <v>333</v>
      </c>
      <c r="F1895" s="40">
        <v>500</v>
      </c>
      <c r="G1895" s="144" t="s">
        <v>1784</v>
      </c>
      <c r="H1895" s="40">
        <v>2</v>
      </c>
      <c r="I1895" s="55" t="s">
        <v>334</v>
      </c>
    </row>
    <row r="1896" spans="1:9" ht="21.6" customHeight="1">
      <c r="A1896" s="27">
        <v>2134</v>
      </c>
      <c r="B1896" s="132" t="s">
        <v>48</v>
      </c>
      <c r="C1896" s="132" t="s">
        <v>335</v>
      </c>
      <c r="D1896" s="34" t="s">
        <v>1411</v>
      </c>
      <c r="E1896" s="35" t="s">
        <v>336</v>
      </c>
      <c r="F1896" s="40">
        <v>500</v>
      </c>
      <c r="G1896" s="144" t="s">
        <v>337</v>
      </c>
      <c r="H1896" s="40">
        <v>1</v>
      </c>
      <c r="I1896" s="55" t="s">
        <v>338</v>
      </c>
    </row>
    <row r="1897" spans="1:9" ht="21.6" customHeight="1">
      <c r="A1897" s="27">
        <v>2135</v>
      </c>
      <c r="B1897" s="132" t="s">
        <v>48</v>
      </c>
      <c r="C1897" s="132" t="s">
        <v>339</v>
      </c>
      <c r="D1897" s="34" t="s">
        <v>1412</v>
      </c>
      <c r="E1897" s="35" t="s">
        <v>340</v>
      </c>
      <c r="F1897" s="40">
        <v>500</v>
      </c>
      <c r="G1897" s="145" t="s">
        <v>341</v>
      </c>
      <c r="H1897" s="40">
        <v>1</v>
      </c>
      <c r="I1897" s="55" t="s">
        <v>338</v>
      </c>
    </row>
    <row r="1898" spans="1:9" s="81" customFormat="1" ht="21.6" customHeight="1">
      <c r="A1898" s="27">
        <v>2136</v>
      </c>
      <c r="B1898" s="104" t="s">
        <v>48</v>
      </c>
      <c r="C1898" s="104" t="s">
        <v>635</v>
      </c>
      <c r="D1898" s="80" t="s">
        <v>1523</v>
      </c>
      <c r="E1898" s="35" t="s">
        <v>636</v>
      </c>
      <c r="F1898" s="40">
        <v>210</v>
      </c>
      <c r="G1898" s="144" t="s">
        <v>637</v>
      </c>
      <c r="H1898" s="40" t="s">
        <v>123</v>
      </c>
      <c r="I1898" s="56"/>
    </row>
    <row r="1899" spans="1:9" s="81" customFormat="1" ht="21.6" customHeight="1">
      <c r="A1899" s="27">
        <v>2137</v>
      </c>
      <c r="B1899" s="104" t="s">
        <v>48</v>
      </c>
      <c r="C1899" s="104" t="s">
        <v>954</v>
      </c>
      <c r="D1899" s="34" t="s">
        <v>1644</v>
      </c>
      <c r="E1899" s="35" t="s">
        <v>955</v>
      </c>
      <c r="F1899" s="40">
        <v>105</v>
      </c>
      <c r="G1899" s="144" t="s">
        <v>755</v>
      </c>
      <c r="H1899" s="40" t="s">
        <v>123</v>
      </c>
      <c r="I1899" s="56"/>
    </row>
    <row r="1900" spans="1:9" s="58" customFormat="1" ht="21.6" customHeight="1">
      <c r="A1900" s="27">
        <v>2138</v>
      </c>
      <c r="B1900" s="104" t="s">
        <v>48</v>
      </c>
      <c r="C1900" s="104" t="s">
        <v>295</v>
      </c>
      <c r="D1900" s="39" t="s">
        <v>1399</v>
      </c>
      <c r="E1900" s="3" t="s">
        <v>296</v>
      </c>
      <c r="F1900" s="29">
        <v>80</v>
      </c>
      <c r="G1900" s="144" t="s">
        <v>638</v>
      </c>
      <c r="H1900" s="40" t="s">
        <v>123</v>
      </c>
      <c r="I1900" s="31" t="s">
        <v>639</v>
      </c>
    </row>
    <row r="1901" spans="1:9" s="26" customFormat="1" ht="21.6" customHeight="1">
      <c r="A1901" s="27">
        <v>2139</v>
      </c>
      <c r="B1901" s="104" t="s">
        <v>48</v>
      </c>
      <c r="C1901" s="104" t="s">
        <v>298</v>
      </c>
      <c r="D1901" s="39" t="s">
        <v>1400</v>
      </c>
      <c r="E1901" s="3" t="s">
        <v>299</v>
      </c>
      <c r="F1901" s="29">
        <v>120</v>
      </c>
      <c r="G1901" s="144" t="s">
        <v>300</v>
      </c>
      <c r="H1901" s="40" t="s">
        <v>123</v>
      </c>
      <c r="I1901" s="31" t="s">
        <v>321</v>
      </c>
    </row>
    <row r="1902" spans="1:9" s="26" customFormat="1" ht="21.6" customHeight="1">
      <c r="A1902" s="27">
        <v>2140</v>
      </c>
      <c r="B1902" s="104" t="s">
        <v>48</v>
      </c>
      <c r="C1902" s="104" t="s">
        <v>345</v>
      </c>
      <c r="D1902" s="39" t="s">
        <v>1414</v>
      </c>
      <c r="E1902" s="3" t="s">
        <v>346</v>
      </c>
      <c r="F1902" s="29">
        <v>120</v>
      </c>
      <c r="G1902" s="144" t="s">
        <v>303</v>
      </c>
      <c r="H1902" s="40" t="s">
        <v>123</v>
      </c>
      <c r="I1902" s="31" t="s">
        <v>325</v>
      </c>
    </row>
    <row r="1903" spans="1:9" ht="21.6" customHeight="1">
      <c r="A1903" s="27">
        <v>2142</v>
      </c>
      <c r="B1903" s="132" t="s">
        <v>48</v>
      </c>
      <c r="C1903" s="132" t="s">
        <v>347</v>
      </c>
      <c r="D1903" s="34" t="s">
        <v>1415</v>
      </c>
      <c r="E1903" s="35" t="s">
        <v>348</v>
      </c>
      <c r="F1903" s="40">
        <v>500</v>
      </c>
      <c r="G1903" s="144" t="s">
        <v>349</v>
      </c>
      <c r="H1903" s="40" t="s">
        <v>123</v>
      </c>
      <c r="I1903" s="55" t="s">
        <v>334</v>
      </c>
    </row>
    <row r="1904" spans="1:9" s="58" customFormat="1" ht="21.6" customHeight="1">
      <c r="A1904" s="27">
        <v>2144</v>
      </c>
      <c r="B1904" s="104" t="s">
        <v>48</v>
      </c>
      <c r="C1904" s="104" t="s">
        <v>956</v>
      </c>
      <c r="D1904" s="102" t="s">
        <v>1645</v>
      </c>
      <c r="E1904" s="111" t="s">
        <v>957</v>
      </c>
      <c r="F1904" s="29">
        <v>280</v>
      </c>
      <c r="G1904" s="144" t="s">
        <v>642</v>
      </c>
      <c r="H1904" s="40" t="s">
        <v>123</v>
      </c>
      <c r="I1904" s="110" t="s">
        <v>910</v>
      </c>
    </row>
    <row r="1905" spans="1:9" s="58" customFormat="1" ht="21.6" customHeight="1">
      <c r="A1905" s="27">
        <v>2145</v>
      </c>
      <c r="B1905" s="104" t="s">
        <v>48</v>
      </c>
      <c r="C1905" s="104" t="s">
        <v>643</v>
      </c>
      <c r="D1905" s="39" t="s">
        <v>1525</v>
      </c>
      <c r="E1905" s="3" t="s">
        <v>644</v>
      </c>
      <c r="F1905" s="29">
        <v>210</v>
      </c>
      <c r="G1905" s="144" t="s">
        <v>645</v>
      </c>
      <c r="H1905" s="40" t="s">
        <v>123</v>
      </c>
      <c r="I1905" s="31"/>
    </row>
    <row r="1906" spans="1:9" s="81" customFormat="1" ht="21.6" customHeight="1">
      <c r="A1906" s="27">
        <v>2146</v>
      </c>
      <c r="B1906" s="104" t="s">
        <v>48</v>
      </c>
      <c r="C1906" s="104" t="s">
        <v>1007</v>
      </c>
      <c r="D1906" s="36" t="s">
        <v>1664</v>
      </c>
      <c r="E1906" s="35" t="s">
        <v>1008</v>
      </c>
      <c r="F1906" s="40" t="s">
        <v>123</v>
      </c>
      <c r="G1906" s="145" t="s">
        <v>585</v>
      </c>
      <c r="H1906" s="40" t="s">
        <v>123</v>
      </c>
      <c r="I1906" s="56" t="s">
        <v>1009</v>
      </c>
    </row>
    <row r="1907" spans="1:9" s="81" customFormat="1" ht="21.6" customHeight="1">
      <c r="A1907" s="27">
        <v>2147</v>
      </c>
      <c r="B1907" s="104" t="s">
        <v>48</v>
      </c>
      <c r="C1907" s="104" t="s">
        <v>958</v>
      </c>
      <c r="D1907" s="36" t="s">
        <v>1646</v>
      </c>
      <c r="E1907" s="35" t="s">
        <v>959</v>
      </c>
      <c r="F1907" s="40" t="s">
        <v>123</v>
      </c>
      <c r="G1907" s="145" t="s">
        <v>585</v>
      </c>
      <c r="H1907" s="40" t="s">
        <v>123</v>
      </c>
      <c r="I1907" s="56" t="s">
        <v>960</v>
      </c>
    </row>
    <row r="1908" spans="1:9" s="81" customFormat="1" ht="21.6" customHeight="1">
      <c r="A1908" s="27">
        <v>2148</v>
      </c>
      <c r="B1908" s="104" t="s">
        <v>48</v>
      </c>
      <c r="C1908" s="104" t="s">
        <v>961</v>
      </c>
      <c r="D1908" s="34" t="s">
        <v>1647</v>
      </c>
      <c r="E1908" s="35" t="s">
        <v>962</v>
      </c>
      <c r="F1908" s="40" t="s">
        <v>654</v>
      </c>
      <c r="G1908" s="145" t="s">
        <v>129</v>
      </c>
      <c r="H1908" s="40" t="s">
        <v>654</v>
      </c>
      <c r="I1908" s="56"/>
    </row>
    <row r="1909" spans="1:9" ht="21.6" customHeight="1">
      <c r="A1909" s="27">
        <v>2149</v>
      </c>
      <c r="B1909" s="104" t="s">
        <v>48</v>
      </c>
      <c r="C1909" s="104" t="s">
        <v>963</v>
      </c>
      <c r="D1909" s="34" t="s">
        <v>1648</v>
      </c>
      <c r="E1909" s="35" t="s">
        <v>964</v>
      </c>
      <c r="F1909" s="40" t="s">
        <v>654</v>
      </c>
      <c r="G1909" s="145" t="s">
        <v>772</v>
      </c>
      <c r="H1909" s="40" t="s">
        <v>654</v>
      </c>
      <c r="I1909" s="56"/>
    </row>
    <row r="1910" spans="1:9" ht="21.6" customHeight="1">
      <c r="A1910" s="27">
        <v>2150</v>
      </c>
      <c r="B1910" s="104" t="s">
        <v>48</v>
      </c>
      <c r="C1910" s="104" t="s">
        <v>965</v>
      </c>
      <c r="D1910" s="34" t="s">
        <v>1649</v>
      </c>
      <c r="E1910" s="35" t="s">
        <v>966</v>
      </c>
      <c r="F1910" s="40" t="s">
        <v>654</v>
      </c>
      <c r="G1910" s="145" t="s">
        <v>775</v>
      </c>
      <c r="H1910" s="40" t="s">
        <v>654</v>
      </c>
      <c r="I1910" s="56"/>
    </row>
    <row r="1911" spans="1:9" ht="21.6" customHeight="1">
      <c r="A1911" s="27">
        <v>2151</v>
      </c>
      <c r="B1911" s="104" t="s">
        <v>48</v>
      </c>
      <c r="C1911" s="104" t="s">
        <v>967</v>
      </c>
      <c r="D1911" s="34" t="s">
        <v>1650</v>
      </c>
      <c r="E1911" s="35" t="s">
        <v>968</v>
      </c>
      <c r="F1911" s="40" t="s">
        <v>654</v>
      </c>
      <c r="G1911" s="145" t="s">
        <v>778</v>
      </c>
      <c r="H1911" s="40" t="s">
        <v>654</v>
      </c>
      <c r="I1911" s="56"/>
    </row>
    <row r="1912" spans="1:9" s="81" customFormat="1" ht="21.6" customHeight="1">
      <c r="A1912" s="41">
        <v>2152</v>
      </c>
      <c r="B1912" s="104" t="s">
        <v>48</v>
      </c>
      <c r="C1912" s="104" t="s">
        <v>650</v>
      </c>
      <c r="D1912" s="34" t="s">
        <v>1528</v>
      </c>
      <c r="E1912" s="35" t="s">
        <v>651</v>
      </c>
      <c r="F1912" s="40" t="s">
        <v>123</v>
      </c>
      <c r="G1912" s="144" t="s">
        <v>1821</v>
      </c>
      <c r="H1912" s="40" t="s">
        <v>123</v>
      </c>
      <c r="I1912" s="56"/>
    </row>
    <row r="1913" spans="1:9" s="81" customFormat="1" ht="21.6" customHeight="1">
      <c r="A1913" s="41">
        <v>2153</v>
      </c>
      <c r="B1913" s="84" t="s">
        <v>48</v>
      </c>
      <c r="C1913" s="84" t="s">
        <v>969</v>
      </c>
      <c r="D1913" s="84" t="s">
        <v>1651</v>
      </c>
      <c r="E1913" s="83" t="s">
        <v>970</v>
      </c>
      <c r="F1913" s="85" t="s">
        <v>654</v>
      </c>
      <c r="G1913" s="150" t="s">
        <v>1805</v>
      </c>
      <c r="H1913" s="85" t="s">
        <v>123</v>
      </c>
      <c r="I1913" s="86"/>
    </row>
    <row r="1914" spans="1:9" s="81" customFormat="1" ht="21.6" customHeight="1">
      <c r="A1914" s="20">
        <v>2154</v>
      </c>
      <c r="B1914" s="73" t="s">
        <v>1314</v>
      </c>
      <c r="C1914" s="73" t="s">
        <v>840</v>
      </c>
      <c r="D1914" s="73" t="s">
        <v>1595</v>
      </c>
      <c r="E1914" s="72" t="s">
        <v>841</v>
      </c>
      <c r="F1914" s="74">
        <v>75.599999999999994</v>
      </c>
      <c r="G1914" s="143" t="s">
        <v>193</v>
      </c>
      <c r="H1914" s="74">
        <v>4</v>
      </c>
      <c r="I1914" s="75"/>
    </row>
    <row r="1915" spans="1:9" s="81" customFormat="1" ht="21.6" customHeight="1">
      <c r="A1915" s="27">
        <v>2155</v>
      </c>
      <c r="B1915" s="34" t="s">
        <v>1314</v>
      </c>
      <c r="C1915" s="34" t="s">
        <v>699</v>
      </c>
      <c r="D1915" s="34" t="s">
        <v>1543</v>
      </c>
      <c r="E1915" s="35" t="s">
        <v>700</v>
      </c>
      <c r="F1915" s="40">
        <v>75.599999999999994</v>
      </c>
      <c r="G1915" s="145" t="s">
        <v>502</v>
      </c>
      <c r="H1915" s="40">
        <v>1</v>
      </c>
      <c r="I1915" s="56"/>
    </row>
    <row r="1916" spans="1:9" s="81" customFormat="1" ht="21.6" customHeight="1">
      <c r="A1916" s="27">
        <v>2156</v>
      </c>
      <c r="B1916" s="34" t="s">
        <v>1314</v>
      </c>
      <c r="C1916" s="34" t="s">
        <v>701</v>
      </c>
      <c r="D1916" s="34" t="s">
        <v>1544</v>
      </c>
      <c r="E1916" s="35" t="s">
        <v>702</v>
      </c>
      <c r="F1916" s="40">
        <v>75.599999999999994</v>
      </c>
      <c r="G1916" s="145" t="s">
        <v>703</v>
      </c>
      <c r="H1916" s="40">
        <v>1</v>
      </c>
      <c r="I1916" s="56"/>
    </row>
    <row r="1917" spans="1:9" s="81" customFormat="1" ht="21.6" customHeight="1">
      <c r="A1917" s="27">
        <v>2157</v>
      </c>
      <c r="B1917" s="34" t="s">
        <v>1314</v>
      </c>
      <c r="C1917" s="34" t="s">
        <v>704</v>
      </c>
      <c r="D1917" s="34" t="s">
        <v>1545</v>
      </c>
      <c r="E1917" s="35" t="s">
        <v>705</v>
      </c>
      <c r="F1917" s="40">
        <v>75.599999999999994</v>
      </c>
      <c r="G1917" s="144" t="s">
        <v>706</v>
      </c>
      <c r="H1917" s="40">
        <v>1</v>
      </c>
      <c r="I1917" s="56"/>
    </row>
    <row r="1918" spans="1:9" s="81" customFormat="1" ht="21.6" customHeight="1">
      <c r="A1918" s="27">
        <v>2158</v>
      </c>
      <c r="B1918" s="34" t="s">
        <v>1314</v>
      </c>
      <c r="C1918" s="34" t="s">
        <v>707</v>
      </c>
      <c r="D1918" s="34" t="s">
        <v>1546</v>
      </c>
      <c r="E1918" s="35" t="s">
        <v>708</v>
      </c>
      <c r="F1918" s="40">
        <v>75.599999999999994</v>
      </c>
      <c r="G1918" s="145" t="s">
        <v>709</v>
      </c>
      <c r="H1918" s="40">
        <v>1</v>
      </c>
      <c r="I1918" s="56"/>
    </row>
    <row r="1919" spans="1:9" s="81" customFormat="1" ht="21.6" customHeight="1">
      <c r="A1919" s="27">
        <v>2159</v>
      </c>
      <c r="B1919" s="34" t="s">
        <v>1314</v>
      </c>
      <c r="C1919" s="34" t="s">
        <v>710</v>
      </c>
      <c r="D1919" s="34" t="s">
        <v>1547</v>
      </c>
      <c r="E1919" s="35" t="s">
        <v>711</v>
      </c>
      <c r="F1919" s="40">
        <v>75.599999999999994</v>
      </c>
      <c r="G1919" s="145" t="s">
        <v>415</v>
      </c>
      <c r="H1919" s="40">
        <v>4</v>
      </c>
      <c r="I1919" s="56"/>
    </row>
    <row r="1920" spans="1:9" s="81" customFormat="1" ht="21.6" customHeight="1">
      <c r="A1920" s="27">
        <v>2160</v>
      </c>
      <c r="B1920" s="34" t="s">
        <v>1314</v>
      </c>
      <c r="C1920" s="34" t="s">
        <v>605</v>
      </c>
      <c r="D1920" s="34" t="s">
        <v>1511</v>
      </c>
      <c r="E1920" s="35" t="s">
        <v>606</v>
      </c>
      <c r="F1920" s="40">
        <v>151.19999999999999</v>
      </c>
      <c r="G1920" s="145" t="s">
        <v>533</v>
      </c>
      <c r="H1920" s="40">
        <v>1</v>
      </c>
      <c r="I1920" s="56"/>
    </row>
    <row r="1921" spans="1:9" s="81" customFormat="1" ht="21.6" customHeight="1">
      <c r="A1921" s="27">
        <v>2161</v>
      </c>
      <c r="B1921" s="34" t="s">
        <v>1314</v>
      </c>
      <c r="C1921" s="34" t="s">
        <v>607</v>
      </c>
      <c r="D1921" s="34" t="s">
        <v>1512</v>
      </c>
      <c r="E1921" s="35" t="s">
        <v>608</v>
      </c>
      <c r="F1921" s="40">
        <v>226.8</v>
      </c>
      <c r="G1921" s="145" t="s">
        <v>1812</v>
      </c>
      <c r="H1921" s="40">
        <v>1</v>
      </c>
      <c r="I1921" s="56"/>
    </row>
    <row r="1922" spans="1:9" s="81" customFormat="1" ht="21.6" customHeight="1">
      <c r="A1922" s="27">
        <v>2163</v>
      </c>
      <c r="B1922" s="34" t="s">
        <v>1314</v>
      </c>
      <c r="C1922" s="34" t="s">
        <v>1774</v>
      </c>
      <c r="D1922" s="102" t="s">
        <v>1666</v>
      </c>
      <c r="E1922" s="37" t="s">
        <v>1021</v>
      </c>
      <c r="F1922" s="40">
        <v>302.39999999999998</v>
      </c>
      <c r="G1922" s="144" t="s">
        <v>1809</v>
      </c>
      <c r="H1922" s="40">
        <v>1</v>
      </c>
      <c r="I1922" s="89" t="s">
        <v>819</v>
      </c>
    </row>
    <row r="1923" spans="1:9" s="81" customFormat="1" ht="21.6" customHeight="1">
      <c r="A1923" s="27">
        <v>2164</v>
      </c>
      <c r="B1923" s="34" t="s">
        <v>1314</v>
      </c>
      <c r="C1923" s="34" t="s">
        <v>843</v>
      </c>
      <c r="D1923" s="34" t="s">
        <v>1597</v>
      </c>
      <c r="E1923" s="35" t="s">
        <v>844</v>
      </c>
      <c r="F1923" s="40">
        <v>302.39999999999998</v>
      </c>
      <c r="G1923" s="144" t="s">
        <v>87</v>
      </c>
      <c r="H1923" s="40">
        <v>1</v>
      </c>
      <c r="I1923" s="56"/>
    </row>
    <row r="1924" spans="1:9" s="81" customFormat="1" ht="21.6" customHeight="1">
      <c r="A1924" s="27">
        <v>2165</v>
      </c>
      <c r="B1924" s="34" t="s">
        <v>1314</v>
      </c>
      <c r="C1924" s="34" t="s">
        <v>845</v>
      </c>
      <c r="D1924" s="34" t="s">
        <v>1598</v>
      </c>
      <c r="E1924" s="35" t="s">
        <v>846</v>
      </c>
      <c r="F1924" s="40">
        <v>75.599999999999994</v>
      </c>
      <c r="G1924" s="144" t="s">
        <v>107</v>
      </c>
      <c r="H1924" s="40">
        <v>4</v>
      </c>
      <c r="I1924" s="56"/>
    </row>
    <row r="1925" spans="1:9" s="81" customFormat="1" ht="21.6" customHeight="1">
      <c r="A1925" s="27">
        <v>2166</v>
      </c>
      <c r="B1925" s="34" t="s">
        <v>1314</v>
      </c>
      <c r="C1925" s="34" t="s">
        <v>598</v>
      </c>
      <c r="D1925" s="34" t="s">
        <v>1508</v>
      </c>
      <c r="E1925" s="35" t="s">
        <v>599</v>
      </c>
      <c r="F1925" s="40">
        <v>75.599999999999994</v>
      </c>
      <c r="G1925" s="145" t="s">
        <v>104</v>
      </c>
      <c r="H1925" s="40">
        <v>4</v>
      </c>
      <c r="I1925" s="56"/>
    </row>
    <row r="1926" spans="1:9" s="81" customFormat="1" ht="21.6" customHeight="1">
      <c r="A1926" s="27">
        <v>2167</v>
      </c>
      <c r="B1926" s="34" t="s">
        <v>1314</v>
      </c>
      <c r="C1926" s="34" t="s">
        <v>729</v>
      </c>
      <c r="D1926" s="34" t="s">
        <v>1555</v>
      </c>
      <c r="E1926" s="35" t="s">
        <v>730</v>
      </c>
      <c r="F1926" s="40">
        <v>75.599999999999994</v>
      </c>
      <c r="G1926" s="144" t="s">
        <v>1822</v>
      </c>
      <c r="H1926" s="40">
        <v>8</v>
      </c>
      <c r="I1926" s="56"/>
    </row>
    <row r="1927" spans="1:9" s="81" customFormat="1" ht="21.6" customHeight="1">
      <c r="A1927" s="27">
        <v>2168</v>
      </c>
      <c r="B1927" s="34" t="s">
        <v>1314</v>
      </c>
      <c r="C1927" s="34" t="s">
        <v>731</v>
      </c>
      <c r="D1927" s="34" t="s">
        <v>1556</v>
      </c>
      <c r="E1927" s="35" t="s">
        <v>732</v>
      </c>
      <c r="F1927" s="40">
        <v>75.599999999999994</v>
      </c>
      <c r="G1927" s="144" t="s">
        <v>733</v>
      </c>
      <c r="H1927" s="40">
        <v>4</v>
      </c>
      <c r="I1927" s="56"/>
    </row>
    <row r="1928" spans="1:9" s="81" customFormat="1" ht="21.6" customHeight="1">
      <c r="A1928" s="27">
        <v>2169</v>
      </c>
      <c r="B1928" s="34" t="s">
        <v>1314</v>
      </c>
      <c r="C1928" s="34" t="s">
        <v>734</v>
      </c>
      <c r="D1928" s="34" t="s">
        <v>1557</v>
      </c>
      <c r="E1928" s="35" t="s">
        <v>735</v>
      </c>
      <c r="F1928" s="40">
        <v>75.599999999999994</v>
      </c>
      <c r="G1928" s="144" t="s">
        <v>736</v>
      </c>
      <c r="H1928" s="40">
        <v>4</v>
      </c>
      <c r="I1928" s="56"/>
    </row>
    <row r="1929" spans="1:9" s="81" customFormat="1" ht="21.6" customHeight="1">
      <c r="A1929" s="27">
        <v>2170</v>
      </c>
      <c r="B1929" s="34" t="s">
        <v>1314</v>
      </c>
      <c r="C1929" s="34" t="s">
        <v>847</v>
      </c>
      <c r="D1929" s="34" t="s">
        <v>1599</v>
      </c>
      <c r="E1929" s="35" t="s">
        <v>848</v>
      </c>
      <c r="F1929" s="40">
        <v>302.39999999999998</v>
      </c>
      <c r="G1929" s="144">
        <f>+$H$1434</f>
        <v>4</v>
      </c>
      <c r="H1929" s="40">
        <v>4</v>
      </c>
      <c r="I1929" s="56"/>
    </row>
    <row r="1930" spans="1:9" s="81" customFormat="1" ht="21.6" customHeight="1">
      <c r="A1930" s="27">
        <v>2171</v>
      </c>
      <c r="B1930" s="34" t="s">
        <v>1314</v>
      </c>
      <c r="C1930" s="34" t="s">
        <v>850</v>
      </c>
      <c r="D1930" s="34" t="s">
        <v>1600</v>
      </c>
      <c r="E1930" s="35" t="s">
        <v>851</v>
      </c>
      <c r="F1930" s="40">
        <v>302.39999999999998</v>
      </c>
      <c r="G1930" s="144">
        <f>+$H$1435</f>
        <v>4</v>
      </c>
      <c r="H1930" s="40">
        <v>4</v>
      </c>
      <c r="I1930" s="56"/>
    </row>
    <row r="1931" spans="1:9" s="81" customFormat="1" ht="21.6" customHeight="1">
      <c r="A1931" s="27">
        <v>2172</v>
      </c>
      <c r="B1931" s="34" t="s">
        <v>1314</v>
      </c>
      <c r="C1931" s="34" t="s">
        <v>609</v>
      </c>
      <c r="D1931" s="34" t="s">
        <v>1513</v>
      </c>
      <c r="E1931" s="35" t="s">
        <v>610</v>
      </c>
      <c r="F1931" s="40">
        <v>226.8</v>
      </c>
      <c r="G1931" s="144" t="s">
        <v>1824</v>
      </c>
      <c r="H1931" s="40">
        <v>1</v>
      </c>
      <c r="I1931" s="56"/>
    </row>
    <row r="1932" spans="1:9" s="81" customFormat="1" ht="21.6" customHeight="1">
      <c r="A1932" s="27">
        <v>2173</v>
      </c>
      <c r="B1932" s="34" t="s">
        <v>1314</v>
      </c>
      <c r="C1932" s="34" t="s">
        <v>611</v>
      </c>
      <c r="D1932" s="34" t="s">
        <v>1514</v>
      </c>
      <c r="E1932" s="35" t="s">
        <v>612</v>
      </c>
      <c r="F1932" s="40">
        <v>226.8</v>
      </c>
      <c r="G1932" s="144" t="s">
        <v>1825</v>
      </c>
      <c r="H1932" s="40">
        <v>1</v>
      </c>
      <c r="I1932" s="56"/>
    </row>
    <row r="1933" spans="1:9" s="81" customFormat="1" ht="21.6" customHeight="1">
      <c r="A1933" s="27">
        <v>2174</v>
      </c>
      <c r="B1933" s="34" t="s">
        <v>1314</v>
      </c>
      <c r="C1933" s="34" t="s">
        <v>613</v>
      </c>
      <c r="D1933" s="34" t="s">
        <v>1515</v>
      </c>
      <c r="E1933" s="35" t="s">
        <v>614</v>
      </c>
      <c r="F1933" s="40">
        <v>226.8</v>
      </c>
      <c r="G1933" s="144">
        <f>+$H$1137</f>
        <v>2</v>
      </c>
      <c r="H1933" s="40">
        <v>2</v>
      </c>
      <c r="I1933" s="56"/>
    </row>
    <row r="1934" spans="1:9" s="81" customFormat="1" ht="21.6" customHeight="1">
      <c r="A1934" s="27">
        <v>2175</v>
      </c>
      <c r="B1934" s="34" t="s">
        <v>1314</v>
      </c>
      <c r="C1934" s="34" t="s">
        <v>719</v>
      </c>
      <c r="D1934" s="34" t="s">
        <v>1551</v>
      </c>
      <c r="E1934" s="35" t="s">
        <v>720</v>
      </c>
      <c r="F1934" s="40">
        <v>302.39999999999998</v>
      </c>
      <c r="G1934" s="144" t="s">
        <v>101</v>
      </c>
      <c r="H1934" s="40">
        <v>2</v>
      </c>
      <c r="I1934" s="56"/>
    </row>
    <row r="1935" spans="1:9" s="81" customFormat="1" ht="21.6" customHeight="1">
      <c r="A1935" s="27">
        <v>2176</v>
      </c>
      <c r="B1935" s="34" t="s">
        <v>1314</v>
      </c>
      <c r="C1935" s="34" t="s">
        <v>622</v>
      </c>
      <c r="D1935" s="34" t="s">
        <v>1519</v>
      </c>
      <c r="E1935" s="35" t="s">
        <v>623</v>
      </c>
      <c r="F1935" s="40">
        <v>302.39999999999998</v>
      </c>
      <c r="G1935" s="144">
        <f>+$H$1440</f>
        <v>1</v>
      </c>
      <c r="H1935" s="40">
        <v>1</v>
      </c>
      <c r="I1935" s="56"/>
    </row>
    <row r="1936" spans="1:9" s="81" customFormat="1" ht="21.6" customHeight="1">
      <c r="A1936" s="27">
        <v>2177</v>
      </c>
      <c r="B1936" s="34" t="s">
        <v>1314</v>
      </c>
      <c r="C1936" s="34" t="s">
        <v>852</v>
      </c>
      <c r="D1936" s="34" t="s">
        <v>1601</v>
      </c>
      <c r="E1936" s="35" t="s">
        <v>853</v>
      </c>
      <c r="F1936" s="40">
        <v>302.39999999999998</v>
      </c>
      <c r="G1936" s="144">
        <f>+$H$1441</f>
        <v>1</v>
      </c>
      <c r="H1936" s="40">
        <v>1</v>
      </c>
      <c r="I1936" s="56"/>
    </row>
    <row r="1937" spans="1:9" s="81" customFormat="1" ht="21.6" customHeight="1">
      <c r="A1937" s="27">
        <v>2178</v>
      </c>
      <c r="B1937" s="34" t="s">
        <v>1314</v>
      </c>
      <c r="C1937" s="34" t="s">
        <v>626</v>
      </c>
      <c r="D1937" s="34" t="s">
        <v>1521</v>
      </c>
      <c r="E1937" s="35" t="s">
        <v>627</v>
      </c>
      <c r="F1937" s="40">
        <v>302.39999999999998</v>
      </c>
      <c r="G1937" s="144" t="s">
        <v>90</v>
      </c>
      <c r="H1937" s="40">
        <v>2</v>
      </c>
      <c r="I1937" s="56"/>
    </row>
    <row r="1938" spans="1:9" s="58" customFormat="1" ht="21.6" customHeight="1">
      <c r="A1938" s="27">
        <v>2179</v>
      </c>
      <c r="B1938" s="34" t="s">
        <v>1314</v>
      </c>
      <c r="C1938" s="34" t="s">
        <v>264</v>
      </c>
      <c r="D1938" s="50" t="s">
        <v>1389</v>
      </c>
      <c r="E1938" s="51" t="s">
        <v>265</v>
      </c>
      <c r="F1938" s="29">
        <v>80</v>
      </c>
      <c r="G1938" s="144" t="s">
        <v>1836</v>
      </c>
      <c r="H1938" s="29">
        <v>1</v>
      </c>
      <c r="I1938" s="31" t="s">
        <v>854</v>
      </c>
    </row>
    <row r="1939" spans="1:9" s="58" customFormat="1" ht="21.6" customHeight="1">
      <c r="A1939" s="27">
        <v>2180</v>
      </c>
      <c r="B1939" s="34" t="s">
        <v>1314</v>
      </c>
      <c r="C1939" s="34" t="s">
        <v>264</v>
      </c>
      <c r="D1939" s="50" t="s">
        <v>1389</v>
      </c>
      <c r="E1939" s="51" t="s">
        <v>265</v>
      </c>
      <c r="F1939" s="29">
        <v>80</v>
      </c>
      <c r="G1939" s="144" t="s">
        <v>745</v>
      </c>
      <c r="H1939" s="29">
        <v>1</v>
      </c>
      <c r="I1939" s="31" t="s">
        <v>854</v>
      </c>
    </row>
    <row r="1940" spans="1:9" s="58" customFormat="1" ht="21.6" customHeight="1">
      <c r="A1940" s="27">
        <v>2181</v>
      </c>
      <c r="B1940" s="34" t="s">
        <v>1314</v>
      </c>
      <c r="C1940" s="34" t="s">
        <v>746</v>
      </c>
      <c r="D1940" s="50" t="s">
        <v>1561</v>
      </c>
      <c r="E1940" s="51" t="s">
        <v>747</v>
      </c>
      <c r="F1940" s="29">
        <v>80</v>
      </c>
      <c r="G1940" s="144" t="s">
        <v>1837</v>
      </c>
      <c r="H1940" s="29">
        <v>1</v>
      </c>
      <c r="I1940" s="31" t="s">
        <v>854</v>
      </c>
    </row>
    <row r="1941" spans="1:9" s="81" customFormat="1" ht="21.6" customHeight="1">
      <c r="A1941" s="27">
        <v>2182</v>
      </c>
      <c r="B1941" s="34" t="s">
        <v>1314</v>
      </c>
      <c r="C1941" s="34" t="s">
        <v>273</v>
      </c>
      <c r="D1941" s="34" t="s">
        <v>1392</v>
      </c>
      <c r="E1941" s="35" t="s">
        <v>274</v>
      </c>
      <c r="F1941" s="40">
        <v>80</v>
      </c>
      <c r="G1941" s="144" t="s">
        <v>631</v>
      </c>
      <c r="H1941" s="40">
        <v>1</v>
      </c>
      <c r="I1941" s="56" t="s">
        <v>116</v>
      </c>
    </row>
    <row r="1942" spans="1:9" s="81" customFormat="1" ht="21.6" customHeight="1">
      <c r="A1942" s="27">
        <v>2183</v>
      </c>
      <c r="B1942" s="34" t="s">
        <v>1314</v>
      </c>
      <c r="C1942" s="34" t="s">
        <v>855</v>
      </c>
      <c r="D1942" s="80" t="s">
        <v>1602</v>
      </c>
      <c r="E1942" s="33" t="s">
        <v>856</v>
      </c>
      <c r="F1942" s="40">
        <v>80</v>
      </c>
      <c r="G1942" s="144" t="s">
        <v>119</v>
      </c>
      <c r="H1942" s="40">
        <v>1</v>
      </c>
      <c r="I1942" s="56" t="s">
        <v>116</v>
      </c>
    </row>
    <row r="1943" spans="1:9" s="58" customFormat="1" ht="21.6" customHeight="1">
      <c r="A1943" s="27">
        <v>2184</v>
      </c>
      <c r="B1943" s="34" t="s">
        <v>1314</v>
      </c>
      <c r="C1943" s="34" t="s">
        <v>225</v>
      </c>
      <c r="D1943" s="39" t="s">
        <v>1375</v>
      </c>
      <c r="E1943" s="3" t="s">
        <v>226</v>
      </c>
      <c r="F1943" s="29">
        <v>120</v>
      </c>
      <c r="G1943" s="145" t="s">
        <v>1838</v>
      </c>
      <c r="H1943" s="29">
        <v>2</v>
      </c>
      <c r="I1943" s="31" t="s">
        <v>857</v>
      </c>
    </row>
    <row r="1944" spans="1:9" s="58" customFormat="1" ht="21.6" customHeight="1">
      <c r="A1944" s="27">
        <v>2185</v>
      </c>
      <c r="B1944" s="34" t="s">
        <v>1314</v>
      </c>
      <c r="C1944" s="34" t="s">
        <v>229</v>
      </c>
      <c r="D1944" s="39" t="s">
        <v>1376</v>
      </c>
      <c r="E1944" s="51" t="s">
        <v>230</v>
      </c>
      <c r="F1944" s="29">
        <v>120</v>
      </c>
      <c r="G1944" s="145" t="s">
        <v>1839</v>
      </c>
      <c r="H1944" s="29">
        <v>1</v>
      </c>
      <c r="I1944" s="31" t="s">
        <v>857</v>
      </c>
    </row>
    <row r="1945" spans="1:9" s="58" customFormat="1" ht="21.6" customHeight="1">
      <c r="A1945" s="27">
        <v>2186</v>
      </c>
      <c r="B1945" s="34" t="s">
        <v>1314</v>
      </c>
      <c r="C1945" s="34" t="s">
        <v>231</v>
      </c>
      <c r="D1945" s="39" t="s">
        <v>1377</v>
      </c>
      <c r="E1945" s="51" t="s">
        <v>232</v>
      </c>
      <c r="F1945" s="29">
        <v>160</v>
      </c>
      <c r="G1945" s="144" t="s">
        <v>1840</v>
      </c>
      <c r="H1945" s="29">
        <v>1</v>
      </c>
      <c r="I1945" s="31" t="s">
        <v>750</v>
      </c>
    </row>
    <row r="1946" spans="1:9" s="58" customFormat="1" ht="21.6" customHeight="1">
      <c r="A1946" s="27">
        <v>2187</v>
      </c>
      <c r="B1946" s="34" t="s">
        <v>1314</v>
      </c>
      <c r="C1946" s="34" t="s">
        <v>235</v>
      </c>
      <c r="D1946" s="50" t="s">
        <v>1378</v>
      </c>
      <c r="E1946" s="51" t="s">
        <v>236</v>
      </c>
      <c r="F1946" s="29">
        <v>160</v>
      </c>
      <c r="G1946" s="144" t="s">
        <v>237</v>
      </c>
      <c r="H1946" s="29">
        <v>1</v>
      </c>
      <c r="I1946" s="31" t="s">
        <v>750</v>
      </c>
    </row>
    <row r="1947" spans="1:9" s="58" customFormat="1" ht="21.6" customHeight="1">
      <c r="A1947" s="27">
        <v>2188</v>
      </c>
      <c r="B1947" s="34" t="s">
        <v>1314</v>
      </c>
      <c r="C1947" s="34" t="s">
        <v>238</v>
      </c>
      <c r="D1947" s="50" t="s">
        <v>1379</v>
      </c>
      <c r="E1947" s="51" t="s">
        <v>239</v>
      </c>
      <c r="F1947" s="29">
        <v>160</v>
      </c>
      <c r="G1947" s="144" t="s">
        <v>749</v>
      </c>
      <c r="H1947" s="29">
        <v>1</v>
      </c>
      <c r="I1947" s="31" t="s">
        <v>750</v>
      </c>
    </row>
    <row r="1948" spans="1:9" s="81" customFormat="1" ht="21.6" customHeight="1">
      <c r="A1948" s="27">
        <v>2189</v>
      </c>
      <c r="B1948" s="34" t="s">
        <v>1314</v>
      </c>
      <c r="C1948" s="34" t="s">
        <v>858</v>
      </c>
      <c r="D1948" s="80" t="s">
        <v>1603</v>
      </c>
      <c r="E1948" s="35" t="s">
        <v>859</v>
      </c>
      <c r="F1948" s="40">
        <v>75.599999999999994</v>
      </c>
      <c r="G1948" s="144" t="s">
        <v>637</v>
      </c>
      <c r="H1948" s="40" t="s">
        <v>123</v>
      </c>
      <c r="I1948" s="56"/>
    </row>
    <row r="1949" spans="1:9" s="81" customFormat="1" ht="21.6" customHeight="1">
      <c r="A1949" s="27">
        <v>2190</v>
      </c>
      <c r="B1949" s="34" t="s">
        <v>1314</v>
      </c>
      <c r="C1949" s="34" t="s">
        <v>860</v>
      </c>
      <c r="D1949" s="34" t="s">
        <v>1604</v>
      </c>
      <c r="E1949" s="35" t="s">
        <v>861</v>
      </c>
      <c r="F1949" s="40">
        <v>75.599999999999994</v>
      </c>
      <c r="G1949" s="144" t="s">
        <v>755</v>
      </c>
      <c r="H1949" s="40" t="s">
        <v>123</v>
      </c>
      <c r="I1949" s="56"/>
    </row>
    <row r="1950" spans="1:9" s="81" customFormat="1" ht="21.6" customHeight="1">
      <c r="A1950" s="27">
        <v>2192</v>
      </c>
      <c r="B1950" s="34" t="s">
        <v>1314</v>
      </c>
      <c r="C1950" s="34" t="s">
        <v>1022</v>
      </c>
      <c r="D1950" s="102" t="s">
        <v>1667</v>
      </c>
      <c r="E1950" s="37" t="s">
        <v>1023</v>
      </c>
      <c r="F1950" s="40">
        <v>302.39999999999998</v>
      </c>
      <c r="G1950" s="145" t="s">
        <v>244</v>
      </c>
      <c r="H1950" s="40" t="s">
        <v>123</v>
      </c>
      <c r="I1950" s="89" t="s">
        <v>819</v>
      </c>
    </row>
    <row r="1951" spans="1:9" s="81" customFormat="1" ht="21.6" customHeight="1">
      <c r="A1951" s="27">
        <v>2193</v>
      </c>
      <c r="B1951" s="34" t="s">
        <v>1314</v>
      </c>
      <c r="C1951" s="34" t="s">
        <v>643</v>
      </c>
      <c r="D1951" s="34" t="s">
        <v>1525</v>
      </c>
      <c r="E1951" s="35" t="s">
        <v>644</v>
      </c>
      <c r="F1951" s="40">
        <v>226.8</v>
      </c>
      <c r="G1951" s="144" t="str">
        <f>+$H$1456</f>
        <v>-</v>
      </c>
      <c r="H1951" s="40" t="s">
        <v>123</v>
      </c>
      <c r="I1951" s="56"/>
    </row>
    <row r="1952" spans="1:9" s="58" customFormat="1" ht="21.6" customHeight="1">
      <c r="A1952" s="27">
        <v>2194</v>
      </c>
      <c r="B1952" s="34" t="s">
        <v>1314</v>
      </c>
      <c r="C1952" s="34" t="s">
        <v>756</v>
      </c>
      <c r="D1952" s="39" t="s">
        <v>1564</v>
      </c>
      <c r="E1952" s="3" t="s">
        <v>757</v>
      </c>
      <c r="F1952" s="29">
        <v>80</v>
      </c>
      <c r="G1952" s="144" t="s">
        <v>758</v>
      </c>
      <c r="H1952" s="40" t="s">
        <v>123</v>
      </c>
      <c r="I1952" s="31" t="s">
        <v>865</v>
      </c>
    </row>
    <row r="1953" spans="1:9" s="58" customFormat="1" ht="21.6" customHeight="1">
      <c r="A1953" s="27">
        <v>2195</v>
      </c>
      <c r="B1953" s="34" t="s">
        <v>1314</v>
      </c>
      <c r="C1953" s="34" t="s">
        <v>248</v>
      </c>
      <c r="D1953" s="39" t="s">
        <v>1383</v>
      </c>
      <c r="E1953" s="3" t="s">
        <v>249</v>
      </c>
      <c r="F1953" s="29">
        <v>120</v>
      </c>
      <c r="G1953" s="144" t="s">
        <v>759</v>
      </c>
      <c r="H1953" s="40" t="s">
        <v>123</v>
      </c>
      <c r="I1953" s="31" t="s">
        <v>857</v>
      </c>
    </row>
    <row r="1954" spans="1:9" s="58" customFormat="1" ht="21.6" customHeight="1">
      <c r="A1954" s="27">
        <v>2196</v>
      </c>
      <c r="B1954" s="34" t="s">
        <v>1314</v>
      </c>
      <c r="C1954" s="34" t="s">
        <v>251</v>
      </c>
      <c r="D1954" s="39" t="s">
        <v>1384</v>
      </c>
      <c r="E1954" s="3" t="s">
        <v>252</v>
      </c>
      <c r="F1954" s="29">
        <v>160</v>
      </c>
      <c r="G1954" s="144" t="s">
        <v>760</v>
      </c>
      <c r="H1954" s="40" t="s">
        <v>123</v>
      </c>
      <c r="I1954" s="31" t="s">
        <v>750</v>
      </c>
    </row>
    <row r="1955" spans="1:9" s="81" customFormat="1" ht="21.6" customHeight="1">
      <c r="A1955" s="27">
        <v>2197</v>
      </c>
      <c r="B1955" s="34" t="s">
        <v>1314</v>
      </c>
      <c r="C1955" s="34" t="s">
        <v>1024</v>
      </c>
      <c r="D1955" s="34" t="s">
        <v>1668</v>
      </c>
      <c r="E1955" s="3" t="s">
        <v>1025</v>
      </c>
      <c r="F1955" s="40" t="s">
        <v>123</v>
      </c>
      <c r="G1955" s="145" t="s">
        <v>585</v>
      </c>
      <c r="H1955" s="40" t="s">
        <v>123</v>
      </c>
      <c r="I1955" s="56"/>
    </row>
    <row r="1956" spans="1:9" s="81" customFormat="1" ht="21.6" customHeight="1">
      <c r="A1956" s="27">
        <v>2198</v>
      </c>
      <c r="B1956" s="34" t="s">
        <v>1314</v>
      </c>
      <c r="C1956" s="34" t="s">
        <v>1026</v>
      </c>
      <c r="D1956" s="52" t="s">
        <v>1669</v>
      </c>
      <c r="E1956" s="3" t="s">
        <v>1027</v>
      </c>
      <c r="F1956" s="40" t="s">
        <v>123</v>
      </c>
      <c r="G1956" s="145" t="s">
        <v>129</v>
      </c>
      <c r="H1956" s="40" t="s">
        <v>123</v>
      </c>
      <c r="I1956" s="56"/>
    </row>
    <row r="1957" spans="1:9" ht="21.6" customHeight="1">
      <c r="A1957" s="27">
        <v>2199</v>
      </c>
      <c r="B1957" s="34" t="s">
        <v>1314</v>
      </c>
      <c r="C1957" s="34" t="s">
        <v>1028</v>
      </c>
      <c r="D1957" s="52" t="s">
        <v>1670</v>
      </c>
      <c r="E1957" s="3" t="s">
        <v>1029</v>
      </c>
      <c r="F1957" s="40" t="s">
        <v>123</v>
      </c>
      <c r="G1957" s="145" t="s">
        <v>772</v>
      </c>
      <c r="H1957" s="40" t="s">
        <v>123</v>
      </c>
      <c r="I1957" s="56"/>
    </row>
    <row r="1958" spans="1:9" ht="21.6" customHeight="1">
      <c r="A1958" s="27">
        <v>2200</v>
      </c>
      <c r="B1958" s="34" t="s">
        <v>1314</v>
      </c>
      <c r="C1958" s="34" t="s">
        <v>1030</v>
      </c>
      <c r="D1958" s="52" t="s">
        <v>1671</v>
      </c>
      <c r="E1958" s="3" t="s">
        <v>1031</v>
      </c>
      <c r="F1958" s="40" t="s">
        <v>123</v>
      </c>
      <c r="G1958" s="145" t="s">
        <v>775</v>
      </c>
      <c r="H1958" s="40" t="s">
        <v>123</v>
      </c>
      <c r="I1958" s="56"/>
    </row>
    <row r="1959" spans="1:9" ht="21.6" customHeight="1">
      <c r="A1959" s="27">
        <v>2201</v>
      </c>
      <c r="B1959" s="34" t="s">
        <v>1314</v>
      </c>
      <c r="C1959" s="34" t="s">
        <v>1032</v>
      </c>
      <c r="D1959" s="52" t="s">
        <v>1672</v>
      </c>
      <c r="E1959" s="3" t="s">
        <v>1033</v>
      </c>
      <c r="F1959" s="40" t="s">
        <v>123</v>
      </c>
      <c r="G1959" s="145" t="s">
        <v>778</v>
      </c>
      <c r="H1959" s="40" t="s">
        <v>123</v>
      </c>
      <c r="I1959" s="56"/>
    </row>
    <row r="1960" spans="1:9" ht="21.6" customHeight="1">
      <c r="A1960" s="27">
        <v>2202</v>
      </c>
      <c r="B1960" s="34" t="s">
        <v>1314</v>
      </c>
      <c r="C1960" s="34" t="s">
        <v>876</v>
      </c>
      <c r="D1960" s="34" t="s">
        <v>1611</v>
      </c>
      <c r="E1960" s="35" t="s">
        <v>877</v>
      </c>
      <c r="F1960" s="40" t="s">
        <v>123</v>
      </c>
      <c r="G1960" s="145" t="s">
        <v>781</v>
      </c>
      <c r="H1960" s="40" t="s">
        <v>123</v>
      </c>
      <c r="I1960" s="56"/>
    </row>
    <row r="1961" spans="1:9" ht="21.6" customHeight="1">
      <c r="A1961" s="27">
        <v>2203</v>
      </c>
      <c r="B1961" s="34" t="s">
        <v>1314</v>
      </c>
      <c r="C1961" s="34" t="s">
        <v>878</v>
      </c>
      <c r="D1961" s="34" t="s">
        <v>1612</v>
      </c>
      <c r="E1961" s="35" t="s">
        <v>879</v>
      </c>
      <c r="F1961" s="40" t="s">
        <v>123</v>
      </c>
      <c r="G1961" s="145" t="s">
        <v>784</v>
      </c>
      <c r="H1961" s="40" t="s">
        <v>123</v>
      </c>
      <c r="I1961" s="56"/>
    </row>
    <row r="1962" spans="1:9" ht="21.6" customHeight="1">
      <c r="A1962" s="27">
        <v>2204</v>
      </c>
      <c r="B1962" s="34" t="s">
        <v>1314</v>
      </c>
      <c r="C1962" s="34" t="s">
        <v>880</v>
      </c>
      <c r="D1962" s="34" t="s">
        <v>1613</v>
      </c>
      <c r="E1962" s="35" t="s">
        <v>881</v>
      </c>
      <c r="F1962" s="40" t="s">
        <v>123</v>
      </c>
      <c r="G1962" s="145" t="s">
        <v>787</v>
      </c>
      <c r="H1962" s="40" t="s">
        <v>123</v>
      </c>
      <c r="I1962" s="56"/>
    </row>
    <row r="1963" spans="1:9" ht="21.6" customHeight="1">
      <c r="A1963" s="27">
        <v>2205</v>
      </c>
      <c r="B1963" s="34" t="s">
        <v>1314</v>
      </c>
      <c r="C1963" s="34" t="s">
        <v>882</v>
      </c>
      <c r="D1963" s="34" t="s">
        <v>1614</v>
      </c>
      <c r="E1963" s="35" t="s">
        <v>883</v>
      </c>
      <c r="F1963" s="40" t="s">
        <v>123</v>
      </c>
      <c r="G1963" s="145" t="s">
        <v>790</v>
      </c>
      <c r="H1963" s="40" t="s">
        <v>123</v>
      </c>
      <c r="I1963" s="56"/>
    </row>
    <row r="1964" spans="1:9" ht="21.6" customHeight="1">
      <c r="A1964" s="27">
        <v>2206</v>
      </c>
      <c r="B1964" s="34" t="s">
        <v>1314</v>
      </c>
      <c r="C1964" s="34" t="s">
        <v>791</v>
      </c>
      <c r="D1964" s="34" t="s">
        <v>1576</v>
      </c>
      <c r="E1964" s="35" t="s">
        <v>792</v>
      </c>
      <c r="F1964" s="40" t="s">
        <v>654</v>
      </c>
      <c r="G1964" s="145" t="s">
        <v>1821</v>
      </c>
      <c r="H1964" s="40" t="s">
        <v>123</v>
      </c>
      <c r="I1964" s="56"/>
    </row>
    <row r="1965" spans="1:9" s="81" customFormat="1" ht="21.6" customHeight="1">
      <c r="A1965" s="41">
        <v>2207</v>
      </c>
      <c r="B1965" s="97" t="s">
        <v>1314</v>
      </c>
      <c r="C1965" s="97" t="s">
        <v>884</v>
      </c>
      <c r="D1965" s="97" t="s">
        <v>1615</v>
      </c>
      <c r="E1965" s="70" t="s">
        <v>885</v>
      </c>
      <c r="F1965" s="44" t="s">
        <v>654</v>
      </c>
      <c r="G1965" s="144" t="s">
        <v>1805</v>
      </c>
      <c r="H1965" s="44" t="s">
        <v>123</v>
      </c>
      <c r="I1965" s="98"/>
    </row>
    <row r="1966" spans="1:9" s="81" customFormat="1" ht="21.6" customHeight="1">
      <c r="A1966" s="20">
        <v>2208</v>
      </c>
      <c r="B1966" s="73" t="s">
        <v>50</v>
      </c>
      <c r="C1966" s="73" t="s">
        <v>587</v>
      </c>
      <c r="D1966" s="73" t="s">
        <v>1504</v>
      </c>
      <c r="E1966" s="72" t="s">
        <v>588</v>
      </c>
      <c r="F1966" s="74">
        <v>210</v>
      </c>
      <c r="G1966" s="143" t="s">
        <v>589</v>
      </c>
      <c r="H1966" s="74">
        <v>1</v>
      </c>
      <c r="I1966" s="75" t="s">
        <v>590</v>
      </c>
    </row>
    <row r="1967" spans="1:9" s="81" customFormat="1" ht="21.6" customHeight="1">
      <c r="A1967" s="106">
        <v>2209</v>
      </c>
      <c r="B1967" s="104" t="s">
        <v>50</v>
      </c>
      <c r="C1967" s="104" t="s">
        <v>840</v>
      </c>
      <c r="D1967" s="104" t="s">
        <v>1595</v>
      </c>
      <c r="E1967" s="82" t="s">
        <v>841</v>
      </c>
      <c r="F1967" s="107">
        <v>105</v>
      </c>
      <c r="G1967" s="150" t="s">
        <v>887</v>
      </c>
      <c r="H1967" s="108">
        <v>3</v>
      </c>
      <c r="I1967" s="109" t="s">
        <v>1010</v>
      </c>
    </row>
    <row r="1968" spans="1:9" s="81" customFormat="1" ht="21.6" customHeight="1">
      <c r="A1968" s="27">
        <v>2210</v>
      </c>
      <c r="B1968" s="104" t="s">
        <v>50</v>
      </c>
      <c r="C1968" s="104" t="s">
        <v>889</v>
      </c>
      <c r="D1968" s="34" t="s">
        <v>1616</v>
      </c>
      <c r="E1968" s="35" t="s">
        <v>890</v>
      </c>
      <c r="F1968" s="40" t="s">
        <v>1011</v>
      </c>
      <c r="G1968" s="145" t="s">
        <v>502</v>
      </c>
      <c r="H1968" s="40">
        <v>1</v>
      </c>
      <c r="I1968" s="56"/>
    </row>
    <row r="1969" spans="1:9" s="81" customFormat="1" ht="21.6" customHeight="1">
      <c r="A1969" s="27">
        <v>2211</v>
      </c>
      <c r="B1969" s="104" t="s">
        <v>50</v>
      </c>
      <c r="C1969" s="104" t="s">
        <v>892</v>
      </c>
      <c r="D1969" s="34" t="s">
        <v>1617</v>
      </c>
      <c r="E1969" s="35" t="s">
        <v>893</v>
      </c>
      <c r="F1969" s="76">
        <v>210</v>
      </c>
      <c r="G1969" s="145" t="s">
        <v>703</v>
      </c>
      <c r="H1969" s="40">
        <v>1</v>
      </c>
      <c r="I1969" s="56"/>
    </row>
    <row r="1970" spans="1:9" s="81" customFormat="1" ht="21.6" customHeight="1">
      <c r="A1970" s="27">
        <v>2212</v>
      </c>
      <c r="B1970" s="104" t="s">
        <v>50</v>
      </c>
      <c r="C1970" s="104" t="s">
        <v>894</v>
      </c>
      <c r="D1970" s="34" t="s">
        <v>1618</v>
      </c>
      <c r="E1970" s="35" t="s">
        <v>895</v>
      </c>
      <c r="F1970" s="40">
        <v>210</v>
      </c>
      <c r="G1970" s="144" t="s">
        <v>706</v>
      </c>
      <c r="H1970" s="40">
        <v>1</v>
      </c>
      <c r="I1970" s="56"/>
    </row>
    <row r="1971" spans="1:9" s="81" customFormat="1" ht="21.6" customHeight="1">
      <c r="A1971" s="27">
        <v>2213</v>
      </c>
      <c r="B1971" s="104" t="s">
        <v>50</v>
      </c>
      <c r="C1971" s="104" t="s">
        <v>896</v>
      </c>
      <c r="D1971" s="34" t="s">
        <v>1619</v>
      </c>
      <c r="E1971" s="35" t="s">
        <v>897</v>
      </c>
      <c r="F1971" s="40">
        <v>210</v>
      </c>
      <c r="G1971" s="145" t="s">
        <v>709</v>
      </c>
      <c r="H1971" s="40">
        <v>1</v>
      </c>
      <c r="I1971" s="56"/>
    </row>
    <row r="1972" spans="1:9" s="81" customFormat="1" ht="21.6" customHeight="1">
      <c r="A1972" s="27">
        <v>2214</v>
      </c>
      <c r="B1972" s="104" t="s">
        <v>50</v>
      </c>
      <c r="C1972" s="104" t="s">
        <v>710</v>
      </c>
      <c r="D1972" s="34" t="s">
        <v>1547</v>
      </c>
      <c r="E1972" s="35" t="s">
        <v>711</v>
      </c>
      <c r="F1972" s="40" t="s">
        <v>1012</v>
      </c>
      <c r="G1972" s="145" t="s">
        <v>415</v>
      </c>
      <c r="H1972" s="40">
        <v>1</v>
      </c>
      <c r="I1972" s="56"/>
    </row>
    <row r="1973" spans="1:9" s="81" customFormat="1" ht="21.6" customHeight="1">
      <c r="A1973" s="27">
        <v>2215</v>
      </c>
      <c r="B1973" s="104" t="s">
        <v>50</v>
      </c>
      <c r="C1973" s="104" t="s">
        <v>899</v>
      </c>
      <c r="D1973" s="34" t="s">
        <v>1620</v>
      </c>
      <c r="E1973" s="35" t="s">
        <v>900</v>
      </c>
      <c r="F1973" s="40">
        <v>210</v>
      </c>
      <c r="G1973" s="144" t="s">
        <v>597</v>
      </c>
      <c r="H1973" s="40">
        <v>1</v>
      </c>
      <c r="I1973" s="56"/>
    </row>
    <row r="1974" spans="1:9" s="81" customFormat="1" ht="21.6" customHeight="1">
      <c r="A1974" s="27">
        <v>2216</v>
      </c>
      <c r="B1974" s="104" t="s">
        <v>50</v>
      </c>
      <c r="C1974" s="104" t="s">
        <v>845</v>
      </c>
      <c r="D1974" s="34" t="s">
        <v>1598</v>
      </c>
      <c r="E1974" s="35" t="s">
        <v>846</v>
      </c>
      <c r="F1974" s="76">
        <v>105</v>
      </c>
      <c r="G1974" s="144" t="s">
        <v>901</v>
      </c>
      <c r="H1974" s="40">
        <v>3</v>
      </c>
      <c r="I1974" s="56"/>
    </row>
    <row r="1975" spans="1:9" s="81" customFormat="1" ht="21.6" customHeight="1">
      <c r="A1975" s="27">
        <v>2217</v>
      </c>
      <c r="B1975" s="104" t="s">
        <v>50</v>
      </c>
      <c r="C1975" s="104" t="s">
        <v>598</v>
      </c>
      <c r="D1975" s="34" t="s">
        <v>1508</v>
      </c>
      <c r="E1975" s="35" t="s">
        <v>599</v>
      </c>
      <c r="F1975" s="40" t="s">
        <v>1013</v>
      </c>
      <c r="G1975" s="145" t="s">
        <v>600</v>
      </c>
      <c r="H1975" s="40">
        <v>4</v>
      </c>
      <c r="I1975" s="56"/>
    </row>
    <row r="1976" spans="1:9" s="81" customFormat="1" ht="21.6" customHeight="1">
      <c r="A1976" s="27">
        <v>2218</v>
      </c>
      <c r="B1976" s="104" t="s">
        <v>50</v>
      </c>
      <c r="C1976" s="104" t="s">
        <v>601</v>
      </c>
      <c r="D1976" s="34" t="s">
        <v>1509</v>
      </c>
      <c r="E1976" s="35" t="s">
        <v>602</v>
      </c>
      <c r="F1976" s="40" t="s">
        <v>1013</v>
      </c>
      <c r="G1976" s="144" t="s">
        <v>1822</v>
      </c>
      <c r="H1976" s="40">
        <v>8</v>
      </c>
      <c r="I1976" s="56"/>
    </row>
    <row r="1977" spans="1:9" s="81" customFormat="1" ht="21.6" customHeight="1">
      <c r="A1977" s="27">
        <v>2219</v>
      </c>
      <c r="B1977" s="104" t="s">
        <v>50</v>
      </c>
      <c r="C1977" s="104" t="s">
        <v>902</v>
      </c>
      <c r="D1977" s="34" t="s">
        <v>1621</v>
      </c>
      <c r="E1977" s="35" t="s">
        <v>903</v>
      </c>
      <c r="F1977" s="40" t="s">
        <v>1012</v>
      </c>
      <c r="G1977" s="144" t="s">
        <v>1823</v>
      </c>
      <c r="H1977" s="40">
        <v>4</v>
      </c>
      <c r="I1977" s="56" t="s">
        <v>1034</v>
      </c>
    </row>
    <row r="1978" spans="1:9" s="81" customFormat="1" ht="21.6" customHeight="1">
      <c r="A1978" s="27">
        <v>2220</v>
      </c>
      <c r="B1978" s="104" t="s">
        <v>50</v>
      </c>
      <c r="C1978" s="104" t="s">
        <v>905</v>
      </c>
      <c r="D1978" s="34" t="s">
        <v>1622</v>
      </c>
      <c r="E1978" s="35" t="s">
        <v>906</v>
      </c>
      <c r="F1978" s="40" t="s">
        <v>1012</v>
      </c>
      <c r="G1978" s="144" t="s">
        <v>1823</v>
      </c>
      <c r="H1978" s="40">
        <v>4</v>
      </c>
      <c r="I1978" s="56" t="s">
        <v>1035</v>
      </c>
    </row>
    <row r="1979" spans="1:9" s="81" customFormat="1" ht="21.6" customHeight="1">
      <c r="A1979" s="27">
        <v>2221</v>
      </c>
      <c r="B1979" s="104" t="s">
        <v>50</v>
      </c>
      <c r="C1979" s="104" t="s">
        <v>605</v>
      </c>
      <c r="D1979" s="34" t="s">
        <v>1511</v>
      </c>
      <c r="E1979" s="35" t="s">
        <v>606</v>
      </c>
      <c r="F1979" s="40">
        <v>210</v>
      </c>
      <c r="G1979" s="145" t="s">
        <v>1812</v>
      </c>
      <c r="H1979" s="40">
        <v>1</v>
      </c>
      <c r="I1979" s="56"/>
    </row>
    <row r="1980" spans="1:9" s="81" customFormat="1" ht="21.6" customHeight="1">
      <c r="A1980" s="27">
        <v>2222</v>
      </c>
      <c r="B1980" s="104" t="s">
        <v>50</v>
      </c>
      <c r="C1980" s="104" t="s">
        <v>607</v>
      </c>
      <c r="D1980" s="34" t="s">
        <v>1512</v>
      </c>
      <c r="E1980" s="35" t="s">
        <v>608</v>
      </c>
      <c r="F1980" s="40">
        <v>210</v>
      </c>
      <c r="G1980" s="145" t="s">
        <v>1812</v>
      </c>
      <c r="H1980" s="40">
        <v>1</v>
      </c>
      <c r="I1980" s="56"/>
    </row>
    <row r="1981" spans="1:9" s="81" customFormat="1" ht="21.6" customHeight="1">
      <c r="A1981" s="27">
        <v>2223</v>
      </c>
      <c r="B1981" s="104" t="s">
        <v>50</v>
      </c>
      <c r="C1981" s="104" t="s">
        <v>609</v>
      </c>
      <c r="D1981" s="34" t="s">
        <v>1513</v>
      </c>
      <c r="E1981" s="35" t="s">
        <v>610</v>
      </c>
      <c r="F1981" s="40">
        <v>210</v>
      </c>
      <c r="G1981" s="145" t="s">
        <v>1824</v>
      </c>
      <c r="H1981" s="40">
        <v>1</v>
      </c>
      <c r="I1981" s="56"/>
    </row>
    <row r="1982" spans="1:9" s="81" customFormat="1" ht="21.6" customHeight="1">
      <c r="A1982" s="27">
        <v>2224</v>
      </c>
      <c r="B1982" s="104" t="s">
        <v>50</v>
      </c>
      <c r="C1982" s="104" t="s">
        <v>611</v>
      </c>
      <c r="D1982" s="34" t="s">
        <v>1514</v>
      </c>
      <c r="E1982" s="35" t="s">
        <v>612</v>
      </c>
      <c r="F1982" s="40">
        <v>210</v>
      </c>
      <c r="G1982" s="145" t="s">
        <v>1825</v>
      </c>
      <c r="H1982" s="40">
        <v>1</v>
      </c>
      <c r="I1982" s="56"/>
    </row>
    <row r="1983" spans="1:9" s="81" customFormat="1" ht="21.6" customHeight="1">
      <c r="A1983" s="27">
        <v>2225</v>
      </c>
      <c r="B1983" s="104" t="s">
        <v>50</v>
      </c>
      <c r="C1983" s="104" t="s">
        <v>613</v>
      </c>
      <c r="D1983" s="34" t="s">
        <v>1515</v>
      </c>
      <c r="E1983" s="35" t="s">
        <v>614</v>
      </c>
      <c r="F1983" s="40">
        <v>210</v>
      </c>
      <c r="G1983" s="145" t="s">
        <v>1826</v>
      </c>
      <c r="H1983" s="40">
        <v>2</v>
      </c>
      <c r="I1983" s="56"/>
    </row>
    <row r="1984" spans="1:9" s="81" customFormat="1" ht="21.6" customHeight="1">
      <c r="A1984" s="27">
        <v>2226</v>
      </c>
      <c r="B1984" s="34" t="s">
        <v>50</v>
      </c>
      <c r="C1984" s="34" t="s">
        <v>719</v>
      </c>
      <c r="D1984" s="34" t="s">
        <v>1551</v>
      </c>
      <c r="E1984" s="35" t="s">
        <v>720</v>
      </c>
      <c r="F1984" s="40">
        <v>680.4</v>
      </c>
      <c r="G1984" s="144" t="s">
        <v>101</v>
      </c>
      <c r="H1984" s="40">
        <v>2</v>
      </c>
      <c r="I1984" s="56" t="s">
        <v>617</v>
      </c>
    </row>
    <row r="1985" spans="1:9" s="81" customFormat="1" ht="21.6" customHeight="1">
      <c r="A1985" s="27">
        <v>2228</v>
      </c>
      <c r="B1985" s="104" t="s">
        <v>50</v>
      </c>
      <c r="C1985" s="104" t="s">
        <v>1036</v>
      </c>
      <c r="D1985" s="34" t="s">
        <v>1673</v>
      </c>
      <c r="E1985" s="35" t="s">
        <v>1037</v>
      </c>
      <c r="F1985" s="40">
        <v>302.39999999999998</v>
      </c>
      <c r="G1985" s="145" t="s">
        <v>1809</v>
      </c>
      <c r="H1985" s="40">
        <v>1</v>
      </c>
      <c r="I1985" s="56" t="s">
        <v>526</v>
      </c>
    </row>
    <row r="1986" spans="1:9" s="81" customFormat="1" ht="21.6" customHeight="1">
      <c r="A1986" s="27">
        <v>2229</v>
      </c>
      <c r="B1986" s="104" t="s">
        <v>50</v>
      </c>
      <c r="C1986" s="104" t="s">
        <v>911</v>
      </c>
      <c r="D1986" s="34" t="s">
        <v>1624</v>
      </c>
      <c r="E1986" s="35" t="s">
        <v>912</v>
      </c>
      <c r="F1986" s="40">
        <v>302.39999999999998</v>
      </c>
      <c r="G1986" s="145" t="s">
        <v>87</v>
      </c>
      <c r="H1986" s="40">
        <v>1</v>
      </c>
      <c r="I1986" s="56"/>
    </row>
    <row r="1987" spans="1:9" s="81" customFormat="1" ht="21.6" customHeight="1">
      <c r="A1987" s="27">
        <v>2230</v>
      </c>
      <c r="B1987" s="104" t="s">
        <v>50</v>
      </c>
      <c r="C1987" s="104" t="s">
        <v>622</v>
      </c>
      <c r="D1987" s="34" t="s">
        <v>1519</v>
      </c>
      <c r="E1987" s="35" t="s">
        <v>623</v>
      </c>
      <c r="F1987" s="40">
        <v>302.39999999999998</v>
      </c>
      <c r="G1987" s="144" t="s">
        <v>1827</v>
      </c>
      <c r="H1987" s="40">
        <v>1</v>
      </c>
      <c r="I1987" s="56"/>
    </row>
    <row r="1988" spans="1:9" s="81" customFormat="1" ht="21.6" customHeight="1">
      <c r="A1988" s="27">
        <v>2231</v>
      </c>
      <c r="B1988" s="104" t="s">
        <v>50</v>
      </c>
      <c r="C1988" s="104" t="s">
        <v>624</v>
      </c>
      <c r="D1988" s="34" t="s">
        <v>1520</v>
      </c>
      <c r="E1988" s="35" t="s">
        <v>625</v>
      </c>
      <c r="F1988" s="40">
        <v>302.39999999999998</v>
      </c>
      <c r="G1988" s="144" t="s">
        <v>1828</v>
      </c>
      <c r="H1988" s="40">
        <v>1</v>
      </c>
      <c r="I1988" s="56"/>
    </row>
    <row r="1989" spans="1:9" s="81" customFormat="1" ht="21.6" customHeight="1">
      <c r="A1989" s="27">
        <v>2232</v>
      </c>
      <c r="B1989" s="104" t="s">
        <v>50</v>
      </c>
      <c r="C1989" s="104" t="s">
        <v>626</v>
      </c>
      <c r="D1989" s="34" t="s">
        <v>1521</v>
      </c>
      <c r="E1989" s="35" t="s">
        <v>627</v>
      </c>
      <c r="F1989" s="40">
        <v>302.39999999999998</v>
      </c>
      <c r="G1989" s="145" t="s">
        <v>628</v>
      </c>
      <c r="H1989" s="40">
        <v>2</v>
      </c>
      <c r="I1989" s="56"/>
    </row>
    <row r="1990" spans="1:9" s="81" customFormat="1" ht="21.6" customHeight="1">
      <c r="A1990" s="27">
        <v>2233</v>
      </c>
      <c r="B1990" s="104" t="s">
        <v>50</v>
      </c>
      <c r="C1990" s="104" t="s">
        <v>273</v>
      </c>
      <c r="D1990" s="34" t="s">
        <v>1392</v>
      </c>
      <c r="E1990" s="35" t="s">
        <v>274</v>
      </c>
      <c r="F1990" s="40">
        <v>80</v>
      </c>
      <c r="G1990" s="144" t="s">
        <v>631</v>
      </c>
      <c r="H1990" s="40">
        <v>1</v>
      </c>
      <c r="I1990" s="56" t="s">
        <v>116</v>
      </c>
    </row>
    <row r="1991" spans="1:9" s="81" customFormat="1" ht="21.6" customHeight="1">
      <c r="A1991" s="27">
        <v>2234</v>
      </c>
      <c r="B1991" s="104" t="s">
        <v>50</v>
      </c>
      <c r="C1991" s="104" t="s">
        <v>276</v>
      </c>
      <c r="D1991" s="80" t="s">
        <v>1393</v>
      </c>
      <c r="E1991" s="35" t="s">
        <v>277</v>
      </c>
      <c r="F1991" s="40">
        <v>80</v>
      </c>
      <c r="G1991" s="144" t="s">
        <v>115</v>
      </c>
      <c r="H1991" s="40">
        <v>1</v>
      </c>
      <c r="I1991" s="56" t="s">
        <v>116</v>
      </c>
    </row>
    <row r="1992" spans="1:9" s="58" customFormat="1" ht="21.6" customHeight="1">
      <c r="A1992" s="27">
        <v>2235</v>
      </c>
      <c r="B1992" s="104" t="s">
        <v>50</v>
      </c>
      <c r="C1992" s="104" t="s">
        <v>264</v>
      </c>
      <c r="D1992" s="50" t="s">
        <v>1389</v>
      </c>
      <c r="E1992" s="51" t="s">
        <v>265</v>
      </c>
      <c r="F1992" s="29">
        <v>80</v>
      </c>
      <c r="G1992" s="144" t="s">
        <v>1841</v>
      </c>
      <c r="H1992" s="29">
        <v>1</v>
      </c>
      <c r="I1992" s="31" t="s">
        <v>796</v>
      </c>
    </row>
    <row r="1993" spans="1:9" s="58" customFormat="1" ht="21.6" customHeight="1">
      <c r="A1993" s="27">
        <v>2236</v>
      </c>
      <c r="B1993" s="104" t="s">
        <v>50</v>
      </c>
      <c r="C1993" s="104" t="s">
        <v>268</v>
      </c>
      <c r="D1993" s="50" t="s">
        <v>1390</v>
      </c>
      <c r="E1993" s="51" t="s">
        <v>269</v>
      </c>
      <c r="F1993" s="29">
        <v>80</v>
      </c>
      <c r="G1993" s="144" t="s">
        <v>797</v>
      </c>
      <c r="H1993" s="29">
        <v>1</v>
      </c>
      <c r="I1993" s="31" t="s">
        <v>796</v>
      </c>
    </row>
    <row r="1994" spans="1:9" s="58" customFormat="1" ht="21.6" customHeight="1">
      <c r="A1994" s="27">
        <v>2237</v>
      </c>
      <c r="B1994" s="104" t="s">
        <v>50</v>
      </c>
      <c r="C1994" s="104" t="s">
        <v>271</v>
      </c>
      <c r="D1994" s="50" t="s">
        <v>1391</v>
      </c>
      <c r="E1994" s="51" t="s">
        <v>272</v>
      </c>
      <c r="F1994" s="29">
        <v>80</v>
      </c>
      <c r="G1994" s="144" t="s">
        <v>1842</v>
      </c>
      <c r="H1994" s="29">
        <v>1</v>
      </c>
      <c r="I1994" s="31" t="s">
        <v>796</v>
      </c>
    </row>
    <row r="1995" spans="1:9" s="26" customFormat="1" ht="21.6" customHeight="1">
      <c r="A1995" s="27">
        <v>2238</v>
      </c>
      <c r="B1995" s="104" t="s">
        <v>50</v>
      </c>
      <c r="C1995" s="104" t="s">
        <v>225</v>
      </c>
      <c r="D1995" s="39" t="s">
        <v>1375</v>
      </c>
      <c r="E1995" s="3" t="s">
        <v>226</v>
      </c>
      <c r="F1995" s="29">
        <v>120</v>
      </c>
      <c r="G1995" s="144" t="s">
        <v>1781</v>
      </c>
      <c r="H1995" s="29">
        <v>2</v>
      </c>
      <c r="I1995" s="31" t="s">
        <v>279</v>
      </c>
    </row>
    <row r="1996" spans="1:9" s="26" customFormat="1" ht="21.6" customHeight="1">
      <c r="A1996" s="27">
        <v>2239</v>
      </c>
      <c r="B1996" s="104" t="s">
        <v>50</v>
      </c>
      <c r="C1996" s="104" t="s">
        <v>229</v>
      </c>
      <c r="D1996" s="39" t="s">
        <v>1376</v>
      </c>
      <c r="E1996" s="51" t="s">
        <v>230</v>
      </c>
      <c r="F1996" s="29">
        <v>120</v>
      </c>
      <c r="G1996" s="144" t="s">
        <v>278</v>
      </c>
      <c r="H1996" s="29">
        <v>1</v>
      </c>
      <c r="I1996" s="31" t="s">
        <v>279</v>
      </c>
    </row>
    <row r="1997" spans="1:9" s="26" customFormat="1" ht="21.6" customHeight="1">
      <c r="A1997" s="27">
        <v>2240</v>
      </c>
      <c r="B1997" s="104" t="s">
        <v>50</v>
      </c>
      <c r="C1997" s="104" t="s">
        <v>280</v>
      </c>
      <c r="D1997" s="39" t="s">
        <v>1394</v>
      </c>
      <c r="E1997" s="51" t="s">
        <v>281</v>
      </c>
      <c r="F1997" s="29">
        <v>120</v>
      </c>
      <c r="G1997" s="144" t="s">
        <v>1782</v>
      </c>
      <c r="H1997" s="29">
        <v>1</v>
      </c>
      <c r="I1997" s="31" t="s">
        <v>283</v>
      </c>
    </row>
    <row r="1998" spans="1:9" s="26" customFormat="1" ht="21.6" customHeight="1">
      <c r="A1998" s="27">
        <v>2241</v>
      </c>
      <c r="B1998" s="104" t="s">
        <v>50</v>
      </c>
      <c r="C1998" s="104" t="s">
        <v>284</v>
      </c>
      <c r="D1998" s="50" t="s">
        <v>1395</v>
      </c>
      <c r="E1998" s="51" t="s">
        <v>226</v>
      </c>
      <c r="F1998" s="29">
        <v>120</v>
      </c>
      <c r="G1998" s="144" t="s">
        <v>285</v>
      </c>
      <c r="H1998" s="29">
        <v>1</v>
      </c>
      <c r="I1998" s="31" t="s">
        <v>286</v>
      </c>
    </row>
    <row r="1999" spans="1:9" s="26" customFormat="1" ht="21.6" customHeight="1">
      <c r="A1999" s="27">
        <v>2242</v>
      </c>
      <c r="B1999" s="104" t="s">
        <v>50</v>
      </c>
      <c r="C1999" s="104" t="s">
        <v>287</v>
      </c>
      <c r="D1999" s="50" t="s">
        <v>1396</v>
      </c>
      <c r="E1999" s="51" t="s">
        <v>288</v>
      </c>
      <c r="F1999" s="29">
        <v>120</v>
      </c>
      <c r="G1999" s="144" t="s">
        <v>282</v>
      </c>
      <c r="H1999" s="29">
        <v>1</v>
      </c>
      <c r="I1999" s="31" t="s">
        <v>286</v>
      </c>
    </row>
    <row r="2000" spans="1:9" s="58" customFormat="1" ht="21.6" customHeight="1">
      <c r="A2000" s="27">
        <v>2243</v>
      </c>
      <c r="B2000" s="104" t="s">
        <v>50</v>
      </c>
      <c r="C2000" s="104" t="s">
        <v>231</v>
      </c>
      <c r="D2000" s="39" t="s">
        <v>1377</v>
      </c>
      <c r="E2000" s="51" t="s">
        <v>232</v>
      </c>
      <c r="F2000" s="29">
        <v>160</v>
      </c>
      <c r="G2000" s="144" t="s">
        <v>1843</v>
      </c>
      <c r="H2000" s="29">
        <v>1</v>
      </c>
      <c r="I2000" s="31" t="s">
        <v>290</v>
      </c>
    </row>
    <row r="2001" spans="1:9" s="58" customFormat="1" ht="21.6" customHeight="1">
      <c r="A2001" s="27">
        <v>2244</v>
      </c>
      <c r="B2001" s="104" t="s">
        <v>50</v>
      </c>
      <c r="C2001" s="104" t="s">
        <v>235</v>
      </c>
      <c r="D2001" s="50" t="s">
        <v>1378</v>
      </c>
      <c r="E2001" s="51" t="s">
        <v>236</v>
      </c>
      <c r="F2001" s="29">
        <v>160</v>
      </c>
      <c r="G2001" s="144" t="s">
        <v>237</v>
      </c>
      <c r="H2001" s="29">
        <v>1</v>
      </c>
      <c r="I2001" s="31" t="s">
        <v>290</v>
      </c>
    </row>
    <row r="2002" spans="1:9" s="58" customFormat="1" ht="21.6" customHeight="1">
      <c r="A2002" s="27">
        <v>2245</v>
      </c>
      <c r="B2002" s="104" t="s">
        <v>50</v>
      </c>
      <c r="C2002" s="104" t="s">
        <v>238</v>
      </c>
      <c r="D2002" s="50" t="s">
        <v>1379</v>
      </c>
      <c r="E2002" s="51" t="s">
        <v>239</v>
      </c>
      <c r="F2002" s="29">
        <v>160</v>
      </c>
      <c r="G2002" s="144" t="s">
        <v>798</v>
      </c>
      <c r="H2002" s="29">
        <v>1</v>
      </c>
      <c r="I2002" s="31" t="s">
        <v>290</v>
      </c>
    </row>
    <row r="2003" spans="1:9" s="81" customFormat="1" ht="21.6" customHeight="1">
      <c r="A2003" s="27">
        <v>2246</v>
      </c>
      <c r="B2003" s="104" t="s">
        <v>50</v>
      </c>
      <c r="C2003" s="104" t="s">
        <v>913</v>
      </c>
      <c r="D2003" s="80" t="s">
        <v>1625</v>
      </c>
      <c r="E2003" s="35" t="s">
        <v>914</v>
      </c>
      <c r="F2003" s="40">
        <v>210</v>
      </c>
      <c r="G2003" s="144" t="s">
        <v>637</v>
      </c>
      <c r="H2003" s="40" t="s">
        <v>123</v>
      </c>
      <c r="I2003" s="56"/>
    </row>
    <row r="2004" spans="1:9" s="81" customFormat="1" ht="21.6" customHeight="1">
      <c r="A2004" s="27">
        <v>2247</v>
      </c>
      <c r="B2004" s="104" t="s">
        <v>50</v>
      </c>
      <c r="C2004" s="104" t="s">
        <v>915</v>
      </c>
      <c r="D2004" s="34" t="s">
        <v>1626</v>
      </c>
      <c r="E2004" s="35" t="s">
        <v>916</v>
      </c>
      <c r="F2004" s="40">
        <v>105</v>
      </c>
      <c r="G2004" s="144" t="s">
        <v>755</v>
      </c>
      <c r="H2004" s="40" t="s">
        <v>123</v>
      </c>
      <c r="I2004" s="56"/>
    </row>
    <row r="2005" spans="1:9" s="58" customFormat="1" ht="21.6" customHeight="1">
      <c r="A2005" s="27">
        <v>2248</v>
      </c>
      <c r="B2005" s="104" t="s">
        <v>50</v>
      </c>
      <c r="C2005" s="104" t="s">
        <v>295</v>
      </c>
      <c r="D2005" s="39" t="s">
        <v>1399</v>
      </c>
      <c r="E2005" s="3" t="s">
        <v>296</v>
      </c>
      <c r="F2005" s="29">
        <v>80</v>
      </c>
      <c r="G2005" s="144" t="s">
        <v>799</v>
      </c>
      <c r="H2005" s="40" t="s">
        <v>123</v>
      </c>
      <c r="I2005" s="31" t="s">
        <v>796</v>
      </c>
    </row>
    <row r="2006" spans="1:9" s="26" customFormat="1" ht="21.6" customHeight="1">
      <c r="A2006" s="27">
        <v>2249</v>
      </c>
      <c r="B2006" s="104" t="s">
        <v>50</v>
      </c>
      <c r="C2006" s="104" t="s">
        <v>298</v>
      </c>
      <c r="D2006" s="39" t="s">
        <v>1400</v>
      </c>
      <c r="E2006" s="3" t="s">
        <v>299</v>
      </c>
      <c r="F2006" s="29">
        <v>120</v>
      </c>
      <c r="G2006" s="144" t="s">
        <v>300</v>
      </c>
      <c r="H2006" s="40" t="s">
        <v>123</v>
      </c>
      <c r="I2006" s="31" t="s">
        <v>279</v>
      </c>
    </row>
    <row r="2007" spans="1:9" s="26" customFormat="1" ht="21.6" customHeight="1">
      <c r="A2007" s="27">
        <v>2250</v>
      </c>
      <c r="B2007" s="104" t="s">
        <v>50</v>
      </c>
      <c r="C2007" s="104" t="s">
        <v>301</v>
      </c>
      <c r="D2007" s="39" t="s">
        <v>1401</v>
      </c>
      <c r="E2007" s="3" t="s">
        <v>302</v>
      </c>
      <c r="F2007" s="29">
        <v>120</v>
      </c>
      <c r="G2007" s="144" t="s">
        <v>303</v>
      </c>
      <c r="H2007" s="40" t="s">
        <v>123</v>
      </c>
      <c r="I2007" s="31" t="s">
        <v>283</v>
      </c>
    </row>
    <row r="2008" spans="1:9" s="58" customFormat="1" ht="21.6" customHeight="1">
      <c r="A2008" s="27">
        <v>2251</v>
      </c>
      <c r="B2008" s="104" t="s">
        <v>50</v>
      </c>
      <c r="C2008" s="104" t="s">
        <v>251</v>
      </c>
      <c r="D2008" s="39" t="s">
        <v>1384</v>
      </c>
      <c r="E2008" s="3" t="s">
        <v>252</v>
      </c>
      <c r="F2008" s="29">
        <v>160</v>
      </c>
      <c r="G2008" s="144" t="s">
        <v>760</v>
      </c>
      <c r="H2008" s="40" t="s">
        <v>123</v>
      </c>
      <c r="I2008" s="31" t="s">
        <v>290</v>
      </c>
    </row>
    <row r="2009" spans="1:9" s="58" customFormat="1" ht="21.6" customHeight="1">
      <c r="A2009" s="27">
        <v>2253</v>
      </c>
      <c r="B2009" s="104" t="s">
        <v>50</v>
      </c>
      <c r="C2009" s="104" t="s">
        <v>1038</v>
      </c>
      <c r="D2009" s="39" t="s">
        <v>1674</v>
      </c>
      <c r="E2009" s="3" t="s">
        <v>1039</v>
      </c>
      <c r="F2009" s="29">
        <v>302.39999999999998</v>
      </c>
      <c r="G2009" s="144" t="s">
        <v>642</v>
      </c>
      <c r="H2009" s="40" t="s">
        <v>123</v>
      </c>
      <c r="I2009" s="31" t="s">
        <v>526</v>
      </c>
    </row>
    <row r="2010" spans="1:9" s="58" customFormat="1" ht="21.6" customHeight="1">
      <c r="A2010" s="27">
        <v>2254</v>
      </c>
      <c r="B2010" s="104" t="s">
        <v>50</v>
      </c>
      <c r="C2010" s="104" t="s">
        <v>643</v>
      </c>
      <c r="D2010" s="39" t="s">
        <v>1525</v>
      </c>
      <c r="E2010" s="3" t="s">
        <v>644</v>
      </c>
      <c r="F2010" s="29">
        <v>210</v>
      </c>
      <c r="G2010" s="144" t="s">
        <v>645</v>
      </c>
      <c r="H2010" s="40" t="s">
        <v>123</v>
      </c>
      <c r="I2010" s="31"/>
    </row>
    <row r="2011" spans="1:9" s="81" customFormat="1" ht="21.6" customHeight="1">
      <c r="A2011" s="27">
        <v>2255</v>
      </c>
      <c r="B2011" s="104" t="s">
        <v>50</v>
      </c>
      <c r="C2011" s="104" t="s">
        <v>1040</v>
      </c>
      <c r="D2011" s="34" t="s">
        <v>1675</v>
      </c>
      <c r="E2011" s="35" t="s">
        <v>1041</v>
      </c>
      <c r="F2011" s="40" t="s">
        <v>123</v>
      </c>
      <c r="G2011" s="145" t="s">
        <v>585</v>
      </c>
      <c r="H2011" s="40" t="s">
        <v>123</v>
      </c>
      <c r="I2011" s="56" t="s">
        <v>1034</v>
      </c>
    </row>
    <row r="2012" spans="1:9" s="81" customFormat="1" ht="21.6" customHeight="1">
      <c r="A2012" s="27">
        <v>2256</v>
      </c>
      <c r="B2012" s="104" t="s">
        <v>50</v>
      </c>
      <c r="C2012" s="104" t="s">
        <v>1042</v>
      </c>
      <c r="D2012" s="34" t="s">
        <v>1676</v>
      </c>
      <c r="E2012" s="35" t="s">
        <v>1043</v>
      </c>
      <c r="F2012" s="40" t="s">
        <v>123</v>
      </c>
      <c r="G2012" s="145" t="s">
        <v>585</v>
      </c>
      <c r="H2012" s="40" t="s">
        <v>123</v>
      </c>
      <c r="I2012" s="56" t="s">
        <v>1035</v>
      </c>
    </row>
    <row r="2013" spans="1:9" s="81" customFormat="1" ht="21.6" customHeight="1">
      <c r="A2013" s="27">
        <v>2257</v>
      </c>
      <c r="B2013" s="104" t="s">
        <v>50</v>
      </c>
      <c r="C2013" s="104" t="s">
        <v>1044</v>
      </c>
      <c r="D2013" s="34" t="s">
        <v>1677</v>
      </c>
      <c r="E2013" s="35" t="s">
        <v>1045</v>
      </c>
      <c r="F2013" s="40" t="s">
        <v>123</v>
      </c>
      <c r="G2013" s="145" t="s">
        <v>129</v>
      </c>
      <c r="H2013" s="40" t="s">
        <v>123</v>
      </c>
      <c r="I2013" s="56" t="s">
        <v>1046</v>
      </c>
    </row>
    <row r="2014" spans="1:9" ht="21.6" customHeight="1">
      <c r="A2014" s="27">
        <v>2258</v>
      </c>
      <c r="B2014" s="104" t="s">
        <v>50</v>
      </c>
      <c r="C2014" s="104" t="s">
        <v>1047</v>
      </c>
      <c r="D2014" s="34" t="s">
        <v>1678</v>
      </c>
      <c r="E2014" s="35" t="s">
        <v>1048</v>
      </c>
      <c r="F2014" s="40" t="s">
        <v>123</v>
      </c>
      <c r="G2014" s="145" t="s">
        <v>772</v>
      </c>
      <c r="H2014" s="40" t="s">
        <v>123</v>
      </c>
      <c r="I2014" s="56" t="s">
        <v>1046</v>
      </c>
    </row>
    <row r="2015" spans="1:9" ht="21.6" customHeight="1">
      <c r="A2015" s="27">
        <v>2259</v>
      </c>
      <c r="B2015" s="104" t="s">
        <v>50</v>
      </c>
      <c r="C2015" s="104" t="s">
        <v>1049</v>
      </c>
      <c r="D2015" s="34" t="s">
        <v>1679</v>
      </c>
      <c r="E2015" s="35" t="s">
        <v>1050</v>
      </c>
      <c r="F2015" s="40" t="s">
        <v>123</v>
      </c>
      <c r="G2015" s="145" t="s">
        <v>775</v>
      </c>
      <c r="H2015" s="40" t="s">
        <v>123</v>
      </c>
      <c r="I2015" s="56" t="s">
        <v>1046</v>
      </c>
    </row>
    <row r="2016" spans="1:9" ht="21.6" customHeight="1">
      <c r="A2016" s="27">
        <v>2260</v>
      </c>
      <c r="B2016" s="104" t="s">
        <v>50</v>
      </c>
      <c r="C2016" s="104" t="s">
        <v>1051</v>
      </c>
      <c r="D2016" s="34" t="s">
        <v>1680</v>
      </c>
      <c r="E2016" s="35" t="s">
        <v>1052</v>
      </c>
      <c r="F2016" s="40" t="s">
        <v>123</v>
      </c>
      <c r="G2016" s="145" t="s">
        <v>778</v>
      </c>
      <c r="H2016" s="40" t="s">
        <v>123</v>
      </c>
      <c r="I2016" s="56" t="s">
        <v>1046</v>
      </c>
    </row>
    <row r="2017" spans="1:9" s="81" customFormat="1" ht="21.6" customHeight="1">
      <c r="A2017" s="27">
        <v>2261</v>
      </c>
      <c r="B2017" s="104" t="s">
        <v>50</v>
      </c>
      <c r="C2017" s="104" t="s">
        <v>1053</v>
      </c>
      <c r="D2017" s="34" t="s">
        <v>1681</v>
      </c>
      <c r="E2017" s="35" t="s">
        <v>1054</v>
      </c>
      <c r="F2017" s="40" t="s">
        <v>123</v>
      </c>
      <c r="G2017" s="145" t="s">
        <v>129</v>
      </c>
      <c r="H2017" s="40" t="s">
        <v>123</v>
      </c>
      <c r="I2017" s="56" t="s">
        <v>1055</v>
      </c>
    </row>
    <row r="2018" spans="1:9" ht="21.6" customHeight="1">
      <c r="A2018" s="27">
        <v>2262</v>
      </c>
      <c r="B2018" s="104" t="s">
        <v>50</v>
      </c>
      <c r="C2018" s="104" t="s">
        <v>1056</v>
      </c>
      <c r="D2018" s="34" t="s">
        <v>1682</v>
      </c>
      <c r="E2018" s="35" t="s">
        <v>1057</v>
      </c>
      <c r="F2018" s="40" t="s">
        <v>123</v>
      </c>
      <c r="G2018" s="145" t="s">
        <v>772</v>
      </c>
      <c r="H2018" s="40" t="s">
        <v>123</v>
      </c>
      <c r="I2018" s="56" t="s">
        <v>1055</v>
      </c>
    </row>
    <row r="2019" spans="1:9" ht="21.6" customHeight="1">
      <c r="A2019" s="27">
        <v>2263</v>
      </c>
      <c r="B2019" s="104" t="s">
        <v>50</v>
      </c>
      <c r="C2019" s="104" t="s">
        <v>1058</v>
      </c>
      <c r="D2019" s="34" t="s">
        <v>1683</v>
      </c>
      <c r="E2019" s="35" t="s">
        <v>1059</v>
      </c>
      <c r="F2019" s="40" t="s">
        <v>123</v>
      </c>
      <c r="G2019" s="145" t="s">
        <v>775</v>
      </c>
      <c r="H2019" s="40" t="s">
        <v>123</v>
      </c>
      <c r="I2019" s="56" t="s">
        <v>1055</v>
      </c>
    </row>
    <row r="2020" spans="1:9" ht="21.6" customHeight="1">
      <c r="A2020" s="27">
        <v>2264</v>
      </c>
      <c r="B2020" s="104" t="s">
        <v>50</v>
      </c>
      <c r="C2020" s="104" t="s">
        <v>1060</v>
      </c>
      <c r="D2020" s="34" t="s">
        <v>1684</v>
      </c>
      <c r="E2020" s="35" t="s">
        <v>1061</v>
      </c>
      <c r="F2020" s="40" t="s">
        <v>123</v>
      </c>
      <c r="G2020" s="145" t="s">
        <v>778</v>
      </c>
      <c r="H2020" s="40" t="s">
        <v>123</v>
      </c>
      <c r="I2020" s="56" t="s">
        <v>1055</v>
      </c>
    </row>
    <row r="2021" spans="1:9" s="81" customFormat="1" ht="21.6" customHeight="1">
      <c r="A2021" s="41">
        <v>2265</v>
      </c>
      <c r="B2021" s="104" t="s">
        <v>50</v>
      </c>
      <c r="C2021" s="104" t="s">
        <v>650</v>
      </c>
      <c r="D2021" s="34" t="s">
        <v>1528</v>
      </c>
      <c r="E2021" s="35" t="s">
        <v>651</v>
      </c>
      <c r="F2021" s="40" t="s">
        <v>123</v>
      </c>
      <c r="G2021" s="144" t="s">
        <v>1821</v>
      </c>
      <c r="H2021" s="40" t="s">
        <v>123</v>
      </c>
      <c r="I2021" s="56"/>
    </row>
    <row r="2022" spans="1:9" s="81" customFormat="1" ht="21.6" customHeight="1">
      <c r="A2022" s="41">
        <v>2266</v>
      </c>
      <c r="B2022" s="84" t="s">
        <v>50</v>
      </c>
      <c r="C2022" s="84" t="s">
        <v>941</v>
      </c>
      <c r="D2022" s="84" t="s">
        <v>1638</v>
      </c>
      <c r="E2022" s="83" t="s">
        <v>942</v>
      </c>
      <c r="F2022" s="85" t="s">
        <v>654</v>
      </c>
      <c r="G2022" s="150" t="s">
        <v>1805</v>
      </c>
      <c r="H2022" s="85" t="s">
        <v>123</v>
      </c>
      <c r="I2022" s="86"/>
    </row>
    <row r="2023" spans="1:9" s="81" customFormat="1" ht="21.6" customHeight="1">
      <c r="A2023" s="20">
        <v>2267</v>
      </c>
      <c r="B2023" s="73" t="s">
        <v>52</v>
      </c>
      <c r="C2023" s="73" t="s">
        <v>587</v>
      </c>
      <c r="D2023" s="73" t="s">
        <v>1504</v>
      </c>
      <c r="E2023" s="72" t="s">
        <v>588</v>
      </c>
      <c r="F2023" s="74">
        <v>210</v>
      </c>
      <c r="G2023" s="143" t="s">
        <v>589</v>
      </c>
      <c r="H2023" s="74">
        <v>1</v>
      </c>
      <c r="I2023" s="75" t="s">
        <v>590</v>
      </c>
    </row>
    <row r="2024" spans="1:9" s="81" customFormat="1" ht="21.6" customHeight="1">
      <c r="A2024" s="106">
        <v>2268</v>
      </c>
      <c r="B2024" s="104" t="s">
        <v>52</v>
      </c>
      <c r="C2024" s="104" t="s">
        <v>840</v>
      </c>
      <c r="D2024" s="104" t="s">
        <v>1595</v>
      </c>
      <c r="E2024" s="82" t="s">
        <v>841</v>
      </c>
      <c r="F2024" s="107">
        <v>105</v>
      </c>
      <c r="G2024" s="150" t="s">
        <v>887</v>
      </c>
      <c r="H2024" s="108">
        <v>3</v>
      </c>
      <c r="I2024" s="109" t="s">
        <v>1010</v>
      </c>
    </row>
    <row r="2025" spans="1:9" s="81" customFormat="1" ht="21.6" customHeight="1">
      <c r="A2025" s="27">
        <v>2269</v>
      </c>
      <c r="B2025" s="104" t="s">
        <v>52</v>
      </c>
      <c r="C2025" s="104" t="s">
        <v>591</v>
      </c>
      <c r="D2025" s="34" t="s">
        <v>1505</v>
      </c>
      <c r="E2025" s="35" t="s">
        <v>592</v>
      </c>
      <c r="F2025" s="40" t="s">
        <v>1011</v>
      </c>
      <c r="G2025" s="145" t="s">
        <v>502</v>
      </c>
      <c r="H2025" s="40">
        <v>1</v>
      </c>
      <c r="I2025" s="56"/>
    </row>
    <row r="2026" spans="1:9" s="81" customFormat="1" ht="21.6" customHeight="1">
      <c r="A2026" s="27">
        <v>2270</v>
      </c>
      <c r="B2026" s="104" t="s">
        <v>52</v>
      </c>
      <c r="C2026" s="104" t="s">
        <v>943</v>
      </c>
      <c r="D2026" s="34" t="s">
        <v>1639</v>
      </c>
      <c r="E2026" s="35" t="s">
        <v>944</v>
      </c>
      <c r="F2026" s="76">
        <v>210</v>
      </c>
      <c r="G2026" s="145" t="s">
        <v>703</v>
      </c>
      <c r="H2026" s="40">
        <v>1</v>
      </c>
      <c r="I2026" s="56"/>
    </row>
    <row r="2027" spans="1:9" s="81" customFormat="1" ht="21.6" customHeight="1">
      <c r="A2027" s="27">
        <v>2271</v>
      </c>
      <c r="B2027" s="104" t="s">
        <v>52</v>
      </c>
      <c r="C2027" s="104" t="s">
        <v>945</v>
      </c>
      <c r="D2027" s="34" t="s">
        <v>1640</v>
      </c>
      <c r="E2027" s="35" t="s">
        <v>946</v>
      </c>
      <c r="F2027" s="40">
        <v>210</v>
      </c>
      <c r="G2027" s="144" t="s">
        <v>706</v>
      </c>
      <c r="H2027" s="40">
        <v>1</v>
      </c>
      <c r="I2027" s="56"/>
    </row>
    <row r="2028" spans="1:9" s="81" customFormat="1" ht="21.6" customHeight="1">
      <c r="A2028" s="27">
        <v>2272</v>
      </c>
      <c r="B2028" s="104" t="s">
        <v>52</v>
      </c>
      <c r="C2028" s="104" t="s">
        <v>947</v>
      </c>
      <c r="D2028" s="34" t="s">
        <v>1641</v>
      </c>
      <c r="E2028" s="35" t="s">
        <v>948</v>
      </c>
      <c r="F2028" s="40">
        <v>210</v>
      </c>
      <c r="G2028" s="145" t="s">
        <v>709</v>
      </c>
      <c r="H2028" s="40">
        <v>1</v>
      </c>
      <c r="I2028" s="56"/>
    </row>
    <row r="2029" spans="1:9" s="81" customFormat="1" ht="21.6" customHeight="1">
      <c r="A2029" s="27">
        <v>2273</v>
      </c>
      <c r="B2029" s="104" t="s">
        <v>52</v>
      </c>
      <c r="C2029" s="104" t="s">
        <v>593</v>
      </c>
      <c r="D2029" s="34" t="s">
        <v>1506</v>
      </c>
      <c r="E2029" s="35" t="s">
        <v>594</v>
      </c>
      <c r="F2029" s="40" t="s">
        <v>1012</v>
      </c>
      <c r="G2029" s="145" t="s">
        <v>415</v>
      </c>
      <c r="H2029" s="40">
        <v>1</v>
      </c>
      <c r="I2029" s="56"/>
    </row>
    <row r="2030" spans="1:9" s="81" customFormat="1" ht="21.6" customHeight="1">
      <c r="A2030" s="27">
        <v>2274</v>
      </c>
      <c r="B2030" s="104" t="s">
        <v>52</v>
      </c>
      <c r="C2030" s="104" t="s">
        <v>595</v>
      </c>
      <c r="D2030" s="34" t="s">
        <v>1507</v>
      </c>
      <c r="E2030" s="35" t="s">
        <v>596</v>
      </c>
      <c r="F2030" s="40">
        <v>210</v>
      </c>
      <c r="G2030" s="144" t="s">
        <v>597</v>
      </c>
      <c r="H2030" s="40">
        <v>1</v>
      </c>
      <c r="I2030" s="56"/>
    </row>
    <row r="2031" spans="1:9" s="81" customFormat="1" ht="21.6" customHeight="1">
      <c r="A2031" s="27">
        <v>2275</v>
      </c>
      <c r="B2031" s="104" t="s">
        <v>52</v>
      </c>
      <c r="C2031" s="104" t="s">
        <v>949</v>
      </c>
      <c r="D2031" s="34" t="s">
        <v>1642</v>
      </c>
      <c r="E2031" s="35" t="s">
        <v>950</v>
      </c>
      <c r="F2031" s="76">
        <v>105</v>
      </c>
      <c r="G2031" s="144" t="s">
        <v>901</v>
      </c>
      <c r="H2031" s="40">
        <v>3</v>
      </c>
      <c r="I2031" s="56"/>
    </row>
    <row r="2032" spans="1:9" s="81" customFormat="1" ht="21.6" customHeight="1">
      <c r="A2032" s="27">
        <v>2276</v>
      </c>
      <c r="B2032" s="104" t="s">
        <v>52</v>
      </c>
      <c r="C2032" s="104" t="s">
        <v>598</v>
      </c>
      <c r="D2032" s="34" t="s">
        <v>1508</v>
      </c>
      <c r="E2032" s="35" t="s">
        <v>599</v>
      </c>
      <c r="F2032" s="40" t="s">
        <v>1013</v>
      </c>
      <c r="G2032" s="145" t="s">
        <v>600</v>
      </c>
      <c r="H2032" s="40">
        <v>4</v>
      </c>
      <c r="I2032" s="56"/>
    </row>
    <row r="2033" spans="1:9" s="81" customFormat="1" ht="21.6" customHeight="1">
      <c r="A2033" s="27">
        <v>2277</v>
      </c>
      <c r="B2033" s="104" t="s">
        <v>52</v>
      </c>
      <c r="C2033" s="104" t="s">
        <v>601</v>
      </c>
      <c r="D2033" s="34" t="s">
        <v>1509</v>
      </c>
      <c r="E2033" s="35" t="s">
        <v>602</v>
      </c>
      <c r="F2033" s="40" t="s">
        <v>1013</v>
      </c>
      <c r="G2033" s="144" t="s">
        <v>1822</v>
      </c>
      <c r="H2033" s="40">
        <v>8</v>
      </c>
      <c r="I2033" s="56"/>
    </row>
    <row r="2034" spans="1:9" s="81" customFormat="1" ht="21.6" customHeight="1">
      <c r="A2034" s="27">
        <v>2278</v>
      </c>
      <c r="B2034" s="104" t="s">
        <v>52</v>
      </c>
      <c r="C2034" s="104" t="s">
        <v>603</v>
      </c>
      <c r="D2034" s="34" t="s">
        <v>1510</v>
      </c>
      <c r="E2034" s="35" t="s">
        <v>604</v>
      </c>
      <c r="F2034" s="40" t="s">
        <v>1012</v>
      </c>
      <c r="G2034" s="144" t="s">
        <v>1823</v>
      </c>
      <c r="H2034" s="40">
        <v>4</v>
      </c>
      <c r="I2034" s="56"/>
    </row>
    <row r="2035" spans="1:9" s="81" customFormat="1" ht="21.6" customHeight="1">
      <c r="A2035" s="27">
        <v>2279</v>
      </c>
      <c r="B2035" s="104" t="s">
        <v>52</v>
      </c>
      <c r="C2035" s="104" t="s">
        <v>605</v>
      </c>
      <c r="D2035" s="34" t="s">
        <v>1511</v>
      </c>
      <c r="E2035" s="35" t="s">
        <v>606</v>
      </c>
      <c r="F2035" s="40">
        <v>210</v>
      </c>
      <c r="G2035" s="145" t="s">
        <v>1812</v>
      </c>
      <c r="H2035" s="40">
        <v>1</v>
      </c>
      <c r="I2035" s="56"/>
    </row>
    <row r="2036" spans="1:9" s="81" customFormat="1" ht="21.6" customHeight="1">
      <c r="A2036" s="27">
        <v>2280</v>
      </c>
      <c r="B2036" s="104" t="s">
        <v>52</v>
      </c>
      <c r="C2036" s="104" t="s">
        <v>607</v>
      </c>
      <c r="D2036" s="34" t="s">
        <v>1512</v>
      </c>
      <c r="E2036" s="35" t="s">
        <v>608</v>
      </c>
      <c r="F2036" s="40">
        <v>210</v>
      </c>
      <c r="G2036" s="145" t="s">
        <v>1812</v>
      </c>
      <c r="H2036" s="40">
        <v>1</v>
      </c>
      <c r="I2036" s="56"/>
    </row>
    <row r="2037" spans="1:9" s="81" customFormat="1" ht="21.6" customHeight="1">
      <c r="A2037" s="27">
        <v>2281</v>
      </c>
      <c r="B2037" s="104" t="s">
        <v>52</v>
      </c>
      <c r="C2037" s="104" t="s">
        <v>609</v>
      </c>
      <c r="D2037" s="34" t="s">
        <v>1513</v>
      </c>
      <c r="E2037" s="35" t="s">
        <v>610</v>
      </c>
      <c r="F2037" s="40">
        <v>210</v>
      </c>
      <c r="G2037" s="145" t="s">
        <v>1824</v>
      </c>
      <c r="H2037" s="40">
        <v>1</v>
      </c>
      <c r="I2037" s="56"/>
    </row>
    <row r="2038" spans="1:9" s="81" customFormat="1" ht="21.6" customHeight="1">
      <c r="A2038" s="27">
        <v>2282</v>
      </c>
      <c r="B2038" s="104" t="s">
        <v>52</v>
      </c>
      <c r="C2038" s="104" t="s">
        <v>611</v>
      </c>
      <c r="D2038" s="34" t="s">
        <v>1514</v>
      </c>
      <c r="E2038" s="35" t="s">
        <v>612</v>
      </c>
      <c r="F2038" s="40">
        <v>210</v>
      </c>
      <c r="G2038" s="145" t="s">
        <v>1825</v>
      </c>
      <c r="H2038" s="40">
        <v>1</v>
      </c>
      <c r="I2038" s="56"/>
    </row>
    <row r="2039" spans="1:9" s="81" customFormat="1" ht="21.6" customHeight="1">
      <c r="A2039" s="27">
        <v>2283</v>
      </c>
      <c r="B2039" s="104" t="s">
        <v>52</v>
      </c>
      <c r="C2039" s="104" t="s">
        <v>613</v>
      </c>
      <c r="D2039" s="34" t="s">
        <v>1515</v>
      </c>
      <c r="E2039" s="35" t="s">
        <v>614</v>
      </c>
      <c r="F2039" s="40">
        <v>210</v>
      </c>
      <c r="G2039" s="145" t="s">
        <v>1826</v>
      </c>
      <c r="H2039" s="40">
        <v>2</v>
      </c>
      <c r="I2039" s="56"/>
    </row>
    <row r="2040" spans="1:9" s="81" customFormat="1" ht="21.6" customHeight="1">
      <c r="A2040" s="27">
        <v>2284</v>
      </c>
      <c r="B2040" s="104" t="s">
        <v>52</v>
      </c>
      <c r="C2040" s="104" t="s">
        <v>615</v>
      </c>
      <c r="D2040" s="34" t="s">
        <v>1516</v>
      </c>
      <c r="E2040" s="35" t="s">
        <v>616</v>
      </c>
      <c r="F2040" s="40">
        <v>680.4</v>
      </c>
      <c r="G2040" s="144" t="s">
        <v>101</v>
      </c>
      <c r="H2040" s="40">
        <v>2</v>
      </c>
      <c r="I2040" s="56" t="s">
        <v>617</v>
      </c>
    </row>
    <row r="2041" spans="1:9" s="81" customFormat="1" ht="21.6" customHeight="1">
      <c r="A2041" s="27">
        <v>2286</v>
      </c>
      <c r="B2041" s="104" t="s">
        <v>52</v>
      </c>
      <c r="C2041" s="104" t="s">
        <v>1036</v>
      </c>
      <c r="D2041" s="34" t="s">
        <v>1673</v>
      </c>
      <c r="E2041" s="35" t="s">
        <v>1037</v>
      </c>
      <c r="F2041" s="40">
        <v>302.39999999999998</v>
      </c>
      <c r="G2041" s="145" t="s">
        <v>1809</v>
      </c>
      <c r="H2041" s="40">
        <v>1</v>
      </c>
      <c r="I2041" s="56" t="s">
        <v>526</v>
      </c>
    </row>
    <row r="2042" spans="1:9" s="81" customFormat="1" ht="21.6" customHeight="1">
      <c r="A2042" s="27">
        <v>2287</v>
      </c>
      <c r="B2042" s="104" t="s">
        <v>52</v>
      </c>
      <c r="C2042" s="104" t="s">
        <v>911</v>
      </c>
      <c r="D2042" s="34" t="s">
        <v>1624</v>
      </c>
      <c r="E2042" s="35" t="s">
        <v>912</v>
      </c>
      <c r="F2042" s="40">
        <v>302.39999999999998</v>
      </c>
      <c r="G2042" s="145" t="s">
        <v>87</v>
      </c>
      <c r="H2042" s="40">
        <v>1</v>
      </c>
      <c r="I2042" s="56"/>
    </row>
    <row r="2043" spans="1:9" s="81" customFormat="1" ht="21.6" customHeight="1">
      <c r="A2043" s="27">
        <v>2288</v>
      </c>
      <c r="B2043" s="104" t="s">
        <v>52</v>
      </c>
      <c r="C2043" s="104" t="s">
        <v>622</v>
      </c>
      <c r="D2043" s="34" t="s">
        <v>1519</v>
      </c>
      <c r="E2043" s="35" t="s">
        <v>623</v>
      </c>
      <c r="F2043" s="40">
        <v>302.39999999999998</v>
      </c>
      <c r="G2043" s="144" t="s">
        <v>1827</v>
      </c>
      <c r="H2043" s="40">
        <v>1</v>
      </c>
      <c r="I2043" s="56"/>
    </row>
    <row r="2044" spans="1:9" s="81" customFormat="1" ht="21.6" customHeight="1">
      <c r="A2044" s="27">
        <v>2289</v>
      </c>
      <c r="B2044" s="104" t="s">
        <v>52</v>
      </c>
      <c r="C2044" s="104" t="s">
        <v>624</v>
      </c>
      <c r="D2044" s="34" t="s">
        <v>1520</v>
      </c>
      <c r="E2044" s="35" t="s">
        <v>625</v>
      </c>
      <c r="F2044" s="40">
        <v>302.39999999999998</v>
      </c>
      <c r="G2044" s="144" t="s">
        <v>1828</v>
      </c>
      <c r="H2044" s="40">
        <v>1</v>
      </c>
      <c r="I2044" s="56"/>
    </row>
    <row r="2045" spans="1:9" s="81" customFormat="1" ht="21.6" customHeight="1">
      <c r="A2045" s="27">
        <v>2290</v>
      </c>
      <c r="B2045" s="104" t="s">
        <v>52</v>
      </c>
      <c r="C2045" s="104" t="s">
        <v>626</v>
      </c>
      <c r="D2045" s="34" t="s">
        <v>1521</v>
      </c>
      <c r="E2045" s="35" t="s">
        <v>627</v>
      </c>
      <c r="F2045" s="40">
        <v>302.39999999999998</v>
      </c>
      <c r="G2045" s="145" t="s">
        <v>628</v>
      </c>
      <c r="H2045" s="40">
        <v>2</v>
      </c>
      <c r="I2045" s="56"/>
    </row>
    <row r="2046" spans="1:9" s="81" customFormat="1" ht="21.6" customHeight="1">
      <c r="A2046" s="27">
        <v>2291</v>
      </c>
      <c r="B2046" s="104" t="s">
        <v>52</v>
      </c>
      <c r="C2046" s="104" t="s">
        <v>629</v>
      </c>
      <c r="D2046" s="34" t="s">
        <v>1522</v>
      </c>
      <c r="E2046" s="35" t="s">
        <v>630</v>
      </c>
      <c r="F2046" s="40">
        <v>120</v>
      </c>
      <c r="G2046" s="144" t="s">
        <v>631</v>
      </c>
      <c r="H2046" s="40">
        <v>2</v>
      </c>
      <c r="I2046" s="56" t="s">
        <v>116</v>
      </c>
    </row>
    <row r="2047" spans="1:9" s="81" customFormat="1" ht="21.6" customHeight="1">
      <c r="A2047" s="27">
        <v>2292</v>
      </c>
      <c r="B2047" s="104" t="s">
        <v>52</v>
      </c>
      <c r="C2047" s="104" t="s">
        <v>329</v>
      </c>
      <c r="D2047" s="80" t="s">
        <v>1409</v>
      </c>
      <c r="E2047" s="35" t="s">
        <v>330</v>
      </c>
      <c r="F2047" s="40">
        <v>120</v>
      </c>
      <c r="G2047" s="144" t="s">
        <v>115</v>
      </c>
      <c r="H2047" s="40">
        <v>1</v>
      </c>
      <c r="I2047" s="56" t="s">
        <v>116</v>
      </c>
    </row>
    <row r="2048" spans="1:9" s="58" customFormat="1" ht="21.6" customHeight="1">
      <c r="A2048" s="27">
        <v>2293</v>
      </c>
      <c r="B2048" s="104" t="s">
        <v>52</v>
      </c>
      <c r="C2048" s="104" t="s">
        <v>264</v>
      </c>
      <c r="D2048" s="50" t="s">
        <v>1389</v>
      </c>
      <c r="E2048" s="51" t="s">
        <v>265</v>
      </c>
      <c r="F2048" s="29">
        <v>80</v>
      </c>
      <c r="G2048" s="144" t="s">
        <v>1829</v>
      </c>
      <c r="H2048" s="29">
        <v>1</v>
      </c>
      <c r="I2048" s="31" t="s">
        <v>318</v>
      </c>
    </row>
    <row r="2049" spans="1:9" s="58" customFormat="1" ht="21.6" customHeight="1">
      <c r="A2049" s="27">
        <v>2294</v>
      </c>
      <c r="B2049" s="104" t="s">
        <v>52</v>
      </c>
      <c r="C2049" s="104" t="s">
        <v>268</v>
      </c>
      <c r="D2049" s="50" t="s">
        <v>1390</v>
      </c>
      <c r="E2049" s="51" t="s">
        <v>269</v>
      </c>
      <c r="F2049" s="29">
        <v>80</v>
      </c>
      <c r="G2049" s="144" t="s">
        <v>633</v>
      </c>
      <c r="H2049" s="29">
        <v>1</v>
      </c>
      <c r="I2049" s="31" t="s">
        <v>318</v>
      </c>
    </row>
    <row r="2050" spans="1:9" s="58" customFormat="1" ht="21.6" customHeight="1">
      <c r="A2050" s="27">
        <v>2295</v>
      </c>
      <c r="B2050" s="104" t="s">
        <v>52</v>
      </c>
      <c r="C2050" s="104" t="s">
        <v>271</v>
      </c>
      <c r="D2050" s="50" t="s">
        <v>1391</v>
      </c>
      <c r="E2050" s="51" t="s">
        <v>272</v>
      </c>
      <c r="F2050" s="29">
        <v>80</v>
      </c>
      <c r="G2050" s="144" t="s">
        <v>1830</v>
      </c>
      <c r="H2050" s="29">
        <v>1</v>
      </c>
      <c r="I2050" s="31" t="s">
        <v>318</v>
      </c>
    </row>
    <row r="2051" spans="1:9" s="26" customFormat="1" ht="21.6" customHeight="1">
      <c r="A2051" s="27">
        <v>2296</v>
      </c>
      <c r="B2051" s="104" t="s">
        <v>52</v>
      </c>
      <c r="C2051" s="104" t="s">
        <v>225</v>
      </c>
      <c r="D2051" s="39" t="s">
        <v>1375</v>
      </c>
      <c r="E2051" s="3" t="s">
        <v>226</v>
      </c>
      <c r="F2051" s="29">
        <v>120</v>
      </c>
      <c r="G2051" s="144" t="s">
        <v>1781</v>
      </c>
      <c r="H2051" s="29">
        <v>2</v>
      </c>
      <c r="I2051" s="31" t="s">
        <v>364</v>
      </c>
    </row>
    <row r="2052" spans="1:9" s="26" customFormat="1" ht="21.6" customHeight="1">
      <c r="A2052" s="27">
        <v>2297</v>
      </c>
      <c r="B2052" s="104" t="s">
        <v>52</v>
      </c>
      <c r="C2052" s="104" t="s">
        <v>229</v>
      </c>
      <c r="D2052" s="39" t="s">
        <v>1376</v>
      </c>
      <c r="E2052" s="51" t="s">
        <v>230</v>
      </c>
      <c r="F2052" s="29">
        <v>120</v>
      </c>
      <c r="G2052" s="144" t="s">
        <v>278</v>
      </c>
      <c r="H2052" s="29">
        <v>1</v>
      </c>
      <c r="I2052" s="31" t="s">
        <v>364</v>
      </c>
    </row>
    <row r="2053" spans="1:9" s="26" customFormat="1" ht="21.6" customHeight="1">
      <c r="A2053" s="27">
        <v>2298</v>
      </c>
      <c r="B2053" s="104" t="s">
        <v>52</v>
      </c>
      <c r="C2053" s="104" t="s">
        <v>323</v>
      </c>
      <c r="D2053" s="39" t="s">
        <v>1407</v>
      </c>
      <c r="E2053" s="51" t="s">
        <v>324</v>
      </c>
      <c r="F2053" s="29">
        <v>120</v>
      </c>
      <c r="G2053" s="144" t="s">
        <v>1782</v>
      </c>
      <c r="H2053" s="29">
        <v>1</v>
      </c>
      <c r="I2053" s="31" t="s">
        <v>325</v>
      </c>
    </row>
    <row r="2054" spans="1:9" s="26" customFormat="1" ht="21.6" customHeight="1">
      <c r="A2054" s="27">
        <v>2299</v>
      </c>
      <c r="B2054" s="104" t="s">
        <v>52</v>
      </c>
      <c r="C2054" s="104" t="s">
        <v>284</v>
      </c>
      <c r="D2054" s="50" t="s">
        <v>1395</v>
      </c>
      <c r="E2054" s="51" t="s">
        <v>226</v>
      </c>
      <c r="F2054" s="29">
        <v>120</v>
      </c>
      <c r="G2054" s="144" t="s">
        <v>285</v>
      </c>
      <c r="H2054" s="29">
        <v>1</v>
      </c>
      <c r="I2054" s="31" t="s">
        <v>325</v>
      </c>
    </row>
    <row r="2055" spans="1:9" s="26" customFormat="1" ht="21.6" customHeight="1">
      <c r="A2055" s="27">
        <v>2300</v>
      </c>
      <c r="B2055" s="104" t="s">
        <v>52</v>
      </c>
      <c r="C2055" s="104" t="s">
        <v>287</v>
      </c>
      <c r="D2055" s="50" t="s">
        <v>1396</v>
      </c>
      <c r="E2055" s="51" t="s">
        <v>288</v>
      </c>
      <c r="F2055" s="29">
        <v>120</v>
      </c>
      <c r="G2055" s="144" t="s">
        <v>282</v>
      </c>
      <c r="H2055" s="29">
        <v>1</v>
      </c>
      <c r="I2055" s="31" t="s">
        <v>325</v>
      </c>
    </row>
    <row r="2056" spans="1:9" s="58" customFormat="1" ht="21.6" customHeight="1">
      <c r="A2056" s="27">
        <v>2301</v>
      </c>
      <c r="B2056" s="104" t="s">
        <v>52</v>
      </c>
      <c r="C2056" s="104" t="s">
        <v>326</v>
      </c>
      <c r="D2056" s="50" t="s">
        <v>1408</v>
      </c>
      <c r="E2056" s="51" t="s">
        <v>327</v>
      </c>
      <c r="F2056" s="29">
        <v>320</v>
      </c>
      <c r="G2056" s="144" t="s">
        <v>237</v>
      </c>
      <c r="H2056" s="29">
        <v>2</v>
      </c>
      <c r="I2056" s="31" t="s">
        <v>328</v>
      </c>
    </row>
    <row r="2057" spans="1:9" s="58" customFormat="1" ht="21.6" customHeight="1">
      <c r="A2057" s="27">
        <v>2302</v>
      </c>
      <c r="B2057" s="104" t="s">
        <v>52</v>
      </c>
      <c r="C2057" s="104" t="s">
        <v>329</v>
      </c>
      <c r="D2057" s="50" t="s">
        <v>1409</v>
      </c>
      <c r="E2057" s="51" t="s">
        <v>330</v>
      </c>
      <c r="F2057" s="29">
        <v>320</v>
      </c>
      <c r="G2057" s="144" t="s">
        <v>634</v>
      </c>
      <c r="H2057" s="29">
        <v>1</v>
      </c>
      <c r="I2057" s="31" t="s">
        <v>328</v>
      </c>
    </row>
    <row r="2058" spans="1:9" ht="21.6" customHeight="1">
      <c r="A2058" s="27">
        <v>2303</v>
      </c>
      <c r="B2058" s="132" t="s">
        <v>52</v>
      </c>
      <c r="C2058" s="132" t="s">
        <v>332</v>
      </c>
      <c r="D2058" s="34" t="s">
        <v>1410</v>
      </c>
      <c r="E2058" s="35" t="s">
        <v>333</v>
      </c>
      <c r="F2058" s="40">
        <v>500</v>
      </c>
      <c r="G2058" s="144" t="s">
        <v>1784</v>
      </c>
      <c r="H2058" s="40">
        <v>2</v>
      </c>
      <c r="I2058" s="55" t="s">
        <v>334</v>
      </c>
    </row>
    <row r="2059" spans="1:9" ht="21.6" customHeight="1">
      <c r="A2059" s="27">
        <v>2304</v>
      </c>
      <c r="B2059" s="132" t="s">
        <v>52</v>
      </c>
      <c r="C2059" s="132" t="s">
        <v>335</v>
      </c>
      <c r="D2059" s="34" t="s">
        <v>1411</v>
      </c>
      <c r="E2059" s="35" t="s">
        <v>336</v>
      </c>
      <c r="F2059" s="40">
        <v>500</v>
      </c>
      <c r="G2059" s="144" t="s">
        <v>337</v>
      </c>
      <c r="H2059" s="40">
        <v>1</v>
      </c>
      <c r="I2059" s="55" t="s">
        <v>338</v>
      </c>
    </row>
    <row r="2060" spans="1:9" ht="21.6" customHeight="1">
      <c r="A2060" s="27">
        <v>2305</v>
      </c>
      <c r="B2060" s="132" t="s">
        <v>52</v>
      </c>
      <c r="C2060" s="132" t="s">
        <v>339</v>
      </c>
      <c r="D2060" s="34" t="s">
        <v>1412</v>
      </c>
      <c r="E2060" s="35" t="s">
        <v>340</v>
      </c>
      <c r="F2060" s="40">
        <v>500</v>
      </c>
      <c r="G2060" s="145" t="s">
        <v>341</v>
      </c>
      <c r="H2060" s="40">
        <v>1</v>
      </c>
      <c r="I2060" s="55" t="s">
        <v>338</v>
      </c>
    </row>
    <row r="2061" spans="1:9" s="81" customFormat="1" ht="21.6" customHeight="1">
      <c r="A2061" s="27">
        <v>2306</v>
      </c>
      <c r="B2061" s="104" t="s">
        <v>52</v>
      </c>
      <c r="C2061" s="104" t="s">
        <v>635</v>
      </c>
      <c r="D2061" s="80" t="s">
        <v>1523</v>
      </c>
      <c r="E2061" s="35" t="s">
        <v>636</v>
      </c>
      <c r="F2061" s="40">
        <v>210</v>
      </c>
      <c r="G2061" s="144" t="s">
        <v>637</v>
      </c>
      <c r="H2061" s="40" t="s">
        <v>123</v>
      </c>
      <c r="I2061" s="56"/>
    </row>
    <row r="2062" spans="1:9" s="81" customFormat="1" ht="21.6" customHeight="1">
      <c r="A2062" s="27">
        <v>2307</v>
      </c>
      <c r="B2062" s="104" t="s">
        <v>52</v>
      </c>
      <c r="C2062" s="104" t="s">
        <v>954</v>
      </c>
      <c r="D2062" s="34" t="s">
        <v>1644</v>
      </c>
      <c r="E2062" s="35" t="s">
        <v>955</v>
      </c>
      <c r="F2062" s="40">
        <v>105</v>
      </c>
      <c r="G2062" s="144" t="s">
        <v>755</v>
      </c>
      <c r="H2062" s="40" t="s">
        <v>123</v>
      </c>
      <c r="I2062" s="56"/>
    </row>
    <row r="2063" spans="1:9" s="58" customFormat="1" ht="21.6" customHeight="1">
      <c r="A2063" s="27">
        <v>2308</v>
      </c>
      <c r="B2063" s="104" t="s">
        <v>52</v>
      </c>
      <c r="C2063" s="104" t="s">
        <v>295</v>
      </c>
      <c r="D2063" s="39" t="s">
        <v>1399</v>
      </c>
      <c r="E2063" s="3" t="s">
        <v>296</v>
      </c>
      <c r="F2063" s="29">
        <v>80</v>
      </c>
      <c r="G2063" s="144" t="s">
        <v>638</v>
      </c>
      <c r="H2063" s="40" t="s">
        <v>123</v>
      </c>
      <c r="I2063" s="31" t="s">
        <v>639</v>
      </c>
    </row>
    <row r="2064" spans="1:9" s="26" customFormat="1" ht="21.6" customHeight="1">
      <c r="A2064" s="27">
        <v>2309</v>
      </c>
      <c r="B2064" s="104" t="s">
        <v>52</v>
      </c>
      <c r="C2064" s="104" t="s">
        <v>298</v>
      </c>
      <c r="D2064" s="39" t="s">
        <v>1400</v>
      </c>
      <c r="E2064" s="3" t="s">
        <v>299</v>
      </c>
      <c r="F2064" s="29">
        <v>120</v>
      </c>
      <c r="G2064" s="144" t="s">
        <v>300</v>
      </c>
      <c r="H2064" s="40" t="s">
        <v>123</v>
      </c>
      <c r="I2064" s="31" t="s">
        <v>321</v>
      </c>
    </row>
    <row r="2065" spans="1:9" s="26" customFormat="1" ht="21.6" customHeight="1">
      <c r="A2065" s="27">
        <v>2310</v>
      </c>
      <c r="B2065" s="104" t="s">
        <v>52</v>
      </c>
      <c r="C2065" s="104" t="s">
        <v>345</v>
      </c>
      <c r="D2065" s="39" t="s">
        <v>1414</v>
      </c>
      <c r="E2065" s="3" t="s">
        <v>346</v>
      </c>
      <c r="F2065" s="29">
        <v>120</v>
      </c>
      <c r="G2065" s="144" t="s">
        <v>303</v>
      </c>
      <c r="H2065" s="40" t="s">
        <v>123</v>
      </c>
      <c r="I2065" s="31" t="s">
        <v>325</v>
      </c>
    </row>
    <row r="2066" spans="1:9" ht="21.6" customHeight="1">
      <c r="A2066" s="27">
        <v>2312</v>
      </c>
      <c r="B2066" s="132" t="s">
        <v>52</v>
      </c>
      <c r="C2066" s="132" t="s">
        <v>347</v>
      </c>
      <c r="D2066" s="34" t="s">
        <v>1415</v>
      </c>
      <c r="E2066" s="35" t="s">
        <v>348</v>
      </c>
      <c r="F2066" s="40">
        <v>500</v>
      </c>
      <c r="G2066" s="144" t="s">
        <v>349</v>
      </c>
      <c r="H2066" s="40" t="s">
        <v>123</v>
      </c>
      <c r="I2066" s="55" t="s">
        <v>334</v>
      </c>
    </row>
    <row r="2067" spans="1:9" s="58" customFormat="1" ht="21.6" customHeight="1">
      <c r="A2067" s="27">
        <v>2314</v>
      </c>
      <c r="B2067" s="104" t="s">
        <v>52</v>
      </c>
      <c r="C2067" s="104" t="s">
        <v>1038</v>
      </c>
      <c r="D2067" s="39" t="s">
        <v>1674</v>
      </c>
      <c r="E2067" s="3" t="s">
        <v>1039</v>
      </c>
      <c r="F2067" s="29">
        <v>302.39999999999998</v>
      </c>
      <c r="G2067" s="144" t="s">
        <v>642</v>
      </c>
      <c r="H2067" s="40" t="s">
        <v>123</v>
      </c>
      <c r="I2067" s="31" t="s">
        <v>526</v>
      </c>
    </row>
    <row r="2068" spans="1:9" s="58" customFormat="1" ht="21.6" customHeight="1">
      <c r="A2068" s="27">
        <v>2315</v>
      </c>
      <c r="B2068" s="104" t="s">
        <v>52</v>
      </c>
      <c r="C2068" s="104" t="s">
        <v>643</v>
      </c>
      <c r="D2068" s="39" t="s">
        <v>1525</v>
      </c>
      <c r="E2068" s="3" t="s">
        <v>644</v>
      </c>
      <c r="F2068" s="29">
        <v>210</v>
      </c>
      <c r="G2068" s="144" t="s">
        <v>645</v>
      </c>
      <c r="H2068" s="40" t="s">
        <v>123</v>
      </c>
      <c r="I2068" s="31"/>
    </row>
    <row r="2069" spans="1:9" s="81" customFormat="1" ht="21.6" customHeight="1">
      <c r="A2069" s="27">
        <v>2316</v>
      </c>
      <c r="B2069" s="104" t="s">
        <v>52</v>
      </c>
      <c r="C2069" s="104" t="s">
        <v>1062</v>
      </c>
      <c r="D2069" s="34" t="s">
        <v>1685</v>
      </c>
      <c r="E2069" s="35" t="s">
        <v>1063</v>
      </c>
      <c r="F2069" s="40" t="s">
        <v>123</v>
      </c>
      <c r="G2069" s="145" t="s">
        <v>585</v>
      </c>
      <c r="H2069" s="40" t="s">
        <v>123</v>
      </c>
      <c r="I2069" s="56"/>
    </row>
    <row r="2070" spans="1:9" s="81" customFormat="1" ht="21.6" customHeight="1">
      <c r="A2070" s="27">
        <v>2317</v>
      </c>
      <c r="B2070" s="104" t="s">
        <v>52</v>
      </c>
      <c r="C2070" s="104" t="s">
        <v>648</v>
      </c>
      <c r="D2070" s="34" t="s">
        <v>1527</v>
      </c>
      <c r="E2070" s="35" t="s">
        <v>649</v>
      </c>
      <c r="F2070" s="40" t="s">
        <v>123</v>
      </c>
      <c r="G2070" s="145" t="s">
        <v>129</v>
      </c>
      <c r="H2070" s="40" t="s">
        <v>123</v>
      </c>
      <c r="I2070" s="56"/>
    </row>
    <row r="2071" spans="1:9" ht="21.6" customHeight="1">
      <c r="A2071" s="27">
        <v>2318</v>
      </c>
      <c r="B2071" s="104" t="s">
        <v>52</v>
      </c>
      <c r="C2071" s="104" t="s">
        <v>1064</v>
      </c>
      <c r="D2071" s="34" t="s">
        <v>1686</v>
      </c>
      <c r="E2071" s="35" t="s">
        <v>1065</v>
      </c>
      <c r="F2071" s="40" t="s">
        <v>123</v>
      </c>
      <c r="G2071" s="145" t="s">
        <v>772</v>
      </c>
      <c r="H2071" s="40" t="s">
        <v>123</v>
      </c>
      <c r="I2071" s="56"/>
    </row>
    <row r="2072" spans="1:9" ht="21.6" customHeight="1">
      <c r="A2072" s="27">
        <v>2319</v>
      </c>
      <c r="B2072" s="104" t="s">
        <v>52</v>
      </c>
      <c r="C2072" s="104" t="s">
        <v>1066</v>
      </c>
      <c r="D2072" s="34" t="s">
        <v>1687</v>
      </c>
      <c r="E2072" s="35" t="s">
        <v>1067</v>
      </c>
      <c r="F2072" s="40" t="s">
        <v>123</v>
      </c>
      <c r="G2072" s="145" t="s">
        <v>775</v>
      </c>
      <c r="H2072" s="40" t="s">
        <v>123</v>
      </c>
      <c r="I2072" s="56"/>
    </row>
    <row r="2073" spans="1:9" ht="21.6" customHeight="1">
      <c r="A2073" s="27">
        <v>2320</v>
      </c>
      <c r="B2073" s="104" t="s">
        <v>52</v>
      </c>
      <c r="C2073" s="104" t="s">
        <v>1068</v>
      </c>
      <c r="D2073" s="34" t="s">
        <v>1688</v>
      </c>
      <c r="E2073" s="35" t="s">
        <v>1069</v>
      </c>
      <c r="F2073" s="40" t="s">
        <v>123</v>
      </c>
      <c r="G2073" s="145" t="s">
        <v>778</v>
      </c>
      <c r="H2073" s="40" t="s">
        <v>123</v>
      </c>
      <c r="I2073" s="56"/>
    </row>
    <row r="2074" spans="1:9" s="81" customFormat="1" ht="21.6" customHeight="1">
      <c r="A2074" s="41">
        <v>2321</v>
      </c>
      <c r="B2074" s="104" t="s">
        <v>52</v>
      </c>
      <c r="C2074" s="104" t="s">
        <v>650</v>
      </c>
      <c r="D2074" s="34" t="s">
        <v>1528</v>
      </c>
      <c r="E2074" s="35" t="s">
        <v>651</v>
      </c>
      <c r="F2074" s="40" t="s">
        <v>123</v>
      </c>
      <c r="G2074" s="144" t="s">
        <v>1821</v>
      </c>
      <c r="H2074" s="40" t="s">
        <v>123</v>
      </c>
      <c r="I2074" s="56"/>
    </row>
    <row r="2075" spans="1:9" s="81" customFormat="1" ht="21.6" customHeight="1">
      <c r="A2075" s="41">
        <v>2322</v>
      </c>
      <c r="B2075" s="84" t="s">
        <v>52</v>
      </c>
      <c r="C2075" s="84" t="s">
        <v>969</v>
      </c>
      <c r="D2075" s="84" t="s">
        <v>1651</v>
      </c>
      <c r="E2075" s="83" t="s">
        <v>970</v>
      </c>
      <c r="F2075" s="85" t="s">
        <v>654</v>
      </c>
      <c r="G2075" s="150" t="s">
        <v>1805</v>
      </c>
      <c r="H2075" s="85" t="s">
        <v>123</v>
      </c>
      <c r="I2075" s="86"/>
    </row>
    <row r="2076" spans="1:9" s="81" customFormat="1" ht="21.6" customHeight="1">
      <c r="A2076" s="20">
        <v>2323</v>
      </c>
      <c r="B2076" s="73" t="s">
        <v>1315</v>
      </c>
      <c r="C2076" s="73" t="s">
        <v>840</v>
      </c>
      <c r="D2076" s="73" t="s">
        <v>1595</v>
      </c>
      <c r="E2076" s="72" t="s">
        <v>841</v>
      </c>
      <c r="F2076" s="74">
        <v>84</v>
      </c>
      <c r="G2076" s="143" t="s">
        <v>193</v>
      </c>
      <c r="H2076" s="74">
        <v>4</v>
      </c>
      <c r="I2076" s="75"/>
    </row>
    <row r="2077" spans="1:9" s="81" customFormat="1" ht="21.6" customHeight="1">
      <c r="A2077" s="27">
        <v>2324</v>
      </c>
      <c r="B2077" s="34" t="s">
        <v>1315</v>
      </c>
      <c r="C2077" s="34" t="s">
        <v>699</v>
      </c>
      <c r="D2077" s="34" t="s">
        <v>1543</v>
      </c>
      <c r="E2077" s="35" t="s">
        <v>700</v>
      </c>
      <c r="F2077" s="40">
        <v>84</v>
      </c>
      <c r="G2077" s="145" t="s">
        <v>502</v>
      </c>
      <c r="H2077" s="40">
        <v>1</v>
      </c>
      <c r="I2077" s="56"/>
    </row>
    <row r="2078" spans="1:9" s="81" customFormat="1" ht="21.6" customHeight="1">
      <c r="A2078" s="27">
        <v>2325</v>
      </c>
      <c r="B2078" s="34" t="s">
        <v>1315</v>
      </c>
      <c r="C2078" s="34" t="s">
        <v>701</v>
      </c>
      <c r="D2078" s="34" t="s">
        <v>1544</v>
      </c>
      <c r="E2078" s="35" t="s">
        <v>702</v>
      </c>
      <c r="F2078" s="40">
        <v>84</v>
      </c>
      <c r="G2078" s="145" t="s">
        <v>703</v>
      </c>
      <c r="H2078" s="40">
        <v>1</v>
      </c>
      <c r="I2078" s="56"/>
    </row>
    <row r="2079" spans="1:9" s="81" customFormat="1" ht="21.6" customHeight="1">
      <c r="A2079" s="27">
        <v>2326</v>
      </c>
      <c r="B2079" s="34" t="s">
        <v>1315</v>
      </c>
      <c r="C2079" s="34" t="s">
        <v>704</v>
      </c>
      <c r="D2079" s="34" t="s">
        <v>1545</v>
      </c>
      <c r="E2079" s="35" t="s">
        <v>705</v>
      </c>
      <c r="F2079" s="40">
        <v>84</v>
      </c>
      <c r="G2079" s="144" t="s">
        <v>706</v>
      </c>
      <c r="H2079" s="40">
        <v>1</v>
      </c>
      <c r="I2079" s="56"/>
    </row>
    <row r="2080" spans="1:9" s="81" customFormat="1" ht="21.6" customHeight="1">
      <c r="A2080" s="27">
        <v>2327</v>
      </c>
      <c r="B2080" s="34" t="s">
        <v>1315</v>
      </c>
      <c r="C2080" s="34" t="s">
        <v>707</v>
      </c>
      <c r="D2080" s="34" t="s">
        <v>1546</v>
      </c>
      <c r="E2080" s="35" t="s">
        <v>708</v>
      </c>
      <c r="F2080" s="40">
        <v>84</v>
      </c>
      <c r="G2080" s="145" t="s">
        <v>709</v>
      </c>
      <c r="H2080" s="40">
        <v>1</v>
      </c>
      <c r="I2080" s="56"/>
    </row>
    <row r="2081" spans="1:9" s="81" customFormat="1" ht="21.6" customHeight="1">
      <c r="A2081" s="27">
        <v>2328</v>
      </c>
      <c r="B2081" s="34" t="s">
        <v>1315</v>
      </c>
      <c r="C2081" s="34" t="s">
        <v>710</v>
      </c>
      <c r="D2081" s="34" t="s">
        <v>1547</v>
      </c>
      <c r="E2081" s="35" t="s">
        <v>711</v>
      </c>
      <c r="F2081" s="40">
        <v>84</v>
      </c>
      <c r="G2081" s="145" t="s">
        <v>415</v>
      </c>
      <c r="H2081" s="40">
        <v>4</v>
      </c>
      <c r="I2081" s="56"/>
    </row>
    <row r="2082" spans="1:9" s="81" customFormat="1" ht="21.6" customHeight="1">
      <c r="A2082" s="27">
        <v>2329</v>
      </c>
      <c r="B2082" s="34" t="s">
        <v>1315</v>
      </c>
      <c r="C2082" s="34" t="s">
        <v>605</v>
      </c>
      <c r="D2082" s="34" t="s">
        <v>1511</v>
      </c>
      <c r="E2082" s="35" t="s">
        <v>606</v>
      </c>
      <c r="F2082" s="40">
        <v>168</v>
      </c>
      <c r="G2082" s="145" t="s">
        <v>533</v>
      </c>
      <c r="H2082" s="40">
        <v>1</v>
      </c>
      <c r="I2082" s="56"/>
    </row>
    <row r="2083" spans="1:9" s="81" customFormat="1" ht="21.6" customHeight="1">
      <c r="A2083" s="27">
        <v>2330</v>
      </c>
      <c r="B2083" s="34" t="s">
        <v>1315</v>
      </c>
      <c r="C2083" s="34" t="s">
        <v>607</v>
      </c>
      <c r="D2083" s="34" t="s">
        <v>1512</v>
      </c>
      <c r="E2083" s="35" t="s">
        <v>608</v>
      </c>
      <c r="F2083" s="40">
        <v>252</v>
      </c>
      <c r="G2083" s="145" t="s">
        <v>1812</v>
      </c>
      <c r="H2083" s="40">
        <v>1</v>
      </c>
      <c r="I2083" s="56"/>
    </row>
    <row r="2084" spans="1:9" s="81" customFormat="1" ht="21.6" customHeight="1">
      <c r="A2084" s="27">
        <v>2332</v>
      </c>
      <c r="B2084" s="34" t="s">
        <v>1315</v>
      </c>
      <c r="C2084" s="34" t="s">
        <v>1774</v>
      </c>
      <c r="D2084" s="102" t="s">
        <v>1666</v>
      </c>
      <c r="E2084" s="37" t="s">
        <v>1021</v>
      </c>
      <c r="F2084" s="40">
        <v>336</v>
      </c>
      <c r="G2084" s="144" t="s">
        <v>1809</v>
      </c>
      <c r="H2084" s="40">
        <v>1</v>
      </c>
      <c r="I2084" s="89" t="s">
        <v>819</v>
      </c>
    </row>
    <row r="2085" spans="1:9" s="81" customFormat="1" ht="21.6" customHeight="1">
      <c r="A2085" s="27">
        <v>2333</v>
      </c>
      <c r="B2085" s="34" t="s">
        <v>1315</v>
      </c>
      <c r="C2085" s="34" t="s">
        <v>843</v>
      </c>
      <c r="D2085" s="34" t="s">
        <v>1597</v>
      </c>
      <c r="E2085" s="35" t="s">
        <v>844</v>
      </c>
      <c r="F2085" s="40">
        <v>336</v>
      </c>
      <c r="G2085" s="144" t="s">
        <v>87</v>
      </c>
      <c r="H2085" s="40">
        <v>1</v>
      </c>
      <c r="I2085" s="56"/>
    </row>
    <row r="2086" spans="1:9" s="81" customFormat="1" ht="21.6" customHeight="1">
      <c r="A2086" s="27">
        <v>2334</v>
      </c>
      <c r="B2086" s="34" t="s">
        <v>1315</v>
      </c>
      <c r="C2086" s="34" t="s">
        <v>845</v>
      </c>
      <c r="D2086" s="34" t="s">
        <v>1598</v>
      </c>
      <c r="E2086" s="35" t="s">
        <v>846</v>
      </c>
      <c r="F2086" s="40">
        <v>84</v>
      </c>
      <c r="G2086" s="144" t="s">
        <v>107</v>
      </c>
      <c r="H2086" s="40">
        <v>4</v>
      </c>
      <c r="I2086" s="56"/>
    </row>
    <row r="2087" spans="1:9" s="81" customFormat="1" ht="21.6" customHeight="1">
      <c r="A2087" s="27">
        <v>2335</v>
      </c>
      <c r="B2087" s="34" t="s">
        <v>1315</v>
      </c>
      <c r="C2087" s="34" t="s">
        <v>598</v>
      </c>
      <c r="D2087" s="34" t="s">
        <v>1508</v>
      </c>
      <c r="E2087" s="35" t="s">
        <v>599</v>
      </c>
      <c r="F2087" s="40">
        <v>84</v>
      </c>
      <c r="G2087" s="145" t="s">
        <v>104</v>
      </c>
      <c r="H2087" s="40">
        <v>4</v>
      </c>
      <c r="I2087" s="56"/>
    </row>
    <row r="2088" spans="1:9" s="81" customFormat="1" ht="21.6" customHeight="1">
      <c r="A2088" s="27">
        <v>2336</v>
      </c>
      <c r="B2088" s="34" t="s">
        <v>1315</v>
      </c>
      <c r="C2088" s="34" t="s">
        <v>729</v>
      </c>
      <c r="D2088" s="34" t="s">
        <v>1555</v>
      </c>
      <c r="E2088" s="35" t="s">
        <v>730</v>
      </c>
      <c r="F2088" s="40">
        <v>84</v>
      </c>
      <c r="G2088" s="144" t="s">
        <v>1822</v>
      </c>
      <c r="H2088" s="40">
        <v>8</v>
      </c>
      <c r="I2088" s="56"/>
    </row>
    <row r="2089" spans="1:9" s="81" customFormat="1" ht="21.6" customHeight="1">
      <c r="A2089" s="27">
        <v>2337</v>
      </c>
      <c r="B2089" s="34" t="s">
        <v>1315</v>
      </c>
      <c r="C2089" s="34" t="s">
        <v>731</v>
      </c>
      <c r="D2089" s="34" t="s">
        <v>1556</v>
      </c>
      <c r="E2089" s="35" t="s">
        <v>732</v>
      </c>
      <c r="F2089" s="40">
        <v>84</v>
      </c>
      <c r="G2089" s="144" t="s">
        <v>733</v>
      </c>
      <c r="H2089" s="40">
        <v>4</v>
      </c>
      <c r="I2089" s="56"/>
    </row>
    <row r="2090" spans="1:9" s="81" customFormat="1" ht="21.6" customHeight="1">
      <c r="A2090" s="27">
        <v>2338</v>
      </c>
      <c r="B2090" s="34" t="s">
        <v>1315</v>
      </c>
      <c r="C2090" s="34" t="s">
        <v>734</v>
      </c>
      <c r="D2090" s="34" t="s">
        <v>1557</v>
      </c>
      <c r="E2090" s="35" t="s">
        <v>735</v>
      </c>
      <c r="F2090" s="40">
        <v>84</v>
      </c>
      <c r="G2090" s="144" t="s">
        <v>736</v>
      </c>
      <c r="H2090" s="40">
        <v>4</v>
      </c>
      <c r="I2090" s="56"/>
    </row>
    <row r="2091" spans="1:9" s="81" customFormat="1" ht="21.6" customHeight="1">
      <c r="A2091" s="27">
        <v>2339</v>
      </c>
      <c r="B2091" s="34" t="s">
        <v>1315</v>
      </c>
      <c r="C2091" s="34" t="s">
        <v>847</v>
      </c>
      <c r="D2091" s="34" t="s">
        <v>1599</v>
      </c>
      <c r="E2091" s="35" t="s">
        <v>848</v>
      </c>
      <c r="F2091" s="40">
        <v>336</v>
      </c>
      <c r="G2091" s="144">
        <f>+$H$1434</f>
        <v>4</v>
      </c>
      <c r="H2091" s="40">
        <v>4</v>
      </c>
      <c r="I2091" s="56"/>
    </row>
    <row r="2092" spans="1:9" s="81" customFormat="1" ht="21.6" customHeight="1">
      <c r="A2092" s="27">
        <v>2340</v>
      </c>
      <c r="B2092" s="34" t="s">
        <v>1315</v>
      </c>
      <c r="C2092" s="34" t="s">
        <v>850</v>
      </c>
      <c r="D2092" s="34" t="s">
        <v>1600</v>
      </c>
      <c r="E2092" s="35" t="s">
        <v>851</v>
      </c>
      <c r="F2092" s="40">
        <v>336</v>
      </c>
      <c r="G2092" s="144">
        <f>+$H$1435</f>
        <v>4</v>
      </c>
      <c r="H2092" s="40">
        <v>4</v>
      </c>
      <c r="I2092" s="56"/>
    </row>
    <row r="2093" spans="1:9" s="81" customFormat="1" ht="21.6" customHeight="1">
      <c r="A2093" s="27">
        <v>2341</v>
      </c>
      <c r="B2093" s="34" t="s">
        <v>1315</v>
      </c>
      <c r="C2093" s="34" t="s">
        <v>609</v>
      </c>
      <c r="D2093" s="34" t="s">
        <v>1513</v>
      </c>
      <c r="E2093" s="35" t="s">
        <v>610</v>
      </c>
      <c r="F2093" s="40">
        <v>252</v>
      </c>
      <c r="G2093" s="144" t="s">
        <v>1824</v>
      </c>
      <c r="H2093" s="40">
        <v>1</v>
      </c>
      <c r="I2093" s="56"/>
    </row>
    <row r="2094" spans="1:9" s="81" customFormat="1" ht="21.6" customHeight="1">
      <c r="A2094" s="27">
        <v>2342</v>
      </c>
      <c r="B2094" s="34" t="s">
        <v>1315</v>
      </c>
      <c r="C2094" s="34" t="s">
        <v>611</v>
      </c>
      <c r="D2094" s="34" t="s">
        <v>1514</v>
      </c>
      <c r="E2094" s="35" t="s">
        <v>612</v>
      </c>
      <c r="F2094" s="40">
        <v>252</v>
      </c>
      <c r="G2094" s="144" t="s">
        <v>1825</v>
      </c>
      <c r="H2094" s="40">
        <v>1</v>
      </c>
      <c r="I2094" s="56"/>
    </row>
    <row r="2095" spans="1:9" s="81" customFormat="1" ht="21.6" customHeight="1">
      <c r="A2095" s="27">
        <v>2343</v>
      </c>
      <c r="B2095" s="34" t="s">
        <v>1315</v>
      </c>
      <c r="C2095" s="34" t="s">
        <v>613</v>
      </c>
      <c r="D2095" s="34" t="s">
        <v>1515</v>
      </c>
      <c r="E2095" s="35" t="s">
        <v>614</v>
      </c>
      <c r="F2095" s="40">
        <v>252</v>
      </c>
      <c r="G2095" s="144">
        <f>+$H$1137</f>
        <v>2</v>
      </c>
      <c r="H2095" s="40">
        <v>2</v>
      </c>
      <c r="I2095" s="56"/>
    </row>
    <row r="2096" spans="1:9" s="81" customFormat="1" ht="21.6" customHeight="1">
      <c r="A2096" s="27">
        <v>2344</v>
      </c>
      <c r="B2096" s="34" t="s">
        <v>1315</v>
      </c>
      <c r="C2096" s="34" t="s">
        <v>719</v>
      </c>
      <c r="D2096" s="34" t="s">
        <v>1551</v>
      </c>
      <c r="E2096" s="35" t="s">
        <v>720</v>
      </c>
      <c r="F2096" s="40">
        <v>336</v>
      </c>
      <c r="G2096" s="144" t="s">
        <v>101</v>
      </c>
      <c r="H2096" s="40">
        <v>2</v>
      </c>
      <c r="I2096" s="56"/>
    </row>
    <row r="2097" spans="1:9" s="81" customFormat="1" ht="21.6" customHeight="1">
      <c r="A2097" s="27">
        <v>2345</v>
      </c>
      <c r="B2097" s="34" t="s">
        <v>1315</v>
      </c>
      <c r="C2097" s="34" t="s">
        <v>622</v>
      </c>
      <c r="D2097" s="34" t="s">
        <v>1519</v>
      </c>
      <c r="E2097" s="35" t="s">
        <v>623</v>
      </c>
      <c r="F2097" s="40">
        <v>336</v>
      </c>
      <c r="G2097" s="144">
        <f>+$H$1440</f>
        <v>1</v>
      </c>
      <c r="H2097" s="40">
        <v>1</v>
      </c>
      <c r="I2097" s="56"/>
    </row>
    <row r="2098" spans="1:9" s="81" customFormat="1" ht="21.6" customHeight="1">
      <c r="A2098" s="27">
        <v>2346</v>
      </c>
      <c r="B2098" s="34" t="s">
        <v>1315</v>
      </c>
      <c r="C2098" s="34" t="s">
        <v>852</v>
      </c>
      <c r="D2098" s="34" t="s">
        <v>1601</v>
      </c>
      <c r="E2098" s="35" t="s">
        <v>853</v>
      </c>
      <c r="F2098" s="40">
        <v>336</v>
      </c>
      <c r="G2098" s="144">
        <f>+$H$1441</f>
        <v>1</v>
      </c>
      <c r="H2098" s="40">
        <v>1</v>
      </c>
      <c r="I2098" s="56"/>
    </row>
    <row r="2099" spans="1:9" s="81" customFormat="1" ht="21.6" customHeight="1">
      <c r="A2099" s="27">
        <v>2347</v>
      </c>
      <c r="B2099" s="34" t="s">
        <v>1315</v>
      </c>
      <c r="C2099" s="34" t="s">
        <v>626</v>
      </c>
      <c r="D2099" s="34" t="s">
        <v>1521</v>
      </c>
      <c r="E2099" s="35" t="s">
        <v>627</v>
      </c>
      <c r="F2099" s="40">
        <v>336</v>
      </c>
      <c r="G2099" s="144" t="s">
        <v>90</v>
      </c>
      <c r="H2099" s="40">
        <v>2</v>
      </c>
      <c r="I2099" s="56"/>
    </row>
    <row r="2100" spans="1:9" s="58" customFormat="1" ht="21.6" customHeight="1">
      <c r="A2100" s="27">
        <v>2348</v>
      </c>
      <c r="B2100" s="34" t="s">
        <v>1315</v>
      </c>
      <c r="C2100" s="34" t="s">
        <v>264</v>
      </c>
      <c r="D2100" s="50" t="s">
        <v>1389</v>
      </c>
      <c r="E2100" s="51" t="s">
        <v>265</v>
      </c>
      <c r="F2100" s="29">
        <v>80</v>
      </c>
      <c r="G2100" s="144" t="s">
        <v>1836</v>
      </c>
      <c r="H2100" s="29">
        <v>1</v>
      </c>
      <c r="I2100" s="31" t="s">
        <v>854</v>
      </c>
    </row>
    <row r="2101" spans="1:9" s="58" customFormat="1" ht="21.6" customHeight="1">
      <c r="A2101" s="27">
        <v>2349</v>
      </c>
      <c r="B2101" s="34" t="s">
        <v>1315</v>
      </c>
      <c r="C2101" s="34" t="s">
        <v>264</v>
      </c>
      <c r="D2101" s="50" t="s">
        <v>1389</v>
      </c>
      <c r="E2101" s="51" t="s">
        <v>265</v>
      </c>
      <c r="F2101" s="29">
        <v>80</v>
      </c>
      <c r="G2101" s="144" t="s">
        <v>745</v>
      </c>
      <c r="H2101" s="29">
        <v>1</v>
      </c>
      <c r="I2101" s="31" t="s">
        <v>854</v>
      </c>
    </row>
    <row r="2102" spans="1:9" s="58" customFormat="1" ht="21.6" customHeight="1">
      <c r="A2102" s="27">
        <v>2350</v>
      </c>
      <c r="B2102" s="34" t="s">
        <v>1315</v>
      </c>
      <c r="C2102" s="34" t="s">
        <v>746</v>
      </c>
      <c r="D2102" s="50" t="s">
        <v>1561</v>
      </c>
      <c r="E2102" s="51" t="s">
        <v>747</v>
      </c>
      <c r="F2102" s="29">
        <v>80</v>
      </c>
      <c r="G2102" s="144" t="s">
        <v>1837</v>
      </c>
      <c r="H2102" s="29">
        <v>1</v>
      </c>
      <c r="I2102" s="31" t="s">
        <v>854</v>
      </c>
    </row>
    <row r="2103" spans="1:9" s="81" customFormat="1" ht="21.6" customHeight="1">
      <c r="A2103" s="27">
        <v>2351</v>
      </c>
      <c r="B2103" s="34" t="s">
        <v>1315</v>
      </c>
      <c r="C2103" s="34" t="s">
        <v>273</v>
      </c>
      <c r="D2103" s="34" t="s">
        <v>1392</v>
      </c>
      <c r="E2103" s="35" t="s">
        <v>274</v>
      </c>
      <c r="F2103" s="40">
        <v>80</v>
      </c>
      <c r="G2103" s="144" t="s">
        <v>631</v>
      </c>
      <c r="H2103" s="40">
        <v>1</v>
      </c>
      <c r="I2103" s="56" t="s">
        <v>116</v>
      </c>
    </row>
    <row r="2104" spans="1:9" s="81" customFormat="1" ht="21.6" customHeight="1">
      <c r="A2104" s="27">
        <v>2352</v>
      </c>
      <c r="B2104" s="34" t="s">
        <v>1315</v>
      </c>
      <c r="C2104" s="34" t="s">
        <v>855</v>
      </c>
      <c r="D2104" s="80" t="s">
        <v>1602</v>
      </c>
      <c r="E2104" s="33" t="s">
        <v>856</v>
      </c>
      <c r="F2104" s="40">
        <v>80</v>
      </c>
      <c r="G2104" s="144" t="s">
        <v>119</v>
      </c>
      <c r="H2104" s="40">
        <v>1</v>
      </c>
      <c r="I2104" s="56" t="s">
        <v>116</v>
      </c>
    </row>
    <row r="2105" spans="1:9" s="58" customFormat="1" ht="21.6" customHeight="1">
      <c r="A2105" s="27">
        <v>2353</v>
      </c>
      <c r="B2105" s="34" t="s">
        <v>1315</v>
      </c>
      <c r="C2105" s="34" t="s">
        <v>225</v>
      </c>
      <c r="D2105" s="39" t="s">
        <v>1375</v>
      </c>
      <c r="E2105" s="3" t="s">
        <v>226</v>
      </c>
      <c r="F2105" s="29">
        <v>120</v>
      </c>
      <c r="G2105" s="145" t="s">
        <v>1838</v>
      </c>
      <c r="H2105" s="29">
        <v>2</v>
      </c>
      <c r="I2105" s="31" t="s">
        <v>857</v>
      </c>
    </row>
    <row r="2106" spans="1:9" s="58" customFormat="1" ht="21.6" customHeight="1">
      <c r="A2106" s="27">
        <v>2354</v>
      </c>
      <c r="B2106" s="34" t="s">
        <v>1315</v>
      </c>
      <c r="C2106" s="34" t="s">
        <v>229</v>
      </c>
      <c r="D2106" s="39" t="s">
        <v>1376</v>
      </c>
      <c r="E2106" s="51" t="s">
        <v>230</v>
      </c>
      <c r="F2106" s="29">
        <v>120</v>
      </c>
      <c r="G2106" s="145" t="s">
        <v>1839</v>
      </c>
      <c r="H2106" s="29">
        <v>1</v>
      </c>
      <c r="I2106" s="31" t="s">
        <v>857</v>
      </c>
    </row>
    <row r="2107" spans="1:9" s="58" customFormat="1" ht="21.6" customHeight="1">
      <c r="A2107" s="27">
        <v>2355</v>
      </c>
      <c r="B2107" s="34" t="s">
        <v>1315</v>
      </c>
      <c r="C2107" s="34" t="s">
        <v>231</v>
      </c>
      <c r="D2107" s="39" t="s">
        <v>1377</v>
      </c>
      <c r="E2107" s="51" t="s">
        <v>232</v>
      </c>
      <c r="F2107" s="29">
        <v>160</v>
      </c>
      <c r="G2107" s="144" t="s">
        <v>1840</v>
      </c>
      <c r="H2107" s="29">
        <v>1</v>
      </c>
      <c r="I2107" s="31" t="s">
        <v>750</v>
      </c>
    </row>
    <row r="2108" spans="1:9" s="58" customFormat="1" ht="21.6" customHeight="1">
      <c r="A2108" s="27">
        <v>2356</v>
      </c>
      <c r="B2108" s="34" t="s">
        <v>1315</v>
      </c>
      <c r="C2108" s="34" t="s">
        <v>235</v>
      </c>
      <c r="D2108" s="50" t="s">
        <v>1378</v>
      </c>
      <c r="E2108" s="51" t="s">
        <v>236</v>
      </c>
      <c r="F2108" s="29">
        <v>160</v>
      </c>
      <c r="G2108" s="144" t="s">
        <v>237</v>
      </c>
      <c r="H2108" s="29">
        <v>1</v>
      </c>
      <c r="I2108" s="31" t="s">
        <v>750</v>
      </c>
    </row>
    <row r="2109" spans="1:9" s="58" customFormat="1" ht="21.6" customHeight="1">
      <c r="A2109" s="27">
        <v>2357</v>
      </c>
      <c r="B2109" s="34" t="s">
        <v>1315</v>
      </c>
      <c r="C2109" s="34" t="s">
        <v>238</v>
      </c>
      <c r="D2109" s="50" t="s">
        <v>1379</v>
      </c>
      <c r="E2109" s="51" t="s">
        <v>239</v>
      </c>
      <c r="F2109" s="29">
        <v>160</v>
      </c>
      <c r="G2109" s="144" t="s">
        <v>749</v>
      </c>
      <c r="H2109" s="29">
        <v>1</v>
      </c>
      <c r="I2109" s="31" t="s">
        <v>750</v>
      </c>
    </row>
    <row r="2110" spans="1:9" s="81" customFormat="1" ht="21.6" customHeight="1">
      <c r="A2110" s="27">
        <v>2358</v>
      </c>
      <c r="B2110" s="34" t="s">
        <v>1315</v>
      </c>
      <c r="C2110" s="34" t="s">
        <v>858</v>
      </c>
      <c r="D2110" s="80" t="s">
        <v>1603</v>
      </c>
      <c r="E2110" s="35" t="s">
        <v>859</v>
      </c>
      <c r="F2110" s="40">
        <v>84</v>
      </c>
      <c r="G2110" s="144" t="s">
        <v>637</v>
      </c>
      <c r="H2110" s="40" t="s">
        <v>123</v>
      </c>
      <c r="I2110" s="56"/>
    </row>
    <row r="2111" spans="1:9" s="81" customFormat="1" ht="21.6" customHeight="1">
      <c r="A2111" s="27">
        <v>2359</v>
      </c>
      <c r="B2111" s="34" t="s">
        <v>1315</v>
      </c>
      <c r="C2111" s="34" t="s">
        <v>860</v>
      </c>
      <c r="D2111" s="34" t="s">
        <v>1604</v>
      </c>
      <c r="E2111" s="35" t="s">
        <v>861</v>
      </c>
      <c r="F2111" s="40">
        <v>84</v>
      </c>
      <c r="G2111" s="144" t="s">
        <v>755</v>
      </c>
      <c r="H2111" s="40" t="s">
        <v>123</v>
      </c>
      <c r="I2111" s="56"/>
    </row>
    <row r="2112" spans="1:9" s="81" customFormat="1" ht="21.6" customHeight="1">
      <c r="A2112" s="27">
        <v>2361</v>
      </c>
      <c r="B2112" s="34" t="s">
        <v>1315</v>
      </c>
      <c r="C2112" s="34" t="s">
        <v>1022</v>
      </c>
      <c r="D2112" s="102" t="s">
        <v>1667</v>
      </c>
      <c r="E2112" s="37" t="s">
        <v>1023</v>
      </c>
      <c r="F2112" s="40">
        <v>336</v>
      </c>
      <c r="G2112" s="145" t="s">
        <v>244</v>
      </c>
      <c r="H2112" s="40" t="s">
        <v>123</v>
      </c>
      <c r="I2112" s="89" t="s">
        <v>819</v>
      </c>
    </row>
    <row r="2113" spans="1:9" s="81" customFormat="1" ht="21.6" customHeight="1">
      <c r="A2113" s="27">
        <v>2362</v>
      </c>
      <c r="B2113" s="34" t="s">
        <v>1315</v>
      </c>
      <c r="C2113" s="34" t="s">
        <v>643</v>
      </c>
      <c r="D2113" s="34" t="s">
        <v>1525</v>
      </c>
      <c r="E2113" s="35" t="s">
        <v>644</v>
      </c>
      <c r="F2113" s="40">
        <v>252</v>
      </c>
      <c r="G2113" s="144" t="str">
        <f>+$H$1456</f>
        <v>-</v>
      </c>
      <c r="H2113" s="40" t="s">
        <v>123</v>
      </c>
      <c r="I2113" s="56"/>
    </row>
    <row r="2114" spans="1:9" s="58" customFormat="1" ht="21.6" customHeight="1">
      <c r="A2114" s="27">
        <v>2363</v>
      </c>
      <c r="B2114" s="34" t="s">
        <v>1315</v>
      </c>
      <c r="C2114" s="34" t="s">
        <v>756</v>
      </c>
      <c r="D2114" s="39" t="s">
        <v>1564</v>
      </c>
      <c r="E2114" s="3" t="s">
        <v>757</v>
      </c>
      <c r="F2114" s="29">
        <v>80</v>
      </c>
      <c r="G2114" s="144" t="s">
        <v>758</v>
      </c>
      <c r="H2114" s="40" t="s">
        <v>123</v>
      </c>
      <c r="I2114" s="31" t="s">
        <v>865</v>
      </c>
    </row>
    <row r="2115" spans="1:9" s="58" customFormat="1" ht="21.6" customHeight="1">
      <c r="A2115" s="27">
        <v>2364</v>
      </c>
      <c r="B2115" s="34" t="s">
        <v>1315</v>
      </c>
      <c r="C2115" s="34" t="s">
        <v>248</v>
      </c>
      <c r="D2115" s="39" t="s">
        <v>1383</v>
      </c>
      <c r="E2115" s="3" t="s">
        <v>249</v>
      </c>
      <c r="F2115" s="29">
        <v>120</v>
      </c>
      <c r="G2115" s="144" t="s">
        <v>759</v>
      </c>
      <c r="H2115" s="40" t="s">
        <v>123</v>
      </c>
      <c r="I2115" s="31" t="s">
        <v>857</v>
      </c>
    </row>
    <row r="2116" spans="1:9" s="58" customFormat="1" ht="21.6" customHeight="1">
      <c r="A2116" s="27">
        <v>2365</v>
      </c>
      <c r="B2116" s="34" t="s">
        <v>1315</v>
      </c>
      <c r="C2116" s="34" t="s">
        <v>251</v>
      </c>
      <c r="D2116" s="39" t="s">
        <v>1384</v>
      </c>
      <c r="E2116" s="3" t="s">
        <v>252</v>
      </c>
      <c r="F2116" s="29">
        <v>160</v>
      </c>
      <c r="G2116" s="144" t="s">
        <v>760</v>
      </c>
      <c r="H2116" s="40" t="s">
        <v>123</v>
      </c>
      <c r="I2116" s="31" t="s">
        <v>750</v>
      </c>
    </row>
    <row r="2117" spans="1:9" s="81" customFormat="1" ht="21.6" customHeight="1">
      <c r="A2117" s="27">
        <v>2366</v>
      </c>
      <c r="B2117" s="34" t="s">
        <v>1315</v>
      </c>
      <c r="C2117" s="34" t="s">
        <v>1024</v>
      </c>
      <c r="D2117" s="34" t="s">
        <v>1668</v>
      </c>
      <c r="E2117" s="3" t="s">
        <v>1025</v>
      </c>
      <c r="F2117" s="40" t="s">
        <v>123</v>
      </c>
      <c r="G2117" s="145" t="s">
        <v>585</v>
      </c>
      <c r="H2117" s="40" t="s">
        <v>123</v>
      </c>
      <c r="I2117" s="56"/>
    </row>
    <row r="2118" spans="1:9" s="81" customFormat="1" ht="21.6" customHeight="1">
      <c r="A2118" s="27">
        <v>2367</v>
      </c>
      <c r="B2118" s="34" t="s">
        <v>1315</v>
      </c>
      <c r="C2118" s="34" t="s">
        <v>1026</v>
      </c>
      <c r="D2118" s="52" t="s">
        <v>1669</v>
      </c>
      <c r="E2118" s="3" t="s">
        <v>1027</v>
      </c>
      <c r="F2118" s="40" t="s">
        <v>123</v>
      </c>
      <c r="G2118" s="145" t="s">
        <v>129</v>
      </c>
      <c r="H2118" s="40" t="s">
        <v>123</v>
      </c>
      <c r="I2118" s="56"/>
    </row>
    <row r="2119" spans="1:9" ht="21.6" customHeight="1">
      <c r="A2119" s="27">
        <v>2368</v>
      </c>
      <c r="B2119" s="34" t="s">
        <v>1315</v>
      </c>
      <c r="C2119" s="34" t="s">
        <v>1028</v>
      </c>
      <c r="D2119" s="52" t="s">
        <v>1670</v>
      </c>
      <c r="E2119" s="3" t="s">
        <v>1029</v>
      </c>
      <c r="F2119" s="40" t="s">
        <v>123</v>
      </c>
      <c r="G2119" s="145" t="s">
        <v>772</v>
      </c>
      <c r="H2119" s="40" t="s">
        <v>123</v>
      </c>
      <c r="I2119" s="56"/>
    </row>
    <row r="2120" spans="1:9" ht="21.6" customHeight="1">
      <c r="A2120" s="27">
        <v>2369</v>
      </c>
      <c r="B2120" s="34" t="s">
        <v>1315</v>
      </c>
      <c r="C2120" s="34" t="s">
        <v>1030</v>
      </c>
      <c r="D2120" s="52" t="s">
        <v>1671</v>
      </c>
      <c r="E2120" s="3" t="s">
        <v>1031</v>
      </c>
      <c r="F2120" s="40" t="s">
        <v>123</v>
      </c>
      <c r="G2120" s="145" t="s">
        <v>775</v>
      </c>
      <c r="H2120" s="40" t="s">
        <v>123</v>
      </c>
      <c r="I2120" s="56"/>
    </row>
    <row r="2121" spans="1:9" ht="21.6" customHeight="1">
      <c r="A2121" s="27">
        <v>2370</v>
      </c>
      <c r="B2121" s="34" t="s">
        <v>1315</v>
      </c>
      <c r="C2121" s="34" t="s">
        <v>1032</v>
      </c>
      <c r="D2121" s="52" t="s">
        <v>1672</v>
      </c>
      <c r="E2121" s="3" t="s">
        <v>1033</v>
      </c>
      <c r="F2121" s="40" t="s">
        <v>123</v>
      </c>
      <c r="G2121" s="145" t="s">
        <v>778</v>
      </c>
      <c r="H2121" s="40" t="s">
        <v>123</v>
      </c>
      <c r="I2121" s="56"/>
    </row>
    <row r="2122" spans="1:9" ht="21.6" customHeight="1">
      <c r="A2122" s="27">
        <v>2371</v>
      </c>
      <c r="B2122" s="34" t="s">
        <v>1315</v>
      </c>
      <c r="C2122" s="34" t="s">
        <v>876</v>
      </c>
      <c r="D2122" s="34" t="s">
        <v>1611</v>
      </c>
      <c r="E2122" s="35" t="s">
        <v>877</v>
      </c>
      <c r="F2122" s="40" t="s">
        <v>123</v>
      </c>
      <c r="G2122" s="145" t="s">
        <v>781</v>
      </c>
      <c r="H2122" s="40" t="s">
        <v>123</v>
      </c>
      <c r="I2122" s="56"/>
    </row>
    <row r="2123" spans="1:9" ht="21.6" customHeight="1">
      <c r="A2123" s="27">
        <v>2372</v>
      </c>
      <c r="B2123" s="34" t="s">
        <v>1315</v>
      </c>
      <c r="C2123" s="34" t="s">
        <v>878</v>
      </c>
      <c r="D2123" s="34" t="s">
        <v>1612</v>
      </c>
      <c r="E2123" s="35" t="s">
        <v>879</v>
      </c>
      <c r="F2123" s="40" t="s">
        <v>123</v>
      </c>
      <c r="G2123" s="145" t="s">
        <v>784</v>
      </c>
      <c r="H2123" s="40" t="s">
        <v>123</v>
      </c>
      <c r="I2123" s="56"/>
    </row>
    <row r="2124" spans="1:9" ht="21.6" customHeight="1">
      <c r="A2124" s="27">
        <v>2373</v>
      </c>
      <c r="B2124" s="34" t="s">
        <v>1315</v>
      </c>
      <c r="C2124" s="34" t="s">
        <v>880</v>
      </c>
      <c r="D2124" s="34" t="s">
        <v>1613</v>
      </c>
      <c r="E2124" s="35" t="s">
        <v>881</v>
      </c>
      <c r="F2124" s="40" t="s">
        <v>123</v>
      </c>
      <c r="G2124" s="145" t="s">
        <v>787</v>
      </c>
      <c r="H2124" s="40" t="s">
        <v>123</v>
      </c>
      <c r="I2124" s="56"/>
    </row>
    <row r="2125" spans="1:9" ht="21.6" customHeight="1">
      <c r="A2125" s="27">
        <v>2374</v>
      </c>
      <c r="B2125" s="34" t="s">
        <v>1315</v>
      </c>
      <c r="C2125" s="34" t="s">
        <v>882</v>
      </c>
      <c r="D2125" s="34" t="s">
        <v>1614</v>
      </c>
      <c r="E2125" s="35" t="s">
        <v>883</v>
      </c>
      <c r="F2125" s="40" t="s">
        <v>123</v>
      </c>
      <c r="G2125" s="145" t="s">
        <v>790</v>
      </c>
      <c r="H2125" s="40" t="s">
        <v>123</v>
      </c>
      <c r="I2125" s="56"/>
    </row>
    <row r="2126" spans="1:9" ht="21.6" customHeight="1">
      <c r="A2126" s="27">
        <v>2375</v>
      </c>
      <c r="B2126" s="34" t="s">
        <v>1315</v>
      </c>
      <c r="C2126" s="34" t="s">
        <v>791</v>
      </c>
      <c r="D2126" s="34" t="s">
        <v>1576</v>
      </c>
      <c r="E2126" s="35" t="s">
        <v>792</v>
      </c>
      <c r="F2126" s="40" t="s">
        <v>654</v>
      </c>
      <c r="G2126" s="145" t="s">
        <v>1821</v>
      </c>
      <c r="H2126" s="40" t="s">
        <v>123</v>
      </c>
      <c r="I2126" s="56"/>
    </row>
    <row r="2127" spans="1:9" s="81" customFormat="1" ht="21.6" customHeight="1">
      <c r="A2127" s="41">
        <v>2376</v>
      </c>
      <c r="B2127" s="97" t="s">
        <v>1315</v>
      </c>
      <c r="C2127" s="97" t="s">
        <v>884</v>
      </c>
      <c r="D2127" s="97" t="s">
        <v>1615</v>
      </c>
      <c r="E2127" s="70" t="s">
        <v>885</v>
      </c>
      <c r="F2127" s="44" t="s">
        <v>654</v>
      </c>
      <c r="G2127" s="144" t="s">
        <v>1805</v>
      </c>
      <c r="H2127" s="44" t="s">
        <v>123</v>
      </c>
      <c r="I2127" s="98"/>
    </row>
    <row r="2128" spans="1:9" s="81" customFormat="1" ht="21.6" customHeight="1">
      <c r="A2128" s="20">
        <v>2377</v>
      </c>
      <c r="B2128" s="73" t="s">
        <v>54</v>
      </c>
      <c r="C2128" s="73" t="s">
        <v>587</v>
      </c>
      <c r="D2128" s="73" t="s">
        <v>1504</v>
      </c>
      <c r="E2128" s="72" t="s">
        <v>588</v>
      </c>
      <c r="F2128" s="74">
        <v>210</v>
      </c>
      <c r="G2128" s="143" t="s">
        <v>589</v>
      </c>
      <c r="H2128" s="74">
        <v>1</v>
      </c>
      <c r="I2128" s="75" t="s">
        <v>590</v>
      </c>
    </row>
    <row r="2129" spans="1:9" s="81" customFormat="1" ht="21.6" customHeight="1">
      <c r="A2129" s="106">
        <v>2378</v>
      </c>
      <c r="B2129" s="104" t="s">
        <v>54</v>
      </c>
      <c r="C2129" s="104" t="s">
        <v>840</v>
      </c>
      <c r="D2129" s="104" t="s">
        <v>1595</v>
      </c>
      <c r="E2129" s="82" t="s">
        <v>841</v>
      </c>
      <c r="F2129" s="107">
        <v>105</v>
      </c>
      <c r="G2129" s="150" t="s">
        <v>887</v>
      </c>
      <c r="H2129" s="108">
        <v>3</v>
      </c>
      <c r="I2129" s="109" t="s">
        <v>1010</v>
      </c>
    </row>
    <row r="2130" spans="1:9" s="81" customFormat="1" ht="21.6" customHeight="1">
      <c r="A2130" s="27">
        <v>2379</v>
      </c>
      <c r="B2130" s="104" t="s">
        <v>54</v>
      </c>
      <c r="C2130" s="104" t="s">
        <v>889</v>
      </c>
      <c r="D2130" s="34" t="s">
        <v>1616</v>
      </c>
      <c r="E2130" s="35" t="s">
        <v>890</v>
      </c>
      <c r="F2130" s="40" t="s">
        <v>1011</v>
      </c>
      <c r="G2130" s="145" t="s">
        <v>502</v>
      </c>
      <c r="H2130" s="40">
        <v>1</v>
      </c>
      <c r="I2130" s="56"/>
    </row>
    <row r="2131" spans="1:9" s="81" customFormat="1" ht="21.6" customHeight="1">
      <c r="A2131" s="27">
        <v>2380</v>
      </c>
      <c r="B2131" s="104" t="s">
        <v>54</v>
      </c>
      <c r="C2131" s="104" t="s">
        <v>892</v>
      </c>
      <c r="D2131" s="34" t="s">
        <v>1617</v>
      </c>
      <c r="E2131" s="35" t="s">
        <v>893</v>
      </c>
      <c r="F2131" s="76">
        <v>210</v>
      </c>
      <c r="G2131" s="145" t="s">
        <v>703</v>
      </c>
      <c r="H2131" s="40">
        <v>1</v>
      </c>
      <c r="I2131" s="56"/>
    </row>
    <row r="2132" spans="1:9" s="81" customFormat="1" ht="21.6" customHeight="1">
      <c r="A2132" s="27">
        <v>2381</v>
      </c>
      <c r="B2132" s="104" t="s">
        <v>54</v>
      </c>
      <c r="C2132" s="104" t="s">
        <v>894</v>
      </c>
      <c r="D2132" s="34" t="s">
        <v>1618</v>
      </c>
      <c r="E2132" s="35" t="s">
        <v>895</v>
      </c>
      <c r="F2132" s="40">
        <v>210</v>
      </c>
      <c r="G2132" s="144" t="s">
        <v>706</v>
      </c>
      <c r="H2132" s="40">
        <v>1</v>
      </c>
      <c r="I2132" s="56"/>
    </row>
    <row r="2133" spans="1:9" s="81" customFormat="1" ht="21.6" customHeight="1">
      <c r="A2133" s="27">
        <v>2382</v>
      </c>
      <c r="B2133" s="104" t="s">
        <v>54</v>
      </c>
      <c r="C2133" s="104" t="s">
        <v>896</v>
      </c>
      <c r="D2133" s="34" t="s">
        <v>1619</v>
      </c>
      <c r="E2133" s="35" t="s">
        <v>897</v>
      </c>
      <c r="F2133" s="40">
        <v>210</v>
      </c>
      <c r="G2133" s="145" t="s">
        <v>709</v>
      </c>
      <c r="H2133" s="40">
        <v>1</v>
      </c>
      <c r="I2133" s="56"/>
    </row>
    <row r="2134" spans="1:9" s="81" customFormat="1" ht="21.6" customHeight="1">
      <c r="A2134" s="27">
        <v>2383</v>
      </c>
      <c r="B2134" s="104" t="s">
        <v>54</v>
      </c>
      <c r="C2134" s="104" t="s">
        <v>710</v>
      </c>
      <c r="D2134" s="34" t="s">
        <v>1547</v>
      </c>
      <c r="E2134" s="35" t="s">
        <v>711</v>
      </c>
      <c r="F2134" s="40" t="s">
        <v>1012</v>
      </c>
      <c r="G2134" s="145" t="s">
        <v>415</v>
      </c>
      <c r="H2134" s="40">
        <v>1</v>
      </c>
      <c r="I2134" s="56"/>
    </row>
    <row r="2135" spans="1:9" s="81" customFormat="1" ht="21.6" customHeight="1">
      <c r="A2135" s="27">
        <v>2384</v>
      </c>
      <c r="B2135" s="104" t="s">
        <v>54</v>
      </c>
      <c r="C2135" s="104" t="s">
        <v>899</v>
      </c>
      <c r="D2135" s="34" t="s">
        <v>1620</v>
      </c>
      <c r="E2135" s="35" t="s">
        <v>900</v>
      </c>
      <c r="F2135" s="40">
        <v>210</v>
      </c>
      <c r="G2135" s="144" t="s">
        <v>597</v>
      </c>
      <c r="H2135" s="40">
        <v>1</v>
      </c>
      <c r="I2135" s="56"/>
    </row>
    <row r="2136" spans="1:9" s="81" customFormat="1" ht="21.6" customHeight="1">
      <c r="A2136" s="27">
        <v>2385</v>
      </c>
      <c r="B2136" s="104" t="s">
        <v>54</v>
      </c>
      <c r="C2136" s="104" t="s">
        <v>845</v>
      </c>
      <c r="D2136" s="34" t="s">
        <v>1598</v>
      </c>
      <c r="E2136" s="35" t="s">
        <v>846</v>
      </c>
      <c r="F2136" s="76">
        <v>105</v>
      </c>
      <c r="G2136" s="144" t="s">
        <v>901</v>
      </c>
      <c r="H2136" s="40">
        <v>3</v>
      </c>
      <c r="I2136" s="56"/>
    </row>
    <row r="2137" spans="1:9" s="81" customFormat="1" ht="21.6" customHeight="1">
      <c r="A2137" s="27">
        <v>2386</v>
      </c>
      <c r="B2137" s="104" t="s">
        <v>54</v>
      </c>
      <c r="C2137" s="104" t="s">
        <v>598</v>
      </c>
      <c r="D2137" s="34" t="s">
        <v>1508</v>
      </c>
      <c r="E2137" s="35" t="s">
        <v>599</v>
      </c>
      <c r="F2137" s="40" t="s">
        <v>1013</v>
      </c>
      <c r="G2137" s="145" t="s">
        <v>600</v>
      </c>
      <c r="H2137" s="40">
        <v>4</v>
      </c>
      <c r="I2137" s="56"/>
    </row>
    <row r="2138" spans="1:9" s="81" customFormat="1" ht="21.6" customHeight="1">
      <c r="A2138" s="27">
        <v>2387</v>
      </c>
      <c r="B2138" s="104" t="s">
        <v>54</v>
      </c>
      <c r="C2138" s="104" t="s">
        <v>601</v>
      </c>
      <c r="D2138" s="34" t="s">
        <v>1509</v>
      </c>
      <c r="E2138" s="35" t="s">
        <v>602</v>
      </c>
      <c r="F2138" s="40" t="s">
        <v>1013</v>
      </c>
      <c r="G2138" s="144" t="s">
        <v>1822</v>
      </c>
      <c r="H2138" s="40">
        <v>8</v>
      </c>
      <c r="I2138" s="56"/>
    </row>
    <row r="2139" spans="1:9" s="81" customFormat="1" ht="21.6" customHeight="1">
      <c r="A2139" s="27">
        <v>2388</v>
      </c>
      <c r="B2139" s="104" t="s">
        <v>54</v>
      </c>
      <c r="C2139" s="104" t="s">
        <v>902</v>
      </c>
      <c r="D2139" s="34" t="s">
        <v>1621</v>
      </c>
      <c r="E2139" s="35" t="s">
        <v>903</v>
      </c>
      <c r="F2139" s="40" t="s">
        <v>1012</v>
      </c>
      <c r="G2139" s="144" t="s">
        <v>1823</v>
      </c>
      <c r="H2139" s="40">
        <v>4</v>
      </c>
      <c r="I2139" s="56" t="s">
        <v>1070</v>
      </c>
    </row>
    <row r="2140" spans="1:9" s="81" customFormat="1" ht="21.6" customHeight="1">
      <c r="A2140" s="27">
        <v>2389</v>
      </c>
      <c r="B2140" s="104" t="s">
        <v>54</v>
      </c>
      <c r="C2140" s="104" t="s">
        <v>905</v>
      </c>
      <c r="D2140" s="34" t="s">
        <v>1622</v>
      </c>
      <c r="E2140" s="35" t="s">
        <v>906</v>
      </c>
      <c r="F2140" s="40" t="s">
        <v>1012</v>
      </c>
      <c r="G2140" s="144" t="s">
        <v>1823</v>
      </c>
      <c r="H2140" s="40">
        <v>4</v>
      </c>
      <c r="I2140" s="56" t="s">
        <v>1071</v>
      </c>
    </row>
    <row r="2141" spans="1:9" s="81" customFormat="1" ht="21.6" customHeight="1">
      <c r="A2141" s="27">
        <v>2390</v>
      </c>
      <c r="B2141" s="104" t="s">
        <v>54</v>
      </c>
      <c r="C2141" s="104" t="s">
        <v>605</v>
      </c>
      <c r="D2141" s="34" t="s">
        <v>1511</v>
      </c>
      <c r="E2141" s="35" t="s">
        <v>606</v>
      </c>
      <c r="F2141" s="40">
        <v>210</v>
      </c>
      <c r="G2141" s="145" t="s">
        <v>533</v>
      </c>
      <c r="H2141" s="40">
        <v>1</v>
      </c>
      <c r="I2141" s="56"/>
    </row>
    <row r="2142" spans="1:9" s="81" customFormat="1" ht="21.6" customHeight="1">
      <c r="A2142" s="27">
        <v>2391</v>
      </c>
      <c r="B2142" s="104" t="s">
        <v>54</v>
      </c>
      <c r="C2142" s="104" t="s">
        <v>607</v>
      </c>
      <c r="D2142" s="34" t="s">
        <v>1512</v>
      </c>
      <c r="E2142" s="35" t="s">
        <v>608</v>
      </c>
      <c r="F2142" s="40">
        <v>210</v>
      </c>
      <c r="G2142" s="145" t="s">
        <v>1812</v>
      </c>
      <c r="H2142" s="40">
        <v>1</v>
      </c>
      <c r="I2142" s="56"/>
    </row>
    <row r="2143" spans="1:9" s="81" customFormat="1" ht="21.6" customHeight="1">
      <c r="A2143" s="27">
        <v>2392</v>
      </c>
      <c r="B2143" s="104" t="s">
        <v>54</v>
      </c>
      <c r="C2143" s="104" t="s">
        <v>609</v>
      </c>
      <c r="D2143" s="34" t="s">
        <v>1513</v>
      </c>
      <c r="E2143" s="35" t="s">
        <v>610</v>
      </c>
      <c r="F2143" s="40">
        <v>210</v>
      </c>
      <c r="G2143" s="145" t="s">
        <v>1824</v>
      </c>
      <c r="H2143" s="40">
        <v>1</v>
      </c>
      <c r="I2143" s="56"/>
    </row>
    <row r="2144" spans="1:9" s="81" customFormat="1" ht="21.6" customHeight="1">
      <c r="A2144" s="27">
        <v>2393</v>
      </c>
      <c r="B2144" s="104" t="s">
        <v>54</v>
      </c>
      <c r="C2144" s="104" t="s">
        <v>611</v>
      </c>
      <c r="D2144" s="34" t="s">
        <v>1514</v>
      </c>
      <c r="E2144" s="35" t="s">
        <v>612</v>
      </c>
      <c r="F2144" s="40">
        <v>210</v>
      </c>
      <c r="G2144" s="145" t="s">
        <v>1825</v>
      </c>
      <c r="H2144" s="40">
        <v>1</v>
      </c>
      <c r="I2144" s="56"/>
    </row>
    <row r="2145" spans="1:9" s="81" customFormat="1" ht="21.6" customHeight="1">
      <c r="A2145" s="27">
        <v>2394</v>
      </c>
      <c r="B2145" s="104" t="s">
        <v>54</v>
      </c>
      <c r="C2145" s="104" t="s">
        <v>613</v>
      </c>
      <c r="D2145" s="34" t="s">
        <v>1515</v>
      </c>
      <c r="E2145" s="35" t="s">
        <v>614</v>
      </c>
      <c r="F2145" s="40">
        <v>210</v>
      </c>
      <c r="G2145" s="145" t="s">
        <v>1826</v>
      </c>
      <c r="H2145" s="40">
        <v>2</v>
      </c>
      <c r="I2145" s="56"/>
    </row>
    <row r="2146" spans="1:9" s="81" customFormat="1" ht="21.6" customHeight="1">
      <c r="A2146" s="27">
        <v>2395</v>
      </c>
      <c r="B2146" s="34" t="s">
        <v>54</v>
      </c>
      <c r="C2146" s="34" t="s">
        <v>719</v>
      </c>
      <c r="D2146" s="34" t="s">
        <v>1551</v>
      </c>
      <c r="E2146" s="35" t="s">
        <v>720</v>
      </c>
      <c r="F2146" s="40">
        <v>756</v>
      </c>
      <c r="G2146" s="144" t="s">
        <v>101</v>
      </c>
      <c r="H2146" s="40">
        <v>2</v>
      </c>
      <c r="I2146" s="56" t="s">
        <v>617</v>
      </c>
    </row>
    <row r="2147" spans="1:9" s="81" customFormat="1" ht="21.6" customHeight="1">
      <c r="A2147" s="27">
        <v>2397</v>
      </c>
      <c r="B2147" s="104" t="s">
        <v>54</v>
      </c>
      <c r="C2147" s="104" t="s">
        <v>1036</v>
      </c>
      <c r="D2147" s="34" t="s">
        <v>1673</v>
      </c>
      <c r="E2147" s="35" t="s">
        <v>1037</v>
      </c>
      <c r="F2147" s="40">
        <v>336</v>
      </c>
      <c r="G2147" s="145" t="s">
        <v>1809</v>
      </c>
      <c r="H2147" s="40">
        <v>1</v>
      </c>
      <c r="I2147" s="89" t="s">
        <v>819</v>
      </c>
    </row>
    <row r="2148" spans="1:9" s="81" customFormat="1" ht="21.6" customHeight="1">
      <c r="A2148" s="27">
        <v>2398</v>
      </c>
      <c r="B2148" s="104" t="s">
        <v>54</v>
      </c>
      <c r="C2148" s="104" t="s">
        <v>911</v>
      </c>
      <c r="D2148" s="34" t="s">
        <v>1624</v>
      </c>
      <c r="E2148" s="35" t="s">
        <v>912</v>
      </c>
      <c r="F2148" s="40">
        <v>336</v>
      </c>
      <c r="G2148" s="145" t="s">
        <v>87</v>
      </c>
      <c r="H2148" s="40">
        <v>1</v>
      </c>
      <c r="I2148" s="56"/>
    </row>
    <row r="2149" spans="1:9" s="81" customFormat="1" ht="21.6" customHeight="1">
      <c r="A2149" s="27">
        <v>2399</v>
      </c>
      <c r="B2149" s="104" t="s">
        <v>54</v>
      </c>
      <c r="C2149" s="104" t="s">
        <v>622</v>
      </c>
      <c r="D2149" s="34" t="s">
        <v>1519</v>
      </c>
      <c r="E2149" s="35" t="s">
        <v>623</v>
      </c>
      <c r="F2149" s="40">
        <v>336</v>
      </c>
      <c r="G2149" s="144" t="s">
        <v>1827</v>
      </c>
      <c r="H2149" s="40">
        <v>1</v>
      </c>
      <c r="I2149" s="56"/>
    </row>
    <row r="2150" spans="1:9" s="81" customFormat="1" ht="21.6" customHeight="1">
      <c r="A2150" s="27">
        <v>2400</v>
      </c>
      <c r="B2150" s="104" t="s">
        <v>54</v>
      </c>
      <c r="C2150" s="104" t="s">
        <v>624</v>
      </c>
      <c r="D2150" s="34" t="s">
        <v>1520</v>
      </c>
      <c r="E2150" s="35" t="s">
        <v>625</v>
      </c>
      <c r="F2150" s="40">
        <v>336</v>
      </c>
      <c r="G2150" s="144" t="s">
        <v>1828</v>
      </c>
      <c r="H2150" s="40">
        <v>1</v>
      </c>
      <c r="I2150" s="56"/>
    </row>
    <row r="2151" spans="1:9" s="81" customFormat="1" ht="21.6" customHeight="1">
      <c r="A2151" s="27">
        <v>2401</v>
      </c>
      <c r="B2151" s="104" t="s">
        <v>54</v>
      </c>
      <c r="C2151" s="104" t="s">
        <v>626</v>
      </c>
      <c r="D2151" s="34" t="s">
        <v>1521</v>
      </c>
      <c r="E2151" s="35" t="s">
        <v>627</v>
      </c>
      <c r="F2151" s="40">
        <v>336</v>
      </c>
      <c r="G2151" s="145" t="s">
        <v>628</v>
      </c>
      <c r="H2151" s="40">
        <v>2</v>
      </c>
      <c r="I2151" s="56"/>
    </row>
    <row r="2152" spans="1:9" s="81" customFormat="1" ht="21.6" customHeight="1">
      <c r="A2152" s="27">
        <v>2402</v>
      </c>
      <c r="B2152" s="104" t="s">
        <v>54</v>
      </c>
      <c r="C2152" s="104" t="s">
        <v>273</v>
      </c>
      <c r="D2152" s="34" t="s">
        <v>1392</v>
      </c>
      <c r="E2152" s="35" t="s">
        <v>274</v>
      </c>
      <c r="F2152" s="40">
        <v>80</v>
      </c>
      <c r="G2152" s="144" t="s">
        <v>631</v>
      </c>
      <c r="H2152" s="40">
        <v>1</v>
      </c>
      <c r="I2152" s="56" t="s">
        <v>116</v>
      </c>
    </row>
    <row r="2153" spans="1:9" s="81" customFormat="1" ht="21.6" customHeight="1">
      <c r="A2153" s="27">
        <v>2403</v>
      </c>
      <c r="B2153" s="104" t="s">
        <v>54</v>
      </c>
      <c r="C2153" s="104" t="s">
        <v>276</v>
      </c>
      <c r="D2153" s="80" t="s">
        <v>1393</v>
      </c>
      <c r="E2153" s="35" t="s">
        <v>277</v>
      </c>
      <c r="F2153" s="40">
        <v>80</v>
      </c>
      <c r="G2153" s="144" t="s">
        <v>115</v>
      </c>
      <c r="H2153" s="40">
        <v>1</v>
      </c>
      <c r="I2153" s="56" t="s">
        <v>116</v>
      </c>
    </row>
    <row r="2154" spans="1:9" s="58" customFormat="1" ht="21.6" customHeight="1">
      <c r="A2154" s="27">
        <v>2404</v>
      </c>
      <c r="B2154" s="104" t="s">
        <v>54</v>
      </c>
      <c r="C2154" s="104" t="s">
        <v>264</v>
      </c>
      <c r="D2154" s="50" t="s">
        <v>1389</v>
      </c>
      <c r="E2154" s="51" t="s">
        <v>265</v>
      </c>
      <c r="F2154" s="29">
        <v>80</v>
      </c>
      <c r="G2154" s="144" t="s">
        <v>1841</v>
      </c>
      <c r="H2154" s="29">
        <v>1</v>
      </c>
      <c r="I2154" s="31" t="s">
        <v>796</v>
      </c>
    </row>
    <row r="2155" spans="1:9" s="58" customFormat="1" ht="21.6" customHeight="1">
      <c r="A2155" s="27">
        <v>2405</v>
      </c>
      <c r="B2155" s="104" t="s">
        <v>54</v>
      </c>
      <c r="C2155" s="104" t="s">
        <v>268</v>
      </c>
      <c r="D2155" s="50" t="s">
        <v>1390</v>
      </c>
      <c r="E2155" s="51" t="s">
        <v>269</v>
      </c>
      <c r="F2155" s="29">
        <v>80</v>
      </c>
      <c r="G2155" s="144" t="s">
        <v>797</v>
      </c>
      <c r="H2155" s="29">
        <v>1</v>
      </c>
      <c r="I2155" s="31" t="s">
        <v>796</v>
      </c>
    </row>
    <row r="2156" spans="1:9" s="58" customFormat="1" ht="21.6" customHeight="1">
      <c r="A2156" s="27">
        <v>2406</v>
      </c>
      <c r="B2156" s="104" t="s">
        <v>54</v>
      </c>
      <c r="C2156" s="104" t="s">
        <v>271</v>
      </c>
      <c r="D2156" s="50" t="s">
        <v>1391</v>
      </c>
      <c r="E2156" s="51" t="s">
        <v>272</v>
      </c>
      <c r="F2156" s="29">
        <v>80</v>
      </c>
      <c r="G2156" s="144" t="s">
        <v>1842</v>
      </c>
      <c r="H2156" s="29">
        <v>1</v>
      </c>
      <c r="I2156" s="31" t="s">
        <v>796</v>
      </c>
    </row>
    <row r="2157" spans="1:9" s="26" customFormat="1" ht="21.6" customHeight="1">
      <c r="A2157" s="27">
        <v>2407</v>
      </c>
      <c r="B2157" s="104" t="s">
        <v>54</v>
      </c>
      <c r="C2157" s="104" t="s">
        <v>225</v>
      </c>
      <c r="D2157" s="39" t="s">
        <v>1375</v>
      </c>
      <c r="E2157" s="3" t="s">
        <v>226</v>
      </c>
      <c r="F2157" s="29">
        <v>120</v>
      </c>
      <c r="G2157" s="144" t="s">
        <v>1781</v>
      </c>
      <c r="H2157" s="29">
        <v>2</v>
      </c>
      <c r="I2157" s="31" t="s">
        <v>279</v>
      </c>
    </row>
    <row r="2158" spans="1:9" s="26" customFormat="1" ht="21.6" customHeight="1">
      <c r="A2158" s="27">
        <v>2408</v>
      </c>
      <c r="B2158" s="104" t="s">
        <v>54</v>
      </c>
      <c r="C2158" s="104" t="s">
        <v>229</v>
      </c>
      <c r="D2158" s="39" t="s">
        <v>1376</v>
      </c>
      <c r="E2158" s="51" t="s">
        <v>230</v>
      </c>
      <c r="F2158" s="29">
        <v>120</v>
      </c>
      <c r="G2158" s="144" t="s">
        <v>278</v>
      </c>
      <c r="H2158" s="29">
        <v>1</v>
      </c>
      <c r="I2158" s="31" t="s">
        <v>279</v>
      </c>
    </row>
    <row r="2159" spans="1:9" s="26" customFormat="1" ht="21.6" customHeight="1">
      <c r="A2159" s="27">
        <v>2409</v>
      </c>
      <c r="B2159" s="104" t="s">
        <v>54</v>
      </c>
      <c r="C2159" s="104" t="s">
        <v>280</v>
      </c>
      <c r="D2159" s="39" t="s">
        <v>1394</v>
      </c>
      <c r="E2159" s="51" t="s">
        <v>281</v>
      </c>
      <c r="F2159" s="29">
        <v>120</v>
      </c>
      <c r="G2159" s="144" t="s">
        <v>1782</v>
      </c>
      <c r="H2159" s="29">
        <v>1</v>
      </c>
      <c r="I2159" s="31" t="s">
        <v>283</v>
      </c>
    </row>
    <row r="2160" spans="1:9" s="26" customFormat="1" ht="21.6" customHeight="1">
      <c r="A2160" s="27">
        <v>2410</v>
      </c>
      <c r="B2160" s="104" t="s">
        <v>54</v>
      </c>
      <c r="C2160" s="104" t="s">
        <v>284</v>
      </c>
      <c r="D2160" s="50" t="s">
        <v>1395</v>
      </c>
      <c r="E2160" s="51" t="s">
        <v>226</v>
      </c>
      <c r="F2160" s="29">
        <v>120</v>
      </c>
      <c r="G2160" s="144" t="s">
        <v>285</v>
      </c>
      <c r="H2160" s="29">
        <v>1</v>
      </c>
      <c r="I2160" s="31" t="s">
        <v>286</v>
      </c>
    </row>
    <row r="2161" spans="1:9" s="26" customFormat="1" ht="21.6" customHeight="1">
      <c r="A2161" s="27">
        <v>2411</v>
      </c>
      <c r="B2161" s="104" t="s">
        <v>54</v>
      </c>
      <c r="C2161" s="104" t="s">
        <v>287</v>
      </c>
      <c r="D2161" s="50" t="s">
        <v>1396</v>
      </c>
      <c r="E2161" s="51" t="s">
        <v>288</v>
      </c>
      <c r="F2161" s="29">
        <v>120</v>
      </c>
      <c r="G2161" s="144" t="s">
        <v>282</v>
      </c>
      <c r="H2161" s="29">
        <v>1</v>
      </c>
      <c r="I2161" s="31" t="s">
        <v>286</v>
      </c>
    </row>
    <row r="2162" spans="1:9" s="58" customFormat="1" ht="21.6" customHeight="1">
      <c r="A2162" s="27">
        <v>2412</v>
      </c>
      <c r="B2162" s="104" t="s">
        <v>54</v>
      </c>
      <c r="C2162" s="104" t="s">
        <v>231</v>
      </c>
      <c r="D2162" s="39" t="s">
        <v>1377</v>
      </c>
      <c r="E2162" s="51" t="s">
        <v>232</v>
      </c>
      <c r="F2162" s="29">
        <v>160</v>
      </c>
      <c r="G2162" s="144" t="s">
        <v>1843</v>
      </c>
      <c r="H2162" s="29">
        <v>1</v>
      </c>
      <c r="I2162" s="31" t="s">
        <v>290</v>
      </c>
    </row>
    <row r="2163" spans="1:9" s="58" customFormat="1" ht="21.6" customHeight="1">
      <c r="A2163" s="27">
        <v>2413</v>
      </c>
      <c r="B2163" s="104" t="s">
        <v>54</v>
      </c>
      <c r="C2163" s="104" t="s">
        <v>235</v>
      </c>
      <c r="D2163" s="50" t="s">
        <v>1378</v>
      </c>
      <c r="E2163" s="51" t="s">
        <v>236</v>
      </c>
      <c r="F2163" s="29">
        <v>160</v>
      </c>
      <c r="G2163" s="144" t="s">
        <v>237</v>
      </c>
      <c r="H2163" s="29">
        <v>1</v>
      </c>
      <c r="I2163" s="31" t="s">
        <v>290</v>
      </c>
    </row>
    <row r="2164" spans="1:9" s="58" customFormat="1" ht="21.6" customHeight="1">
      <c r="A2164" s="27">
        <v>2414</v>
      </c>
      <c r="B2164" s="104" t="s">
        <v>54</v>
      </c>
      <c r="C2164" s="104" t="s">
        <v>238</v>
      </c>
      <c r="D2164" s="50" t="s">
        <v>1379</v>
      </c>
      <c r="E2164" s="51" t="s">
        <v>239</v>
      </c>
      <c r="F2164" s="29">
        <v>160</v>
      </c>
      <c r="G2164" s="144" t="s">
        <v>798</v>
      </c>
      <c r="H2164" s="29">
        <v>1</v>
      </c>
      <c r="I2164" s="31" t="s">
        <v>290</v>
      </c>
    </row>
    <row r="2165" spans="1:9" s="81" customFormat="1" ht="21.6" customHeight="1">
      <c r="A2165" s="27">
        <v>2415</v>
      </c>
      <c r="B2165" s="104" t="s">
        <v>54</v>
      </c>
      <c r="C2165" s="104" t="s">
        <v>913</v>
      </c>
      <c r="D2165" s="80" t="s">
        <v>1625</v>
      </c>
      <c r="E2165" s="35" t="s">
        <v>914</v>
      </c>
      <c r="F2165" s="40">
        <v>210</v>
      </c>
      <c r="G2165" s="144" t="s">
        <v>637</v>
      </c>
      <c r="H2165" s="40" t="s">
        <v>123</v>
      </c>
      <c r="I2165" s="56"/>
    </row>
    <row r="2166" spans="1:9" s="81" customFormat="1" ht="21.6" customHeight="1">
      <c r="A2166" s="27">
        <v>2416</v>
      </c>
      <c r="B2166" s="104" t="s">
        <v>54</v>
      </c>
      <c r="C2166" s="104" t="s">
        <v>915</v>
      </c>
      <c r="D2166" s="34" t="s">
        <v>1626</v>
      </c>
      <c r="E2166" s="35" t="s">
        <v>916</v>
      </c>
      <c r="F2166" s="40">
        <v>105</v>
      </c>
      <c r="G2166" s="144" t="s">
        <v>755</v>
      </c>
      <c r="H2166" s="40" t="s">
        <v>123</v>
      </c>
      <c r="I2166" s="56"/>
    </row>
    <row r="2167" spans="1:9" s="58" customFormat="1" ht="21.6" customHeight="1">
      <c r="A2167" s="27">
        <v>2417</v>
      </c>
      <c r="B2167" s="104" t="s">
        <v>54</v>
      </c>
      <c r="C2167" s="104" t="s">
        <v>295</v>
      </c>
      <c r="D2167" s="39" t="s">
        <v>1399</v>
      </c>
      <c r="E2167" s="3" t="s">
        <v>296</v>
      </c>
      <c r="F2167" s="29">
        <v>80</v>
      </c>
      <c r="G2167" s="144" t="s">
        <v>799</v>
      </c>
      <c r="H2167" s="40" t="s">
        <v>123</v>
      </c>
      <c r="I2167" s="31" t="s">
        <v>796</v>
      </c>
    </row>
    <row r="2168" spans="1:9" s="26" customFormat="1" ht="21.6" customHeight="1">
      <c r="A2168" s="27">
        <v>2418</v>
      </c>
      <c r="B2168" s="104" t="s">
        <v>54</v>
      </c>
      <c r="C2168" s="104" t="s">
        <v>298</v>
      </c>
      <c r="D2168" s="39" t="s">
        <v>1400</v>
      </c>
      <c r="E2168" s="3" t="s">
        <v>299</v>
      </c>
      <c r="F2168" s="29">
        <v>120</v>
      </c>
      <c r="G2168" s="144" t="s">
        <v>300</v>
      </c>
      <c r="H2168" s="40" t="s">
        <v>123</v>
      </c>
      <c r="I2168" s="31" t="s">
        <v>279</v>
      </c>
    </row>
    <row r="2169" spans="1:9" s="26" customFormat="1" ht="21.6" customHeight="1">
      <c r="A2169" s="27">
        <v>2419</v>
      </c>
      <c r="B2169" s="104" t="s">
        <v>54</v>
      </c>
      <c r="C2169" s="104" t="s">
        <v>301</v>
      </c>
      <c r="D2169" s="39" t="s">
        <v>1401</v>
      </c>
      <c r="E2169" s="3" t="s">
        <v>302</v>
      </c>
      <c r="F2169" s="29">
        <v>120</v>
      </c>
      <c r="G2169" s="144" t="s">
        <v>303</v>
      </c>
      <c r="H2169" s="40" t="s">
        <v>123</v>
      </c>
      <c r="I2169" s="31" t="s">
        <v>283</v>
      </c>
    </row>
    <row r="2170" spans="1:9" s="58" customFormat="1" ht="21.6" customHeight="1">
      <c r="A2170" s="27">
        <v>2420</v>
      </c>
      <c r="B2170" s="104" t="s">
        <v>54</v>
      </c>
      <c r="C2170" s="104" t="s">
        <v>251</v>
      </c>
      <c r="D2170" s="39" t="s">
        <v>1384</v>
      </c>
      <c r="E2170" s="3" t="s">
        <v>252</v>
      </c>
      <c r="F2170" s="29">
        <v>160</v>
      </c>
      <c r="G2170" s="144" t="s">
        <v>760</v>
      </c>
      <c r="H2170" s="40" t="s">
        <v>123</v>
      </c>
      <c r="I2170" s="31" t="s">
        <v>290</v>
      </c>
    </row>
    <row r="2171" spans="1:9" s="58" customFormat="1" ht="21.6" customHeight="1">
      <c r="A2171" s="27">
        <v>2422</v>
      </c>
      <c r="B2171" s="104" t="s">
        <v>54</v>
      </c>
      <c r="C2171" s="104" t="s">
        <v>1038</v>
      </c>
      <c r="D2171" s="39" t="s">
        <v>1674</v>
      </c>
      <c r="E2171" s="3" t="s">
        <v>1039</v>
      </c>
      <c r="F2171" s="29">
        <v>336</v>
      </c>
      <c r="G2171" s="144" t="s">
        <v>642</v>
      </c>
      <c r="H2171" s="40" t="s">
        <v>123</v>
      </c>
      <c r="I2171" s="31" t="s">
        <v>526</v>
      </c>
    </row>
    <row r="2172" spans="1:9" s="58" customFormat="1" ht="21.6" customHeight="1">
      <c r="A2172" s="27">
        <v>2423</v>
      </c>
      <c r="B2172" s="104" t="s">
        <v>54</v>
      </c>
      <c r="C2172" s="104" t="s">
        <v>643</v>
      </c>
      <c r="D2172" s="39" t="s">
        <v>1525</v>
      </c>
      <c r="E2172" s="3" t="s">
        <v>644</v>
      </c>
      <c r="F2172" s="29">
        <v>210</v>
      </c>
      <c r="G2172" s="144" t="s">
        <v>645</v>
      </c>
      <c r="H2172" s="40" t="s">
        <v>123</v>
      </c>
      <c r="I2172" s="31"/>
    </row>
    <row r="2173" spans="1:9" s="81" customFormat="1" ht="21.6" customHeight="1">
      <c r="A2173" s="27">
        <v>2424</v>
      </c>
      <c r="B2173" s="104" t="s">
        <v>54</v>
      </c>
      <c r="C2173" s="104" t="s">
        <v>1040</v>
      </c>
      <c r="D2173" s="34" t="s">
        <v>1675</v>
      </c>
      <c r="E2173" s="35" t="s">
        <v>1041</v>
      </c>
      <c r="F2173" s="40" t="s">
        <v>123</v>
      </c>
      <c r="G2173" s="145" t="s">
        <v>585</v>
      </c>
      <c r="H2173" s="40" t="s">
        <v>123</v>
      </c>
      <c r="I2173" s="56" t="s">
        <v>1070</v>
      </c>
    </row>
    <row r="2174" spans="1:9" s="81" customFormat="1" ht="21.6" customHeight="1">
      <c r="A2174" s="27">
        <v>2425</v>
      </c>
      <c r="B2174" s="104" t="s">
        <v>54</v>
      </c>
      <c r="C2174" s="104" t="s">
        <v>1042</v>
      </c>
      <c r="D2174" s="34" t="s">
        <v>1676</v>
      </c>
      <c r="E2174" s="35" t="s">
        <v>1043</v>
      </c>
      <c r="F2174" s="40" t="s">
        <v>123</v>
      </c>
      <c r="G2174" s="145" t="s">
        <v>585</v>
      </c>
      <c r="H2174" s="40" t="s">
        <v>123</v>
      </c>
      <c r="I2174" s="56" t="s">
        <v>1071</v>
      </c>
    </row>
    <row r="2175" spans="1:9" s="81" customFormat="1" ht="21.6" customHeight="1">
      <c r="A2175" s="27">
        <v>2426</v>
      </c>
      <c r="B2175" s="104" t="s">
        <v>54</v>
      </c>
      <c r="C2175" s="104" t="s">
        <v>1044</v>
      </c>
      <c r="D2175" s="34" t="s">
        <v>1677</v>
      </c>
      <c r="E2175" s="35" t="s">
        <v>1045</v>
      </c>
      <c r="F2175" s="40" t="s">
        <v>123</v>
      </c>
      <c r="G2175" s="145" t="s">
        <v>129</v>
      </c>
      <c r="H2175" s="40" t="s">
        <v>123</v>
      </c>
      <c r="I2175" s="56" t="s">
        <v>1072</v>
      </c>
    </row>
    <row r="2176" spans="1:9" ht="21.6" customHeight="1">
      <c r="A2176" s="27">
        <v>2427</v>
      </c>
      <c r="B2176" s="104" t="s">
        <v>54</v>
      </c>
      <c r="C2176" s="104" t="s">
        <v>1047</v>
      </c>
      <c r="D2176" s="34" t="s">
        <v>1678</v>
      </c>
      <c r="E2176" s="35" t="s">
        <v>1048</v>
      </c>
      <c r="F2176" s="40" t="s">
        <v>123</v>
      </c>
      <c r="G2176" s="145" t="s">
        <v>772</v>
      </c>
      <c r="H2176" s="40" t="s">
        <v>123</v>
      </c>
      <c r="I2176" s="56" t="s">
        <v>1072</v>
      </c>
    </row>
    <row r="2177" spans="1:9" ht="21.6" customHeight="1">
      <c r="A2177" s="27">
        <v>2428</v>
      </c>
      <c r="B2177" s="104" t="s">
        <v>54</v>
      </c>
      <c r="C2177" s="104" t="s">
        <v>1049</v>
      </c>
      <c r="D2177" s="34" t="s">
        <v>1679</v>
      </c>
      <c r="E2177" s="35" t="s">
        <v>1050</v>
      </c>
      <c r="F2177" s="40" t="s">
        <v>123</v>
      </c>
      <c r="G2177" s="145" t="s">
        <v>775</v>
      </c>
      <c r="H2177" s="40" t="s">
        <v>123</v>
      </c>
      <c r="I2177" s="56" t="s">
        <v>1072</v>
      </c>
    </row>
    <row r="2178" spans="1:9" ht="21.6" customHeight="1">
      <c r="A2178" s="27">
        <v>2429</v>
      </c>
      <c r="B2178" s="104" t="s">
        <v>54</v>
      </c>
      <c r="C2178" s="104" t="s">
        <v>1051</v>
      </c>
      <c r="D2178" s="34" t="s">
        <v>1680</v>
      </c>
      <c r="E2178" s="35" t="s">
        <v>1052</v>
      </c>
      <c r="F2178" s="40" t="s">
        <v>123</v>
      </c>
      <c r="G2178" s="145" t="s">
        <v>778</v>
      </c>
      <c r="H2178" s="40" t="s">
        <v>123</v>
      </c>
      <c r="I2178" s="56" t="s">
        <v>1072</v>
      </c>
    </row>
    <row r="2179" spans="1:9" s="81" customFormat="1" ht="21.6" customHeight="1">
      <c r="A2179" s="27">
        <v>2430</v>
      </c>
      <c r="B2179" s="104" t="s">
        <v>54</v>
      </c>
      <c r="C2179" s="104" t="s">
        <v>1053</v>
      </c>
      <c r="D2179" s="34" t="s">
        <v>1681</v>
      </c>
      <c r="E2179" s="35" t="s">
        <v>1054</v>
      </c>
      <c r="F2179" s="40" t="s">
        <v>123</v>
      </c>
      <c r="G2179" s="145" t="s">
        <v>129</v>
      </c>
      <c r="H2179" s="40" t="s">
        <v>123</v>
      </c>
      <c r="I2179" s="56" t="s">
        <v>1073</v>
      </c>
    </row>
    <row r="2180" spans="1:9" ht="21.6" customHeight="1">
      <c r="A2180" s="27">
        <v>2431</v>
      </c>
      <c r="B2180" s="104" t="s">
        <v>54</v>
      </c>
      <c r="C2180" s="104" t="s">
        <v>1056</v>
      </c>
      <c r="D2180" s="34" t="s">
        <v>1682</v>
      </c>
      <c r="E2180" s="35" t="s">
        <v>1057</v>
      </c>
      <c r="F2180" s="40" t="s">
        <v>123</v>
      </c>
      <c r="G2180" s="145" t="s">
        <v>772</v>
      </c>
      <c r="H2180" s="40" t="s">
        <v>123</v>
      </c>
      <c r="I2180" s="56" t="s">
        <v>1073</v>
      </c>
    </row>
    <row r="2181" spans="1:9" ht="21.6" customHeight="1">
      <c r="A2181" s="27">
        <v>2432</v>
      </c>
      <c r="B2181" s="104" t="s">
        <v>54</v>
      </c>
      <c r="C2181" s="104" t="s">
        <v>1058</v>
      </c>
      <c r="D2181" s="34" t="s">
        <v>1683</v>
      </c>
      <c r="E2181" s="35" t="s">
        <v>1059</v>
      </c>
      <c r="F2181" s="40" t="s">
        <v>123</v>
      </c>
      <c r="G2181" s="145" t="s">
        <v>775</v>
      </c>
      <c r="H2181" s="40" t="s">
        <v>123</v>
      </c>
      <c r="I2181" s="56" t="s">
        <v>1073</v>
      </c>
    </row>
    <row r="2182" spans="1:9" ht="21.6" customHeight="1">
      <c r="A2182" s="27">
        <v>2433</v>
      </c>
      <c r="B2182" s="104" t="s">
        <v>54</v>
      </c>
      <c r="C2182" s="104" t="s">
        <v>1060</v>
      </c>
      <c r="D2182" s="34" t="s">
        <v>1684</v>
      </c>
      <c r="E2182" s="35" t="s">
        <v>1061</v>
      </c>
      <c r="F2182" s="40" t="s">
        <v>123</v>
      </c>
      <c r="G2182" s="145" t="s">
        <v>778</v>
      </c>
      <c r="H2182" s="40" t="s">
        <v>123</v>
      </c>
      <c r="I2182" s="56" t="s">
        <v>1073</v>
      </c>
    </row>
    <row r="2183" spans="1:9" s="81" customFormat="1" ht="21.6" customHeight="1">
      <c r="A2183" s="41">
        <v>2434</v>
      </c>
      <c r="B2183" s="104" t="s">
        <v>54</v>
      </c>
      <c r="C2183" s="104" t="s">
        <v>650</v>
      </c>
      <c r="D2183" s="34" t="s">
        <v>1528</v>
      </c>
      <c r="E2183" s="35" t="s">
        <v>651</v>
      </c>
      <c r="F2183" s="40" t="s">
        <v>123</v>
      </c>
      <c r="G2183" s="144" t="s">
        <v>1821</v>
      </c>
      <c r="H2183" s="40" t="s">
        <v>123</v>
      </c>
      <c r="I2183" s="56"/>
    </row>
    <row r="2184" spans="1:9" s="81" customFormat="1" ht="21.6" customHeight="1">
      <c r="A2184" s="41">
        <v>2435</v>
      </c>
      <c r="B2184" s="84" t="s">
        <v>54</v>
      </c>
      <c r="C2184" s="84" t="s">
        <v>941</v>
      </c>
      <c r="D2184" s="84" t="s">
        <v>1638</v>
      </c>
      <c r="E2184" s="83" t="s">
        <v>942</v>
      </c>
      <c r="F2184" s="85" t="s">
        <v>654</v>
      </c>
      <c r="G2184" s="150" t="s">
        <v>1805</v>
      </c>
      <c r="H2184" s="85" t="s">
        <v>123</v>
      </c>
      <c r="I2184" s="86"/>
    </row>
    <row r="2185" spans="1:9" ht="21.6" customHeight="1">
      <c r="A2185" s="20">
        <v>2436</v>
      </c>
      <c r="B2185" s="73" t="s">
        <v>1316</v>
      </c>
      <c r="C2185" s="73" t="s">
        <v>1074</v>
      </c>
      <c r="D2185" s="73" t="s">
        <v>1689</v>
      </c>
      <c r="E2185" s="72" t="s">
        <v>1075</v>
      </c>
      <c r="F2185" s="74">
        <v>248</v>
      </c>
      <c r="G2185" s="143" t="s">
        <v>71</v>
      </c>
      <c r="H2185" s="74">
        <v>4</v>
      </c>
      <c r="I2185" s="75"/>
    </row>
    <row r="2186" spans="1:9" ht="21.6" customHeight="1">
      <c r="A2186" s="27">
        <v>2437</v>
      </c>
      <c r="B2186" s="34" t="s">
        <v>1316</v>
      </c>
      <c r="C2186" s="34" t="s">
        <v>1076</v>
      </c>
      <c r="D2186" s="34" t="s">
        <v>1690</v>
      </c>
      <c r="E2186" s="35" t="s">
        <v>1077</v>
      </c>
      <c r="F2186" s="76" t="s">
        <v>123</v>
      </c>
      <c r="G2186" s="145" t="s">
        <v>502</v>
      </c>
      <c r="H2186" s="40">
        <v>1</v>
      </c>
      <c r="I2186" s="56" t="s">
        <v>503</v>
      </c>
    </row>
    <row r="2187" spans="1:9" ht="21.6" customHeight="1">
      <c r="A2187" s="27">
        <v>2438</v>
      </c>
      <c r="B2187" s="34" t="s">
        <v>1316</v>
      </c>
      <c r="C2187" s="34" t="s">
        <v>1078</v>
      </c>
      <c r="D2187" s="34" t="s">
        <v>1691</v>
      </c>
      <c r="E2187" s="35" t="s">
        <v>1079</v>
      </c>
      <c r="F2187" s="76" t="s">
        <v>123</v>
      </c>
      <c r="G2187" s="145" t="s">
        <v>703</v>
      </c>
      <c r="H2187" s="40">
        <v>1</v>
      </c>
      <c r="I2187" s="56" t="s">
        <v>503</v>
      </c>
    </row>
    <row r="2188" spans="1:9" ht="21.6" customHeight="1">
      <c r="A2188" s="27">
        <v>2439</v>
      </c>
      <c r="B2188" s="34" t="s">
        <v>1316</v>
      </c>
      <c r="C2188" s="34" t="s">
        <v>1080</v>
      </c>
      <c r="D2188" s="34" t="s">
        <v>1692</v>
      </c>
      <c r="E2188" s="35" t="s">
        <v>1081</v>
      </c>
      <c r="F2188" s="76" t="s">
        <v>123</v>
      </c>
      <c r="G2188" s="144" t="s">
        <v>706</v>
      </c>
      <c r="H2188" s="40">
        <v>1</v>
      </c>
      <c r="I2188" s="56" t="s">
        <v>503</v>
      </c>
    </row>
    <row r="2189" spans="1:9" ht="21.6" customHeight="1">
      <c r="A2189" s="27">
        <v>2440</v>
      </c>
      <c r="B2189" s="34" t="s">
        <v>1316</v>
      </c>
      <c r="C2189" s="34" t="s">
        <v>1082</v>
      </c>
      <c r="D2189" s="34" t="s">
        <v>1693</v>
      </c>
      <c r="E2189" s="35" t="s">
        <v>1083</v>
      </c>
      <c r="F2189" s="76" t="s">
        <v>123</v>
      </c>
      <c r="G2189" s="145" t="s">
        <v>709</v>
      </c>
      <c r="H2189" s="40">
        <v>1</v>
      </c>
      <c r="I2189" s="56" t="s">
        <v>503</v>
      </c>
    </row>
    <row r="2190" spans="1:9" ht="21.6" customHeight="1">
      <c r="A2190" s="27">
        <v>2441</v>
      </c>
      <c r="B2190" s="34" t="s">
        <v>1316</v>
      </c>
      <c r="C2190" s="34" t="s">
        <v>1084</v>
      </c>
      <c r="D2190" s="34" t="s">
        <v>1694</v>
      </c>
      <c r="E2190" s="35" t="s">
        <v>1085</v>
      </c>
      <c r="F2190" s="40">
        <v>248</v>
      </c>
      <c r="G2190" s="145" t="s">
        <v>415</v>
      </c>
      <c r="H2190" s="40">
        <v>4</v>
      </c>
      <c r="I2190" s="56"/>
    </row>
    <row r="2191" spans="1:9" ht="21.6" customHeight="1">
      <c r="A2191" s="27">
        <v>2442</v>
      </c>
      <c r="B2191" s="34" t="s">
        <v>1316</v>
      </c>
      <c r="C2191" s="34" t="s">
        <v>1086</v>
      </c>
      <c r="D2191" s="34" t="s">
        <v>1695</v>
      </c>
      <c r="E2191" s="35" t="s">
        <v>1087</v>
      </c>
      <c r="F2191" s="40">
        <v>225</v>
      </c>
      <c r="G2191" s="144" t="s">
        <v>1809</v>
      </c>
      <c r="H2191" s="40">
        <v>1</v>
      </c>
      <c r="I2191" s="56"/>
    </row>
    <row r="2192" spans="1:9" ht="21.6" customHeight="1">
      <c r="A2192" s="27">
        <v>2443</v>
      </c>
      <c r="B2192" s="34" t="s">
        <v>1316</v>
      </c>
      <c r="C2192" s="34" t="s">
        <v>1088</v>
      </c>
      <c r="D2192" s="34" t="s">
        <v>1696</v>
      </c>
      <c r="E2192" s="35" t="s">
        <v>1089</v>
      </c>
      <c r="F2192" s="40">
        <v>225</v>
      </c>
      <c r="G2192" s="144" t="s">
        <v>1090</v>
      </c>
      <c r="H2192" s="40">
        <v>1</v>
      </c>
      <c r="I2192" s="56"/>
    </row>
    <row r="2193" spans="1:9" ht="21.6" customHeight="1">
      <c r="A2193" s="27">
        <v>2444</v>
      </c>
      <c r="B2193" s="34" t="s">
        <v>1316</v>
      </c>
      <c r="C2193" s="34" t="s">
        <v>1091</v>
      </c>
      <c r="D2193" s="34" t="s">
        <v>1697</v>
      </c>
      <c r="E2193" s="35" t="s">
        <v>1092</v>
      </c>
      <c r="F2193" s="40">
        <v>450</v>
      </c>
      <c r="G2193" s="144" t="s">
        <v>1810</v>
      </c>
      <c r="H2193" s="40">
        <v>1</v>
      </c>
      <c r="I2193" s="56"/>
    </row>
    <row r="2194" spans="1:9" ht="21.6" customHeight="1">
      <c r="A2194" s="27">
        <v>2445</v>
      </c>
      <c r="B2194" s="34" t="s">
        <v>1316</v>
      </c>
      <c r="C2194" s="34" t="s">
        <v>1093</v>
      </c>
      <c r="D2194" s="34" t="s">
        <v>1698</v>
      </c>
      <c r="E2194" s="35" t="s">
        <v>1094</v>
      </c>
      <c r="F2194" s="40">
        <v>248</v>
      </c>
      <c r="G2194" s="144" t="s">
        <v>1095</v>
      </c>
      <c r="H2194" s="40">
        <v>1</v>
      </c>
      <c r="I2194" s="56"/>
    </row>
    <row r="2195" spans="1:9" ht="21.6" customHeight="1">
      <c r="A2195" s="27">
        <v>2446</v>
      </c>
      <c r="B2195" s="34" t="s">
        <v>1316</v>
      </c>
      <c r="C2195" s="34" t="s">
        <v>1096</v>
      </c>
      <c r="D2195" s="34" t="s">
        <v>1699</v>
      </c>
      <c r="E2195" s="35" t="s">
        <v>1097</v>
      </c>
      <c r="F2195" s="40">
        <v>248</v>
      </c>
      <c r="G2195" s="144" t="s">
        <v>533</v>
      </c>
      <c r="H2195" s="40">
        <v>1</v>
      </c>
      <c r="I2195" s="56"/>
    </row>
    <row r="2196" spans="1:9" ht="21.6" customHeight="1">
      <c r="A2196" s="27">
        <v>2447</v>
      </c>
      <c r="B2196" s="34" t="s">
        <v>1316</v>
      </c>
      <c r="C2196" s="34" t="s">
        <v>1098</v>
      </c>
      <c r="D2196" s="34" t="s">
        <v>1700</v>
      </c>
      <c r="E2196" s="35" t="s">
        <v>1099</v>
      </c>
      <c r="F2196" s="40">
        <v>248</v>
      </c>
      <c r="G2196" s="145" t="s">
        <v>1812</v>
      </c>
      <c r="H2196" s="40">
        <v>1</v>
      </c>
      <c r="I2196" s="56"/>
    </row>
    <row r="2197" spans="1:9" ht="21.6" customHeight="1">
      <c r="A2197" s="27">
        <v>2448</v>
      </c>
      <c r="B2197" s="34" t="s">
        <v>1316</v>
      </c>
      <c r="C2197" s="34" t="s">
        <v>1100</v>
      </c>
      <c r="D2197" s="34" t="s">
        <v>1701</v>
      </c>
      <c r="E2197" s="35" t="s">
        <v>1101</v>
      </c>
      <c r="F2197" s="40">
        <v>248</v>
      </c>
      <c r="G2197" s="145" t="s">
        <v>1102</v>
      </c>
      <c r="H2197" s="40">
        <v>1</v>
      </c>
      <c r="I2197" s="56"/>
    </row>
    <row r="2198" spans="1:9" ht="21.6" customHeight="1">
      <c r="A2198" s="27">
        <v>2449</v>
      </c>
      <c r="B2198" s="34" t="s">
        <v>1316</v>
      </c>
      <c r="C2198" s="34" t="s">
        <v>1103</v>
      </c>
      <c r="D2198" s="34" t="s">
        <v>1702</v>
      </c>
      <c r="E2198" s="35" t="s">
        <v>1104</v>
      </c>
      <c r="F2198" s="40">
        <v>248</v>
      </c>
      <c r="G2198" s="148" t="s">
        <v>1848</v>
      </c>
      <c r="H2198" s="40">
        <v>1</v>
      </c>
      <c r="I2198" s="56"/>
    </row>
    <row r="2199" spans="1:9" ht="21.6" customHeight="1">
      <c r="A2199" s="27">
        <v>2450</v>
      </c>
      <c r="B2199" s="34" t="s">
        <v>1316</v>
      </c>
      <c r="C2199" s="34" t="s">
        <v>1105</v>
      </c>
      <c r="D2199" s="34" t="s">
        <v>1703</v>
      </c>
      <c r="E2199" s="35" t="s">
        <v>1106</v>
      </c>
      <c r="F2199" s="40">
        <v>496</v>
      </c>
      <c r="G2199" s="145" t="s">
        <v>1849</v>
      </c>
      <c r="H2199" s="40">
        <v>1</v>
      </c>
      <c r="I2199" s="56"/>
    </row>
    <row r="2200" spans="1:9" ht="21.6" customHeight="1">
      <c r="A2200" s="27">
        <v>2451</v>
      </c>
      <c r="B2200" s="34" t="s">
        <v>1316</v>
      </c>
      <c r="C2200" s="34" t="s">
        <v>506</v>
      </c>
      <c r="D2200" s="34" t="s">
        <v>1472</v>
      </c>
      <c r="E2200" s="35" t="s">
        <v>507</v>
      </c>
      <c r="F2200" s="40">
        <v>248</v>
      </c>
      <c r="G2200" s="144" t="s">
        <v>107</v>
      </c>
      <c r="H2200" s="40">
        <v>4</v>
      </c>
      <c r="I2200" s="56"/>
    </row>
    <row r="2201" spans="1:9" ht="21.6" customHeight="1">
      <c r="A2201" s="27">
        <v>2452</v>
      </c>
      <c r="B2201" s="34" t="s">
        <v>1316</v>
      </c>
      <c r="C2201" s="34" t="s">
        <v>1107</v>
      </c>
      <c r="D2201" s="34" t="s">
        <v>1704</v>
      </c>
      <c r="E2201" s="35" t="s">
        <v>1108</v>
      </c>
      <c r="F2201" s="40">
        <v>248</v>
      </c>
      <c r="G2201" s="145" t="s">
        <v>104</v>
      </c>
      <c r="H2201" s="40">
        <v>4</v>
      </c>
      <c r="I2201" s="56"/>
    </row>
    <row r="2202" spans="1:9" ht="21.6" customHeight="1">
      <c r="A2202" s="27">
        <v>2453</v>
      </c>
      <c r="B2202" s="34" t="s">
        <v>1316</v>
      </c>
      <c r="C2202" s="34" t="s">
        <v>510</v>
      </c>
      <c r="D2202" s="34" t="s">
        <v>1474</v>
      </c>
      <c r="E2202" s="35" t="s">
        <v>511</v>
      </c>
      <c r="F2202" s="40">
        <v>248</v>
      </c>
      <c r="G2202" s="145" t="s">
        <v>1806</v>
      </c>
      <c r="H2202" s="40">
        <v>4</v>
      </c>
      <c r="I2202" s="56"/>
    </row>
    <row r="2203" spans="1:9" s="77" customFormat="1" ht="21.6" customHeight="1">
      <c r="A2203" s="27">
        <v>2454</v>
      </c>
      <c r="B2203" s="34" t="s">
        <v>1316</v>
      </c>
      <c r="C2203" s="34" t="s">
        <v>517</v>
      </c>
      <c r="D2203" s="47" t="s">
        <v>1477</v>
      </c>
      <c r="E2203" s="48" t="s">
        <v>518</v>
      </c>
      <c r="F2203" s="40">
        <v>248</v>
      </c>
      <c r="G2203" s="145" t="s">
        <v>1808</v>
      </c>
      <c r="H2203" s="40">
        <v>1</v>
      </c>
      <c r="I2203" s="56"/>
    </row>
    <row r="2204" spans="1:9" ht="21.6" customHeight="1">
      <c r="A2204" s="27">
        <v>2455</v>
      </c>
      <c r="B2204" s="34" t="s">
        <v>1316</v>
      </c>
      <c r="C2204" s="34" t="s">
        <v>519</v>
      </c>
      <c r="D2204" s="34" t="s">
        <v>1478</v>
      </c>
      <c r="E2204" s="35" t="s">
        <v>520</v>
      </c>
      <c r="F2204" s="40">
        <v>248</v>
      </c>
      <c r="G2204" s="144" t="s">
        <v>101</v>
      </c>
      <c r="H2204" s="40">
        <v>1</v>
      </c>
      <c r="I2204" s="56"/>
    </row>
    <row r="2205" spans="1:9" ht="21.6" customHeight="1">
      <c r="A2205" s="27">
        <v>2456</v>
      </c>
      <c r="B2205" s="34" t="s">
        <v>1316</v>
      </c>
      <c r="C2205" s="34" t="s">
        <v>521</v>
      </c>
      <c r="D2205" s="34" t="s">
        <v>1479</v>
      </c>
      <c r="E2205" s="35" t="s">
        <v>522</v>
      </c>
      <c r="F2205" s="40">
        <v>248</v>
      </c>
      <c r="G2205" s="145" t="s">
        <v>523</v>
      </c>
      <c r="H2205" s="40">
        <v>1</v>
      </c>
      <c r="I2205" s="56"/>
    </row>
    <row r="2206" spans="1:9" ht="21.6" customHeight="1">
      <c r="A2206" s="27">
        <v>2457</v>
      </c>
      <c r="B2206" s="34" t="s">
        <v>1316</v>
      </c>
      <c r="C2206" s="34" t="s">
        <v>1109</v>
      </c>
      <c r="D2206" s="34" t="s">
        <v>1705</v>
      </c>
      <c r="E2206" s="35" t="s">
        <v>1110</v>
      </c>
      <c r="F2206" s="40">
        <v>450</v>
      </c>
      <c r="G2206" s="144" t="s">
        <v>90</v>
      </c>
      <c r="H2206" s="40">
        <v>5</v>
      </c>
      <c r="I2206" s="56"/>
    </row>
    <row r="2207" spans="1:9" ht="21.6" customHeight="1">
      <c r="A2207" s="27">
        <v>2458</v>
      </c>
      <c r="B2207" s="34" t="s">
        <v>1316</v>
      </c>
      <c r="C2207" s="34" t="s">
        <v>1111</v>
      </c>
      <c r="D2207" s="34" t="s">
        <v>1706</v>
      </c>
      <c r="E2207" s="35" t="s">
        <v>1112</v>
      </c>
      <c r="F2207" s="40">
        <v>225</v>
      </c>
      <c r="G2207" s="145" t="s">
        <v>1850</v>
      </c>
      <c r="H2207" s="40">
        <v>2</v>
      </c>
      <c r="I2207" s="56"/>
    </row>
    <row r="2208" spans="1:9" ht="21.6" customHeight="1">
      <c r="A2208" s="27">
        <v>2459</v>
      </c>
      <c r="B2208" s="34" t="s">
        <v>1316</v>
      </c>
      <c r="C2208" s="34" t="s">
        <v>1113</v>
      </c>
      <c r="D2208" s="34" t="s">
        <v>1707</v>
      </c>
      <c r="E2208" s="35" t="s">
        <v>1114</v>
      </c>
      <c r="F2208" s="40">
        <v>248</v>
      </c>
      <c r="G2208" s="145" t="s">
        <v>1813</v>
      </c>
      <c r="H2208" s="40">
        <v>1</v>
      </c>
      <c r="I2208" s="56"/>
    </row>
    <row r="2209" spans="1:9" ht="21.6" customHeight="1">
      <c r="A2209" s="27">
        <v>2460</v>
      </c>
      <c r="B2209" s="34" t="s">
        <v>1316</v>
      </c>
      <c r="C2209" s="34" t="s">
        <v>1115</v>
      </c>
      <c r="D2209" s="34" t="s">
        <v>1708</v>
      </c>
      <c r="E2209" s="35" t="s">
        <v>1116</v>
      </c>
      <c r="F2209" s="40">
        <v>248</v>
      </c>
      <c r="G2209" s="145" t="s">
        <v>1814</v>
      </c>
      <c r="H2209" s="40">
        <v>1</v>
      </c>
      <c r="I2209" s="56"/>
    </row>
    <row r="2210" spans="1:9" ht="21.6" customHeight="1">
      <c r="A2210" s="27">
        <v>2461</v>
      </c>
      <c r="B2210" s="34" t="s">
        <v>1316</v>
      </c>
      <c r="C2210" s="34" t="s">
        <v>1117</v>
      </c>
      <c r="D2210" s="34" t="s">
        <v>1709</v>
      </c>
      <c r="E2210" s="35" t="s">
        <v>1118</v>
      </c>
      <c r="F2210" s="40">
        <v>248</v>
      </c>
      <c r="G2210" s="145" t="s">
        <v>1815</v>
      </c>
      <c r="H2210" s="40">
        <v>1</v>
      </c>
      <c r="I2210" s="56"/>
    </row>
    <row r="2211" spans="1:9" ht="21.6" customHeight="1">
      <c r="A2211" s="27">
        <v>2462</v>
      </c>
      <c r="B2211" s="34" t="s">
        <v>1316</v>
      </c>
      <c r="C2211" s="34" t="s">
        <v>1119</v>
      </c>
      <c r="D2211" s="34" t="s">
        <v>1710</v>
      </c>
      <c r="E2211" s="35" t="s">
        <v>1120</v>
      </c>
      <c r="F2211" s="40">
        <v>496</v>
      </c>
      <c r="G2211" s="145" t="s">
        <v>1851</v>
      </c>
      <c r="H2211" s="40">
        <v>1</v>
      </c>
      <c r="I2211" s="56"/>
    </row>
    <row r="2212" spans="1:9" ht="21.6" customHeight="1">
      <c r="A2212" s="27">
        <v>2463</v>
      </c>
      <c r="B2212" s="34" t="s">
        <v>1316</v>
      </c>
      <c r="C2212" s="34" t="s">
        <v>1121</v>
      </c>
      <c r="D2212" s="34" t="s">
        <v>1711</v>
      </c>
      <c r="E2212" s="35" t="s">
        <v>1122</v>
      </c>
      <c r="F2212" s="40">
        <v>496</v>
      </c>
      <c r="G2212" s="145" t="s">
        <v>1852</v>
      </c>
      <c r="H2212" s="40">
        <v>1</v>
      </c>
      <c r="I2212" s="56"/>
    </row>
    <row r="2213" spans="1:9" ht="21.6" customHeight="1">
      <c r="A2213" s="27">
        <v>2464</v>
      </c>
      <c r="B2213" s="34" t="s">
        <v>1316</v>
      </c>
      <c r="C2213" s="34" t="s">
        <v>452</v>
      </c>
      <c r="D2213" s="34" t="s">
        <v>1452</v>
      </c>
      <c r="E2213" s="35" t="s">
        <v>226</v>
      </c>
      <c r="F2213" s="40" t="s">
        <v>453</v>
      </c>
      <c r="G2213" s="144" t="s">
        <v>1816</v>
      </c>
      <c r="H2213" s="40">
        <v>1</v>
      </c>
      <c r="I2213" s="56" t="s">
        <v>455</v>
      </c>
    </row>
    <row r="2214" spans="1:9" ht="21.6" customHeight="1">
      <c r="A2214" s="27">
        <v>2465</v>
      </c>
      <c r="B2214" s="34" t="s">
        <v>1316</v>
      </c>
      <c r="C2214" s="34" t="s">
        <v>452</v>
      </c>
      <c r="D2214" s="34" t="s">
        <v>1452</v>
      </c>
      <c r="E2214" s="35" t="s">
        <v>226</v>
      </c>
      <c r="F2214" s="40" t="s">
        <v>453</v>
      </c>
      <c r="G2214" s="144" t="s">
        <v>1816</v>
      </c>
      <c r="H2214" s="40">
        <v>1</v>
      </c>
      <c r="I2214" s="56" t="s">
        <v>455</v>
      </c>
    </row>
    <row r="2215" spans="1:9" ht="21.6" customHeight="1">
      <c r="A2215" s="27">
        <v>2466</v>
      </c>
      <c r="B2215" s="34" t="s">
        <v>1316</v>
      </c>
      <c r="C2215" s="34" t="s">
        <v>457</v>
      </c>
      <c r="D2215" s="34" t="s">
        <v>1453</v>
      </c>
      <c r="E2215" s="35" t="s">
        <v>458</v>
      </c>
      <c r="F2215" s="40" t="s">
        <v>453</v>
      </c>
      <c r="G2215" s="144" t="s">
        <v>1817</v>
      </c>
      <c r="H2215" s="40">
        <v>1</v>
      </c>
      <c r="I2215" s="56" t="s">
        <v>455</v>
      </c>
    </row>
    <row r="2216" spans="1:9" ht="21.6" customHeight="1">
      <c r="A2216" s="27">
        <v>2467</v>
      </c>
      <c r="B2216" s="34" t="s">
        <v>1316</v>
      </c>
      <c r="C2216" s="34" t="s">
        <v>225</v>
      </c>
      <c r="D2216" s="34" t="s">
        <v>1375</v>
      </c>
      <c r="E2216" s="35" t="s">
        <v>226</v>
      </c>
      <c r="F2216" s="68" t="s">
        <v>470</v>
      </c>
      <c r="G2216" s="145" t="s">
        <v>1838</v>
      </c>
      <c r="H2216" s="40">
        <v>1</v>
      </c>
      <c r="I2216" s="56"/>
    </row>
    <row r="2217" spans="1:9" ht="21.6" customHeight="1">
      <c r="A2217" s="27">
        <v>2468</v>
      </c>
      <c r="B2217" s="34" t="s">
        <v>1316</v>
      </c>
      <c r="C2217" s="34" t="s">
        <v>225</v>
      </c>
      <c r="D2217" s="34" t="s">
        <v>1375</v>
      </c>
      <c r="E2217" s="35" t="s">
        <v>226</v>
      </c>
      <c r="F2217" s="68" t="s">
        <v>470</v>
      </c>
      <c r="G2217" s="144" t="s">
        <v>1123</v>
      </c>
      <c r="H2217" s="40">
        <v>1</v>
      </c>
      <c r="I2217" s="56"/>
    </row>
    <row r="2218" spans="1:9" ht="21.6" customHeight="1">
      <c r="A2218" s="27">
        <v>2469</v>
      </c>
      <c r="B2218" s="34" t="s">
        <v>1316</v>
      </c>
      <c r="C2218" s="34" t="s">
        <v>229</v>
      </c>
      <c r="D2218" s="64" t="s">
        <v>1376</v>
      </c>
      <c r="E2218" s="7" t="s">
        <v>230</v>
      </c>
      <c r="F2218" s="68" t="s">
        <v>470</v>
      </c>
      <c r="G2218" s="145" t="s">
        <v>1839</v>
      </c>
      <c r="H2218" s="40">
        <v>1</v>
      </c>
      <c r="I2218" s="56"/>
    </row>
    <row r="2219" spans="1:9" ht="21.6" customHeight="1">
      <c r="A2219" s="27">
        <v>2470</v>
      </c>
      <c r="B2219" s="34" t="s">
        <v>1316</v>
      </c>
      <c r="C2219" s="34" t="s">
        <v>332</v>
      </c>
      <c r="D2219" s="34" t="s">
        <v>1410</v>
      </c>
      <c r="E2219" s="35" t="s">
        <v>333</v>
      </c>
      <c r="F2219" s="40">
        <v>500</v>
      </c>
      <c r="G2219" s="144" t="s">
        <v>1853</v>
      </c>
      <c r="H2219" s="40">
        <v>2</v>
      </c>
      <c r="I2219" s="56" t="s">
        <v>1124</v>
      </c>
    </row>
    <row r="2220" spans="1:9" ht="21.6" customHeight="1">
      <c r="A2220" s="27">
        <v>2471</v>
      </c>
      <c r="B2220" s="34" t="s">
        <v>1316</v>
      </c>
      <c r="C2220" s="34" t="s">
        <v>452</v>
      </c>
      <c r="D2220" s="34" t="s">
        <v>1452</v>
      </c>
      <c r="E2220" s="35" t="s">
        <v>226</v>
      </c>
      <c r="F2220" s="40">
        <v>500</v>
      </c>
      <c r="G2220" s="144" t="s">
        <v>1125</v>
      </c>
      <c r="H2220" s="40">
        <v>1</v>
      </c>
      <c r="I2220" s="56" t="s">
        <v>1124</v>
      </c>
    </row>
    <row r="2221" spans="1:9" ht="21.6" customHeight="1">
      <c r="A2221" s="27">
        <v>2472</v>
      </c>
      <c r="B2221" s="34" t="s">
        <v>1316</v>
      </c>
      <c r="C2221" s="34" t="s">
        <v>467</v>
      </c>
      <c r="D2221" s="34" t="s">
        <v>1457</v>
      </c>
      <c r="E2221" s="35" t="s">
        <v>468</v>
      </c>
      <c r="F2221" s="40">
        <v>500</v>
      </c>
      <c r="G2221" s="145" t="s">
        <v>1126</v>
      </c>
      <c r="H2221" s="40">
        <v>1</v>
      </c>
      <c r="I2221" s="56" t="s">
        <v>1124</v>
      </c>
    </row>
    <row r="2222" spans="1:9" ht="21.6" customHeight="1">
      <c r="A2222" s="27">
        <v>2473</v>
      </c>
      <c r="B2222" s="34" t="s">
        <v>1316</v>
      </c>
      <c r="C2222" s="34" t="s">
        <v>548</v>
      </c>
      <c r="D2222" s="78" t="s">
        <v>1489</v>
      </c>
      <c r="E2222" s="35" t="s">
        <v>549</v>
      </c>
      <c r="F2222" s="40">
        <v>100</v>
      </c>
      <c r="G2222" s="145" t="s">
        <v>1819</v>
      </c>
      <c r="H2222" s="40">
        <v>1</v>
      </c>
      <c r="I2222" s="56" t="s">
        <v>116</v>
      </c>
    </row>
    <row r="2223" spans="1:9" ht="21.6" customHeight="1">
      <c r="A2223" s="27">
        <v>2474</v>
      </c>
      <c r="B2223" s="34" t="s">
        <v>1316</v>
      </c>
      <c r="C2223" s="34" t="s">
        <v>551</v>
      </c>
      <c r="D2223" s="34" t="s">
        <v>1490</v>
      </c>
      <c r="E2223" s="35" t="s">
        <v>552</v>
      </c>
      <c r="F2223" s="40">
        <v>100</v>
      </c>
      <c r="G2223" s="144" t="s">
        <v>553</v>
      </c>
      <c r="H2223" s="40">
        <v>1</v>
      </c>
      <c r="I2223" s="56" t="s">
        <v>116</v>
      </c>
    </row>
    <row r="2224" spans="1:9" ht="21.6" customHeight="1">
      <c r="A2224" s="27">
        <v>2475</v>
      </c>
      <c r="B2224" s="34" t="s">
        <v>1316</v>
      </c>
      <c r="C2224" s="34" t="s">
        <v>554</v>
      </c>
      <c r="D2224" s="34" t="s">
        <v>1491</v>
      </c>
      <c r="E2224" s="35" t="s">
        <v>555</v>
      </c>
      <c r="F2224" s="40">
        <v>100</v>
      </c>
      <c r="G2224" s="144" t="s">
        <v>550</v>
      </c>
      <c r="H2224" s="40">
        <v>1</v>
      </c>
      <c r="I2224" s="56" t="s">
        <v>116</v>
      </c>
    </row>
    <row r="2225" spans="1:9" ht="21.6" customHeight="1">
      <c r="A2225" s="27">
        <v>2476</v>
      </c>
      <c r="B2225" s="34" t="s">
        <v>1316</v>
      </c>
      <c r="C2225" s="34" t="s">
        <v>1127</v>
      </c>
      <c r="D2225" s="79" t="s">
        <v>1712</v>
      </c>
      <c r="E2225" s="35" t="s">
        <v>1128</v>
      </c>
      <c r="F2225" s="40">
        <v>248</v>
      </c>
      <c r="G2225" s="145" t="s">
        <v>558</v>
      </c>
      <c r="H2225" s="40" t="s">
        <v>123</v>
      </c>
      <c r="I2225" s="56"/>
    </row>
    <row r="2226" spans="1:9" ht="21.6" customHeight="1">
      <c r="A2226" s="27">
        <v>2477</v>
      </c>
      <c r="B2226" s="34" t="s">
        <v>1316</v>
      </c>
      <c r="C2226" s="34" t="s">
        <v>1129</v>
      </c>
      <c r="D2226" s="80" t="s">
        <v>1713</v>
      </c>
      <c r="E2226" s="35" t="s">
        <v>1130</v>
      </c>
      <c r="F2226" s="40">
        <v>248</v>
      </c>
      <c r="G2226" s="145" t="s">
        <v>1820</v>
      </c>
      <c r="H2226" s="40" t="s">
        <v>123</v>
      </c>
      <c r="I2226" s="56"/>
    </row>
    <row r="2227" spans="1:9" ht="21.6" customHeight="1">
      <c r="A2227" s="27">
        <v>2478</v>
      </c>
      <c r="B2227" s="34" t="s">
        <v>1316</v>
      </c>
      <c r="C2227" s="34" t="s">
        <v>1131</v>
      </c>
      <c r="D2227" s="34" t="s">
        <v>1714</v>
      </c>
      <c r="E2227" s="35" t="s">
        <v>1132</v>
      </c>
      <c r="F2227" s="40">
        <v>450</v>
      </c>
      <c r="G2227" s="145" t="s">
        <v>244</v>
      </c>
      <c r="H2227" s="40" t="s">
        <v>123</v>
      </c>
      <c r="I2227" s="56"/>
    </row>
    <row r="2228" spans="1:9" ht="21.6" customHeight="1">
      <c r="A2228" s="27">
        <v>2479</v>
      </c>
      <c r="B2228" s="34" t="s">
        <v>1316</v>
      </c>
      <c r="C2228" s="34" t="s">
        <v>1133</v>
      </c>
      <c r="D2228" s="34" t="s">
        <v>1715</v>
      </c>
      <c r="E2228" s="35" t="s">
        <v>1134</v>
      </c>
      <c r="F2228" s="40">
        <v>248</v>
      </c>
      <c r="G2228" s="145" t="s">
        <v>1135</v>
      </c>
      <c r="H2228" s="40" t="s">
        <v>123</v>
      </c>
      <c r="I2228" s="56"/>
    </row>
    <row r="2229" spans="1:9" ht="21.6" customHeight="1">
      <c r="A2229" s="27">
        <v>2480</v>
      </c>
      <c r="B2229" s="34" t="s">
        <v>1316</v>
      </c>
      <c r="C2229" s="34" t="s">
        <v>563</v>
      </c>
      <c r="D2229" s="34" t="s">
        <v>1495</v>
      </c>
      <c r="E2229" s="35" t="s">
        <v>564</v>
      </c>
      <c r="F2229" s="40">
        <v>248</v>
      </c>
      <c r="G2229" s="145" t="s">
        <v>1803</v>
      </c>
      <c r="H2229" s="40" t="s">
        <v>123</v>
      </c>
      <c r="I2229" s="56"/>
    </row>
    <row r="2230" spans="1:9" ht="21.6" customHeight="1">
      <c r="A2230" s="27">
        <v>2481</v>
      </c>
      <c r="B2230" s="34" t="s">
        <v>1316</v>
      </c>
      <c r="C2230" s="34" t="s">
        <v>1136</v>
      </c>
      <c r="D2230" s="34" t="s">
        <v>1716</v>
      </c>
      <c r="E2230" s="35" t="s">
        <v>1137</v>
      </c>
      <c r="F2230" s="40">
        <v>496</v>
      </c>
      <c r="G2230" s="145" t="s">
        <v>1803</v>
      </c>
      <c r="H2230" s="40" t="s">
        <v>123</v>
      </c>
      <c r="I2230" s="56"/>
    </row>
    <row r="2231" spans="1:9" ht="21.6" customHeight="1">
      <c r="A2231" s="27">
        <v>2482</v>
      </c>
      <c r="B2231" s="34" t="s">
        <v>1316</v>
      </c>
      <c r="C2231" s="34" t="s">
        <v>481</v>
      </c>
      <c r="D2231" s="34" t="s">
        <v>1462</v>
      </c>
      <c r="E2231" s="35" t="s">
        <v>482</v>
      </c>
      <c r="F2231" s="40" t="s">
        <v>453</v>
      </c>
      <c r="G2231" s="144" t="s">
        <v>567</v>
      </c>
      <c r="H2231" s="40" t="s">
        <v>123</v>
      </c>
      <c r="I2231" s="56" t="s">
        <v>455</v>
      </c>
    </row>
    <row r="2232" spans="1:9" ht="21.6" customHeight="1">
      <c r="A2232" s="27">
        <v>2483</v>
      </c>
      <c r="B2232" s="34" t="s">
        <v>1316</v>
      </c>
      <c r="C2232" s="34" t="s">
        <v>484</v>
      </c>
      <c r="D2232" s="34" t="s">
        <v>1463</v>
      </c>
      <c r="E2232" s="35" t="s">
        <v>485</v>
      </c>
      <c r="F2232" s="40">
        <v>500</v>
      </c>
      <c r="G2232" s="144" t="s">
        <v>1138</v>
      </c>
      <c r="H2232" s="40" t="s">
        <v>123</v>
      </c>
      <c r="I2232" s="56" t="s">
        <v>1124</v>
      </c>
    </row>
    <row r="2233" spans="1:9" ht="21.6" customHeight="1">
      <c r="A2233" s="27">
        <v>2484</v>
      </c>
      <c r="B2233" s="34" t="s">
        <v>1316</v>
      </c>
      <c r="C2233" s="34" t="s">
        <v>248</v>
      </c>
      <c r="D2233" s="67" t="s">
        <v>1383</v>
      </c>
      <c r="E2233" s="30" t="s">
        <v>249</v>
      </c>
      <c r="F2233" s="68" t="s">
        <v>470</v>
      </c>
      <c r="G2233" s="145" t="s">
        <v>1854</v>
      </c>
      <c r="H2233" s="40" t="s">
        <v>123</v>
      </c>
      <c r="I2233" s="56"/>
    </row>
    <row r="2234" spans="1:9" ht="21.6" customHeight="1">
      <c r="A2234" s="27">
        <v>2485</v>
      </c>
      <c r="B2234" s="34" t="s">
        <v>1316</v>
      </c>
      <c r="C2234" s="34" t="s">
        <v>1139</v>
      </c>
      <c r="D2234" s="34" t="s">
        <v>1717</v>
      </c>
      <c r="E2234" s="35" t="s">
        <v>1140</v>
      </c>
      <c r="F2234" s="40" t="s">
        <v>123</v>
      </c>
      <c r="G2234" s="145" t="s">
        <v>132</v>
      </c>
      <c r="H2234" s="40" t="s">
        <v>123</v>
      </c>
      <c r="I2234" s="56"/>
    </row>
    <row r="2235" spans="1:9" ht="21.6" customHeight="1">
      <c r="A2235" s="27">
        <v>2486</v>
      </c>
      <c r="B2235" s="34" t="s">
        <v>1316</v>
      </c>
      <c r="C2235" s="34" t="s">
        <v>1141</v>
      </c>
      <c r="D2235" s="34" t="s">
        <v>1718</v>
      </c>
      <c r="E2235" s="35" t="s">
        <v>1142</v>
      </c>
      <c r="F2235" s="40" t="s">
        <v>123</v>
      </c>
      <c r="G2235" s="145" t="s">
        <v>129</v>
      </c>
      <c r="H2235" s="40" t="s">
        <v>123</v>
      </c>
      <c r="I2235" s="56"/>
    </row>
    <row r="2236" spans="1:9" ht="21.6" customHeight="1">
      <c r="A2236" s="27">
        <v>2487</v>
      </c>
      <c r="B2236" s="34" t="s">
        <v>1316</v>
      </c>
      <c r="C2236" s="34" t="s">
        <v>1143</v>
      </c>
      <c r="D2236" s="34" t="s">
        <v>1719</v>
      </c>
      <c r="E2236" s="35" t="s">
        <v>1144</v>
      </c>
      <c r="F2236" s="40" t="s">
        <v>123</v>
      </c>
      <c r="G2236" s="144" t="s">
        <v>135</v>
      </c>
      <c r="H2236" s="40" t="s">
        <v>123</v>
      </c>
      <c r="I2236" s="56"/>
    </row>
    <row r="2237" spans="1:9" ht="21.6" customHeight="1">
      <c r="A2237" s="27">
        <v>2488</v>
      </c>
      <c r="B2237" s="34" t="s">
        <v>1316</v>
      </c>
      <c r="C2237" s="34" t="s">
        <v>1145</v>
      </c>
      <c r="D2237" s="34" t="s">
        <v>1720</v>
      </c>
      <c r="E2237" s="35" t="s">
        <v>1146</v>
      </c>
      <c r="F2237" s="40" t="s">
        <v>123</v>
      </c>
      <c r="G2237" s="144" t="s">
        <v>1821</v>
      </c>
      <c r="H2237" s="40" t="s">
        <v>123</v>
      </c>
      <c r="I2237" s="56"/>
    </row>
    <row r="2238" spans="1:9" ht="21.6" customHeight="1">
      <c r="A2238" s="27">
        <v>2489</v>
      </c>
      <c r="B2238" s="34" t="s">
        <v>1316</v>
      </c>
      <c r="C2238" s="34" t="s">
        <v>1147</v>
      </c>
      <c r="D2238" s="34" t="s">
        <v>1721</v>
      </c>
      <c r="E2238" s="35" t="s">
        <v>1148</v>
      </c>
      <c r="F2238" s="40" t="s">
        <v>123</v>
      </c>
      <c r="G2238" s="144" t="s">
        <v>582</v>
      </c>
      <c r="H2238" s="40" t="s">
        <v>123</v>
      </c>
      <c r="I2238" s="56"/>
    </row>
    <row r="2239" spans="1:9" ht="21.6" customHeight="1">
      <c r="A2239" s="41">
        <v>2491</v>
      </c>
      <c r="B2239" s="97" t="s">
        <v>1316</v>
      </c>
      <c r="C2239" s="97" t="s">
        <v>1149</v>
      </c>
      <c r="D2239" s="97" t="s">
        <v>1722</v>
      </c>
      <c r="E2239" s="70" t="s">
        <v>1150</v>
      </c>
      <c r="F2239" s="44" t="s">
        <v>123</v>
      </c>
      <c r="G2239" s="149" t="s">
        <v>1151</v>
      </c>
      <c r="H2239" s="44" t="s">
        <v>123</v>
      </c>
      <c r="I2239" s="98"/>
    </row>
    <row r="2240" spans="1:9" ht="21.6" customHeight="1">
      <c r="A2240" s="20">
        <v>2492</v>
      </c>
      <c r="B2240" s="134" t="s">
        <v>56</v>
      </c>
      <c r="C2240" s="134" t="s">
        <v>498</v>
      </c>
      <c r="D2240" s="73" t="s">
        <v>1469</v>
      </c>
      <c r="E2240" s="72" t="s">
        <v>499</v>
      </c>
      <c r="F2240" s="74">
        <v>480</v>
      </c>
      <c r="G2240" s="143" t="s">
        <v>71</v>
      </c>
      <c r="H2240" s="74">
        <v>4</v>
      </c>
      <c r="I2240" s="75"/>
    </row>
    <row r="2241" spans="1:9" ht="21.6" customHeight="1">
      <c r="A2241" s="27">
        <v>2493</v>
      </c>
      <c r="B2241" s="36" t="s">
        <v>56</v>
      </c>
      <c r="C2241" s="36" t="s">
        <v>500</v>
      </c>
      <c r="D2241" s="34" t="s">
        <v>1470</v>
      </c>
      <c r="E2241" s="35" t="s">
        <v>501</v>
      </c>
      <c r="F2241" s="76" t="s">
        <v>123</v>
      </c>
      <c r="G2241" s="145" t="s">
        <v>502</v>
      </c>
      <c r="H2241" s="40">
        <v>1</v>
      </c>
      <c r="I2241" s="56" t="s">
        <v>503</v>
      </c>
    </row>
    <row r="2242" spans="1:9" ht="21.6" customHeight="1">
      <c r="A2242" s="27">
        <v>2494</v>
      </c>
      <c r="B2242" s="36" t="s">
        <v>56</v>
      </c>
      <c r="C2242" s="36" t="s">
        <v>1152</v>
      </c>
      <c r="D2242" s="34" t="s">
        <v>1723</v>
      </c>
      <c r="E2242" s="35" t="s">
        <v>1153</v>
      </c>
      <c r="F2242" s="76" t="s">
        <v>123</v>
      </c>
      <c r="G2242" s="145" t="s">
        <v>703</v>
      </c>
      <c r="H2242" s="40">
        <v>1</v>
      </c>
      <c r="I2242" s="56" t="s">
        <v>503</v>
      </c>
    </row>
    <row r="2243" spans="1:9" ht="21.6" customHeight="1">
      <c r="A2243" s="27">
        <v>2495</v>
      </c>
      <c r="B2243" s="36" t="s">
        <v>56</v>
      </c>
      <c r="C2243" s="36" t="s">
        <v>1154</v>
      </c>
      <c r="D2243" s="34" t="s">
        <v>1724</v>
      </c>
      <c r="E2243" s="35" t="s">
        <v>1155</v>
      </c>
      <c r="F2243" s="76" t="s">
        <v>123</v>
      </c>
      <c r="G2243" s="144" t="s">
        <v>706</v>
      </c>
      <c r="H2243" s="40">
        <v>1</v>
      </c>
      <c r="I2243" s="56" t="s">
        <v>503</v>
      </c>
    </row>
    <row r="2244" spans="1:9" ht="21.6" customHeight="1">
      <c r="A2244" s="27">
        <v>2496</v>
      </c>
      <c r="B2244" s="36" t="s">
        <v>56</v>
      </c>
      <c r="C2244" s="36" t="s">
        <v>1156</v>
      </c>
      <c r="D2244" s="34" t="s">
        <v>1725</v>
      </c>
      <c r="E2244" s="35" t="s">
        <v>1157</v>
      </c>
      <c r="F2244" s="76" t="s">
        <v>123</v>
      </c>
      <c r="G2244" s="145" t="s">
        <v>709</v>
      </c>
      <c r="H2244" s="40">
        <v>1</v>
      </c>
      <c r="I2244" s="56" t="s">
        <v>503</v>
      </c>
    </row>
    <row r="2245" spans="1:9" ht="21.6" customHeight="1">
      <c r="A2245" s="27">
        <v>2497</v>
      </c>
      <c r="B2245" s="36" t="s">
        <v>56</v>
      </c>
      <c r="C2245" s="36" t="s">
        <v>504</v>
      </c>
      <c r="D2245" s="34" t="s">
        <v>1471</v>
      </c>
      <c r="E2245" s="35" t="s">
        <v>505</v>
      </c>
      <c r="F2245" s="40">
        <v>480</v>
      </c>
      <c r="G2245" s="145" t="s">
        <v>415</v>
      </c>
      <c r="H2245" s="40">
        <v>4</v>
      </c>
      <c r="I2245" s="56"/>
    </row>
    <row r="2246" spans="1:9" ht="21.6" customHeight="1">
      <c r="A2246" s="27">
        <v>2498</v>
      </c>
      <c r="B2246" s="36" t="s">
        <v>56</v>
      </c>
      <c r="C2246" s="36" t="s">
        <v>506</v>
      </c>
      <c r="D2246" s="34" t="s">
        <v>1472</v>
      </c>
      <c r="E2246" s="35" t="s">
        <v>507</v>
      </c>
      <c r="F2246" s="40">
        <v>480</v>
      </c>
      <c r="G2246" s="144" t="s">
        <v>107</v>
      </c>
      <c r="H2246" s="40">
        <v>4</v>
      </c>
      <c r="I2246" s="56"/>
    </row>
    <row r="2247" spans="1:9" ht="21.6" customHeight="1">
      <c r="A2247" s="27">
        <v>2499</v>
      </c>
      <c r="B2247" s="36" t="s">
        <v>56</v>
      </c>
      <c r="C2247" s="36" t="s">
        <v>508</v>
      </c>
      <c r="D2247" s="34" t="s">
        <v>1473</v>
      </c>
      <c r="E2247" s="35" t="s">
        <v>509</v>
      </c>
      <c r="F2247" s="40">
        <v>480</v>
      </c>
      <c r="G2247" s="145" t="s">
        <v>104</v>
      </c>
      <c r="H2247" s="40">
        <v>4</v>
      </c>
      <c r="I2247" s="56"/>
    </row>
    <row r="2248" spans="1:9" ht="21.6" customHeight="1">
      <c r="A2248" s="27">
        <v>2500</v>
      </c>
      <c r="B2248" s="36" t="s">
        <v>56</v>
      </c>
      <c r="C2248" s="36" t="s">
        <v>510</v>
      </c>
      <c r="D2248" s="34" t="s">
        <v>1474</v>
      </c>
      <c r="E2248" s="35" t="s">
        <v>511</v>
      </c>
      <c r="F2248" s="40">
        <v>480</v>
      </c>
      <c r="G2248" s="145" t="s">
        <v>1806</v>
      </c>
      <c r="H2248" s="40">
        <v>4</v>
      </c>
      <c r="I2248" s="56"/>
    </row>
    <row r="2249" spans="1:9" ht="21.6" customHeight="1">
      <c r="A2249" s="27">
        <v>2501</v>
      </c>
      <c r="B2249" s="36" t="s">
        <v>56</v>
      </c>
      <c r="C2249" s="36" t="s">
        <v>512</v>
      </c>
      <c r="D2249" s="34" t="s">
        <v>1475</v>
      </c>
      <c r="E2249" s="35" t="s">
        <v>513</v>
      </c>
      <c r="F2249" s="40">
        <v>480</v>
      </c>
      <c r="G2249" s="145" t="s">
        <v>1807</v>
      </c>
      <c r="H2249" s="40">
        <v>4</v>
      </c>
      <c r="I2249" s="56"/>
    </row>
    <row r="2250" spans="1:9" ht="21.6" customHeight="1">
      <c r="A2250" s="27">
        <v>2502</v>
      </c>
      <c r="B2250" s="36" t="s">
        <v>56</v>
      </c>
      <c r="C2250" s="36" t="s">
        <v>514</v>
      </c>
      <c r="D2250" s="34" t="s">
        <v>1476</v>
      </c>
      <c r="E2250" s="35" t="s">
        <v>515</v>
      </c>
      <c r="F2250" s="40">
        <v>480</v>
      </c>
      <c r="G2250" s="145" t="s">
        <v>516</v>
      </c>
      <c r="H2250" s="40">
        <v>4</v>
      </c>
      <c r="I2250" s="56"/>
    </row>
    <row r="2251" spans="1:9" s="77" customFormat="1" ht="21.6" customHeight="1">
      <c r="A2251" s="27">
        <v>2503</v>
      </c>
      <c r="B2251" s="36" t="s">
        <v>56</v>
      </c>
      <c r="C2251" s="36" t="s">
        <v>517</v>
      </c>
      <c r="D2251" s="47" t="s">
        <v>1477</v>
      </c>
      <c r="E2251" s="48" t="s">
        <v>518</v>
      </c>
      <c r="F2251" s="40">
        <v>480</v>
      </c>
      <c r="G2251" s="145" t="s">
        <v>1808</v>
      </c>
      <c r="H2251" s="40">
        <v>1</v>
      </c>
      <c r="I2251" s="56"/>
    </row>
    <row r="2252" spans="1:9" ht="21.6" customHeight="1">
      <c r="A2252" s="27">
        <v>2504</v>
      </c>
      <c r="B2252" s="36" t="s">
        <v>56</v>
      </c>
      <c r="C2252" s="36" t="s">
        <v>519</v>
      </c>
      <c r="D2252" s="34" t="s">
        <v>1478</v>
      </c>
      <c r="E2252" s="35" t="s">
        <v>520</v>
      </c>
      <c r="F2252" s="40">
        <v>480</v>
      </c>
      <c r="G2252" s="144" t="s">
        <v>101</v>
      </c>
      <c r="H2252" s="40">
        <v>1</v>
      </c>
      <c r="I2252" s="56"/>
    </row>
    <row r="2253" spans="1:9" ht="21.6" customHeight="1">
      <c r="A2253" s="27">
        <v>2505</v>
      </c>
      <c r="B2253" s="36" t="s">
        <v>56</v>
      </c>
      <c r="C2253" s="36" t="s">
        <v>521</v>
      </c>
      <c r="D2253" s="34" t="s">
        <v>1479</v>
      </c>
      <c r="E2253" s="35" t="s">
        <v>522</v>
      </c>
      <c r="F2253" s="40">
        <v>480</v>
      </c>
      <c r="G2253" s="145" t="s">
        <v>523</v>
      </c>
      <c r="H2253" s="40">
        <v>1</v>
      </c>
      <c r="I2253" s="56"/>
    </row>
    <row r="2254" spans="1:9" ht="21.6" customHeight="1">
      <c r="A2254" s="27">
        <v>2506</v>
      </c>
      <c r="B2254" s="36" t="s">
        <v>56</v>
      </c>
      <c r="C2254" s="36" t="s">
        <v>1158</v>
      </c>
      <c r="D2254" s="34" t="s">
        <v>1726</v>
      </c>
      <c r="E2254" s="35" t="s">
        <v>1159</v>
      </c>
      <c r="F2254" s="40">
        <v>480</v>
      </c>
      <c r="G2254" s="145" t="s">
        <v>1851</v>
      </c>
      <c r="H2254" s="40">
        <v>1</v>
      </c>
      <c r="I2254" s="89" t="s">
        <v>1160</v>
      </c>
    </row>
    <row r="2255" spans="1:9" ht="21.6" customHeight="1">
      <c r="A2255" s="27">
        <v>2507</v>
      </c>
      <c r="B2255" s="36" t="s">
        <v>56</v>
      </c>
      <c r="C2255" s="36" t="s">
        <v>1161</v>
      </c>
      <c r="D2255" s="36" t="s">
        <v>1727</v>
      </c>
      <c r="E2255" s="37" t="s">
        <v>1162</v>
      </c>
      <c r="F2255" s="40">
        <v>480</v>
      </c>
      <c r="G2255" s="145" t="s">
        <v>1851</v>
      </c>
      <c r="H2255" s="40">
        <v>1</v>
      </c>
      <c r="I2255" s="89" t="s">
        <v>1163</v>
      </c>
    </row>
    <row r="2256" spans="1:9" ht="21.6" customHeight="1">
      <c r="A2256" s="27">
        <v>2508</v>
      </c>
      <c r="B2256" s="36" t="s">
        <v>56</v>
      </c>
      <c r="C2256" s="36" t="s">
        <v>99</v>
      </c>
      <c r="D2256" s="36" t="s">
        <v>1334</v>
      </c>
      <c r="E2256" s="37" t="s">
        <v>100</v>
      </c>
      <c r="F2256" s="40">
        <v>480</v>
      </c>
      <c r="G2256" s="144" t="s">
        <v>101</v>
      </c>
      <c r="H2256" s="40">
        <v>1</v>
      </c>
      <c r="I2256" s="89" t="s">
        <v>1164</v>
      </c>
    </row>
    <row r="2257" spans="1:9" ht="21.6" customHeight="1">
      <c r="A2257" s="27">
        <v>2510</v>
      </c>
      <c r="B2257" s="36" t="s">
        <v>56</v>
      </c>
      <c r="C2257" s="36" t="s">
        <v>524</v>
      </c>
      <c r="D2257" s="34" t="s">
        <v>1480</v>
      </c>
      <c r="E2257" s="35" t="s">
        <v>1165</v>
      </c>
      <c r="F2257" s="40">
        <v>480</v>
      </c>
      <c r="G2257" s="144" t="s">
        <v>1809</v>
      </c>
      <c r="H2257" s="40">
        <v>1</v>
      </c>
      <c r="I2257" s="56" t="s">
        <v>526</v>
      </c>
    </row>
    <row r="2258" spans="1:9" ht="21.6" customHeight="1">
      <c r="A2258" s="27">
        <v>2511</v>
      </c>
      <c r="B2258" s="36" t="s">
        <v>56</v>
      </c>
      <c r="C2258" s="36" t="s">
        <v>527</v>
      </c>
      <c r="D2258" s="34" t="s">
        <v>1481</v>
      </c>
      <c r="E2258" s="35" t="s">
        <v>528</v>
      </c>
      <c r="F2258" s="40">
        <v>480</v>
      </c>
      <c r="G2258" s="144" t="s">
        <v>1810</v>
      </c>
      <c r="H2258" s="40">
        <v>1</v>
      </c>
      <c r="I2258" s="56"/>
    </row>
    <row r="2259" spans="1:9" ht="21.6" customHeight="1">
      <c r="A2259" s="27">
        <v>2512</v>
      </c>
      <c r="B2259" s="36" t="s">
        <v>56</v>
      </c>
      <c r="C2259" s="36" t="s">
        <v>529</v>
      </c>
      <c r="D2259" s="34" t="s">
        <v>1482</v>
      </c>
      <c r="E2259" s="35" t="s">
        <v>530</v>
      </c>
      <c r="F2259" s="40">
        <v>480</v>
      </c>
      <c r="G2259" s="144" t="s">
        <v>1811</v>
      </c>
      <c r="H2259" s="40">
        <v>1</v>
      </c>
      <c r="I2259" s="56"/>
    </row>
    <row r="2260" spans="1:9" ht="21.6" customHeight="1">
      <c r="A2260" s="27">
        <v>2513</v>
      </c>
      <c r="B2260" s="36" t="s">
        <v>56</v>
      </c>
      <c r="C2260" s="36" t="s">
        <v>531</v>
      </c>
      <c r="D2260" s="34" t="s">
        <v>1483</v>
      </c>
      <c r="E2260" s="35" t="s">
        <v>532</v>
      </c>
      <c r="F2260" s="40">
        <v>480</v>
      </c>
      <c r="G2260" s="144" t="s">
        <v>533</v>
      </c>
      <c r="H2260" s="40">
        <v>1</v>
      </c>
      <c r="I2260" s="56"/>
    </row>
    <row r="2261" spans="1:9" ht="21.6" customHeight="1">
      <c r="A2261" s="27">
        <v>2514</v>
      </c>
      <c r="B2261" s="36" t="s">
        <v>56</v>
      </c>
      <c r="C2261" s="36" t="s">
        <v>534</v>
      </c>
      <c r="D2261" s="34" t="s">
        <v>1484</v>
      </c>
      <c r="E2261" s="35" t="s">
        <v>535</v>
      </c>
      <c r="F2261" s="40">
        <v>480</v>
      </c>
      <c r="G2261" s="145" t="s">
        <v>1812</v>
      </c>
      <c r="H2261" s="40">
        <v>1</v>
      </c>
      <c r="I2261" s="56"/>
    </row>
    <row r="2262" spans="1:9" ht="21.6" customHeight="1">
      <c r="A2262" s="27">
        <v>2515</v>
      </c>
      <c r="B2262" s="36" t="s">
        <v>56</v>
      </c>
      <c r="C2262" s="36" t="s">
        <v>536</v>
      </c>
      <c r="D2262" s="34" t="s">
        <v>1485</v>
      </c>
      <c r="E2262" s="35" t="s">
        <v>537</v>
      </c>
      <c r="F2262" s="40">
        <v>480</v>
      </c>
      <c r="G2262" s="145" t="s">
        <v>1813</v>
      </c>
      <c r="H2262" s="40">
        <v>1</v>
      </c>
      <c r="I2262" s="56"/>
    </row>
    <row r="2263" spans="1:9" ht="21.6" customHeight="1">
      <c r="A2263" s="27">
        <v>2516</v>
      </c>
      <c r="B2263" s="36" t="s">
        <v>56</v>
      </c>
      <c r="C2263" s="36" t="s">
        <v>538</v>
      </c>
      <c r="D2263" s="34" t="s">
        <v>1486</v>
      </c>
      <c r="E2263" s="35" t="s">
        <v>539</v>
      </c>
      <c r="F2263" s="40">
        <v>480</v>
      </c>
      <c r="G2263" s="145" t="s">
        <v>1814</v>
      </c>
      <c r="H2263" s="40">
        <v>1</v>
      </c>
      <c r="I2263" s="56"/>
    </row>
    <row r="2264" spans="1:9" ht="21.6" customHeight="1">
      <c r="A2264" s="27">
        <v>2517</v>
      </c>
      <c r="B2264" s="36" t="s">
        <v>56</v>
      </c>
      <c r="C2264" s="36" t="s">
        <v>540</v>
      </c>
      <c r="D2264" s="34" t="s">
        <v>1487</v>
      </c>
      <c r="E2264" s="35" t="s">
        <v>541</v>
      </c>
      <c r="F2264" s="40">
        <v>480</v>
      </c>
      <c r="G2264" s="145" t="s">
        <v>1815</v>
      </c>
      <c r="H2264" s="40">
        <v>1</v>
      </c>
      <c r="I2264" s="56"/>
    </row>
    <row r="2265" spans="1:9" ht="21.6" customHeight="1">
      <c r="A2265" s="27">
        <v>2518</v>
      </c>
      <c r="B2265" s="36" t="s">
        <v>56</v>
      </c>
      <c r="C2265" s="36" t="s">
        <v>542</v>
      </c>
      <c r="D2265" s="34" t="s">
        <v>1488</v>
      </c>
      <c r="E2265" s="35" t="s">
        <v>543</v>
      </c>
      <c r="F2265" s="40">
        <v>200</v>
      </c>
      <c r="G2265" s="144" t="s">
        <v>1832</v>
      </c>
      <c r="H2265" s="40">
        <v>1</v>
      </c>
      <c r="I2265" s="89" t="s">
        <v>111</v>
      </c>
    </row>
    <row r="2266" spans="1:9" ht="21.6" customHeight="1">
      <c r="A2266" s="27">
        <v>2519</v>
      </c>
      <c r="B2266" s="36" t="s">
        <v>56</v>
      </c>
      <c r="C2266" s="36" t="s">
        <v>542</v>
      </c>
      <c r="D2266" s="34" t="s">
        <v>1488</v>
      </c>
      <c r="E2266" s="35" t="s">
        <v>543</v>
      </c>
      <c r="F2266" s="40">
        <v>200</v>
      </c>
      <c r="G2266" s="144" t="s">
        <v>110</v>
      </c>
      <c r="H2266" s="40">
        <v>1</v>
      </c>
      <c r="I2266" s="89" t="s">
        <v>111</v>
      </c>
    </row>
    <row r="2267" spans="1:9" ht="21.6" customHeight="1">
      <c r="A2267" s="27">
        <v>2520</v>
      </c>
      <c r="B2267" s="36" t="s">
        <v>56</v>
      </c>
      <c r="C2267" s="36" t="s">
        <v>457</v>
      </c>
      <c r="D2267" s="34" t="s">
        <v>1453</v>
      </c>
      <c r="E2267" s="35" t="s">
        <v>458</v>
      </c>
      <c r="F2267" s="40">
        <v>200</v>
      </c>
      <c r="G2267" s="144" t="s">
        <v>114</v>
      </c>
      <c r="H2267" s="40">
        <v>1</v>
      </c>
      <c r="I2267" s="89" t="s">
        <v>111</v>
      </c>
    </row>
    <row r="2268" spans="1:9" ht="21.6" customHeight="1">
      <c r="A2268" s="27">
        <v>2521</v>
      </c>
      <c r="B2268" s="36" t="s">
        <v>56</v>
      </c>
      <c r="C2268" s="36" t="s">
        <v>542</v>
      </c>
      <c r="D2268" s="34" t="s">
        <v>1488</v>
      </c>
      <c r="E2268" s="35" t="s">
        <v>543</v>
      </c>
      <c r="F2268" s="40">
        <v>400</v>
      </c>
      <c r="G2268" s="144" t="s">
        <v>1833</v>
      </c>
      <c r="H2268" s="40">
        <v>1</v>
      </c>
      <c r="I2268" s="89" t="s">
        <v>665</v>
      </c>
    </row>
    <row r="2269" spans="1:9" ht="21.6" customHeight="1">
      <c r="A2269" s="27">
        <v>2522</v>
      </c>
      <c r="B2269" s="36" t="s">
        <v>56</v>
      </c>
      <c r="C2269" s="36" t="s">
        <v>335</v>
      </c>
      <c r="D2269" s="34" t="s">
        <v>1411</v>
      </c>
      <c r="E2269" s="35" t="s">
        <v>336</v>
      </c>
      <c r="F2269" s="40">
        <v>400</v>
      </c>
      <c r="G2269" s="144" t="s">
        <v>1833</v>
      </c>
      <c r="H2269" s="40">
        <v>1</v>
      </c>
      <c r="I2269" s="89" t="s">
        <v>665</v>
      </c>
    </row>
    <row r="2270" spans="1:9" ht="21.6" customHeight="1">
      <c r="A2270" s="27">
        <v>2523</v>
      </c>
      <c r="B2270" s="36" t="s">
        <v>56</v>
      </c>
      <c r="C2270" s="36" t="s">
        <v>339</v>
      </c>
      <c r="D2270" s="34" t="s">
        <v>1412</v>
      </c>
      <c r="E2270" s="35" t="s">
        <v>340</v>
      </c>
      <c r="F2270" s="40">
        <v>400</v>
      </c>
      <c r="G2270" s="144" t="s">
        <v>1834</v>
      </c>
      <c r="H2270" s="40">
        <v>1</v>
      </c>
      <c r="I2270" s="89" t="s">
        <v>665</v>
      </c>
    </row>
    <row r="2271" spans="1:9" ht="21.6" customHeight="1">
      <c r="A2271" s="27">
        <v>2524</v>
      </c>
      <c r="B2271" s="36" t="s">
        <v>56</v>
      </c>
      <c r="C2271" s="36" t="s">
        <v>280</v>
      </c>
      <c r="D2271" s="34" t="s">
        <v>1394</v>
      </c>
      <c r="E2271" s="35" t="s">
        <v>281</v>
      </c>
      <c r="F2271" s="68" t="s">
        <v>470</v>
      </c>
      <c r="G2271" s="145" t="s">
        <v>1782</v>
      </c>
      <c r="H2271" s="40">
        <v>1</v>
      </c>
      <c r="I2271" s="56" t="s">
        <v>683</v>
      </c>
    </row>
    <row r="2272" spans="1:9" ht="21.6" customHeight="1">
      <c r="A2272" s="27">
        <v>2525</v>
      </c>
      <c r="B2272" s="36" t="s">
        <v>56</v>
      </c>
      <c r="C2272" s="36" t="s">
        <v>284</v>
      </c>
      <c r="D2272" s="34" t="s">
        <v>1395</v>
      </c>
      <c r="E2272" s="35" t="s">
        <v>226</v>
      </c>
      <c r="F2272" s="68" t="s">
        <v>470</v>
      </c>
      <c r="G2272" s="144" t="s">
        <v>285</v>
      </c>
      <c r="H2272" s="40">
        <v>1</v>
      </c>
      <c r="I2272" s="56" t="s">
        <v>683</v>
      </c>
    </row>
    <row r="2273" spans="1:9" ht="21.6" customHeight="1">
      <c r="A2273" s="27">
        <v>2526</v>
      </c>
      <c r="B2273" s="36" t="s">
        <v>56</v>
      </c>
      <c r="C2273" s="36" t="s">
        <v>287</v>
      </c>
      <c r="D2273" s="64" t="s">
        <v>1396</v>
      </c>
      <c r="E2273" s="7" t="s">
        <v>288</v>
      </c>
      <c r="F2273" s="68" t="s">
        <v>470</v>
      </c>
      <c r="G2273" s="145" t="s">
        <v>282</v>
      </c>
      <c r="H2273" s="40">
        <v>1</v>
      </c>
      <c r="I2273" s="56" t="s">
        <v>683</v>
      </c>
    </row>
    <row r="2274" spans="1:9" ht="21.6" customHeight="1">
      <c r="A2274" s="27">
        <v>2527</v>
      </c>
      <c r="B2274" s="36" t="s">
        <v>56</v>
      </c>
      <c r="C2274" s="36" t="s">
        <v>452</v>
      </c>
      <c r="D2274" s="34" t="s">
        <v>1452</v>
      </c>
      <c r="E2274" s="35" t="s">
        <v>226</v>
      </c>
      <c r="F2274" s="40">
        <v>500</v>
      </c>
      <c r="G2274" s="144" t="s">
        <v>1784</v>
      </c>
      <c r="H2274" s="40">
        <v>2</v>
      </c>
      <c r="I2274" s="90" t="s">
        <v>334</v>
      </c>
    </row>
    <row r="2275" spans="1:9" ht="21.6" customHeight="1">
      <c r="A2275" s="27">
        <v>2528</v>
      </c>
      <c r="B2275" s="36" t="s">
        <v>56</v>
      </c>
      <c r="C2275" s="36" t="s">
        <v>335</v>
      </c>
      <c r="D2275" s="34" t="s">
        <v>1411</v>
      </c>
      <c r="E2275" s="35" t="s">
        <v>336</v>
      </c>
      <c r="F2275" s="40">
        <v>500</v>
      </c>
      <c r="G2275" s="144" t="s">
        <v>337</v>
      </c>
      <c r="H2275" s="40">
        <v>1</v>
      </c>
      <c r="I2275" s="90" t="s">
        <v>338</v>
      </c>
    </row>
    <row r="2276" spans="1:9" ht="21.6" customHeight="1">
      <c r="A2276" s="27">
        <v>2529</v>
      </c>
      <c r="B2276" s="36" t="s">
        <v>56</v>
      </c>
      <c r="C2276" s="36" t="s">
        <v>339</v>
      </c>
      <c r="D2276" s="34" t="s">
        <v>1412</v>
      </c>
      <c r="E2276" s="35" t="s">
        <v>340</v>
      </c>
      <c r="F2276" s="40">
        <v>500</v>
      </c>
      <c r="G2276" s="145" t="s">
        <v>341</v>
      </c>
      <c r="H2276" s="40">
        <v>1</v>
      </c>
      <c r="I2276" s="90" t="s">
        <v>338</v>
      </c>
    </row>
    <row r="2277" spans="1:9" ht="21.6" customHeight="1">
      <c r="A2277" s="27">
        <v>2530</v>
      </c>
      <c r="B2277" s="36" t="s">
        <v>56</v>
      </c>
      <c r="C2277" s="36" t="s">
        <v>332</v>
      </c>
      <c r="D2277" s="34" t="s">
        <v>1410</v>
      </c>
      <c r="E2277" s="35" t="s">
        <v>333</v>
      </c>
      <c r="F2277" s="40">
        <v>500</v>
      </c>
      <c r="G2277" s="144" t="s">
        <v>1818</v>
      </c>
      <c r="H2277" s="40">
        <v>2</v>
      </c>
      <c r="I2277" s="90" t="s">
        <v>666</v>
      </c>
    </row>
    <row r="2278" spans="1:9" ht="21.6" customHeight="1">
      <c r="A2278" s="27">
        <v>2531</v>
      </c>
      <c r="B2278" s="36" t="s">
        <v>56</v>
      </c>
      <c r="C2278" s="36" t="s">
        <v>335</v>
      </c>
      <c r="D2278" s="34" t="s">
        <v>1411</v>
      </c>
      <c r="E2278" s="35" t="s">
        <v>336</v>
      </c>
      <c r="F2278" s="40">
        <v>500</v>
      </c>
      <c r="G2278" s="144" t="s">
        <v>546</v>
      </c>
      <c r="H2278" s="40">
        <v>1</v>
      </c>
      <c r="I2278" s="90" t="s">
        <v>666</v>
      </c>
    </row>
    <row r="2279" spans="1:9" ht="21.6" customHeight="1">
      <c r="A2279" s="27">
        <v>2532</v>
      </c>
      <c r="B2279" s="36" t="s">
        <v>56</v>
      </c>
      <c r="C2279" s="36" t="s">
        <v>339</v>
      </c>
      <c r="D2279" s="34" t="s">
        <v>1412</v>
      </c>
      <c r="E2279" s="35" t="s">
        <v>340</v>
      </c>
      <c r="F2279" s="40">
        <v>500</v>
      </c>
      <c r="G2279" s="145" t="s">
        <v>547</v>
      </c>
      <c r="H2279" s="40">
        <v>1</v>
      </c>
      <c r="I2279" s="90" t="s">
        <v>666</v>
      </c>
    </row>
    <row r="2280" spans="1:9" ht="21.6" customHeight="1">
      <c r="A2280" s="27">
        <v>2533</v>
      </c>
      <c r="B2280" s="36" t="s">
        <v>56</v>
      </c>
      <c r="C2280" s="36">
        <v>44218398000</v>
      </c>
      <c r="D2280" s="78" t="s">
        <v>1489</v>
      </c>
      <c r="E2280" s="35" t="s">
        <v>549</v>
      </c>
      <c r="F2280" s="40">
        <v>100</v>
      </c>
      <c r="G2280" s="145" t="s">
        <v>1819</v>
      </c>
      <c r="H2280" s="40">
        <v>1</v>
      </c>
      <c r="I2280" s="89" t="s">
        <v>1166</v>
      </c>
    </row>
    <row r="2281" spans="1:9" ht="21.6" customHeight="1">
      <c r="A2281" s="27">
        <v>2534</v>
      </c>
      <c r="B2281" s="36" t="s">
        <v>56</v>
      </c>
      <c r="C2281" s="36">
        <v>44218389000</v>
      </c>
      <c r="D2281" s="34" t="s">
        <v>1490</v>
      </c>
      <c r="E2281" s="35" t="s">
        <v>552</v>
      </c>
      <c r="F2281" s="40">
        <v>100</v>
      </c>
      <c r="G2281" s="144" t="s">
        <v>553</v>
      </c>
      <c r="H2281" s="40">
        <v>1</v>
      </c>
      <c r="I2281" s="89" t="s">
        <v>1167</v>
      </c>
    </row>
    <row r="2282" spans="1:9" ht="21.6" customHeight="1">
      <c r="A2282" s="27">
        <v>2535</v>
      </c>
      <c r="B2282" s="36" t="s">
        <v>56</v>
      </c>
      <c r="C2282" s="36" t="s">
        <v>554</v>
      </c>
      <c r="D2282" s="34" t="s">
        <v>1491</v>
      </c>
      <c r="E2282" s="35" t="s">
        <v>555</v>
      </c>
      <c r="F2282" s="40">
        <v>100</v>
      </c>
      <c r="G2282" s="144" t="s">
        <v>550</v>
      </c>
      <c r="H2282" s="40">
        <v>1</v>
      </c>
      <c r="I2282" s="89" t="s">
        <v>1167</v>
      </c>
    </row>
    <row r="2283" spans="1:9" ht="21.6" customHeight="1">
      <c r="A2283" s="27">
        <v>2536</v>
      </c>
      <c r="B2283" s="36" t="s">
        <v>56</v>
      </c>
      <c r="C2283" s="36">
        <v>44218398000</v>
      </c>
      <c r="D2283" s="78" t="s">
        <v>1489</v>
      </c>
      <c r="E2283" s="35" t="s">
        <v>549</v>
      </c>
      <c r="F2283" s="91">
        <v>120</v>
      </c>
      <c r="G2283" s="145" t="s">
        <v>1819</v>
      </c>
      <c r="H2283" s="40">
        <v>1</v>
      </c>
      <c r="I2283" s="89" t="s">
        <v>1168</v>
      </c>
    </row>
    <row r="2284" spans="1:9" ht="21.6" customHeight="1">
      <c r="A2284" s="27">
        <v>2537</v>
      </c>
      <c r="B2284" s="36" t="s">
        <v>56</v>
      </c>
      <c r="C2284" s="36" t="s">
        <v>268</v>
      </c>
      <c r="D2284" s="36" t="s">
        <v>1390</v>
      </c>
      <c r="E2284" s="37" t="s">
        <v>269</v>
      </c>
      <c r="F2284" s="91">
        <v>120</v>
      </c>
      <c r="G2284" s="144" t="s">
        <v>553</v>
      </c>
      <c r="H2284" s="40">
        <v>1</v>
      </c>
      <c r="I2284" s="89" t="s">
        <v>1169</v>
      </c>
    </row>
    <row r="2285" spans="1:9" ht="21.6" customHeight="1">
      <c r="A2285" s="27">
        <v>2538</v>
      </c>
      <c r="B2285" s="36" t="s">
        <v>56</v>
      </c>
      <c r="C2285" s="36" t="s">
        <v>271</v>
      </c>
      <c r="D2285" s="36" t="s">
        <v>1391</v>
      </c>
      <c r="E2285" s="37" t="s">
        <v>671</v>
      </c>
      <c r="F2285" s="91">
        <v>120</v>
      </c>
      <c r="G2285" s="144" t="s">
        <v>550</v>
      </c>
      <c r="H2285" s="40">
        <v>1</v>
      </c>
      <c r="I2285" s="89" t="s">
        <v>1169</v>
      </c>
    </row>
    <row r="2286" spans="1:9" ht="21.6" customHeight="1">
      <c r="A2286" s="27">
        <v>2539</v>
      </c>
      <c r="B2286" s="36" t="s">
        <v>56</v>
      </c>
      <c r="C2286" s="36" t="s">
        <v>556</v>
      </c>
      <c r="D2286" s="79" t="s">
        <v>1492</v>
      </c>
      <c r="E2286" s="35" t="s">
        <v>557</v>
      </c>
      <c r="F2286" s="40">
        <v>480</v>
      </c>
      <c r="G2286" s="145" t="s">
        <v>558</v>
      </c>
      <c r="H2286" s="40" t="s">
        <v>123</v>
      </c>
      <c r="I2286" s="56"/>
    </row>
    <row r="2287" spans="1:9" ht="21.6" customHeight="1">
      <c r="A2287" s="27">
        <v>2540</v>
      </c>
      <c r="B2287" s="36" t="s">
        <v>56</v>
      </c>
      <c r="C2287" s="36" t="s">
        <v>559</v>
      </c>
      <c r="D2287" s="80" t="s">
        <v>1493</v>
      </c>
      <c r="E2287" s="35" t="s">
        <v>560</v>
      </c>
      <c r="F2287" s="40">
        <v>480</v>
      </c>
      <c r="G2287" s="145" t="s">
        <v>1820</v>
      </c>
      <c r="H2287" s="40" t="s">
        <v>123</v>
      </c>
      <c r="I2287" s="56"/>
    </row>
    <row r="2288" spans="1:9" ht="21.6" customHeight="1">
      <c r="A2288" s="27">
        <v>2542</v>
      </c>
      <c r="B2288" s="36" t="s">
        <v>56</v>
      </c>
      <c r="C2288" s="36" t="s">
        <v>1170</v>
      </c>
      <c r="D2288" s="34" t="s">
        <v>1728</v>
      </c>
      <c r="E2288" s="35" t="s">
        <v>1171</v>
      </c>
      <c r="F2288" s="40">
        <v>480</v>
      </c>
      <c r="G2288" s="145" t="s">
        <v>244</v>
      </c>
      <c r="H2288" s="40" t="s">
        <v>123</v>
      </c>
      <c r="I2288" s="56" t="s">
        <v>526</v>
      </c>
    </row>
    <row r="2289" spans="1:9" ht="21.6" customHeight="1">
      <c r="A2289" s="27">
        <v>2543</v>
      </c>
      <c r="B2289" s="36" t="s">
        <v>56</v>
      </c>
      <c r="C2289" s="36" t="s">
        <v>1172</v>
      </c>
      <c r="D2289" s="34" t="s">
        <v>1729</v>
      </c>
      <c r="E2289" s="35" t="s">
        <v>1173</v>
      </c>
      <c r="F2289" s="40">
        <v>480</v>
      </c>
      <c r="G2289" s="145" t="s">
        <v>1803</v>
      </c>
      <c r="H2289" s="40" t="s">
        <v>123</v>
      </c>
      <c r="I2289" s="89" t="s">
        <v>1174</v>
      </c>
    </row>
    <row r="2290" spans="1:9" ht="21.6" customHeight="1">
      <c r="A2290" s="27">
        <v>2544</v>
      </c>
      <c r="B2290" s="36" t="s">
        <v>56</v>
      </c>
      <c r="C2290" s="36" t="s">
        <v>1175</v>
      </c>
      <c r="D2290" s="36" t="s">
        <v>1730</v>
      </c>
      <c r="E2290" s="37" t="s">
        <v>1176</v>
      </c>
      <c r="F2290" s="40">
        <v>480</v>
      </c>
      <c r="G2290" s="145" t="s">
        <v>1803</v>
      </c>
      <c r="H2290" s="40" t="s">
        <v>123</v>
      </c>
      <c r="I2290" s="89" t="s">
        <v>1177</v>
      </c>
    </row>
    <row r="2291" spans="1:9" ht="21.6" customHeight="1">
      <c r="A2291" s="27">
        <v>2545</v>
      </c>
      <c r="B2291" s="36" t="s">
        <v>56</v>
      </c>
      <c r="C2291" s="36" t="s">
        <v>565</v>
      </c>
      <c r="D2291" s="34" t="s">
        <v>1496</v>
      </c>
      <c r="E2291" s="35" t="s">
        <v>566</v>
      </c>
      <c r="F2291" s="91">
        <v>200</v>
      </c>
      <c r="G2291" s="144" t="s">
        <v>567</v>
      </c>
      <c r="H2291" s="40" t="s">
        <v>123</v>
      </c>
      <c r="I2291" s="89" t="s">
        <v>111</v>
      </c>
    </row>
    <row r="2292" spans="1:9" ht="21.6" customHeight="1">
      <c r="A2292" s="27">
        <v>2546</v>
      </c>
      <c r="B2292" s="36" t="s">
        <v>56</v>
      </c>
      <c r="C2292" s="36" t="s">
        <v>672</v>
      </c>
      <c r="D2292" s="36" t="s">
        <v>1535</v>
      </c>
      <c r="E2292" s="37" t="s">
        <v>673</v>
      </c>
      <c r="F2292" s="91">
        <v>400</v>
      </c>
      <c r="G2292" s="144" t="s">
        <v>567</v>
      </c>
      <c r="H2292" s="40" t="s">
        <v>123</v>
      </c>
      <c r="I2292" s="89" t="s">
        <v>665</v>
      </c>
    </row>
    <row r="2293" spans="1:9" ht="21.6" customHeight="1">
      <c r="A2293" s="27">
        <v>2547</v>
      </c>
      <c r="B2293" s="36" t="s">
        <v>56</v>
      </c>
      <c r="C2293" s="36" t="s">
        <v>347</v>
      </c>
      <c r="D2293" s="34" t="s">
        <v>1415</v>
      </c>
      <c r="E2293" s="35" t="s">
        <v>348</v>
      </c>
      <c r="F2293" s="40">
        <v>500</v>
      </c>
      <c r="G2293" s="144" t="s">
        <v>349</v>
      </c>
      <c r="H2293" s="40" t="s">
        <v>123</v>
      </c>
      <c r="I2293" s="90" t="s">
        <v>334</v>
      </c>
    </row>
    <row r="2294" spans="1:9" ht="21.6" customHeight="1">
      <c r="A2294" s="27">
        <v>2548</v>
      </c>
      <c r="B2294" s="36" t="s">
        <v>56</v>
      </c>
      <c r="C2294" s="36" t="s">
        <v>568</v>
      </c>
      <c r="D2294" s="34" t="s">
        <v>1497</v>
      </c>
      <c r="E2294" s="35" t="s">
        <v>569</v>
      </c>
      <c r="F2294" s="40">
        <v>500</v>
      </c>
      <c r="G2294" s="144" t="s">
        <v>570</v>
      </c>
      <c r="H2294" s="40" t="s">
        <v>123</v>
      </c>
      <c r="I2294" s="90" t="s">
        <v>666</v>
      </c>
    </row>
    <row r="2295" spans="1:9" ht="21.6" customHeight="1">
      <c r="A2295" s="27">
        <v>2549</v>
      </c>
      <c r="B2295" s="36" t="s">
        <v>56</v>
      </c>
      <c r="C2295" s="36" t="s">
        <v>301</v>
      </c>
      <c r="D2295" s="67" t="s">
        <v>1401</v>
      </c>
      <c r="E2295" s="30" t="s">
        <v>302</v>
      </c>
      <c r="F2295" s="68" t="s">
        <v>470</v>
      </c>
      <c r="G2295" s="145" t="s">
        <v>303</v>
      </c>
      <c r="H2295" s="40" t="s">
        <v>123</v>
      </c>
      <c r="I2295" s="56"/>
    </row>
    <row r="2296" spans="1:9" ht="21.6" customHeight="1">
      <c r="A2296" s="27">
        <v>2550</v>
      </c>
      <c r="B2296" s="36" t="s">
        <v>56</v>
      </c>
      <c r="C2296" s="36" t="s">
        <v>571</v>
      </c>
      <c r="D2296" s="34" t="s">
        <v>1498</v>
      </c>
      <c r="E2296" s="35" t="s">
        <v>572</v>
      </c>
      <c r="F2296" s="40" t="s">
        <v>123</v>
      </c>
      <c r="G2296" s="145" t="s">
        <v>132</v>
      </c>
      <c r="H2296" s="40" t="s">
        <v>123</v>
      </c>
      <c r="I2296" s="56"/>
    </row>
    <row r="2297" spans="1:9" ht="21.6" customHeight="1">
      <c r="A2297" s="27">
        <v>2551</v>
      </c>
      <c r="B2297" s="36" t="s">
        <v>56</v>
      </c>
      <c r="C2297" s="36" t="s">
        <v>573</v>
      </c>
      <c r="D2297" s="34" t="s">
        <v>1499</v>
      </c>
      <c r="E2297" s="35" t="s">
        <v>574</v>
      </c>
      <c r="F2297" s="40" t="s">
        <v>123</v>
      </c>
      <c r="G2297" s="145" t="s">
        <v>575</v>
      </c>
      <c r="H2297" s="40" t="s">
        <v>123</v>
      </c>
      <c r="I2297" s="56"/>
    </row>
    <row r="2298" spans="1:9" ht="21.6" customHeight="1">
      <c r="A2298" s="27">
        <v>2552</v>
      </c>
      <c r="B2298" s="36" t="s">
        <v>56</v>
      </c>
      <c r="C2298" s="36" t="s">
        <v>1178</v>
      </c>
      <c r="D2298" s="34" t="s">
        <v>1731</v>
      </c>
      <c r="E2298" s="35" t="s">
        <v>1179</v>
      </c>
      <c r="F2298" s="40" t="s">
        <v>123</v>
      </c>
      <c r="G2298" s="145" t="s">
        <v>1180</v>
      </c>
      <c r="H2298" s="40" t="s">
        <v>123</v>
      </c>
      <c r="I2298" s="56"/>
    </row>
    <row r="2299" spans="1:9" ht="21.6" customHeight="1">
      <c r="A2299" s="27">
        <v>2553</v>
      </c>
      <c r="B2299" s="36" t="s">
        <v>56</v>
      </c>
      <c r="C2299" s="36" t="s">
        <v>576</v>
      </c>
      <c r="D2299" s="34" t="s">
        <v>1500</v>
      </c>
      <c r="E2299" s="35" t="s">
        <v>577</v>
      </c>
      <c r="F2299" s="40" t="s">
        <v>123</v>
      </c>
      <c r="G2299" s="144" t="s">
        <v>135</v>
      </c>
      <c r="H2299" s="40" t="s">
        <v>123</v>
      </c>
      <c r="I2299" s="56"/>
    </row>
    <row r="2300" spans="1:9" ht="21.6" customHeight="1">
      <c r="A2300" s="27">
        <v>2554</v>
      </c>
      <c r="B2300" s="36" t="s">
        <v>56</v>
      </c>
      <c r="C2300" s="36" t="s">
        <v>578</v>
      </c>
      <c r="D2300" s="34" t="s">
        <v>1501</v>
      </c>
      <c r="E2300" s="35" t="s">
        <v>579</v>
      </c>
      <c r="F2300" s="40" t="s">
        <v>123</v>
      </c>
      <c r="G2300" s="144" t="s">
        <v>1821</v>
      </c>
      <c r="H2300" s="40" t="s">
        <v>123</v>
      </c>
      <c r="I2300" s="56"/>
    </row>
    <row r="2301" spans="1:9" ht="21.6" customHeight="1">
      <c r="A2301" s="27">
        <v>2555</v>
      </c>
      <c r="B2301" s="36" t="s">
        <v>56</v>
      </c>
      <c r="C2301" s="36" t="s">
        <v>580</v>
      </c>
      <c r="D2301" s="34" t="s">
        <v>1502</v>
      </c>
      <c r="E2301" s="35" t="s">
        <v>581</v>
      </c>
      <c r="F2301" s="40" t="s">
        <v>123</v>
      </c>
      <c r="G2301" s="144" t="s">
        <v>582</v>
      </c>
      <c r="H2301" s="40" t="s">
        <v>123</v>
      </c>
      <c r="I2301" s="56"/>
    </row>
    <row r="2302" spans="1:9" ht="21.6" customHeight="1">
      <c r="A2302" s="27">
        <v>2556</v>
      </c>
      <c r="B2302" s="36" t="s">
        <v>56</v>
      </c>
      <c r="C2302" s="36" t="s">
        <v>1181</v>
      </c>
      <c r="D2302" s="34" t="s">
        <v>1732</v>
      </c>
      <c r="E2302" s="35" t="s">
        <v>1182</v>
      </c>
      <c r="F2302" s="40" t="s">
        <v>123</v>
      </c>
      <c r="G2302" s="145" t="s">
        <v>585</v>
      </c>
      <c r="H2302" s="40" t="s">
        <v>123</v>
      </c>
      <c r="I2302" s="89" t="s">
        <v>1183</v>
      </c>
    </row>
    <row r="2303" spans="1:9" ht="21.6" customHeight="1">
      <c r="A2303" s="27">
        <v>2557</v>
      </c>
      <c r="B2303" s="36" t="s">
        <v>56</v>
      </c>
      <c r="C2303" s="36" t="s">
        <v>583</v>
      </c>
      <c r="D2303" s="34" t="s">
        <v>1503</v>
      </c>
      <c r="E2303" s="35" t="s">
        <v>584</v>
      </c>
      <c r="F2303" s="40" t="s">
        <v>123</v>
      </c>
      <c r="G2303" s="145" t="s">
        <v>585</v>
      </c>
      <c r="H2303" s="40" t="s">
        <v>123</v>
      </c>
      <c r="I2303" s="89" t="s">
        <v>1184</v>
      </c>
    </row>
    <row r="2304" spans="1:9" ht="21.6" customHeight="1">
      <c r="A2304" s="27">
        <v>2558</v>
      </c>
      <c r="B2304" s="36" t="s">
        <v>56</v>
      </c>
      <c r="C2304" s="36" t="s">
        <v>675</v>
      </c>
      <c r="D2304" s="36" t="s">
        <v>1536</v>
      </c>
      <c r="E2304" s="37" t="s">
        <v>676</v>
      </c>
      <c r="F2304" s="40" t="s">
        <v>123</v>
      </c>
      <c r="G2304" s="145" t="s">
        <v>585</v>
      </c>
      <c r="H2304" s="40" t="s">
        <v>123</v>
      </c>
      <c r="I2304" s="89" t="s">
        <v>1185</v>
      </c>
    </row>
    <row r="2305" spans="1:9" s="81" customFormat="1" ht="21.6" customHeight="1">
      <c r="A2305" s="20">
        <v>2559</v>
      </c>
      <c r="B2305" s="73" t="s">
        <v>1317</v>
      </c>
      <c r="C2305" s="73" t="s">
        <v>587</v>
      </c>
      <c r="D2305" s="73" t="s">
        <v>1504</v>
      </c>
      <c r="E2305" s="72" t="s">
        <v>588</v>
      </c>
      <c r="F2305" s="74">
        <v>212</v>
      </c>
      <c r="G2305" s="143" t="s">
        <v>589</v>
      </c>
      <c r="H2305" s="74">
        <v>1</v>
      </c>
      <c r="I2305" s="75" t="s">
        <v>590</v>
      </c>
    </row>
    <row r="2306" spans="1:9" s="81" customFormat="1" ht="21.6" customHeight="1">
      <c r="A2306" s="106">
        <v>2560</v>
      </c>
      <c r="B2306" s="104" t="s">
        <v>1317</v>
      </c>
      <c r="C2306" s="104" t="s">
        <v>840</v>
      </c>
      <c r="D2306" s="104" t="s">
        <v>1595</v>
      </c>
      <c r="E2306" s="82" t="s">
        <v>841</v>
      </c>
      <c r="F2306" s="107">
        <v>106</v>
      </c>
      <c r="G2306" s="150" t="s">
        <v>887</v>
      </c>
      <c r="H2306" s="108">
        <v>3</v>
      </c>
      <c r="I2306" s="109" t="s">
        <v>1010</v>
      </c>
    </row>
    <row r="2307" spans="1:9" s="81" customFormat="1" ht="21.6" customHeight="1">
      <c r="A2307" s="27">
        <v>2561</v>
      </c>
      <c r="B2307" s="104" t="s">
        <v>1317</v>
      </c>
      <c r="C2307" s="104" t="s">
        <v>591</v>
      </c>
      <c r="D2307" s="34" t="s">
        <v>1505</v>
      </c>
      <c r="E2307" s="35" t="s">
        <v>592</v>
      </c>
      <c r="F2307" s="40" t="s">
        <v>1186</v>
      </c>
      <c r="G2307" s="145" t="s">
        <v>502</v>
      </c>
      <c r="H2307" s="40">
        <v>1</v>
      </c>
      <c r="I2307" s="56"/>
    </row>
    <row r="2308" spans="1:9" s="81" customFormat="1" ht="21.6" customHeight="1">
      <c r="A2308" s="27">
        <v>2562</v>
      </c>
      <c r="B2308" s="104" t="s">
        <v>1317</v>
      </c>
      <c r="C2308" s="104" t="s">
        <v>943</v>
      </c>
      <c r="D2308" s="34" t="s">
        <v>1639</v>
      </c>
      <c r="E2308" s="35" t="s">
        <v>944</v>
      </c>
      <c r="F2308" s="76">
        <v>212</v>
      </c>
      <c r="G2308" s="145" t="s">
        <v>703</v>
      </c>
      <c r="H2308" s="40">
        <v>1</v>
      </c>
      <c r="I2308" s="56"/>
    </row>
    <row r="2309" spans="1:9" s="81" customFormat="1" ht="21.6" customHeight="1">
      <c r="A2309" s="27">
        <v>2563</v>
      </c>
      <c r="B2309" s="104" t="s">
        <v>1317</v>
      </c>
      <c r="C2309" s="104" t="s">
        <v>945</v>
      </c>
      <c r="D2309" s="34" t="s">
        <v>1640</v>
      </c>
      <c r="E2309" s="35" t="s">
        <v>946</v>
      </c>
      <c r="F2309" s="40">
        <v>212</v>
      </c>
      <c r="G2309" s="144" t="s">
        <v>706</v>
      </c>
      <c r="H2309" s="40">
        <v>1</v>
      </c>
      <c r="I2309" s="56"/>
    </row>
    <row r="2310" spans="1:9" s="81" customFormat="1" ht="21.6" customHeight="1">
      <c r="A2310" s="27">
        <v>2564</v>
      </c>
      <c r="B2310" s="104" t="s">
        <v>1317</v>
      </c>
      <c r="C2310" s="104" t="s">
        <v>947</v>
      </c>
      <c r="D2310" s="34" t="s">
        <v>1641</v>
      </c>
      <c r="E2310" s="35" t="s">
        <v>948</v>
      </c>
      <c r="F2310" s="40">
        <v>212</v>
      </c>
      <c r="G2310" s="145" t="s">
        <v>709</v>
      </c>
      <c r="H2310" s="40">
        <v>1</v>
      </c>
      <c r="I2310" s="56"/>
    </row>
    <row r="2311" spans="1:9" s="81" customFormat="1" ht="21.6" customHeight="1">
      <c r="A2311" s="27">
        <v>2565</v>
      </c>
      <c r="B2311" s="104" t="s">
        <v>1317</v>
      </c>
      <c r="C2311" s="104" t="s">
        <v>593</v>
      </c>
      <c r="D2311" s="34" t="s">
        <v>1506</v>
      </c>
      <c r="E2311" s="35" t="s">
        <v>594</v>
      </c>
      <c r="F2311" s="40" t="s">
        <v>1187</v>
      </c>
      <c r="G2311" s="145" t="s">
        <v>415</v>
      </c>
      <c r="H2311" s="40">
        <v>1</v>
      </c>
      <c r="I2311" s="56"/>
    </row>
    <row r="2312" spans="1:9" s="81" customFormat="1" ht="21.6" customHeight="1">
      <c r="A2312" s="27">
        <v>2566</v>
      </c>
      <c r="B2312" s="104" t="s">
        <v>1317</v>
      </c>
      <c r="C2312" s="104" t="s">
        <v>595</v>
      </c>
      <c r="D2312" s="34" t="s">
        <v>1507</v>
      </c>
      <c r="E2312" s="35" t="s">
        <v>596</v>
      </c>
      <c r="F2312" s="40">
        <v>212</v>
      </c>
      <c r="G2312" s="144" t="s">
        <v>597</v>
      </c>
      <c r="H2312" s="40">
        <v>1</v>
      </c>
      <c r="I2312" s="56"/>
    </row>
    <row r="2313" spans="1:9" s="81" customFormat="1" ht="21.6" customHeight="1">
      <c r="A2313" s="27">
        <v>2567</v>
      </c>
      <c r="B2313" s="104" t="s">
        <v>1317</v>
      </c>
      <c r="C2313" s="104" t="s">
        <v>949</v>
      </c>
      <c r="D2313" s="34" t="s">
        <v>1642</v>
      </c>
      <c r="E2313" s="35" t="s">
        <v>950</v>
      </c>
      <c r="F2313" s="76">
        <v>106</v>
      </c>
      <c r="G2313" s="144" t="s">
        <v>901</v>
      </c>
      <c r="H2313" s="40">
        <v>3</v>
      </c>
      <c r="I2313" s="56"/>
    </row>
    <row r="2314" spans="1:9" s="81" customFormat="1" ht="21.6" customHeight="1">
      <c r="A2314" s="27">
        <v>2568</v>
      </c>
      <c r="B2314" s="104" t="s">
        <v>1317</v>
      </c>
      <c r="C2314" s="104" t="s">
        <v>598</v>
      </c>
      <c r="D2314" s="34" t="s">
        <v>1508</v>
      </c>
      <c r="E2314" s="35" t="s">
        <v>599</v>
      </c>
      <c r="F2314" s="40" t="s">
        <v>1187</v>
      </c>
      <c r="G2314" s="145" t="s">
        <v>600</v>
      </c>
      <c r="H2314" s="40">
        <v>4</v>
      </c>
      <c r="I2314" s="56"/>
    </row>
    <row r="2315" spans="1:9" s="81" customFormat="1" ht="21.6" customHeight="1">
      <c r="A2315" s="27">
        <v>2569</v>
      </c>
      <c r="B2315" s="104" t="s">
        <v>1317</v>
      </c>
      <c r="C2315" s="104" t="s">
        <v>601</v>
      </c>
      <c r="D2315" s="34" t="s">
        <v>1509</v>
      </c>
      <c r="E2315" s="35" t="s">
        <v>602</v>
      </c>
      <c r="F2315" s="40" t="s">
        <v>1187</v>
      </c>
      <c r="G2315" s="144" t="s">
        <v>1822</v>
      </c>
      <c r="H2315" s="40">
        <v>8</v>
      </c>
      <c r="I2315" s="56"/>
    </row>
    <row r="2316" spans="1:9" s="81" customFormat="1" ht="21.6" customHeight="1">
      <c r="A2316" s="27">
        <v>2570</v>
      </c>
      <c r="B2316" s="104" t="s">
        <v>1317</v>
      </c>
      <c r="C2316" s="104" t="s">
        <v>603</v>
      </c>
      <c r="D2316" s="34" t="s">
        <v>1510</v>
      </c>
      <c r="E2316" s="35" t="s">
        <v>604</v>
      </c>
      <c r="F2316" s="40" t="s">
        <v>1187</v>
      </c>
      <c r="G2316" s="144" t="s">
        <v>1823</v>
      </c>
      <c r="H2316" s="40">
        <v>4</v>
      </c>
      <c r="I2316" s="56"/>
    </row>
    <row r="2317" spans="1:9" s="81" customFormat="1" ht="21.6" customHeight="1">
      <c r="A2317" s="27">
        <v>2571</v>
      </c>
      <c r="B2317" s="104" t="s">
        <v>1317</v>
      </c>
      <c r="C2317" s="104" t="s">
        <v>605</v>
      </c>
      <c r="D2317" s="34" t="s">
        <v>1511</v>
      </c>
      <c r="E2317" s="35" t="s">
        <v>606</v>
      </c>
      <c r="F2317" s="40">
        <v>212</v>
      </c>
      <c r="G2317" s="145" t="s">
        <v>533</v>
      </c>
      <c r="H2317" s="40">
        <v>1</v>
      </c>
      <c r="I2317" s="56"/>
    </row>
    <row r="2318" spans="1:9" s="81" customFormat="1" ht="21.6" customHeight="1">
      <c r="A2318" s="27">
        <v>2572</v>
      </c>
      <c r="B2318" s="104" t="s">
        <v>1317</v>
      </c>
      <c r="C2318" s="104" t="s">
        <v>607</v>
      </c>
      <c r="D2318" s="34" t="s">
        <v>1512</v>
      </c>
      <c r="E2318" s="35" t="s">
        <v>608</v>
      </c>
      <c r="F2318" s="40">
        <v>212</v>
      </c>
      <c r="G2318" s="145" t="s">
        <v>1812</v>
      </c>
      <c r="H2318" s="40">
        <v>1</v>
      </c>
      <c r="I2318" s="56"/>
    </row>
    <row r="2319" spans="1:9" s="81" customFormat="1" ht="21.6" customHeight="1">
      <c r="A2319" s="27">
        <v>2573</v>
      </c>
      <c r="B2319" s="104" t="s">
        <v>1317</v>
      </c>
      <c r="C2319" s="104" t="s">
        <v>609</v>
      </c>
      <c r="D2319" s="34" t="s">
        <v>1513</v>
      </c>
      <c r="E2319" s="35" t="s">
        <v>610</v>
      </c>
      <c r="F2319" s="40">
        <v>212</v>
      </c>
      <c r="G2319" s="145" t="s">
        <v>1824</v>
      </c>
      <c r="H2319" s="40">
        <v>1</v>
      </c>
      <c r="I2319" s="56"/>
    </row>
    <row r="2320" spans="1:9" s="81" customFormat="1" ht="21.6" customHeight="1">
      <c r="A2320" s="27">
        <v>2574</v>
      </c>
      <c r="B2320" s="104" t="s">
        <v>1317</v>
      </c>
      <c r="C2320" s="104" t="s">
        <v>611</v>
      </c>
      <c r="D2320" s="34" t="s">
        <v>1514</v>
      </c>
      <c r="E2320" s="35" t="s">
        <v>612</v>
      </c>
      <c r="F2320" s="40">
        <v>212</v>
      </c>
      <c r="G2320" s="145" t="s">
        <v>1825</v>
      </c>
      <c r="H2320" s="40">
        <v>1</v>
      </c>
      <c r="I2320" s="56"/>
    </row>
    <row r="2321" spans="1:9" s="81" customFormat="1" ht="21.6" customHeight="1">
      <c r="A2321" s="27">
        <v>2575</v>
      </c>
      <c r="B2321" s="104" t="s">
        <v>1317</v>
      </c>
      <c r="C2321" s="104" t="s">
        <v>613</v>
      </c>
      <c r="D2321" s="34" t="s">
        <v>1515</v>
      </c>
      <c r="E2321" s="35" t="s">
        <v>614</v>
      </c>
      <c r="F2321" s="40">
        <v>212</v>
      </c>
      <c r="G2321" s="145" t="s">
        <v>1826</v>
      </c>
      <c r="H2321" s="40">
        <v>2</v>
      </c>
      <c r="I2321" s="56"/>
    </row>
    <row r="2322" spans="1:9" s="81" customFormat="1" ht="21.6" customHeight="1">
      <c r="A2322" s="27">
        <v>2576</v>
      </c>
      <c r="B2322" s="104" t="s">
        <v>1317</v>
      </c>
      <c r="C2322" s="104" t="s">
        <v>615</v>
      </c>
      <c r="D2322" s="34" t="s">
        <v>1516</v>
      </c>
      <c r="E2322" s="35" t="s">
        <v>616</v>
      </c>
      <c r="F2322" s="40">
        <v>765</v>
      </c>
      <c r="G2322" s="144" t="s">
        <v>101</v>
      </c>
      <c r="H2322" s="40">
        <v>2</v>
      </c>
      <c r="I2322" s="56" t="s">
        <v>617</v>
      </c>
    </row>
    <row r="2323" spans="1:9" s="81" customFormat="1" ht="21.6" customHeight="1">
      <c r="A2323" s="27">
        <v>2578</v>
      </c>
      <c r="B2323" s="104" t="s">
        <v>1317</v>
      </c>
      <c r="C2323" s="104" t="s">
        <v>618</v>
      </c>
      <c r="D2323" s="34" t="s">
        <v>1517</v>
      </c>
      <c r="E2323" s="35" t="s">
        <v>619</v>
      </c>
      <c r="F2323" s="40">
        <v>340</v>
      </c>
      <c r="G2323" s="145" t="s">
        <v>1809</v>
      </c>
      <c r="H2323" s="40">
        <v>1</v>
      </c>
      <c r="I2323" s="56" t="s">
        <v>526</v>
      </c>
    </row>
    <row r="2324" spans="1:9" s="81" customFormat="1" ht="21.6" customHeight="1">
      <c r="A2324" s="27">
        <v>2579</v>
      </c>
      <c r="B2324" s="104" t="s">
        <v>1317</v>
      </c>
      <c r="C2324" s="104" t="s">
        <v>620</v>
      </c>
      <c r="D2324" s="34" t="s">
        <v>1518</v>
      </c>
      <c r="E2324" s="35" t="s">
        <v>621</v>
      </c>
      <c r="F2324" s="40">
        <v>340</v>
      </c>
      <c r="G2324" s="145" t="s">
        <v>87</v>
      </c>
      <c r="H2324" s="40">
        <v>1</v>
      </c>
      <c r="I2324" s="56"/>
    </row>
    <row r="2325" spans="1:9" s="81" customFormat="1" ht="21.6" customHeight="1">
      <c r="A2325" s="27">
        <v>2580</v>
      </c>
      <c r="B2325" s="104" t="s">
        <v>1317</v>
      </c>
      <c r="C2325" s="104" t="s">
        <v>622</v>
      </c>
      <c r="D2325" s="34" t="s">
        <v>1519</v>
      </c>
      <c r="E2325" s="35" t="s">
        <v>623</v>
      </c>
      <c r="F2325" s="40">
        <v>340</v>
      </c>
      <c r="G2325" s="144" t="s">
        <v>1827</v>
      </c>
      <c r="H2325" s="40">
        <v>1</v>
      </c>
      <c r="I2325" s="56"/>
    </row>
    <row r="2326" spans="1:9" s="81" customFormat="1" ht="21.6" customHeight="1">
      <c r="A2326" s="27">
        <v>2581</v>
      </c>
      <c r="B2326" s="104" t="s">
        <v>1317</v>
      </c>
      <c r="C2326" s="104" t="s">
        <v>624</v>
      </c>
      <c r="D2326" s="34" t="s">
        <v>1520</v>
      </c>
      <c r="E2326" s="35" t="s">
        <v>625</v>
      </c>
      <c r="F2326" s="40">
        <v>340</v>
      </c>
      <c r="G2326" s="144" t="s">
        <v>1828</v>
      </c>
      <c r="H2326" s="40">
        <v>1</v>
      </c>
      <c r="I2326" s="56"/>
    </row>
    <row r="2327" spans="1:9" s="81" customFormat="1" ht="21.6" customHeight="1">
      <c r="A2327" s="27">
        <v>2582</v>
      </c>
      <c r="B2327" s="104" t="s">
        <v>1317</v>
      </c>
      <c r="C2327" s="104" t="s">
        <v>626</v>
      </c>
      <c r="D2327" s="34" t="s">
        <v>1521</v>
      </c>
      <c r="E2327" s="35" t="s">
        <v>627</v>
      </c>
      <c r="F2327" s="40">
        <v>340</v>
      </c>
      <c r="G2327" s="145" t="s">
        <v>628</v>
      </c>
      <c r="H2327" s="40">
        <v>2</v>
      </c>
      <c r="I2327" s="56"/>
    </row>
    <row r="2328" spans="1:9" s="81" customFormat="1" ht="21.6" customHeight="1">
      <c r="A2328" s="27">
        <v>2583</v>
      </c>
      <c r="B2328" s="104" t="s">
        <v>1317</v>
      </c>
      <c r="C2328" s="104" t="s">
        <v>629</v>
      </c>
      <c r="D2328" s="34" t="s">
        <v>1522</v>
      </c>
      <c r="E2328" s="35" t="s">
        <v>630</v>
      </c>
      <c r="F2328" s="40">
        <v>120</v>
      </c>
      <c r="G2328" s="144" t="s">
        <v>631</v>
      </c>
      <c r="H2328" s="40">
        <v>2</v>
      </c>
      <c r="I2328" s="56" t="s">
        <v>116</v>
      </c>
    </row>
    <row r="2329" spans="1:9" s="81" customFormat="1" ht="21.6" customHeight="1">
      <c r="A2329" s="27">
        <v>2584</v>
      </c>
      <c r="B2329" s="104" t="s">
        <v>1317</v>
      </c>
      <c r="C2329" s="104" t="s">
        <v>329</v>
      </c>
      <c r="D2329" s="80" t="s">
        <v>1409</v>
      </c>
      <c r="E2329" s="35" t="s">
        <v>330</v>
      </c>
      <c r="F2329" s="40">
        <v>120</v>
      </c>
      <c r="G2329" s="144" t="s">
        <v>115</v>
      </c>
      <c r="H2329" s="40">
        <v>1</v>
      </c>
      <c r="I2329" s="56" t="s">
        <v>116</v>
      </c>
    </row>
    <row r="2330" spans="1:9" s="58" customFormat="1" ht="21.6" customHeight="1">
      <c r="A2330" s="27">
        <v>2585</v>
      </c>
      <c r="B2330" s="104" t="s">
        <v>1317</v>
      </c>
      <c r="C2330" s="104" t="s">
        <v>264</v>
      </c>
      <c r="D2330" s="50" t="s">
        <v>1389</v>
      </c>
      <c r="E2330" s="51" t="s">
        <v>265</v>
      </c>
      <c r="F2330" s="29">
        <v>80</v>
      </c>
      <c r="G2330" s="144" t="s">
        <v>1829</v>
      </c>
      <c r="H2330" s="29">
        <v>1</v>
      </c>
      <c r="I2330" s="31" t="s">
        <v>318</v>
      </c>
    </row>
    <row r="2331" spans="1:9" s="58" customFormat="1" ht="21.6" customHeight="1">
      <c r="A2331" s="27">
        <v>2586</v>
      </c>
      <c r="B2331" s="104" t="s">
        <v>1317</v>
      </c>
      <c r="C2331" s="104" t="s">
        <v>268</v>
      </c>
      <c r="D2331" s="50" t="s">
        <v>1390</v>
      </c>
      <c r="E2331" s="51" t="s">
        <v>269</v>
      </c>
      <c r="F2331" s="29">
        <v>80</v>
      </c>
      <c r="G2331" s="144" t="s">
        <v>633</v>
      </c>
      <c r="H2331" s="29">
        <v>1</v>
      </c>
      <c r="I2331" s="31" t="s">
        <v>318</v>
      </c>
    </row>
    <row r="2332" spans="1:9" s="58" customFormat="1" ht="21.6" customHeight="1">
      <c r="A2332" s="27">
        <v>2587</v>
      </c>
      <c r="B2332" s="104" t="s">
        <v>1317</v>
      </c>
      <c r="C2332" s="104" t="s">
        <v>271</v>
      </c>
      <c r="D2332" s="50" t="s">
        <v>1391</v>
      </c>
      <c r="E2332" s="51" t="s">
        <v>272</v>
      </c>
      <c r="F2332" s="29">
        <v>80</v>
      </c>
      <c r="G2332" s="144" t="s">
        <v>1830</v>
      </c>
      <c r="H2332" s="29">
        <v>1</v>
      </c>
      <c r="I2332" s="31" t="s">
        <v>318</v>
      </c>
    </row>
    <row r="2333" spans="1:9" s="26" customFormat="1" ht="21.6" customHeight="1">
      <c r="A2333" s="27">
        <v>2588</v>
      </c>
      <c r="B2333" s="104" t="s">
        <v>1317</v>
      </c>
      <c r="C2333" s="104" t="s">
        <v>225</v>
      </c>
      <c r="D2333" s="39" t="s">
        <v>1375</v>
      </c>
      <c r="E2333" s="3" t="s">
        <v>226</v>
      </c>
      <c r="F2333" s="29">
        <v>120</v>
      </c>
      <c r="G2333" s="144" t="s">
        <v>320</v>
      </c>
      <c r="H2333" s="29">
        <v>2</v>
      </c>
      <c r="I2333" s="31" t="s">
        <v>364</v>
      </c>
    </row>
    <row r="2334" spans="1:9" s="26" customFormat="1" ht="21.6" customHeight="1">
      <c r="A2334" s="27">
        <v>2589</v>
      </c>
      <c r="B2334" s="104" t="s">
        <v>1317</v>
      </c>
      <c r="C2334" s="104" t="s">
        <v>229</v>
      </c>
      <c r="D2334" s="39" t="s">
        <v>1376</v>
      </c>
      <c r="E2334" s="51" t="s">
        <v>230</v>
      </c>
      <c r="F2334" s="29">
        <v>120</v>
      </c>
      <c r="G2334" s="144" t="s">
        <v>278</v>
      </c>
      <c r="H2334" s="29">
        <v>1</v>
      </c>
      <c r="I2334" s="31" t="s">
        <v>364</v>
      </c>
    </row>
    <row r="2335" spans="1:9" s="26" customFormat="1" ht="21.6" customHeight="1">
      <c r="A2335" s="27">
        <v>2590</v>
      </c>
      <c r="B2335" s="104" t="s">
        <v>1317</v>
      </c>
      <c r="C2335" s="104" t="s">
        <v>323</v>
      </c>
      <c r="D2335" s="39" t="s">
        <v>1407</v>
      </c>
      <c r="E2335" s="51" t="s">
        <v>324</v>
      </c>
      <c r="F2335" s="29">
        <v>120</v>
      </c>
      <c r="G2335" s="144" t="s">
        <v>1782</v>
      </c>
      <c r="H2335" s="29">
        <v>1</v>
      </c>
      <c r="I2335" s="31" t="s">
        <v>325</v>
      </c>
    </row>
    <row r="2336" spans="1:9" s="26" customFormat="1" ht="21.6" customHeight="1">
      <c r="A2336" s="27">
        <v>2591</v>
      </c>
      <c r="B2336" s="104" t="s">
        <v>1317</v>
      </c>
      <c r="C2336" s="104" t="s">
        <v>284</v>
      </c>
      <c r="D2336" s="50" t="s">
        <v>1395</v>
      </c>
      <c r="E2336" s="51" t="s">
        <v>226</v>
      </c>
      <c r="F2336" s="29">
        <v>120</v>
      </c>
      <c r="G2336" s="144" t="s">
        <v>285</v>
      </c>
      <c r="H2336" s="29">
        <v>1</v>
      </c>
      <c r="I2336" s="31" t="s">
        <v>325</v>
      </c>
    </row>
    <row r="2337" spans="1:9" s="26" customFormat="1" ht="21.6" customHeight="1">
      <c r="A2337" s="27">
        <v>2592</v>
      </c>
      <c r="B2337" s="104" t="s">
        <v>1317</v>
      </c>
      <c r="C2337" s="104" t="s">
        <v>287</v>
      </c>
      <c r="D2337" s="50" t="s">
        <v>1396</v>
      </c>
      <c r="E2337" s="51" t="s">
        <v>288</v>
      </c>
      <c r="F2337" s="29">
        <v>120</v>
      </c>
      <c r="G2337" s="144" t="s">
        <v>282</v>
      </c>
      <c r="H2337" s="29">
        <v>1</v>
      </c>
      <c r="I2337" s="31" t="s">
        <v>325</v>
      </c>
    </row>
    <row r="2338" spans="1:9" s="58" customFormat="1" ht="21.6" customHeight="1">
      <c r="A2338" s="27">
        <v>2593</v>
      </c>
      <c r="B2338" s="104" t="s">
        <v>1317</v>
      </c>
      <c r="C2338" s="104" t="s">
        <v>326</v>
      </c>
      <c r="D2338" s="50" t="s">
        <v>1408</v>
      </c>
      <c r="E2338" s="51" t="s">
        <v>327</v>
      </c>
      <c r="F2338" s="29">
        <v>320</v>
      </c>
      <c r="G2338" s="144" t="s">
        <v>237</v>
      </c>
      <c r="H2338" s="29">
        <v>2</v>
      </c>
      <c r="I2338" s="31" t="s">
        <v>328</v>
      </c>
    </row>
    <row r="2339" spans="1:9" s="58" customFormat="1" ht="21.6" customHeight="1">
      <c r="A2339" s="27">
        <v>2594</v>
      </c>
      <c r="B2339" s="104" t="s">
        <v>1317</v>
      </c>
      <c r="C2339" s="104" t="s">
        <v>329</v>
      </c>
      <c r="D2339" s="50" t="s">
        <v>1409</v>
      </c>
      <c r="E2339" s="51" t="s">
        <v>330</v>
      </c>
      <c r="F2339" s="29">
        <v>320</v>
      </c>
      <c r="G2339" s="144" t="s">
        <v>634</v>
      </c>
      <c r="H2339" s="29">
        <v>1</v>
      </c>
      <c r="I2339" s="31" t="s">
        <v>328</v>
      </c>
    </row>
    <row r="2340" spans="1:9" ht="21.6" customHeight="1">
      <c r="A2340" s="27">
        <v>2595</v>
      </c>
      <c r="B2340" s="132" t="s">
        <v>1317</v>
      </c>
      <c r="C2340" s="132" t="s">
        <v>332</v>
      </c>
      <c r="D2340" s="34" t="s">
        <v>1410</v>
      </c>
      <c r="E2340" s="35" t="s">
        <v>333</v>
      </c>
      <c r="F2340" s="40">
        <v>500</v>
      </c>
      <c r="G2340" s="144" t="s">
        <v>1784</v>
      </c>
      <c r="H2340" s="40">
        <v>2</v>
      </c>
      <c r="I2340" s="55" t="s">
        <v>334</v>
      </c>
    </row>
    <row r="2341" spans="1:9" ht="21.6" customHeight="1">
      <c r="A2341" s="27">
        <v>2596</v>
      </c>
      <c r="B2341" s="132" t="s">
        <v>1317</v>
      </c>
      <c r="C2341" s="132" t="s">
        <v>335</v>
      </c>
      <c r="D2341" s="34" t="s">
        <v>1411</v>
      </c>
      <c r="E2341" s="35" t="s">
        <v>336</v>
      </c>
      <c r="F2341" s="40">
        <v>500</v>
      </c>
      <c r="G2341" s="144" t="s">
        <v>337</v>
      </c>
      <c r="H2341" s="40">
        <v>1</v>
      </c>
      <c r="I2341" s="55" t="s">
        <v>338</v>
      </c>
    </row>
    <row r="2342" spans="1:9" ht="21.6" customHeight="1">
      <c r="A2342" s="27">
        <v>2597</v>
      </c>
      <c r="B2342" s="132" t="s">
        <v>1317</v>
      </c>
      <c r="C2342" s="132" t="s">
        <v>339</v>
      </c>
      <c r="D2342" s="34" t="s">
        <v>1412</v>
      </c>
      <c r="E2342" s="35" t="s">
        <v>340</v>
      </c>
      <c r="F2342" s="40">
        <v>500</v>
      </c>
      <c r="G2342" s="145" t="s">
        <v>341</v>
      </c>
      <c r="H2342" s="40">
        <v>1</v>
      </c>
      <c r="I2342" s="55" t="s">
        <v>338</v>
      </c>
    </row>
    <row r="2343" spans="1:9" s="81" customFormat="1" ht="21.6" customHeight="1">
      <c r="A2343" s="27">
        <v>2598</v>
      </c>
      <c r="B2343" s="104" t="s">
        <v>1317</v>
      </c>
      <c r="C2343" s="104" t="s">
        <v>635</v>
      </c>
      <c r="D2343" s="80" t="s">
        <v>1523</v>
      </c>
      <c r="E2343" s="35" t="s">
        <v>636</v>
      </c>
      <c r="F2343" s="40">
        <v>212</v>
      </c>
      <c r="G2343" s="144" t="s">
        <v>637</v>
      </c>
      <c r="H2343" s="40" t="s">
        <v>123</v>
      </c>
      <c r="I2343" s="56"/>
    </row>
    <row r="2344" spans="1:9" s="81" customFormat="1" ht="21.6" customHeight="1">
      <c r="A2344" s="27">
        <v>2599</v>
      </c>
      <c r="B2344" s="104" t="s">
        <v>1317</v>
      </c>
      <c r="C2344" s="104" t="s">
        <v>954</v>
      </c>
      <c r="D2344" s="34" t="s">
        <v>1644</v>
      </c>
      <c r="E2344" s="35" t="s">
        <v>955</v>
      </c>
      <c r="F2344" s="40">
        <v>106</v>
      </c>
      <c r="G2344" s="144" t="s">
        <v>755</v>
      </c>
      <c r="H2344" s="40" t="s">
        <v>123</v>
      </c>
      <c r="I2344" s="56"/>
    </row>
    <row r="2345" spans="1:9" s="58" customFormat="1" ht="21.6" customHeight="1">
      <c r="A2345" s="27">
        <v>2600</v>
      </c>
      <c r="B2345" s="104" t="s">
        <v>1317</v>
      </c>
      <c r="C2345" s="104" t="s">
        <v>295</v>
      </c>
      <c r="D2345" s="39" t="s">
        <v>1399</v>
      </c>
      <c r="E2345" s="3" t="s">
        <v>296</v>
      </c>
      <c r="F2345" s="29">
        <v>80</v>
      </c>
      <c r="G2345" s="144" t="s">
        <v>638</v>
      </c>
      <c r="H2345" s="40" t="s">
        <v>123</v>
      </c>
      <c r="I2345" s="31" t="s">
        <v>639</v>
      </c>
    </row>
    <row r="2346" spans="1:9" s="26" customFormat="1" ht="21.6" customHeight="1">
      <c r="A2346" s="27">
        <v>2601</v>
      </c>
      <c r="B2346" s="104" t="s">
        <v>1317</v>
      </c>
      <c r="C2346" s="104" t="s">
        <v>298</v>
      </c>
      <c r="D2346" s="39" t="s">
        <v>1400</v>
      </c>
      <c r="E2346" s="3" t="s">
        <v>299</v>
      </c>
      <c r="F2346" s="29">
        <v>120</v>
      </c>
      <c r="G2346" s="144" t="s">
        <v>300</v>
      </c>
      <c r="H2346" s="40" t="s">
        <v>123</v>
      </c>
      <c r="I2346" s="31" t="s">
        <v>321</v>
      </c>
    </row>
    <row r="2347" spans="1:9" s="26" customFormat="1" ht="21.6" customHeight="1">
      <c r="A2347" s="27">
        <v>2602</v>
      </c>
      <c r="B2347" s="104" t="s">
        <v>1317</v>
      </c>
      <c r="C2347" s="104" t="s">
        <v>345</v>
      </c>
      <c r="D2347" s="39" t="s">
        <v>1414</v>
      </c>
      <c r="E2347" s="3" t="s">
        <v>346</v>
      </c>
      <c r="F2347" s="29">
        <v>120</v>
      </c>
      <c r="G2347" s="144" t="s">
        <v>303</v>
      </c>
      <c r="H2347" s="40" t="s">
        <v>123</v>
      </c>
      <c r="I2347" s="31" t="s">
        <v>325</v>
      </c>
    </row>
    <row r="2348" spans="1:9" ht="21.6" customHeight="1">
      <c r="A2348" s="27">
        <v>2604</v>
      </c>
      <c r="B2348" s="132" t="s">
        <v>1317</v>
      </c>
      <c r="C2348" s="132" t="s">
        <v>347</v>
      </c>
      <c r="D2348" s="34" t="s">
        <v>1415</v>
      </c>
      <c r="E2348" s="35" t="s">
        <v>348</v>
      </c>
      <c r="F2348" s="40">
        <v>500</v>
      </c>
      <c r="G2348" s="144" t="s">
        <v>349</v>
      </c>
      <c r="H2348" s="40" t="s">
        <v>123</v>
      </c>
      <c r="I2348" s="55" t="s">
        <v>334</v>
      </c>
    </row>
    <row r="2349" spans="1:9" s="58" customFormat="1" ht="21.6" customHeight="1">
      <c r="A2349" s="27">
        <v>2606</v>
      </c>
      <c r="B2349" s="104" t="s">
        <v>1317</v>
      </c>
      <c r="C2349" s="104" t="s">
        <v>640</v>
      </c>
      <c r="D2349" s="39" t="s">
        <v>1524</v>
      </c>
      <c r="E2349" s="3" t="s">
        <v>641</v>
      </c>
      <c r="F2349" s="29">
        <v>340</v>
      </c>
      <c r="G2349" s="144" t="s">
        <v>642</v>
      </c>
      <c r="H2349" s="40" t="s">
        <v>123</v>
      </c>
      <c r="I2349" s="31" t="s">
        <v>526</v>
      </c>
    </row>
    <row r="2350" spans="1:9" s="58" customFormat="1" ht="21.6" customHeight="1">
      <c r="A2350" s="27">
        <v>2607</v>
      </c>
      <c r="B2350" s="104" t="s">
        <v>1317</v>
      </c>
      <c r="C2350" s="104" t="s">
        <v>643</v>
      </c>
      <c r="D2350" s="39" t="s">
        <v>1525</v>
      </c>
      <c r="E2350" s="3" t="s">
        <v>644</v>
      </c>
      <c r="F2350" s="29">
        <v>212</v>
      </c>
      <c r="G2350" s="144" t="s">
        <v>645</v>
      </c>
      <c r="H2350" s="40" t="s">
        <v>123</v>
      </c>
      <c r="I2350" s="31"/>
    </row>
    <row r="2351" spans="1:9" s="81" customFormat="1" ht="21.6" customHeight="1">
      <c r="A2351" s="27">
        <v>2608</v>
      </c>
      <c r="B2351" s="104" t="s">
        <v>1317</v>
      </c>
      <c r="C2351" s="104" t="s">
        <v>646</v>
      </c>
      <c r="D2351" s="34" t="s">
        <v>1526</v>
      </c>
      <c r="E2351" s="35" t="s">
        <v>647</v>
      </c>
      <c r="F2351" s="40" t="s">
        <v>123</v>
      </c>
      <c r="G2351" s="145" t="s">
        <v>585</v>
      </c>
      <c r="H2351" s="40" t="s">
        <v>123</v>
      </c>
      <c r="I2351" s="56"/>
    </row>
    <row r="2352" spans="1:9" s="81" customFormat="1" ht="21.6" customHeight="1">
      <c r="A2352" s="27">
        <v>2609</v>
      </c>
      <c r="B2352" s="104" t="s">
        <v>1317</v>
      </c>
      <c r="C2352" s="104" t="s">
        <v>648</v>
      </c>
      <c r="D2352" s="34" t="s">
        <v>1527</v>
      </c>
      <c r="E2352" s="35" t="s">
        <v>649</v>
      </c>
      <c r="F2352" s="40" t="s">
        <v>123</v>
      </c>
      <c r="G2352" s="145" t="s">
        <v>129</v>
      </c>
      <c r="H2352" s="40" t="s">
        <v>123</v>
      </c>
      <c r="I2352" s="56"/>
    </row>
    <row r="2353" spans="1:9" ht="21.6" customHeight="1">
      <c r="A2353" s="27">
        <v>2610</v>
      </c>
      <c r="B2353" s="104" t="s">
        <v>1317</v>
      </c>
      <c r="C2353" s="104" t="s">
        <v>1064</v>
      </c>
      <c r="D2353" s="34" t="s">
        <v>1686</v>
      </c>
      <c r="E2353" s="35" t="s">
        <v>1065</v>
      </c>
      <c r="F2353" s="40" t="s">
        <v>123</v>
      </c>
      <c r="G2353" s="145" t="s">
        <v>772</v>
      </c>
      <c r="H2353" s="40" t="s">
        <v>123</v>
      </c>
      <c r="I2353" s="56"/>
    </row>
    <row r="2354" spans="1:9" ht="21.6" customHeight="1">
      <c r="A2354" s="27">
        <v>2611</v>
      </c>
      <c r="B2354" s="104" t="s">
        <v>1317</v>
      </c>
      <c r="C2354" s="104" t="s">
        <v>1066</v>
      </c>
      <c r="D2354" s="34" t="s">
        <v>1687</v>
      </c>
      <c r="E2354" s="35" t="s">
        <v>1067</v>
      </c>
      <c r="F2354" s="40" t="s">
        <v>123</v>
      </c>
      <c r="G2354" s="145" t="s">
        <v>775</v>
      </c>
      <c r="H2354" s="40" t="s">
        <v>123</v>
      </c>
      <c r="I2354" s="56"/>
    </row>
    <row r="2355" spans="1:9" ht="21.6" customHeight="1">
      <c r="A2355" s="27">
        <v>2612</v>
      </c>
      <c r="B2355" s="104" t="s">
        <v>1317</v>
      </c>
      <c r="C2355" s="104" t="s">
        <v>1068</v>
      </c>
      <c r="D2355" s="34" t="s">
        <v>1688</v>
      </c>
      <c r="E2355" s="35" t="s">
        <v>1069</v>
      </c>
      <c r="F2355" s="40" t="s">
        <v>123</v>
      </c>
      <c r="G2355" s="145" t="s">
        <v>778</v>
      </c>
      <c r="H2355" s="40" t="s">
        <v>123</v>
      </c>
      <c r="I2355" s="56"/>
    </row>
    <row r="2356" spans="1:9" s="81" customFormat="1" ht="21.6" customHeight="1">
      <c r="A2356" s="41">
        <v>2613</v>
      </c>
      <c r="B2356" s="104" t="s">
        <v>1317</v>
      </c>
      <c r="C2356" s="104" t="s">
        <v>650</v>
      </c>
      <c r="D2356" s="34" t="s">
        <v>1528</v>
      </c>
      <c r="E2356" s="35" t="s">
        <v>651</v>
      </c>
      <c r="F2356" s="40" t="s">
        <v>123</v>
      </c>
      <c r="G2356" s="144" t="s">
        <v>1821</v>
      </c>
      <c r="H2356" s="40" t="s">
        <v>123</v>
      </c>
      <c r="I2356" s="56"/>
    </row>
    <row r="2357" spans="1:9" s="81" customFormat="1" ht="21.6" customHeight="1">
      <c r="A2357" s="41">
        <v>2614</v>
      </c>
      <c r="B2357" s="84" t="s">
        <v>1317</v>
      </c>
      <c r="C2357" s="84" t="s">
        <v>969</v>
      </c>
      <c r="D2357" s="84" t="s">
        <v>1651</v>
      </c>
      <c r="E2357" s="83" t="s">
        <v>970</v>
      </c>
      <c r="F2357" s="85" t="s">
        <v>654</v>
      </c>
      <c r="G2357" s="150" t="s">
        <v>1805</v>
      </c>
      <c r="H2357" s="85" t="s">
        <v>123</v>
      </c>
      <c r="I2357" s="86"/>
    </row>
    <row r="2358" spans="1:9" ht="21.6" customHeight="1">
      <c r="A2358" s="20">
        <v>2615</v>
      </c>
      <c r="B2358" s="73" t="s">
        <v>1318</v>
      </c>
      <c r="C2358" s="73" t="s">
        <v>1074</v>
      </c>
      <c r="D2358" s="73" t="s">
        <v>1689</v>
      </c>
      <c r="E2358" s="72" t="s">
        <v>1075</v>
      </c>
      <c r="F2358" s="74">
        <v>275</v>
      </c>
      <c r="G2358" s="143" t="s">
        <v>71</v>
      </c>
      <c r="H2358" s="74">
        <v>4</v>
      </c>
      <c r="I2358" s="75" t="s">
        <v>194</v>
      </c>
    </row>
    <row r="2359" spans="1:9" ht="21.6" customHeight="1">
      <c r="A2359" s="27">
        <v>2616</v>
      </c>
      <c r="B2359" s="34" t="s">
        <v>1318</v>
      </c>
      <c r="C2359" s="34" t="s">
        <v>1076</v>
      </c>
      <c r="D2359" s="34" t="s">
        <v>1690</v>
      </c>
      <c r="E2359" s="35" t="s">
        <v>1077</v>
      </c>
      <c r="F2359" s="76" t="s">
        <v>123</v>
      </c>
      <c r="G2359" s="145" t="s">
        <v>502</v>
      </c>
      <c r="H2359" s="40">
        <v>1</v>
      </c>
      <c r="I2359" s="56" t="s">
        <v>503</v>
      </c>
    </row>
    <row r="2360" spans="1:9" ht="21.6" customHeight="1">
      <c r="A2360" s="27">
        <v>2617</v>
      </c>
      <c r="B2360" s="34" t="s">
        <v>1318</v>
      </c>
      <c r="C2360" s="34" t="s">
        <v>1078</v>
      </c>
      <c r="D2360" s="34" t="s">
        <v>1691</v>
      </c>
      <c r="E2360" s="35" t="s">
        <v>1079</v>
      </c>
      <c r="F2360" s="76" t="s">
        <v>123</v>
      </c>
      <c r="G2360" s="145" t="s">
        <v>703</v>
      </c>
      <c r="H2360" s="40">
        <v>1</v>
      </c>
      <c r="I2360" s="56" t="s">
        <v>503</v>
      </c>
    </row>
    <row r="2361" spans="1:9" ht="21.6" customHeight="1">
      <c r="A2361" s="27">
        <v>2618</v>
      </c>
      <c r="B2361" s="34" t="s">
        <v>1318</v>
      </c>
      <c r="C2361" s="34" t="s">
        <v>1080</v>
      </c>
      <c r="D2361" s="34" t="s">
        <v>1692</v>
      </c>
      <c r="E2361" s="35" t="s">
        <v>1081</v>
      </c>
      <c r="F2361" s="76" t="s">
        <v>123</v>
      </c>
      <c r="G2361" s="144" t="s">
        <v>706</v>
      </c>
      <c r="H2361" s="40">
        <v>1</v>
      </c>
      <c r="I2361" s="56" t="s">
        <v>503</v>
      </c>
    </row>
    <row r="2362" spans="1:9" ht="21.6" customHeight="1">
      <c r="A2362" s="27">
        <v>2619</v>
      </c>
      <c r="B2362" s="34" t="s">
        <v>1318</v>
      </c>
      <c r="C2362" s="34" t="s">
        <v>1082</v>
      </c>
      <c r="D2362" s="34" t="s">
        <v>1693</v>
      </c>
      <c r="E2362" s="35" t="s">
        <v>1083</v>
      </c>
      <c r="F2362" s="76" t="s">
        <v>123</v>
      </c>
      <c r="G2362" s="145" t="s">
        <v>709</v>
      </c>
      <c r="H2362" s="40">
        <v>1</v>
      </c>
      <c r="I2362" s="56" t="s">
        <v>503</v>
      </c>
    </row>
    <row r="2363" spans="1:9" ht="21.6" customHeight="1">
      <c r="A2363" s="27">
        <v>2620</v>
      </c>
      <c r="B2363" s="34" t="s">
        <v>1318</v>
      </c>
      <c r="C2363" s="34" t="s">
        <v>1084</v>
      </c>
      <c r="D2363" s="34" t="s">
        <v>1694</v>
      </c>
      <c r="E2363" s="35" t="s">
        <v>1085</v>
      </c>
      <c r="F2363" s="40">
        <v>275</v>
      </c>
      <c r="G2363" s="145" t="s">
        <v>415</v>
      </c>
      <c r="H2363" s="40">
        <v>4</v>
      </c>
      <c r="I2363" s="56"/>
    </row>
    <row r="2364" spans="1:9" ht="21.6" customHeight="1">
      <c r="A2364" s="27">
        <v>2621</v>
      </c>
      <c r="B2364" s="34" t="s">
        <v>1318</v>
      </c>
      <c r="C2364" s="34" t="s">
        <v>1086</v>
      </c>
      <c r="D2364" s="34" t="s">
        <v>1695</v>
      </c>
      <c r="E2364" s="35" t="s">
        <v>1087</v>
      </c>
      <c r="F2364" s="40">
        <v>250</v>
      </c>
      <c r="G2364" s="144" t="s">
        <v>1809</v>
      </c>
      <c r="H2364" s="40">
        <v>1</v>
      </c>
      <c r="I2364" s="56"/>
    </row>
    <row r="2365" spans="1:9" ht="21.6" customHeight="1">
      <c r="A2365" s="27">
        <v>2622</v>
      </c>
      <c r="B2365" s="34" t="s">
        <v>1318</v>
      </c>
      <c r="C2365" s="34" t="s">
        <v>1088</v>
      </c>
      <c r="D2365" s="34" t="s">
        <v>1696</v>
      </c>
      <c r="E2365" s="35" t="s">
        <v>1089</v>
      </c>
      <c r="F2365" s="40">
        <v>250</v>
      </c>
      <c r="G2365" s="144" t="s">
        <v>1090</v>
      </c>
      <c r="H2365" s="40">
        <v>1</v>
      </c>
      <c r="I2365" s="56"/>
    </row>
    <row r="2366" spans="1:9" ht="21.6" customHeight="1">
      <c r="A2366" s="27">
        <v>2623</v>
      </c>
      <c r="B2366" s="34" t="s">
        <v>1318</v>
      </c>
      <c r="C2366" s="34" t="s">
        <v>1091</v>
      </c>
      <c r="D2366" s="34" t="s">
        <v>1697</v>
      </c>
      <c r="E2366" s="35" t="s">
        <v>1092</v>
      </c>
      <c r="F2366" s="40">
        <v>500</v>
      </c>
      <c r="G2366" s="144" t="s">
        <v>1810</v>
      </c>
      <c r="H2366" s="40">
        <v>1</v>
      </c>
      <c r="I2366" s="56"/>
    </row>
    <row r="2367" spans="1:9" ht="21.6" customHeight="1">
      <c r="A2367" s="27">
        <v>2624</v>
      </c>
      <c r="B2367" s="34" t="s">
        <v>1318</v>
      </c>
      <c r="C2367" s="34" t="s">
        <v>1093</v>
      </c>
      <c r="D2367" s="34" t="s">
        <v>1698</v>
      </c>
      <c r="E2367" s="35" t="s">
        <v>1094</v>
      </c>
      <c r="F2367" s="40">
        <v>275</v>
      </c>
      <c r="G2367" s="144" t="s">
        <v>1095</v>
      </c>
      <c r="H2367" s="40">
        <v>1</v>
      </c>
      <c r="I2367" s="56"/>
    </row>
    <row r="2368" spans="1:9" ht="21.6" customHeight="1">
      <c r="A2368" s="27">
        <v>2625</v>
      </c>
      <c r="B2368" s="34" t="s">
        <v>1318</v>
      </c>
      <c r="C2368" s="34" t="s">
        <v>1096</v>
      </c>
      <c r="D2368" s="34" t="s">
        <v>1699</v>
      </c>
      <c r="E2368" s="35" t="s">
        <v>1097</v>
      </c>
      <c r="F2368" s="40">
        <v>275</v>
      </c>
      <c r="G2368" s="144" t="s">
        <v>533</v>
      </c>
      <c r="H2368" s="40">
        <v>1</v>
      </c>
      <c r="I2368" s="56"/>
    </row>
    <row r="2369" spans="1:9" ht="21.6" customHeight="1">
      <c r="A2369" s="27">
        <v>2626</v>
      </c>
      <c r="B2369" s="34" t="s">
        <v>1318</v>
      </c>
      <c r="C2369" s="34" t="s">
        <v>1098</v>
      </c>
      <c r="D2369" s="34" t="s">
        <v>1700</v>
      </c>
      <c r="E2369" s="35" t="s">
        <v>1099</v>
      </c>
      <c r="F2369" s="40">
        <v>275</v>
      </c>
      <c r="G2369" s="145" t="s">
        <v>1812</v>
      </c>
      <c r="H2369" s="40">
        <v>1</v>
      </c>
      <c r="I2369" s="56"/>
    </row>
    <row r="2370" spans="1:9" ht="21.6" customHeight="1">
      <c r="A2370" s="27">
        <v>2627</v>
      </c>
      <c r="B2370" s="34" t="s">
        <v>1318</v>
      </c>
      <c r="C2370" s="34" t="s">
        <v>1100</v>
      </c>
      <c r="D2370" s="34" t="s">
        <v>1701</v>
      </c>
      <c r="E2370" s="35" t="s">
        <v>1101</v>
      </c>
      <c r="F2370" s="40">
        <v>275</v>
      </c>
      <c r="G2370" s="145" t="s">
        <v>1102</v>
      </c>
      <c r="H2370" s="40">
        <v>1</v>
      </c>
      <c r="I2370" s="56"/>
    </row>
    <row r="2371" spans="1:9" ht="21.6" customHeight="1">
      <c r="A2371" s="27">
        <v>2628</v>
      </c>
      <c r="B2371" s="34" t="s">
        <v>1318</v>
      </c>
      <c r="C2371" s="34" t="s">
        <v>1103</v>
      </c>
      <c r="D2371" s="34" t="s">
        <v>1702</v>
      </c>
      <c r="E2371" s="35" t="s">
        <v>1104</v>
      </c>
      <c r="F2371" s="40">
        <v>275</v>
      </c>
      <c r="G2371" s="148" t="s">
        <v>1848</v>
      </c>
      <c r="H2371" s="40">
        <v>1</v>
      </c>
      <c r="I2371" s="56"/>
    </row>
    <row r="2372" spans="1:9" ht="21.6" customHeight="1">
      <c r="A2372" s="27">
        <v>2629</v>
      </c>
      <c r="B2372" s="34" t="s">
        <v>1318</v>
      </c>
      <c r="C2372" s="34" t="s">
        <v>1105</v>
      </c>
      <c r="D2372" s="34" t="s">
        <v>1703</v>
      </c>
      <c r="E2372" s="35" t="s">
        <v>1106</v>
      </c>
      <c r="F2372" s="40">
        <v>550</v>
      </c>
      <c r="G2372" s="145" t="s">
        <v>1849</v>
      </c>
      <c r="H2372" s="40">
        <v>1</v>
      </c>
      <c r="I2372" s="56"/>
    </row>
    <row r="2373" spans="1:9" ht="21.6" customHeight="1">
      <c r="A2373" s="27">
        <v>2630</v>
      </c>
      <c r="B2373" s="34" t="s">
        <v>1318</v>
      </c>
      <c r="C2373" s="34" t="s">
        <v>506</v>
      </c>
      <c r="D2373" s="34" t="s">
        <v>1472</v>
      </c>
      <c r="E2373" s="35" t="s">
        <v>507</v>
      </c>
      <c r="F2373" s="40">
        <v>275</v>
      </c>
      <c r="G2373" s="144" t="s">
        <v>107</v>
      </c>
      <c r="H2373" s="40">
        <v>4</v>
      </c>
      <c r="I2373" s="56"/>
    </row>
    <row r="2374" spans="1:9" ht="21.6" customHeight="1">
      <c r="A2374" s="27">
        <v>2631</v>
      </c>
      <c r="B2374" s="34" t="s">
        <v>1318</v>
      </c>
      <c r="C2374" s="34" t="s">
        <v>1107</v>
      </c>
      <c r="D2374" s="34" t="s">
        <v>1704</v>
      </c>
      <c r="E2374" s="35" t="s">
        <v>1108</v>
      </c>
      <c r="F2374" s="40">
        <v>275</v>
      </c>
      <c r="G2374" s="145" t="s">
        <v>104</v>
      </c>
      <c r="H2374" s="40">
        <v>4</v>
      </c>
      <c r="I2374" s="56"/>
    </row>
    <row r="2375" spans="1:9" ht="21.6" customHeight="1">
      <c r="A2375" s="27">
        <v>2632</v>
      </c>
      <c r="B2375" s="34" t="s">
        <v>1318</v>
      </c>
      <c r="C2375" s="34" t="s">
        <v>510</v>
      </c>
      <c r="D2375" s="34" t="s">
        <v>1474</v>
      </c>
      <c r="E2375" s="35" t="s">
        <v>511</v>
      </c>
      <c r="F2375" s="40">
        <v>275</v>
      </c>
      <c r="G2375" s="145" t="s">
        <v>1806</v>
      </c>
      <c r="H2375" s="40">
        <v>4</v>
      </c>
      <c r="I2375" s="56"/>
    </row>
    <row r="2376" spans="1:9" s="77" customFormat="1" ht="21.6" customHeight="1">
      <c r="A2376" s="27">
        <v>2633</v>
      </c>
      <c r="B2376" s="34" t="s">
        <v>1318</v>
      </c>
      <c r="C2376" s="34" t="s">
        <v>517</v>
      </c>
      <c r="D2376" s="47" t="s">
        <v>1477</v>
      </c>
      <c r="E2376" s="48" t="s">
        <v>518</v>
      </c>
      <c r="F2376" s="40">
        <v>275</v>
      </c>
      <c r="G2376" s="145" t="s">
        <v>1808</v>
      </c>
      <c r="H2376" s="40">
        <v>4</v>
      </c>
      <c r="I2376" s="56"/>
    </row>
    <row r="2377" spans="1:9" ht="21.6" customHeight="1">
      <c r="A2377" s="27">
        <v>2634</v>
      </c>
      <c r="B2377" s="34" t="s">
        <v>1318</v>
      </c>
      <c r="C2377" s="34" t="s">
        <v>519</v>
      </c>
      <c r="D2377" s="34" t="s">
        <v>1478</v>
      </c>
      <c r="E2377" s="35" t="s">
        <v>520</v>
      </c>
      <c r="F2377" s="40">
        <v>275</v>
      </c>
      <c r="G2377" s="144" t="s">
        <v>101</v>
      </c>
      <c r="H2377" s="40">
        <v>1</v>
      </c>
      <c r="I2377" s="56"/>
    </row>
    <row r="2378" spans="1:9" ht="21.6" customHeight="1">
      <c r="A2378" s="27">
        <v>2635</v>
      </c>
      <c r="B2378" s="34" t="s">
        <v>1318</v>
      </c>
      <c r="C2378" s="34" t="s">
        <v>521</v>
      </c>
      <c r="D2378" s="34" t="s">
        <v>1479</v>
      </c>
      <c r="E2378" s="35" t="s">
        <v>522</v>
      </c>
      <c r="F2378" s="40">
        <v>275</v>
      </c>
      <c r="G2378" s="145" t="s">
        <v>523</v>
      </c>
      <c r="H2378" s="40">
        <v>1</v>
      </c>
      <c r="I2378" s="56"/>
    </row>
    <row r="2379" spans="1:9" ht="21.6" customHeight="1">
      <c r="A2379" s="27">
        <v>2636</v>
      </c>
      <c r="B2379" s="34" t="s">
        <v>1318</v>
      </c>
      <c r="C2379" s="34" t="s">
        <v>1109</v>
      </c>
      <c r="D2379" s="34" t="s">
        <v>1705</v>
      </c>
      <c r="E2379" s="35" t="s">
        <v>1110</v>
      </c>
      <c r="F2379" s="40">
        <v>500</v>
      </c>
      <c r="G2379" s="144" t="s">
        <v>90</v>
      </c>
      <c r="H2379" s="40">
        <v>5</v>
      </c>
      <c r="I2379" s="56"/>
    </row>
    <row r="2380" spans="1:9" ht="21.6" customHeight="1">
      <c r="A2380" s="27">
        <v>2637</v>
      </c>
      <c r="B2380" s="34" t="s">
        <v>1318</v>
      </c>
      <c r="C2380" s="34" t="s">
        <v>1111</v>
      </c>
      <c r="D2380" s="34" t="s">
        <v>1706</v>
      </c>
      <c r="E2380" s="35" t="s">
        <v>1112</v>
      </c>
      <c r="F2380" s="40">
        <v>250</v>
      </c>
      <c r="G2380" s="145" t="s">
        <v>1850</v>
      </c>
      <c r="H2380" s="40">
        <v>2</v>
      </c>
      <c r="I2380" s="56"/>
    </row>
    <row r="2381" spans="1:9" ht="21.6" customHeight="1">
      <c r="A2381" s="27">
        <v>2638</v>
      </c>
      <c r="B2381" s="34" t="s">
        <v>1318</v>
      </c>
      <c r="C2381" s="34" t="s">
        <v>1113</v>
      </c>
      <c r="D2381" s="34" t="s">
        <v>1707</v>
      </c>
      <c r="E2381" s="35" t="s">
        <v>1114</v>
      </c>
      <c r="F2381" s="40">
        <v>275</v>
      </c>
      <c r="G2381" s="145" t="s">
        <v>1813</v>
      </c>
      <c r="H2381" s="40">
        <v>1</v>
      </c>
      <c r="I2381" s="56"/>
    </row>
    <row r="2382" spans="1:9" ht="21.6" customHeight="1">
      <c r="A2382" s="27">
        <v>2639</v>
      </c>
      <c r="B2382" s="34" t="s">
        <v>1318</v>
      </c>
      <c r="C2382" s="34" t="s">
        <v>1115</v>
      </c>
      <c r="D2382" s="34" t="s">
        <v>1708</v>
      </c>
      <c r="E2382" s="35" t="s">
        <v>1116</v>
      </c>
      <c r="F2382" s="40">
        <v>275</v>
      </c>
      <c r="G2382" s="145" t="s">
        <v>1814</v>
      </c>
      <c r="H2382" s="40">
        <v>1</v>
      </c>
      <c r="I2382" s="56"/>
    </row>
    <row r="2383" spans="1:9" ht="21.6" customHeight="1">
      <c r="A2383" s="27">
        <v>2640</v>
      </c>
      <c r="B2383" s="34" t="s">
        <v>1318</v>
      </c>
      <c r="C2383" s="34" t="s">
        <v>1117</v>
      </c>
      <c r="D2383" s="34" t="s">
        <v>1709</v>
      </c>
      <c r="E2383" s="35" t="s">
        <v>1118</v>
      </c>
      <c r="F2383" s="40">
        <v>275</v>
      </c>
      <c r="G2383" s="145" t="s">
        <v>1815</v>
      </c>
      <c r="H2383" s="40">
        <v>1</v>
      </c>
      <c r="I2383" s="56"/>
    </row>
    <row r="2384" spans="1:9" ht="21.6" customHeight="1">
      <c r="A2384" s="27">
        <v>2641</v>
      </c>
      <c r="B2384" s="34" t="s">
        <v>1318</v>
      </c>
      <c r="C2384" s="34" t="s">
        <v>1119</v>
      </c>
      <c r="D2384" s="34" t="s">
        <v>1710</v>
      </c>
      <c r="E2384" s="35" t="s">
        <v>1120</v>
      </c>
      <c r="F2384" s="40">
        <v>550</v>
      </c>
      <c r="G2384" s="145" t="s">
        <v>1851</v>
      </c>
      <c r="H2384" s="40">
        <v>1</v>
      </c>
      <c r="I2384" s="56"/>
    </row>
    <row r="2385" spans="1:9" ht="21.6" customHeight="1">
      <c r="A2385" s="27">
        <v>2642</v>
      </c>
      <c r="B2385" s="34" t="s">
        <v>1318</v>
      </c>
      <c r="C2385" s="34" t="s">
        <v>1121</v>
      </c>
      <c r="D2385" s="34" t="s">
        <v>1711</v>
      </c>
      <c r="E2385" s="35" t="s">
        <v>1122</v>
      </c>
      <c r="F2385" s="40">
        <v>550</v>
      </c>
      <c r="G2385" s="145" t="s">
        <v>1852</v>
      </c>
      <c r="H2385" s="40">
        <v>1</v>
      </c>
      <c r="I2385" s="56"/>
    </row>
    <row r="2386" spans="1:9" ht="21.6" customHeight="1">
      <c r="A2386" s="27">
        <v>2643</v>
      </c>
      <c r="B2386" s="34" t="s">
        <v>1318</v>
      </c>
      <c r="C2386" s="34" t="s">
        <v>452</v>
      </c>
      <c r="D2386" s="34" t="s">
        <v>1452</v>
      </c>
      <c r="E2386" s="35" t="s">
        <v>226</v>
      </c>
      <c r="F2386" s="40" t="s">
        <v>453</v>
      </c>
      <c r="G2386" s="144" t="s">
        <v>1816</v>
      </c>
      <c r="H2386" s="40">
        <v>1</v>
      </c>
      <c r="I2386" s="56" t="s">
        <v>455</v>
      </c>
    </row>
    <row r="2387" spans="1:9" ht="21.6" customHeight="1">
      <c r="A2387" s="27">
        <v>2644</v>
      </c>
      <c r="B2387" s="34" t="s">
        <v>1318</v>
      </c>
      <c r="C2387" s="34" t="s">
        <v>452</v>
      </c>
      <c r="D2387" s="34" t="s">
        <v>1452</v>
      </c>
      <c r="E2387" s="35" t="s">
        <v>226</v>
      </c>
      <c r="F2387" s="40" t="s">
        <v>453</v>
      </c>
      <c r="G2387" s="144" t="s">
        <v>1816</v>
      </c>
      <c r="H2387" s="40">
        <v>1</v>
      </c>
      <c r="I2387" s="56" t="s">
        <v>455</v>
      </c>
    </row>
    <row r="2388" spans="1:9" ht="21.6" customHeight="1">
      <c r="A2388" s="27">
        <v>2645</v>
      </c>
      <c r="B2388" s="34" t="s">
        <v>1318</v>
      </c>
      <c r="C2388" s="34" t="s">
        <v>457</v>
      </c>
      <c r="D2388" s="34" t="s">
        <v>1453</v>
      </c>
      <c r="E2388" s="35" t="s">
        <v>458</v>
      </c>
      <c r="F2388" s="40" t="s">
        <v>453</v>
      </c>
      <c r="G2388" s="144" t="s">
        <v>1817</v>
      </c>
      <c r="H2388" s="40">
        <v>1</v>
      </c>
      <c r="I2388" s="56" t="s">
        <v>455</v>
      </c>
    </row>
    <row r="2389" spans="1:9" ht="21.6" customHeight="1">
      <c r="A2389" s="27">
        <v>2646</v>
      </c>
      <c r="B2389" s="34" t="s">
        <v>1318</v>
      </c>
      <c r="C2389" s="34" t="s">
        <v>225</v>
      </c>
      <c r="D2389" s="34" t="s">
        <v>1375</v>
      </c>
      <c r="E2389" s="35" t="s">
        <v>226</v>
      </c>
      <c r="F2389" s="68" t="s">
        <v>470</v>
      </c>
      <c r="G2389" s="145" t="s">
        <v>1838</v>
      </c>
      <c r="H2389" s="40">
        <v>1</v>
      </c>
      <c r="I2389" s="56"/>
    </row>
    <row r="2390" spans="1:9" ht="21.6" customHeight="1">
      <c r="A2390" s="27">
        <v>2647</v>
      </c>
      <c r="B2390" s="34" t="s">
        <v>1318</v>
      </c>
      <c r="C2390" s="34" t="s">
        <v>225</v>
      </c>
      <c r="D2390" s="34" t="s">
        <v>1375</v>
      </c>
      <c r="E2390" s="35" t="s">
        <v>226</v>
      </c>
      <c r="F2390" s="68" t="s">
        <v>470</v>
      </c>
      <c r="G2390" s="144" t="s">
        <v>1123</v>
      </c>
      <c r="H2390" s="40">
        <v>1</v>
      </c>
      <c r="I2390" s="56"/>
    </row>
    <row r="2391" spans="1:9" ht="21.6" customHeight="1">
      <c r="A2391" s="27">
        <v>2648</v>
      </c>
      <c r="B2391" s="34" t="s">
        <v>1318</v>
      </c>
      <c r="C2391" s="34" t="s">
        <v>229</v>
      </c>
      <c r="D2391" s="64" t="s">
        <v>1376</v>
      </c>
      <c r="E2391" s="7" t="s">
        <v>230</v>
      </c>
      <c r="F2391" s="68" t="s">
        <v>470</v>
      </c>
      <c r="G2391" s="145" t="s">
        <v>1839</v>
      </c>
      <c r="H2391" s="40">
        <v>1</v>
      </c>
      <c r="I2391" s="56"/>
    </row>
    <row r="2392" spans="1:9" ht="21.6" customHeight="1">
      <c r="A2392" s="27">
        <v>2649</v>
      </c>
      <c r="B2392" s="34" t="s">
        <v>1318</v>
      </c>
      <c r="C2392" s="34" t="s">
        <v>332</v>
      </c>
      <c r="D2392" s="34" t="s">
        <v>1410</v>
      </c>
      <c r="E2392" s="35" t="s">
        <v>333</v>
      </c>
      <c r="F2392" s="40">
        <v>500</v>
      </c>
      <c r="G2392" s="144" t="s">
        <v>1853</v>
      </c>
      <c r="H2392" s="40">
        <v>2</v>
      </c>
      <c r="I2392" s="56" t="s">
        <v>1124</v>
      </c>
    </row>
    <row r="2393" spans="1:9" ht="21.6" customHeight="1">
      <c r="A2393" s="27">
        <v>2650</v>
      </c>
      <c r="B2393" s="34" t="s">
        <v>1318</v>
      </c>
      <c r="C2393" s="34" t="s">
        <v>452</v>
      </c>
      <c r="D2393" s="34" t="s">
        <v>1452</v>
      </c>
      <c r="E2393" s="35" t="s">
        <v>226</v>
      </c>
      <c r="F2393" s="40">
        <v>500</v>
      </c>
      <c r="G2393" s="144" t="s">
        <v>1125</v>
      </c>
      <c r="H2393" s="40">
        <v>1</v>
      </c>
      <c r="I2393" s="56" t="s">
        <v>1124</v>
      </c>
    </row>
    <row r="2394" spans="1:9" ht="21.6" customHeight="1">
      <c r="A2394" s="27">
        <v>2651</v>
      </c>
      <c r="B2394" s="34" t="s">
        <v>1318</v>
      </c>
      <c r="C2394" s="34" t="s">
        <v>467</v>
      </c>
      <c r="D2394" s="34" t="s">
        <v>1457</v>
      </c>
      <c r="E2394" s="35" t="s">
        <v>468</v>
      </c>
      <c r="F2394" s="40">
        <v>500</v>
      </c>
      <c r="G2394" s="145" t="s">
        <v>1126</v>
      </c>
      <c r="H2394" s="40">
        <v>1</v>
      </c>
      <c r="I2394" s="56" t="s">
        <v>1124</v>
      </c>
    </row>
    <row r="2395" spans="1:9" ht="21.6" customHeight="1">
      <c r="A2395" s="27">
        <v>2652</v>
      </c>
      <c r="B2395" s="34" t="s">
        <v>1318</v>
      </c>
      <c r="C2395" s="34" t="s">
        <v>548</v>
      </c>
      <c r="D2395" s="78" t="s">
        <v>1489</v>
      </c>
      <c r="E2395" s="35" t="s">
        <v>549</v>
      </c>
      <c r="F2395" s="40">
        <v>100</v>
      </c>
      <c r="G2395" s="145" t="s">
        <v>1819</v>
      </c>
      <c r="H2395" s="40">
        <v>1</v>
      </c>
      <c r="I2395" s="56" t="s">
        <v>116</v>
      </c>
    </row>
    <row r="2396" spans="1:9" ht="21.6" customHeight="1">
      <c r="A2396" s="27">
        <v>2653</v>
      </c>
      <c r="B2396" s="34" t="s">
        <v>1318</v>
      </c>
      <c r="C2396" s="34" t="s">
        <v>551</v>
      </c>
      <c r="D2396" s="34" t="s">
        <v>1490</v>
      </c>
      <c r="E2396" s="35" t="s">
        <v>552</v>
      </c>
      <c r="F2396" s="40">
        <v>100</v>
      </c>
      <c r="G2396" s="144" t="s">
        <v>553</v>
      </c>
      <c r="H2396" s="40">
        <v>1</v>
      </c>
      <c r="I2396" s="56" t="s">
        <v>116</v>
      </c>
    </row>
    <row r="2397" spans="1:9" ht="21.6" customHeight="1">
      <c r="A2397" s="27">
        <v>2654</v>
      </c>
      <c r="B2397" s="34" t="s">
        <v>1318</v>
      </c>
      <c r="C2397" s="34" t="s">
        <v>554</v>
      </c>
      <c r="D2397" s="34" t="s">
        <v>1491</v>
      </c>
      <c r="E2397" s="35" t="s">
        <v>555</v>
      </c>
      <c r="F2397" s="40">
        <v>100</v>
      </c>
      <c r="G2397" s="144" t="s">
        <v>550</v>
      </c>
      <c r="H2397" s="40">
        <v>1</v>
      </c>
      <c r="I2397" s="56" t="s">
        <v>116</v>
      </c>
    </row>
    <row r="2398" spans="1:9" ht="21.6" customHeight="1">
      <c r="A2398" s="27">
        <v>2655</v>
      </c>
      <c r="B2398" s="34" t="s">
        <v>1318</v>
      </c>
      <c r="C2398" s="34" t="s">
        <v>1127</v>
      </c>
      <c r="D2398" s="79" t="s">
        <v>1712</v>
      </c>
      <c r="E2398" s="35" t="s">
        <v>1128</v>
      </c>
      <c r="F2398" s="40">
        <v>275</v>
      </c>
      <c r="G2398" s="145" t="s">
        <v>558</v>
      </c>
      <c r="H2398" s="40" t="s">
        <v>123</v>
      </c>
      <c r="I2398" s="56"/>
    </row>
    <row r="2399" spans="1:9" ht="21.6" customHeight="1">
      <c r="A2399" s="27">
        <v>2656</v>
      </c>
      <c r="B2399" s="34" t="s">
        <v>1318</v>
      </c>
      <c r="C2399" s="34" t="s">
        <v>1129</v>
      </c>
      <c r="D2399" s="80" t="s">
        <v>1713</v>
      </c>
      <c r="E2399" s="35" t="s">
        <v>1130</v>
      </c>
      <c r="F2399" s="40">
        <v>275</v>
      </c>
      <c r="G2399" s="145" t="s">
        <v>1820</v>
      </c>
      <c r="H2399" s="40" t="s">
        <v>123</v>
      </c>
      <c r="I2399" s="56"/>
    </row>
    <row r="2400" spans="1:9" ht="21.6" customHeight="1">
      <c r="A2400" s="27">
        <v>2657</v>
      </c>
      <c r="B2400" s="34" t="s">
        <v>1318</v>
      </c>
      <c r="C2400" s="34" t="s">
        <v>1131</v>
      </c>
      <c r="D2400" s="34" t="s">
        <v>1714</v>
      </c>
      <c r="E2400" s="35" t="s">
        <v>1132</v>
      </c>
      <c r="F2400" s="40">
        <v>500</v>
      </c>
      <c r="G2400" s="145" t="s">
        <v>244</v>
      </c>
      <c r="H2400" s="40" t="s">
        <v>123</v>
      </c>
      <c r="I2400" s="56" t="s">
        <v>1188</v>
      </c>
    </row>
    <row r="2401" spans="1:9" ht="21.6" customHeight="1">
      <c r="A2401" s="27">
        <v>2658</v>
      </c>
      <c r="B2401" s="34" t="s">
        <v>1318</v>
      </c>
      <c r="C2401" s="34" t="s">
        <v>1133</v>
      </c>
      <c r="D2401" s="34" t="s">
        <v>1715</v>
      </c>
      <c r="E2401" s="35" t="s">
        <v>1134</v>
      </c>
      <c r="F2401" s="40">
        <v>275</v>
      </c>
      <c r="G2401" s="145" t="s">
        <v>1135</v>
      </c>
      <c r="H2401" s="40" t="s">
        <v>123</v>
      </c>
      <c r="I2401" s="56"/>
    </row>
    <row r="2402" spans="1:9" ht="21.6" customHeight="1">
      <c r="A2402" s="27">
        <v>2659</v>
      </c>
      <c r="B2402" s="34" t="s">
        <v>1318</v>
      </c>
      <c r="C2402" s="34" t="s">
        <v>563</v>
      </c>
      <c r="D2402" s="34" t="s">
        <v>1495</v>
      </c>
      <c r="E2402" s="35" t="s">
        <v>564</v>
      </c>
      <c r="F2402" s="40">
        <v>275</v>
      </c>
      <c r="G2402" s="145" t="s">
        <v>1803</v>
      </c>
      <c r="H2402" s="40" t="s">
        <v>123</v>
      </c>
      <c r="I2402" s="56"/>
    </row>
    <row r="2403" spans="1:9" ht="21.6" customHeight="1">
      <c r="A2403" s="27">
        <v>2660</v>
      </c>
      <c r="B2403" s="34" t="s">
        <v>1318</v>
      </c>
      <c r="C2403" s="34" t="s">
        <v>1136</v>
      </c>
      <c r="D2403" s="34" t="s">
        <v>1716</v>
      </c>
      <c r="E2403" s="35" t="s">
        <v>1137</v>
      </c>
      <c r="F2403" s="40">
        <v>550</v>
      </c>
      <c r="G2403" s="145" t="s">
        <v>1803</v>
      </c>
      <c r="H2403" s="40" t="s">
        <v>123</v>
      </c>
      <c r="I2403" s="56"/>
    </row>
    <row r="2404" spans="1:9" ht="21.6" customHeight="1">
      <c r="A2404" s="27">
        <v>2661</v>
      </c>
      <c r="B2404" s="34" t="s">
        <v>1318</v>
      </c>
      <c r="C2404" s="34" t="s">
        <v>481</v>
      </c>
      <c r="D2404" s="34" t="s">
        <v>1462</v>
      </c>
      <c r="E2404" s="35" t="s">
        <v>482</v>
      </c>
      <c r="F2404" s="40" t="s">
        <v>453</v>
      </c>
      <c r="G2404" s="144" t="s">
        <v>567</v>
      </c>
      <c r="H2404" s="40" t="s">
        <v>123</v>
      </c>
      <c r="I2404" s="56" t="s">
        <v>455</v>
      </c>
    </row>
    <row r="2405" spans="1:9" ht="21.6" customHeight="1">
      <c r="A2405" s="27">
        <v>2662</v>
      </c>
      <c r="B2405" s="34" t="s">
        <v>1318</v>
      </c>
      <c r="C2405" s="34" t="s">
        <v>484</v>
      </c>
      <c r="D2405" s="34" t="s">
        <v>1463</v>
      </c>
      <c r="E2405" s="35" t="s">
        <v>485</v>
      </c>
      <c r="F2405" s="40">
        <v>500</v>
      </c>
      <c r="G2405" s="144" t="s">
        <v>1189</v>
      </c>
      <c r="H2405" s="40" t="s">
        <v>123</v>
      </c>
      <c r="I2405" s="56" t="s">
        <v>1124</v>
      </c>
    </row>
    <row r="2406" spans="1:9" ht="21.6" customHeight="1">
      <c r="A2406" s="27">
        <v>2663</v>
      </c>
      <c r="B2406" s="34" t="s">
        <v>1318</v>
      </c>
      <c r="C2406" s="34" t="s">
        <v>248</v>
      </c>
      <c r="D2406" s="67" t="s">
        <v>1383</v>
      </c>
      <c r="E2406" s="30" t="s">
        <v>249</v>
      </c>
      <c r="F2406" s="68" t="s">
        <v>470</v>
      </c>
      <c r="G2406" s="145" t="s">
        <v>1854</v>
      </c>
      <c r="H2406" s="40" t="s">
        <v>123</v>
      </c>
      <c r="I2406" s="56"/>
    </row>
    <row r="2407" spans="1:9" ht="21.6" customHeight="1">
      <c r="A2407" s="27">
        <v>2664</v>
      </c>
      <c r="B2407" s="34" t="s">
        <v>1318</v>
      </c>
      <c r="C2407" s="34" t="s">
        <v>1139</v>
      </c>
      <c r="D2407" s="34" t="s">
        <v>1717</v>
      </c>
      <c r="E2407" s="35" t="s">
        <v>1140</v>
      </c>
      <c r="F2407" s="40" t="s">
        <v>123</v>
      </c>
      <c r="G2407" s="145" t="s">
        <v>132</v>
      </c>
      <c r="H2407" s="40" t="s">
        <v>123</v>
      </c>
      <c r="I2407" s="56"/>
    </row>
    <row r="2408" spans="1:9" ht="21.6" customHeight="1">
      <c r="A2408" s="27">
        <v>2665</v>
      </c>
      <c r="B2408" s="34" t="s">
        <v>1318</v>
      </c>
      <c r="C2408" s="34" t="s">
        <v>1141</v>
      </c>
      <c r="D2408" s="34" t="s">
        <v>1718</v>
      </c>
      <c r="E2408" s="35" t="s">
        <v>1142</v>
      </c>
      <c r="F2408" s="40" t="s">
        <v>123</v>
      </c>
      <c r="G2408" s="145" t="s">
        <v>129</v>
      </c>
      <c r="H2408" s="40" t="s">
        <v>123</v>
      </c>
      <c r="I2408" s="56"/>
    </row>
    <row r="2409" spans="1:9" ht="21.6" customHeight="1">
      <c r="A2409" s="27">
        <v>2666</v>
      </c>
      <c r="B2409" s="34" t="s">
        <v>1318</v>
      </c>
      <c r="C2409" s="34" t="s">
        <v>1143</v>
      </c>
      <c r="D2409" s="34" t="s">
        <v>1719</v>
      </c>
      <c r="E2409" s="35" t="s">
        <v>1144</v>
      </c>
      <c r="F2409" s="40" t="s">
        <v>123</v>
      </c>
      <c r="G2409" s="144" t="s">
        <v>135</v>
      </c>
      <c r="H2409" s="40" t="s">
        <v>123</v>
      </c>
      <c r="I2409" s="56"/>
    </row>
    <row r="2410" spans="1:9" ht="21.6" customHeight="1">
      <c r="A2410" s="27">
        <v>2667</v>
      </c>
      <c r="B2410" s="34" t="s">
        <v>1318</v>
      </c>
      <c r="C2410" s="34" t="s">
        <v>1145</v>
      </c>
      <c r="D2410" s="34" t="s">
        <v>1720</v>
      </c>
      <c r="E2410" s="35" t="s">
        <v>1146</v>
      </c>
      <c r="F2410" s="40" t="s">
        <v>123</v>
      </c>
      <c r="G2410" s="144" t="s">
        <v>1821</v>
      </c>
      <c r="H2410" s="40" t="s">
        <v>123</v>
      </c>
      <c r="I2410" s="56"/>
    </row>
    <row r="2411" spans="1:9" ht="21.6" customHeight="1">
      <c r="A2411" s="27">
        <v>2668</v>
      </c>
      <c r="B2411" s="34" t="s">
        <v>1318</v>
      </c>
      <c r="C2411" s="34" t="s">
        <v>1147</v>
      </c>
      <c r="D2411" s="34" t="s">
        <v>1721</v>
      </c>
      <c r="E2411" s="35" t="s">
        <v>1148</v>
      </c>
      <c r="F2411" s="40" t="s">
        <v>123</v>
      </c>
      <c r="G2411" s="144" t="s">
        <v>582</v>
      </c>
      <c r="H2411" s="40" t="s">
        <v>123</v>
      </c>
      <c r="I2411" s="56"/>
    </row>
    <row r="2412" spans="1:9" ht="21.6" customHeight="1">
      <c r="A2412" s="41">
        <v>2670</v>
      </c>
      <c r="B2412" s="97" t="s">
        <v>1318</v>
      </c>
      <c r="C2412" s="97" t="s">
        <v>1149</v>
      </c>
      <c r="D2412" s="97" t="s">
        <v>1722</v>
      </c>
      <c r="E2412" s="70" t="s">
        <v>1150</v>
      </c>
      <c r="F2412" s="44" t="s">
        <v>123</v>
      </c>
      <c r="G2412" s="149" t="s">
        <v>1151</v>
      </c>
      <c r="H2412" s="44" t="s">
        <v>123</v>
      </c>
      <c r="I2412" s="98"/>
    </row>
    <row r="2413" spans="1:9" ht="21.6" customHeight="1">
      <c r="A2413" s="20">
        <v>2671</v>
      </c>
      <c r="B2413" s="134" t="s">
        <v>58</v>
      </c>
      <c r="C2413" s="134" t="s">
        <v>498</v>
      </c>
      <c r="D2413" s="73" t="s">
        <v>1469</v>
      </c>
      <c r="E2413" s="72" t="s">
        <v>499</v>
      </c>
      <c r="F2413" s="74">
        <v>540</v>
      </c>
      <c r="G2413" s="143" t="s">
        <v>71</v>
      </c>
      <c r="H2413" s="74">
        <v>4</v>
      </c>
      <c r="I2413" s="75"/>
    </row>
    <row r="2414" spans="1:9" ht="21.6" customHeight="1">
      <c r="A2414" s="27">
        <v>2672</v>
      </c>
      <c r="B2414" s="36" t="s">
        <v>58</v>
      </c>
      <c r="C2414" s="36" t="s">
        <v>500</v>
      </c>
      <c r="D2414" s="34" t="s">
        <v>1470</v>
      </c>
      <c r="E2414" s="35" t="s">
        <v>501</v>
      </c>
      <c r="F2414" s="76" t="s">
        <v>123</v>
      </c>
      <c r="G2414" s="145" t="s">
        <v>502</v>
      </c>
      <c r="H2414" s="40">
        <v>1</v>
      </c>
      <c r="I2414" s="56" t="s">
        <v>503</v>
      </c>
    </row>
    <row r="2415" spans="1:9" ht="21.6" customHeight="1">
      <c r="A2415" s="27">
        <v>2673</v>
      </c>
      <c r="B2415" s="36" t="s">
        <v>58</v>
      </c>
      <c r="C2415" s="36" t="s">
        <v>1152</v>
      </c>
      <c r="D2415" s="34" t="s">
        <v>1723</v>
      </c>
      <c r="E2415" s="35" t="s">
        <v>1153</v>
      </c>
      <c r="F2415" s="76" t="s">
        <v>123</v>
      </c>
      <c r="G2415" s="145" t="s">
        <v>703</v>
      </c>
      <c r="H2415" s="40">
        <v>1</v>
      </c>
      <c r="I2415" s="56" t="s">
        <v>503</v>
      </c>
    </row>
    <row r="2416" spans="1:9" ht="21.6" customHeight="1">
      <c r="A2416" s="27">
        <v>2674</v>
      </c>
      <c r="B2416" s="36" t="s">
        <v>58</v>
      </c>
      <c r="C2416" s="36" t="s">
        <v>1154</v>
      </c>
      <c r="D2416" s="34" t="s">
        <v>1724</v>
      </c>
      <c r="E2416" s="35" t="s">
        <v>1155</v>
      </c>
      <c r="F2416" s="76" t="s">
        <v>123</v>
      </c>
      <c r="G2416" s="144" t="s">
        <v>706</v>
      </c>
      <c r="H2416" s="40">
        <v>1</v>
      </c>
      <c r="I2416" s="56" t="s">
        <v>503</v>
      </c>
    </row>
    <row r="2417" spans="1:9" ht="21.6" customHeight="1">
      <c r="A2417" s="27">
        <v>2675</v>
      </c>
      <c r="B2417" s="36" t="s">
        <v>58</v>
      </c>
      <c r="C2417" s="36" t="s">
        <v>1156</v>
      </c>
      <c r="D2417" s="34" t="s">
        <v>1725</v>
      </c>
      <c r="E2417" s="35" t="s">
        <v>1157</v>
      </c>
      <c r="F2417" s="76" t="s">
        <v>123</v>
      </c>
      <c r="G2417" s="145" t="s">
        <v>709</v>
      </c>
      <c r="H2417" s="40">
        <v>1</v>
      </c>
      <c r="I2417" s="56" t="s">
        <v>503</v>
      </c>
    </row>
    <row r="2418" spans="1:9" ht="21.6" customHeight="1">
      <c r="A2418" s="27">
        <v>2676</v>
      </c>
      <c r="B2418" s="36" t="s">
        <v>58</v>
      </c>
      <c r="C2418" s="36" t="s">
        <v>504</v>
      </c>
      <c r="D2418" s="34" t="s">
        <v>1471</v>
      </c>
      <c r="E2418" s="35" t="s">
        <v>505</v>
      </c>
      <c r="F2418" s="40">
        <v>540</v>
      </c>
      <c r="G2418" s="145" t="s">
        <v>415</v>
      </c>
      <c r="H2418" s="40">
        <v>4</v>
      </c>
      <c r="I2418" s="56"/>
    </row>
    <row r="2419" spans="1:9" ht="21.6" customHeight="1">
      <c r="A2419" s="27">
        <v>2677</v>
      </c>
      <c r="B2419" s="36" t="s">
        <v>58</v>
      </c>
      <c r="C2419" s="36" t="s">
        <v>506</v>
      </c>
      <c r="D2419" s="34" t="s">
        <v>1472</v>
      </c>
      <c r="E2419" s="35" t="s">
        <v>507</v>
      </c>
      <c r="F2419" s="40">
        <v>540</v>
      </c>
      <c r="G2419" s="144" t="s">
        <v>107</v>
      </c>
      <c r="H2419" s="40">
        <v>4</v>
      </c>
      <c r="I2419" s="56"/>
    </row>
    <row r="2420" spans="1:9" ht="21.6" customHeight="1">
      <c r="A2420" s="27">
        <v>2678</v>
      </c>
      <c r="B2420" s="36" t="s">
        <v>58</v>
      </c>
      <c r="C2420" s="36" t="s">
        <v>508</v>
      </c>
      <c r="D2420" s="34" t="s">
        <v>1473</v>
      </c>
      <c r="E2420" s="35" t="s">
        <v>509</v>
      </c>
      <c r="F2420" s="40">
        <v>540</v>
      </c>
      <c r="G2420" s="145" t="s">
        <v>104</v>
      </c>
      <c r="H2420" s="40">
        <v>4</v>
      </c>
      <c r="I2420" s="56"/>
    </row>
    <row r="2421" spans="1:9" ht="21.6" customHeight="1">
      <c r="A2421" s="27">
        <v>2679</v>
      </c>
      <c r="B2421" s="36" t="s">
        <v>58</v>
      </c>
      <c r="C2421" s="36" t="s">
        <v>510</v>
      </c>
      <c r="D2421" s="34" t="s">
        <v>1474</v>
      </c>
      <c r="E2421" s="35" t="s">
        <v>511</v>
      </c>
      <c r="F2421" s="40">
        <v>540</v>
      </c>
      <c r="G2421" s="145" t="s">
        <v>1806</v>
      </c>
      <c r="H2421" s="40">
        <v>4</v>
      </c>
      <c r="I2421" s="56"/>
    </row>
    <row r="2422" spans="1:9" ht="21.6" customHeight="1">
      <c r="A2422" s="27">
        <v>2680</v>
      </c>
      <c r="B2422" s="36" t="s">
        <v>58</v>
      </c>
      <c r="C2422" s="36" t="s">
        <v>512</v>
      </c>
      <c r="D2422" s="34" t="s">
        <v>1475</v>
      </c>
      <c r="E2422" s="35" t="s">
        <v>513</v>
      </c>
      <c r="F2422" s="40">
        <v>540</v>
      </c>
      <c r="G2422" s="145" t="s">
        <v>1807</v>
      </c>
      <c r="H2422" s="40">
        <v>4</v>
      </c>
      <c r="I2422" s="56"/>
    </row>
    <row r="2423" spans="1:9" ht="21.6" customHeight="1">
      <c r="A2423" s="27">
        <v>2681</v>
      </c>
      <c r="B2423" s="36" t="s">
        <v>58</v>
      </c>
      <c r="C2423" s="36" t="s">
        <v>514</v>
      </c>
      <c r="D2423" s="34" t="s">
        <v>1476</v>
      </c>
      <c r="E2423" s="35" t="s">
        <v>515</v>
      </c>
      <c r="F2423" s="40">
        <v>540</v>
      </c>
      <c r="G2423" s="145" t="s">
        <v>516</v>
      </c>
      <c r="H2423" s="40">
        <v>4</v>
      </c>
      <c r="I2423" s="56"/>
    </row>
    <row r="2424" spans="1:9" s="77" customFormat="1" ht="21.6" customHeight="1">
      <c r="A2424" s="27">
        <v>2682</v>
      </c>
      <c r="B2424" s="36" t="s">
        <v>58</v>
      </c>
      <c r="C2424" s="36" t="s">
        <v>517</v>
      </c>
      <c r="D2424" s="47" t="s">
        <v>1477</v>
      </c>
      <c r="E2424" s="48" t="s">
        <v>518</v>
      </c>
      <c r="F2424" s="40">
        <v>540</v>
      </c>
      <c r="G2424" s="145" t="s">
        <v>1808</v>
      </c>
      <c r="H2424" s="40">
        <v>1</v>
      </c>
      <c r="I2424" s="56"/>
    </row>
    <row r="2425" spans="1:9" ht="21.6" customHeight="1">
      <c r="A2425" s="27">
        <v>2683</v>
      </c>
      <c r="B2425" s="36" t="s">
        <v>58</v>
      </c>
      <c r="C2425" s="36" t="s">
        <v>519</v>
      </c>
      <c r="D2425" s="34" t="s">
        <v>1478</v>
      </c>
      <c r="E2425" s="35" t="s">
        <v>520</v>
      </c>
      <c r="F2425" s="40">
        <v>540</v>
      </c>
      <c r="G2425" s="144" t="s">
        <v>101</v>
      </c>
      <c r="H2425" s="40">
        <v>1</v>
      </c>
      <c r="I2425" s="56"/>
    </row>
    <row r="2426" spans="1:9" ht="21.6" customHeight="1">
      <c r="A2426" s="27">
        <v>2684</v>
      </c>
      <c r="B2426" s="36" t="s">
        <v>58</v>
      </c>
      <c r="C2426" s="36" t="s">
        <v>521</v>
      </c>
      <c r="D2426" s="34" t="s">
        <v>1479</v>
      </c>
      <c r="E2426" s="35" t="s">
        <v>522</v>
      </c>
      <c r="F2426" s="40">
        <v>540</v>
      </c>
      <c r="G2426" s="145" t="s">
        <v>523</v>
      </c>
      <c r="H2426" s="40">
        <v>1</v>
      </c>
      <c r="I2426" s="56"/>
    </row>
    <row r="2427" spans="1:9" ht="21.6" customHeight="1">
      <c r="A2427" s="27">
        <v>2685</v>
      </c>
      <c r="B2427" s="36" t="s">
        <v>58</v>
      </c>
      <c r="C2427" s="36" t="s">
        <v>1158</v>
      </c>
      <c r="D2427" s="34" t="s">
        <v>1726</v>
      </c>
      <c r="E2427" s="35" t="s">
        <v>1159</v>
      </c>
      <c r="F2427" s="40">
        <v>540</v>
      </c>
      <c r="G2427" s="145" t="s">
        <v>1851</v>
      </c>
      <c r="H2427" s="40">
        <v>1</v>
      </c>
      <c r="I2427" s="89" t="s">
        <v>1190</v>
      </c>
    </row>
    <row r="2428" spans="1:9" ht="21.6" customHeight="1">
      <c r="A2428" s="27">
        <v>2686</v>
      </c>
      <c r="B2428" s="36" t="s">
        <v>58</v>
      </c>
      <c r="C2428" s="36" t="s">
        <v>1161</v>
      </c>
      <c r="D2428" s="36" t="s">
        <v>1727</v>
      </c>
      <c r="E2428" s="37" t="s">
        <v>1162</v>
      </c>
      <c r="F2428" s="40">
        <v>540</v>
      </c>
      <c r="G2428" s="145" t="s">
        <v>1851</v>
      </c>
      <c r="H2428" s="40">
        <v>1</v>
      </c>
      <c r="I2428" s="89" t="s">
        <v>1191</v>
      </c>
    </row>
    <row r="2429" spans="1:9" ht="21.6" customHeight="1">
      <c r="A2429" s="27">
        <v>2687</v>
      </c>
      <c r="B2429" s="36" t="s">
        <v>58</v>
      </c>
      <c r="C2429" s="36" t="s">
        <v>99</v>
      </c>
      <c r="D2429" s="36" t="s">
        <v>1334</v>
      </c>
      <c r="E2429" s="37" t="s">
        <v>100</v>
      </c>
      <c r="F2429" s="40">
        <v>540</v>
      </c>
      <c r="G2429" s="144" t="s">
        <v>101</v>
      </c>
      <c r="H2429" s="40">
        <v>1</v>
      </c>
      <c r="I2429" s="89" t="s">
        <v>1192</v>
      </c>
    </row>
    <row r="2430" spans="1:9" ht="21.6" customHeight="1">
      <c r="A2430" s="27">
        <v>2689</v>
      </c>
      <c r="B2430" s="36" t="s">
        <v>58</v>
      </c>
      <c r="C2430" s="36" t="s">
        <v>524</v>
      </c>
      <c r="D2430" s="34" t="s">
        <v>1480</v>
      </c>
      <c r="E2430" s="35" t="s">
        <v>525</v>
      </c>
      <c r="F2430" s="40">
        <v>540</v>
      </c>
      <c r="G2430" s="144" t="s">
        <v>1809</v>
      </c>
      <c r="H2430" s="40">
        <v>1</v>
      </c>
      <c r="I2430" s="56" t="s">
        <v>526</v>
      </c>
    </row>
    <row r="2431" spans="1:9" ht="21.6" customHeight="1">
      <c r="A2431" s="27">
        <v>2690</v>
      </c>
      <c r="B2431" s="36" t="s">
        <v>58</v>
      </c>
      <c r="C2431" s="36" t="s">
        <v>527</v>
      </c>
      <c r="D2431" s="34" t="s">
        <v>1481</v>
      </c>
      <c r="E2431" s="35" t="s">
        <v>528</v>
      </c>
      <c r="F2431" s="40">
        <v>540</v>
      </c>
      <c r="G2431" s="144" t="s">
        <v>1810</v>
      </c>
      <c r="H2431" s="40">
        <v>1</v>
      </c>
      <c r="I2431" s="56"/>
    </row>
    <row r="2432" spans="1:9" ht="21.6" customHeight="1">
      <c r="A2432" s="27">
        <v>2691</v>
      </c>
      <c r="B2432" s="36" t="s">
        <v>58</v>
      </c>
      <c r="C2432" s="36" t="s">
        <v>529</v>
      </c>
      <c r="D2432" s="34" t="s">
        <v>1482</v>
      </c>
      <c r="E2432" s="35" t="s">
        <v>530</v>
      </c>
      <c r="F2432" s="40">
        <v>540</v>
      </c>
      <c r="G2432" s="144" t="s">
        <v>1811</v>
      </c>
      <c r="H2432" s="40">
        <v>1</v>
      </c>
      <c r="I2432" s="56"/>
    </row>
    <row r="2433" spans="1:9" ht="21.6" customHeight="1">
      <c r="A2433" s="27">
        <v>2692</v>
      </c>
      <c r="B2433" s="36" t="s">
        <v>58</v>
      </c>
      <c r="C2433" s="36" t="s">
        <v>531</v>
      </c>
      <c r="D2433" s="34" t="s">
        <v>1483</v>
      </c>
      <c r="E2433" s="35" t="s">
        <v>532</v>
      </c>
      <c r="F2433" s="40">
        <v>540</v>
      </c>
      <c r="G2433" s="144" t="s">
        <v>533</v>
      </c>
      <c r="H2433" s="40">
        <v>1</v>
      </c>
      <c r="I2433" s="56"/>
    </row>
    <row r="2434" spans="1:9" ht="21.6" customHeight="1">
      <c r="A2434" s="27">
        <v>2693</v>
      </c>
      <c r="B2434" s="36" t="s">
        <v>58</v>
      </c>
      <c r="C2434" s="36" t="s">
        <v>534</v>
      </c>
      <c r="D2434" s="34" t="s">
        <v>1484</v>
      </c>
      <c r="E2434" s="35" t="s">
        <v>535</v>
      </c>
      <c r="F2434" s="40">
        <v>540</v>
      </c>
      <c r="G2434" s="145" t="s">
        <v>1812</v>
      </c>
      <c r="H2434" s="40">
        <v>1</v>
      </c>
      <c r="I2434" s="56"/>
    </row>
    <row r="2435" spans="1:9" ht="21.6" customHeight="1">
      <c r="A2435" s="27">
        <v>2694</v>
      </c>
      <c r="B2435" s="36" t="s">
        <v>58</v>
      </c>
      <c r="C2435" s="36" t="s">
        <v>536</v>
      </c>
      <c r="D2435" s="34" t="s">
        <v>1485</v>
      </c>
      <c r="E2435" s="35" t="s">
        <v>537</v>
      </c>
      <c r="F2435" s="40">
        <v>540</v>
      </c>
      <c r="G2435" s="145" t="s">
        <v>1813</v>
      </c>
      <c r="H2435" s="40">
        <v>1</v>
      </c>
      <c r="I2435" s="56"/>
    </row>
    <row r="2436" spans="1:9" ht="21.6" customHeight="1">
      <c r="A2436" s="27">
        <v>2695</v>
      </c>
      <c r="B2436" s="36" t="s">
        <v>58</v>
      </c>
      <c r="C2436" s="36" t="s">
        <v>538</v>
      </c>
      <c r="D2436" s="34" t="s">
        <v>1486</v>
      </c>
      <c r="E2436" s="35" t="s">
        <v>539</v>
      </c>
      <c r="F2436" s="40">
        <v>540</v>
      </c>
      <c r="G2436" s="145" t="s">
        <v>1814</v>
      </c>
      <c r="H2436" s="40">
        <v>1</v>
      </c>
      <c r="I2436" s="56"/>
    </row>
    <row r="2437" spans="1:9" ht="21.6" customHeight="1">
      <c r="A2437" s="27">
        <v>2696</v>
      </c>
      <c r="B2437" s="36" t="s">
        <v>58</v>
      </c>
      <c r="C2437" s="36" t="s">
        <v>540</v>
      </c>
      <c r="D2437" s="34" t="s">
        <v>1487</v>
      </c>
      <c r="E2437" s="35" t="s">
        <v>541</v>
      </c>
      <c r="F2437" s="40">
        <v>540</v>
      </c>
      <c r="G2437" s="145" t="s">
        <v>1815</v>
      </c>
      <c r="H2437" s="40">
        <v>1</v>
      </c>
      <c r="I2437" s="56"/>
    </row>
    <row r="2438" spans="1:9" ht="21.6" customHeight="1">
      <c r="A2438" s="27">
        <v>2697</v>
      </c>
      <c r="B2438" s="36" t="s">
        <v>58</v>
      </c>
      <c r="C2438" s="36" t="s">
        <v>542</v>
      </c>
      <c r="D2438" s="34" t="s">
        <v>1488</v>
      </c>
      <c r="E2438" s="35" t="s">
        <v>543</v>
      </c>
      <c r="F2438" s="40">
        <v>200</v>
      </c>
      <c r="G2438" s="144" t="s">
        <v>1832</v>
      </c>
      <c r="H2438" s="40">
        <v>1</v>
      </c>
      <c r="I2438" s="89" t="s">
        <v>111</v>
      </c>
    </row>
    <row r="2439" spans="1:9" ht="21.6" customHeight="1">
      <c r="A2439" s="27">
        <v>2698</v>
      </c>
      <c r="B2439" s="36" t="s">
        <v>58</v>
      </c>
      <c r="C2439" s="36" t="s">
        <v>542</v>
      </c>
      <c r="D2439" s="34" t="s">
        <v>1488</v>
      </c>
      <c r="E2439" s="35" t="s">
        <v>543</v>
      </c>
      <c r="F2439" s="40">
        <v>200</v>
      </c>
      <c r="G2439" s="144" t="s">
        <v>110</v>
      </c>
      <c r="H2439" s="40">
        <v>1</v>
      </c>
      <c r="I2439" s="89" t="s">
        <v>111</v>
      </c>
    </row>
    <row r="2440" spans="1:9" ht="21.6" customHeight="1">
      <c r="A2440" s="27">
        <v>2699</v>
      </c>
      <c r="B2440" s="36" t="s">
        <v>58</v>
      </c>
      <c r="C2440" s="36" t="s">
        <v>457</v>
      </c>
      <c r="D2440" s="34" t="s">
        <v>1453</v>
      </c>
      <c r="E2440" s="35" t="s">
        <v>458</v>
      </c>
      <c r="F2440" s="40">
        <v>200</v>
      </c>
      <c r="G2440" s="144" t="s">
        <v>114</v>
      </c>
      <c r="H2440" s="40">
        <v>1</v>
      </c>
      <c r="I2440" s="89" t="s">
        <v>111</v>
      </c>
    </row>
    <row r="2441" spans="1:9" ht="21.6" customHeight="1">
      <c r="A2441" s="27">
        <v>2700</v>
      </c>
      <c r="B2441" s="36" t="s">
        <v>58</v>
      </c>
      <c r="C2441" s="36" t="s">
        <v>542</v>
      </c>
      <c r="D2441" s="34" t="s">
        <v>1488</v>
      </c>
      <c r="E2441" s="35" t="s">
        <v>543</v>
      </c>
      <c r="F2441" s="40">
        <v>400</v>
      </c>
      <c r="G2441" s="144" t="s">
        <v>1833</v>
      </c>
      <c r="H2441" s="40">
        <v>1</v>
      </c>
      <c r="I2441" s="89" t="s">
        <v>665</v>
      </c>
    </row>
    <row r="2442" spans="1:9" ht="21.6" customHeight="1">
      <c r="A2442" s="27">
        <v>2701</v>
      </c>
      <c r="B2442" s="36" t="s">
        <v>58</v>
      </c>
      <c r="C2442" s="36" t="s">
        <v>335</v>
      </c>
      <c r="D2442" s="34" t="s">
        <v>1411</v>
      </c>
      <c r="E2442" s="35" t="s">
        <v>336</v>
      </c>
      <c r="F2442" s="40">
        <v>400</v>
      </c>
      <c r="G2442" s="144" t="s">
        <v>1833</v>
      </c>
      <c r="H2442" s="40">
        <v>1</v>
      </c>
      <c r="I2442" s="89" t="s">
        <v>665</v>
      </c>
    </row>
    <row r="2443" spans="1:9" ht="21.6" customHeight="1">
      <c r="A2443" s="27">
        <v>2702</v>
      </c>
      <c r="B2443" s="36" t="s">
        <v>58</v>
      </c>
      <c r="C2443" s="36" t="s">
        <v>339</v>
      </c>
      <c r="D2443" s="34" t="s">
        <v>1412</v>
      </c>
      <c r="E2443" s="35" t="s">
        <v>340</v>
      </c>
      <c r="F2443" s="40">
        <v>400</v>
      </c>
      <c r="G2443" s="144" t="s">
        <v>1834</v>
      </c>
      <c r="H2443" s="40">
        <v>1</v>
      </c>
      <c r="I2443" s="89" t="s">
        <v>665</v>
      </c>
    </row>
    <row r="2444" spans="1:9" ht="21.6" customHeight="1">
      <c r="A2444" s="27">
        <v>2703</v>
      </c>
      <c r="B2444" s="36" t="s">
        <v>58</v>
      </c>
      <c r="C2444" s="36" t="s">
        <v>280</v>
      </c>
      <c r="D2444" s="34" t="s">
        <v>1394</v>
      </c>
      <c r="E2444" s="35" t="s">
        <v>281</v>
      </c>
      <c r="F2444" s="68" t="s">
        <v>470</v>
      </c>
      <c r="G2444" s="145" t="s">
        <v>1782</v>
      </c>
      <c r="H2444" s="40">
        <v>1</v>
      </c>
      <c r="I2444" s="56" t="s">
        <v>683</v>
      </c>
    </row>
    <row r="2445" spans="1:9" ht="21.6" customHeight="1">
      <c r="A2445" s="27">
        <v>2704</v>
      </c>
      <c r="B2445" s="36" t="s">
        <v>58</v>
      </c>
      <c r="C2445" s="36" t="s">
        <v>284</v>
      </c>
      <c r="D2445" s="34" t="s">
        <v>1395</v>
      </c>
      <c r="E2445" s="35" t="s">
        <v>226</v>
      </c>
      <c r="F2445" s="68" t="s">
        <v>470</v>
      </c>
      <c r="G2445" s="144" t="s">
        <v>285</v>
      </c>
      <c r="H2445" s="40">
        <v>1</v>
      </c>
      <c r="I2445" s="56" t="s">
        <v>683</v>
      </c>
    </row>
    <row r="2446" spans="1:9" ht="21.6" customHeight="1">
      <c r="A2446" s="27">
        <v>2705</v>
      </c>
      <c r="B2446" s="36" t="s">
        <v>58</v>
      </c>
      <c r="C2446" s="36" t="s">
        <v>287</v>
      </c>
      <c r="D2446" s="64" t="s">
        <v>1396</v>
      </c>
      <c r="E2446" s="7" t="s">
        <v>288</v>
      </c>
      <c r="F2446" s="68" t="s">
        <v>470</v>
      </c>
      <c r="G2446" s="145" t="s">
        <v>282</v>
      </c>
      <c r="H2446" s="40">
        <v>1</v>
      </c>
      <c r="I2446" s="56" t="s">
        <v>683</v>
      </c>
    </row>
    <row r="2447" spans="1:9" ht="21.6" customHeight="1">
      <c r="A2447" s="27">
        <v>2706</v>
      </c>
      <c r="B2447" s="36" t="s">
        <v>58</v>
      </c>
      <c r="C2447" s="36" t="s">
        <v>452</v>
      </c>
      <c r="D2447" s="34" t="s">
        <v>1452</v>
      </c>
      <c r="E2447" s="35" t="s">
        <v>226</v>
      </c>
      <c r="F2447" s="40">
        <v>500</v>
      </c>
      <c r="G2447" s="144" t="s">
        <v>1784</v>
      </c>
      <c r="H2447" s="40">
        <v>2</v>
      </c>
      <c r="I2447" s="90" t="s">
        <v>334</v>
      </c>
    </row>
    <row r="2448" spans="1:9" ht="21.6" customHeight="1">
      <c r="A2448" s="27">
        <v>2707</v>
      </c>
      <c r="B2448" s="36" t="s">
        <v>58</v>
      </c>
      <c r="C2448" s="36" t="s">
        <v>335</v>
      </c>
      <c r="D2448" s="34" t="s">
        <v>1411</v>
      </c>
      <c r="E2448" s="35" t="s">
        <v>336</v>
      </c>
      <c r="F2448" s="40">
        <v>500</v>
      </c>
      <c r="G2448" s="144" t="s">
        <v>337</v>
      </c>
      <c r="H2448" s="40">
        <v>1</v>
      </c>
      <c r="I2448" s="90" t="s">
        <v>338</v>
      </c>
    </row>
    <row r="2449" spans="1:9" ht="21.6" customHeight="1">
      <c r="A2449" s="27">
        <v>2708</v>
      </c>
      <c r="B2449" s="36" t="s">
        <v>58</v>
      </c>
      <c r="C2449" s="36" t="s">
        <v>339</v>
      </c>
      <c r="D2449" s="34" t="s">
        <v>1412</v>
      </c>
      <c r="E2449" s="35" t="s">
        <v>340</v>
      </c>
      <c r="F2449" s="40">
        <v>500</v>
      </c>
      <c r="G2449" s="145" t="s">
        <v>341</v>
      </c>
      <c r="H2449" s="40">
        <v>1</v>
      </c>
      <c r="I2449" s="90" t="s">
        <v>338</v>
      </c>
    </row>
    <row r="2450" spans="1:9" ht="21.6" customHeight="1">
      <c r="A2450" s="27">
        <v>2709</v>
      </c>
      <c r="B2450" s="36" t="s">
        <v>58</v>
      </c>
      <c r="C2450" s="36" t="s">
        <v>332</v>
      </c>
      <c r="D2450" s="34" t="s">
        <v>1410</v>
      </c>
      <c r="E2450" s="35" t="s">
        <v>333</v>
      </c>
      <c r="F2450" s="40">
        <v>500</v>
      </c>
      <c r="G2450" s="144" t="s">
        <v>1818</v>
      </c>
      <c r="H2450" s="40">
        <v>2</v>
      </c>
      <c r="I2450" s="90" t="s">
        <v>666</v>
      </c>
    </row>
    <row r="2451" spans="1:9" ht="21.6" customHeight="1">
      <c r="A2451" s="27">
        <v>2710</v>
      </c>
      <c r="B2451" s="36" t="s">
        <v>58</v>
      </c>
      <c r="C2451" s="36" t="s">
        <v>335</v>
      </c>
      <c r="D2451" s="34" t="s">
        <v>1411</v>
      </c>
      <c r="E2451" s="35" t="s">
        <v>336</v>
      </c>
      <c r="F2451" s="40">
        <v>500</v>
      </c>
      <c r="G2451" s="144" t="s">
        <v>546</v>
      </c>
      <c r="H2451" s="40">
        <v>1</v>
      </c>
      <c r="I2451" s="90" t="s">
        <v>666</v>
      </c>
    </row>
    <row r="2452" spans="1:9" ht="21.6" customHeight="1">
      <c r="A2452" s="27">
        <v>2711</v>
      </c>
      <c r="B2452" s="36" t="s">
        <v>58</v>
      </c>
      <c r="C2452" s="36" t="s">
        <v>339</v>
      </c>
      <c r="D2452" s="34" t="s">
        <v>1412</v>
      </c>
      <c r="E2452" s="35" t="s">
        <v>340</v>
      </c>
      <c r="F2452" s="40">
        <v>500</v>
      </c>
      <c r="G2452" s="145" t="s">
        <v>547</v>
      </c>
      <c r="H2452" s="40">
        <v>1</v>
      </c>
      <c r="I2452" s="90" t="s">
        <v>666</v>
      </c>
    </row>
    <row r="2453" spans="1:9" ht="21.6" customHeight="1">
      <c r="A2453" s="27">
        <v>2712</v>
      </c>
      <c r="B2453" s="36" t="s">
        <v>58</v>
      </c>
      <c r="C2453" s="36">
        <v>44218398000</v>
      </c>
      <c r="D2453" s="78" t="s">
        <v>1489</v>
      </c>
      <c r="E2453" s="35" t="s">
        <v>549</v>
      </c>
      <c r="F2453" s="40">
        <v>100</v>
      </c>
      <c r="G2453" s="145" t="s">
        <v>1819</v>
      </c>
      <c r="H2453" s="40">
        <v>1</v>
      </c>
      <c r="I2453" s="89" t="s">
        <v>1193</v>
      </c>
    </row>
    <row r="2454" spans="1:9" ht="21.6" customHeight="1">
      <c r="A2454" s="27">
        <v>2713</v>
      </c>
      <c r="B2454" s="36" t="s">
        <v>58</v>
      </c>
      <c r="C2454" s="36">
        <v>44218389000</v>
      </c>
      <c r="D2454" s="34" t="s">
        <v>1490</v>
      </c>
      <c r="E2454" s="35" t="s">
        <v>552</v>
      </c>
      <c r="F2454" s="40">
        <v>100</v>
      </c>
      <c r="G2454" s="144" t="s">
        <v>553</v>
      </c>
      <c r="H2454" s="40">
        <v>1</v>
      </c>
      <c r="I2454" s="89" t="s">
        <v>1194</v>
      </c>
    </row>
    <row r="2455" spans="1:9" ht="21.6" customHeight="1">
      <c r="A2455" s="27">
        <v>2714</v>
      </c>
      <c r="B2455" s="36" t="s">
        <v>58</v>
      </c>
      <c r="C2455" s="36" t="s">
        <v>554</v>
      </c>
      <c r="D2455" s="34" t="s">
        <v>1491</v>
      </c>
      <c r="E2455" s="35" t="s">
        <v>555</v>
      </c>
      <c r="F2455" s="40">
        <v>100</v>
      </c>
      <c r="G2455" s="144" t="s">
        <v>550</v>
      </c>
      <c r="H2455" s="40">
        <v>1</v>
      </c>
      <c r="I2455" s="89" t="s">
        <v>1194</v>
      </c>
    </row>
    <row r="2456" spans="1:9" ht="21.6" customHeight="1">
      <c r="A2456" s="27">
        <v>2715</v>
      </c>
      <c r="B2456" s="36" t="s">
        <v>58</v>
      </c>
      <c r="C2456" s="36">
        <v>44218398000</v>
      </c>
      <c r="D2456" s="78" t="s">
        <v>1489</v>
      </c>
      <c r="E2456" s="35" t="s">
        <v>549</v>
      </c>
      <c r="F2456" s="91">
        <v>120</v>
      </c>
      <c r="G2456" s="145" t="s">
        <v>1819</v>
      </c>
      <c r="H2456" s="40">
        <v>1</v>
      </c>
      <c r="I2456" s="89" t="s">
        <v>1195</v>
      </c>
    </row>
    <row r="2457" spans="1:9" ht="21.6" customHeight="1">
      <c r="A2457" s="27">
        <v>2716</v>
      </c>
      <c r="B2457" s="36" t="s">
        <v>58</v>
      </c>
      <c r="C2457" s="36" t="s">
        <v>268</v>
      </c>
      <c r="D2457" s="36" t="s">
        <v>1390</v>
      </c>
      <c r="E2457" s="37" t="s">
        <v>269</v>
      </c>
      <c r="F2457" s="91">
        <v>120</v>
      </c>
      <c r="G2457" s="144" t="s">
        <v>553</v>
      </c>
      <c r="H2457" s="40">
        <v>1</v>
      </c>
      <c r="I2457" s="89" t="s">
        <v>1196</v>
      </c>
    </row>
    <row r="2458" spans="1:9" ht="21.6" customHeight="1">
      <c r="A2458" s="27">
        <v>2717</v>
      </c>
      <c r="B2458" s="36" t="s">
        <v>58</v>
      </c>
      <c r="C2458" s="36" t="s">
        <v>271</v>
      </c>
      <c r="D2458" s="36" t="s">
        <v>1391</v>
      </c>
      <c r="E2458" s="37" t="s">
        <v>671</v>
      </c>
      <c r="F2458" s="91">
        <v>120</v>
      </c>
      <c r="G2458" s="144" t="s">
        <v>550</v>
      </c>
      <c r="H2458" s="40">
        <v>1</v>
      </c>
      <c r="I2458" s="89" t="s">
        <v>1196</v>
      </c>
    </row>
    <row r="2459" spans="1:9" ht="21.6" customHeight="1">
      <c r="A2459" s="27">
        <v>2718</v>
      </c>
      <c r="B2459" s="36" t="s">
        <v>58</v>
      </c>
      <c r="C2459" s="36" t="s">
        <v>556</v>
      </c>
      <c r="D2459" s="79" t="s">
        <v>1492</v>
      </c>
      <c r="E2459" s="35" t="s">
        <v>557</v>
      </c>
      <c r="F2459" s="40">
        <v>540</v>
      </c>
      <c r="G2459" s="145" t="s">
        <v>558</v>
      </c>
      <c r="H2459" s="40" t="s">
        <v>123</v>
      </c>
      <c r="I2459" s="56"/>
    </row>
    <row r="2460" spans="1:9" ht="21.6" customHeight="1">
      <c r="A2460" s="27">
        <v>2719</v>
      </c>
      <c r="B2460" s="36" t="s">
        <v>58</v>
      </c>
      <c r="C2460" s="36" t="s">
        <v>559</v>
      </c>
      <c r="D2460" s="80" t="s">
        <v>1493</v>
      </c>
      <c r="E2460" s="35" t="s">
        <v>560</v>
      </c>
      <c r="F2460" s="40">
        <v>540</v>
      </c>
      <c r="G2460" s="145" t="s">
        <v>1820</v>
      </c>
      <c r="H2460" s="40" t="s">
        <v>123</v>
      </c>
      <c r="I2460" s="56"/>
    </row>
    <row r="2461" spans="1:9" ht="21.6" customHeight="1">
      <c r="A2461" s="27">
        <v>2721</v>
      </c>
      <c r="B2461" s="36" t="s">
        <v>58</v>
      </c>
      <c r="C2461" s="36" t="s">
        <v>1170</v>
      </c>
      <c r="D2461" s="34" t="s">
        <v>1728</v>
      </c>
      <c r="E2461" s="35" t="s">
        <v>1171</v>
      </c>
      <c r="F2461" s="40">
        <v>540</v>
      </c>
      <c r="G2461" s="145" t="s">
        <v>244</v>
      </c>
      <c r="H2461" s="40" t="s">
        <v>123</v>
      </c>
      <c r="I2461" s="56" t="s">
        <v>526</v>
      </c>
    </row>
    <row r="2462" spans="1:9" ht="21.6" customHeight="1">
      <c r="A2462" s="27">
        <v>2722</v>
      </c>
      <c r="B2462" s="36" t="s">
        <v>58</v>
      </c>
      <c r="C2462" s="36" t="s">
        <v>1172</v>
      </c>
      <c r="D2462" s="34" t="s">
        <v>1729</v>
      </c>
      <c r="E2462" s="35" t="s">
        <v>1173</v>
      </c>
      <c r="F2462" s="40">
        <v>540</v>
      </c>
      <c r="G2462" s="145" t="s">
        <v>1803</v>
      </c>
      <c r="H2462" s="40" t="s">
        <v>123</v>
      </c>
      <c r="I2462" s="89" t="s">
        <v>1197</v>
      </c>
    </row>
    <row r="2463" spans="1:9" ht="21.6" customHeight="1">
      <c r="A2463" s="27">
        <v>2723</v>
      </c>
      <c r="B2463" s="36" t="s">
        <v>58</v>
      </c>
      <c r="C2463" s="36" t="s">
        <v>1175</v>
      </c>
      <c r="D2463" s="36" t="s">
        <v>1730</v>
      </c>
      <c r="E2463" s="37" t="s">
        <v>1176</v>
      </c>
      <c r="F2463" s="40">
        <v>540</v>
      </c>
      <c r="G2463" s="145" t="s">
        <v>1803</v>
      </c>
      <c r="H2463" s="40" t="s">
        <v>123</v>
      </c>
      <c r="I2463" s="89" t="s">
        <v>1198</v>
      </c>
    </row>
    <row r="2464" spans="1:9" ht="21.6" customHeight="1">
      <c r="A2464" s="27">
        <v>2724</v>
      </c>
      <c r="B2464" s="36" t="s">
        <v>58</v>
      </c>
      <c r="C2464" s="36" t="s">
        <v>565</v>
      </c>
      <c r="D2464" s="34" t="s">
        <v>1496</v>
      </c>
      <c r="E2464" s="35" t="s">
        <v>566</v>
      </c>
      <c r="F2464" s="91">
        <v>200</v>
      </c>
      <c r="G2464" s="144" t="s">
        <v>567</v>
      </c>
      <c r="H2464" s="40" t="s">
        <v>123</v>
      </c>
      <c r="I2464" s="89" t="s">
        <v>111</v>
      </c>
    </row>
    <row r="2465" spans="1:9" ht="21.6" customHeight="1">
      <c r="A2465" s="27">
        <v>2725</v>
      </c>
      <c r="B2465" s="36" t="s">
        <v>58</v>
      </c>
      <c r="C2465" s="36" t="s">
        <v>672</v>
      </c>
      <c r="D2465" s="36" t="s">
        <v>1535</v>
      </c>
      <c r="E2465" s="37" t="s">
        <v>673</v>
      </c>
      <c r="F2465" s="91">
        <v>400</v>
      </c>
      <c r="G2465" s="144" t="s">
        <v>567</v>
      </c>
      <c r="H2465" s="40" t="s">
        <v>123</v>
      </c>
      <c r="I2465" s="89" t="s">
        <v>665</v>
      </c>
    </row>
    <row r="2466" spans="1:9" ht="21.6" customHeight="1">
      <c r="A2466" s="27">
        <v>2726</v>
      </c>
      <c r="B2466" s="36" t="s">
        <v>58</v>
      </c>
      <c r="C2466" s="36" t="s">
        <v>347</v>
      </c>
      <c r="D2466" s="34" t="s">
        <v>1415</v>
      </c>
      <c r="E2466" s="35" t="s">
        <v>348</v>
      </c>
      <c r="F2466" s="40">
        <v>500</v>
      </c>
      <c r="G2466" s="144" t="s">
        <v>349</v>
      </c>
      <c r="H2466" s="40" t="s">
        <v>123</v>
      </c>
      <c r="I2466" s="90" t="s">
        <v>334</v>
      </c>
    </row>
    <row r="2467" spans="1:9" ht="21.6" customHeight="1">
      <c r="A2467" s="27">
        <v>2727</v>
      </c>
      <c r="B2467" s="36" t="s">
        <v>58</v>
      </c>
      <c r="C2467" s="36" t="s">
        <v>568</v>
      </c>
      <c r="D2467" s="34" t="s">
        <v>1497</v>
      </c>
      <c r="E2467" s="35" t="s">
        <v>569</v>
      </c>
      <c r="F2467" s="40">
        <v>500</v>
      </c>
      <c r="G2467" s="144" t="s">
        <v>570</v>
      </c>
      <c r="H2467" s="40" t="s">
        <v>123</v>
      </c>
      <c r="I2467" s="90" t="s">
        <v>666</v>
      </c>
    </row>
    <row r="2468" spans="1:9" ht="21.6" customHeight="1">
      <c r="A2468" s="27">
        <v>2728</v>
      </c>
      <c r="B2468" s="36" t="s">
        <v>58</v>
      </c>
      <c r="C2468" s="36" t="s">
        <v>301</v>
      </c>
      <c r="D2468" s="67" t="s">
        <v>1401</v>
      </c>
      <c r="E2468" s="30" t="s">
        <v>302</v>
      </c>
      <c r="F2468" s="68" t="s">
        <v>470</v>
      </c>
      <c r="G2468" s="145" t="s">
        <v>303</v>
      </c>
      <c r="H2468" s="40" t="s">
        <v>123</v>
      </c>
      <c r="I2468" s="56"/>
    </row>
    <row r="2469" spans="1:9" ht="21.6" customHeight="1">
      <c r="A2469" s="27">
        <v>2729</v>
      </c>
      <c r="B2469" s="36" t="s">
        <v>58</v>
      </c>
      <c r="C2469" s="36" t="s">
        <v>571</v>
      </c>
      <c r="D2469" s="34" t="s">
        <v>1498</v>
      </c>
      <c r="E2469" s="35" t="s">
        <v>572</v>
      </c>
      <c r="F2469" s="40" t="s">
        <v>123</v>
      </c>
      <c r="G2469" s="145" t="s">
        <v>132</v>
      </c>
      <c r="H2469" s="40" t="s">
        <v>123</v>
      </c>
      <c r="I2469" s="56"/>
    </row>
    <row r="2470" spans="1:9" ht="21.6" customHeight="1">
      <c r="A2470" s="27">
        <v>2730</v>
      </c>
      <c r="B2470" s="36" t="s">
        <v>58</v>
      </c>
      <c r="C2470" s="36" t="s">
        <v>573</v>
      </c>
      <c r="D2470" s="34" t="s">
        <v>1499</v>
      </c>
      <c r="E2470" s="35" t="s">
        <v>574</v>
      </c>
      <c r="F2470" s="40" t="s">
        <v>123</v>
      </c>
      <c r="G2470" s="145" t="s">
        <v>575</v>
      </c>
      <c r="H2470" s="40" t="s">
        <v>123</v>
      </c>
      <c r="I2470" s="56"/>
    </row>
    <row r="2471" spans="1:9" ht="21.6" customHeight="1">
      <c r="A2471" s="27">
        <v>2731</v>
      </c>
      <c r="B2471" s="36" t="s">
        <v>58</v>
      </c>
      <c r="C2471" s="36" t="s">
        <v>1178</v>
      </c>
      <c r="D2471" s="34" t="s">
        <v>1731</v>
      </c>
      <c r="E2471" s="35" t="s">
        <v>1179</v>
      </c>
      <c r="F2471" s="40" t="s">
        <v>123</v>
      </c>
      <c r="G2471" s="145" t="s">
        <v>1180</v>
      </c>
      <c r="H2471" s="40" t="s">
        <v>123</v>
      </c>
      <c r="I2471" s="56"/>
    </row>
    <row r="2472" spans="1:9" ht="21.6" customHeight="1">
      <c r="A2472" s="27">
        <v>2732</v>
      </c>
      <c r="B2472" s="36" t="s">
        <v>58</v>
      </c>
      <c r="C2472" s="36" t="s">
        <v>576</v>
      </c>
      <c r="D2472" s="34" t="s">
        <v>1500</v>
      </c>
      <c r="E2472" s="35" t="s">
        <v>577</v>
      </c>
      <c r="F2472" s="40" t="s">
        <v>123</v>
      </c>
      <c r="G2472" s="144" t="s">
        <v>135</v>
      </c>
      <c r="H2472" s="40" t="s">
        <v>123</v>
      </c>
      <c r="I2472" s="56"/>
    </row>
    <row r="2473" spans="1:9" ht="21.6" customHeight="1">
      <c r="A2473" s="27">
        <v>2733</v>
      </c>
      <c r="B2473" s="36" t="s">
        <v>58</v>
      </c>
      <c r="C2473" s="36" t="s">
        <v>578</v>
      </c>
      <c r="D2473" s="34" t="s">
        <v>1501</v>
      </c>
      <c r="E2473" s="35" t="s">
        <v>579</v>
      </c>
      <c r="F2473" s="40" t="s">
        <v>123</v>
      </c>
      <c r="G2473" s="144" t="s">
        <v>1821</v>
      </c>
      <c r="H2473" s="40" t="s">
        <v>123</v>
      </c>
      <c r="I2473" s="56"/>
    </row>
    <row r="2474" spans="1:9" ht="21.6" customHeight="1">
      <c r="A2474" s="27">
        <v>2734</v>
      </c>
      <c r="B2474" s="36" t="s">
        <v>58</v>
      </c>
      <c r="C2474" s="36" t="s">
        <v>580</v>
      </c>
      <c r="D2474" s="34" t="s">
        <v>1502</v>
      </c>
      <c r="E2474" s="35" t="s">
        <v>581</v>
      </c>
      <c r="F2474" s="40" t="s">
        <v>123</v>
      </c>
      <c r="G2474" s="144" t="s">
        <v>582</v>
      </c>
      <c r="H2474" s="40" t="s">
        <v>123</v>
      </c>
      <c r="I2474" s="56"/>
    </row>
    <row r="2475" spans="1:9" ht="21.6" customHeight="1">
      <c r="A2475" s="27">
        <v>2735</v>
      </c>
      <c r="B2475" s="36" t="s">
        <v>58</v>
      </c>
      <c r="C2475" s="36" t="s">
        <v>1181</v>
      </c>
      <c r="D2475" s="34" t="s">
        <v>1732</v>
      </c>
      <c r="E2475" s="35" t="s">
        <v>1182</v>
      </c>
      <c r="F2475" s="40" t="s">
        <v>123</v>
      </c>
      <c r="G2475" s="145" t="s">
        <v>585</v>
      </c>
      <c r="H2475" s="40" t="s">
        <v>123</v>
      </c>
      <c r="I2475" s="89" t="s">
        <v>1199</v>
      </c>
    </row>
    <row r="2476" spans="1:9" ht="21.6" customHeight="1">
      <c r="A2476" s="27">
        <v>2736</v>
      </c>
      <c r="B2476" s="36" t="s">
        <v>58</v>
      </c>
      <c r="C2476" s="36" t="s">
        <v>583</v>
      </c>
      <c r="D2476" s="34" t="s">
        <v>1503</v>
      </c>
      <c r="E2476" s="35" t="s">
        <v>584</v>
      </c>
      <c r="F2476" s="40" t="s">
        <v>123</v>
      </c>
      <c r="G2476" s="145" t="s">
        <v>585</v>
      </c>
      <c r="H2476" s="40" t="s">
        <v>123</v>
      </c>
      <c r="I2476" s="89" t="s">
        <v>1200</v>
      </c>
    </row>
    <row r="2477" spans="1:9" ht="21.6" customHeight="1">
      <c r="A2477" s="27">
        <v>2737</v>
      </c>
      <c r="B2477" s="36" t="s">
        <v>58</v>
      </c>
      <c r="C2477" s="36" t="s">
        <v>675</v>
      </c>
      <c r="D2477" s="36" t="s">
        <v>1536</v>
      </c>
      <c r="E2477" s="37" t="s">
        <v>676</v>
      </c>
      <c r="F2477" s="40" t="s">
        <v>123</v>
      </c>
      <c r="G2477" s="145" t="s">
        <v>585</v>
      </c>
      <c r="H2477" s="40" t="s">
        <v>123</v>
      </c>
      <c r="I2477" s="89" t="s">
        <v>1201</v>
      </c>
    </row>
    <row r="2478" spans="1:9" s="81" customFormat="1" ht="21.6" customHeight="1">
      <c r="A2478" s="20">
        <v>2738</v>
      </c>
      <c r="B2478" s="73" t="s">
        <v>60</v>
      </c>
      <c r="C2478" s="73" t="s">
        <v>587</v>
      </c>
      <c r="D2478" s="73" t="s">
        <v>1504</v>
      </c>
      <c r="E2478" s="72" t="s">
        <v>588</v>
      </c>
      <c r="F2478" s="74">
        <v>230</v>
      </c>
      <c r="G2478" s="143" t="s">
        <v>589</v>
      </c>
      <c r="H2478" s="74">
        <v>1</v>
      </c>
      <c r="I2478" s="75" t="s">
        <v>590</v>
      </c>
    </row>
    <row r="2479" spans="1:9" s="81" customFormat="1" ht="21.6" customHeight="1">
      <c r="A2479" s="106">
        <v>2739</v>
      </c>
      <c r="B2479" s="104" t="s">
        <v>60</v>
      </c>
      <c r="C2479" s="104" t="s">
        <v>840</v>
      </c>
      <c r="D2479" s="104" t="s">
        <v>1595</v>
      </c>
      <c r="E2479" s="82" t="s">
        <v>841</v>
      </c>
      <c r="F2479" s="107">
        <v>115</v>
      </c>
      <c r="G2479" s="150" t="s">
        <v>887</v>
      </c>
      <c r="H2479" s="108">
        <v>3</v>
      </c>
      <c r="I2479" s="109" t="s">
        <v>1010</v>
      </c>
    </row>
    <row r="2480" spans="1:9" s="81" customFormat="1" ht="21.6" customHeight="1">
      <c r="A2480" s="27">
        <v>2740</v>
      </c>
      <c r="B2480" s="104" t="s">
        <v>60</v>
      </c>
      <c r="C2480" s="104" t="s">
        <v>591</v>
      </c>
      <c r="D2480" s="34" t="s">
        <v>1505</v>
      </c>
      <c r="E2480" s="35" t="s">
        <v>592</v>
      </c>
      <c r="F2480" s="40" t="s">
        <v>1202</v>
      </c>
      <c r="G2480" s="145" t="s">
        <v>502</v>
      </c>
      <c r="H2480" s="40">
        <v>1</v>
      </c>
      <c r="I2480" s="56"/>
    </row>
    <row r="2481" spans="1:9" s="81" customFormat="1" ht="21.6" customHeight="1">
      <c r="A2481" s="27">
        <v>2741</v>
      </c>
      <c r="B2481" s="104" t="s">
        <v>60</v>
      </c>
      <c r="C2481" s="104" t="s">
        <v>943</v>
      </c>
      <c r="D2481" s="34" t="s">
        <v>1639</v>
      </c>
      <c r="E2481" s="35" t="s">
        <v>944</v>
      </c>
      <c r="F2481" s="76">
        <v>230</v>
      </c>
      <c r="G2481" s="145" t="s">
        <v>703</v>
      </c>
      <c r="H2481" s="40">
        <v>1</v>
      </c>
      <c r="I2481" s="56"/>
    </row>
    <row r="2482" spans="1:9" s="81" customFormat="1" ht="21.6" customHeight="1">
      <c r="A2482" s="27">
        <v>2742</v>
      </c>
      <c r="B2482" s="104" t="s">
        <v>60</v>
      </c>
      <c r="C2482" s="104" t="s">
        <v>945</v>
      </c>
      <c r="D2482" s="34" t="s">
        <v>1640</v>
      </c>
      <c r="E2482" s="35" t="s">
        <v>946</v>
      </c>
      <c r="F2482" s="40">
        <v>230</v>
      </c>
      <c r="G2482" s="144" t="s">
        <v>706</v>
      </c>
      <c r="H2482" s="40">
        <v>1</v>
      </c>
      <c r="I2482" s="56"/>
    </row>
    <row r="2483" spans="1:9" s="81" customFormat="1" ht="21.6" customHeight="1">
      <c r="A2483" s="27">
        <v>2743</v>
      </c>
      <c r="B2483" s="104" t="s">
        <v>60</v>
      </c>
      <c r="C2483" s="104" t="s">
        <v>947</v>
      </c>
      <c r="D2483" s="34" t="s">
        <v>1641</v>
      </c>
      <c r="E2483" s="35" t="s">
        <v>948</v>
      </c>
      <c r="F2483" s="40">
        <v>230</v>
      </c>
      <c r="G2483" s="145" t="s">
        <v>709</v>
      </c>
      <c r="H2483" s="40">
        <v>1</v>
      </c>
      <c r="I2483" s="56"/>
    </row>
    <row r="2484" spans="1:9" s="81" customFormat="1" ht="21.6" customHeight="1">
      <c r="A2484" s="27">
        <v>2744</v>
      </c>
      <c r="B2484" s="104" t="s">
        <v>60</v>
      </c>
      <c r="C2484" s="104" t="s">
        <v>593</v>
      </c>
      <c r="D2484" s="34" t="s">
        <v>1506</v>
      </c>
      <c r="E2484" s="35" t="s">
        <v>594</v>
      </c>
      <c r="F2484" s="40" t="s">
        <v>1203</v>
      </c>
      <c r="G2484" s="145" t="s">
        <v>415</v>
      </c>
      <c r="H2484" s="40">
        <v>1</v>
      </c>
      <c r="I2484" s="56"/>
    </row>
    <row r="2485" spans="1:9" s="81" customFormat="1" ht="21.6" customHeight="1">
      <c r="A2485" s="27">
        <v>2745</v>
      </c>
      <c r="B2485" s="104" t="s">
        <v>60</v>
      </c>
      <c r="C2485" s="104" t="s">
        <v>595</v>
      </c>
      <c r="D2485" s="34" t="s">
        <v>1507</v>
      </c>
      <c r="E2485" s="35" t="s">
        <v>596</v>
      </c>
      <c r="F2485" s="40">
        <v>230</v>
      </c>
      <c r="G2485" s="144" t="s">
        <v>597</v>
      </c>
      <c r="H2485" s="40">
        <v>1</v>
      </c>
      <c r="I2485" s="56"/>
    </row>
    <row r="2486" spans="1:9" s="81" customFormat="1" ht="21.6" customHeight="1">
      <c r="A2486" s="27">
        <v>2746</v>
      </c>
      <c r="B2486" s="104" t="s">
        <v>60</v>
      </c>
      <c r="C2486" s="104" t="s">
        <v>949</v>
      </c>
      <c r="D2486" s="34" t="s">
        <v>1642</v>
      </c>
      <c r="E2486" s="35" t="s">
        <v>950</v>
      </c>
      <c r="F2486" s="76">
        <v>115</v>
      </c>
      <c r="G2486" s="144" t="s">
        <v>901</v>
      </c>
      <c r="H2486" s="40">
        <v>3</v>
      </c>
      <c r="I2486" s="56"/>
    </row>
    <row r="2487" spans="1:9" s="81" customFormat="1" ht="21.6" customHeight="1">
      <c r="A2487" s="27">
        <v>2747</v>
      </c>
      <c r="B2487" s="104" t="s">
        <v>60</v>
      </c>
      <c r="C2487" s="104" t="s">
        <v>598</v>
      </c>
      <c r="D2487" s="34" t="s">
        <v>1508</v>
      </c>
      <c r="E2487" s="35" t="s">
        <v>599</v>
      </c>
      <c r="F2487" s="40" t="s">
        <v>1203</v>
      </c>
      <c r="G2487" s="145" t="s">
        <v>600</v>
      </c>
      <c r="H2487" s="40">
        <v>4</v>
      </c>
      <c r="I2487" s="56"/>
    </row>
    <row r="2488" spans="1:9" s="81" customFormat="1" ht="21.6" customHeight="1">
      <c r="A2488" s="27">
        <v>2748</v>
      </c>
      <c r="B2488" s="104" t="s">
        <v>60</v>
      </c>
      <c r="C2488" s="104" t="s">
        <v>601</v>
      </c>
      <c r="D2488" s="34" t="s">
        <v>1509</v>
      </c>
      <c r="E2488" s="35" t="s">
        <v>602</v>
      </c>
      <c r="F2488" s="40" t="s">
        <v>1203</v>
      </c>
      <c r="G2488" s="144" t="s">
        <v>1822</v>
      </c>
      <c r="H2488" s="40">
        <v>8</v>
      </c>
      <c r="I2488" s="56"/>
    </row>
    <row r="2489" spans="1:9" s="81" customFormat="1" ht="21.6" customHeight="1">
      <c r="A2489" s="27">
        <v>2749</v>
      </c>
      <c r="B2489" s="104" t="s">
        <v>60</v>
      </c>
      <c r="C2489" s="104" t="s">
        <v>603</v>
      </c>
      <c r="D2489" s="34" t="s">
        <v>1510</v>
      </c>
      <c r="E2489" s="35" t="s">
        <v>604</v>
      </c>
      <c r="F2489" s="40" t="s">
        <v>1203</v>
      </c>
      <c r="G2489" s="144" t="s">
        <v>1823</v>
      </c>
      <c r="H2489" s="40">
        <v>4</v>
      </c>
      <c r="I2489" s="56"/>
    </row>
    <row r="2490" spans="1:9" s="81" customFormat="1" ht="21.6" customHeight="1">
      <c r="A2490" s="27">
        <v>2750</v>
      </c>
      <c r="B2490" s="104" t="s">
        <v>60</v>
      </c>
      <c r="C2490" s="104" t="s">
        <v>605</v>
      </c>
      <c r="D2490" s="34" t="s">
        <v>1511</v>
      </c>
      <c r="E2490" s="35" t="s">
        <v>606</v>
      </c>
      <c r="F2490" s="40">
        <v>230</v>
      </c>
      <c r="G2490" s="145" t="s">
        <v>533</v>
      </c>
      <c r="H2490" s="40">
        <v>1</v>
      </c>
      <c r="I2490" s="56"/>
    </row>
    <row r="2491" spans="1:9" s="81" customFormat="1" ht="21.6" customHeight="1">
      <c r="A2491" s="27">
        <v>2751</v>
      </c>
      <c r="B2491" s="104" t="s">
        <v>60</v>
      </c>
      <c r="C2491" s="104" t="s">
        <v>607</v>
      </c>
      <c r="D2491" s="34" t="s">
        <v>1512</v>
      </c>
      <c r="E2491" s="35" t="s">
        <v>608</v>
      </c>
      <c r="F2491" s="40">
        <v>230</v>
      </c>
      <c r="G2491" s="145" t="s">
        <v>1812</v>
      </c>
      <c r="H2491" s="40">
        <v>1</v>
      </c>
      <c r="I2491" s="56"/>
    </row>
    <row r="2492" spans="1:9" s="81" customFormat="1" ht="21.6" customHeight="1">
      <c r="A2492" s="27">
        <v>2752</v>
      </c>
      <c r="B2492" s="104" t="s">
        <v>60</v>
      </c>
      <c r="C2492" s="104" t="s">
        <v>609</v>
      </c>
      <c r="D2492" s="34" t="s">
        <v>1513</v>
      </c>
      <c r="E2492" s="35" t="s">
        <v>610</v>
      </c>
      <c r="F2492" s="40">
        <v>230</v>
      </c>
      <c r="G2492" s="145" t="s">
        <v>1824</v>
      </c>
      <c r="H2492" s="40">
        <v>1</v>
      </c>
      <c r="I2492" s="56"/>
    </row>
    <row r="2493" spans="1:9" s="81" customFormat="1" ht="21.6" customHeight="1">
      <c r="A2493" s="27">
        <v>2753</v>
      </c>
      <c r="B2493" s="104" t="s">
        <v>60</v>
      </c>
      <c r="C2493" s="104" t="s">
        <v>611</v>
      </c>
      <c r="D2493" s="34" t="s">
        <v>1514</v>
      </c>
      <c r="E2493" s="35" t="s">
        <v>612</v>
      </c>
      <c r="F2493" s="40">
        <v>230</v>
      </c>
      <c r="G2493" s="145" t="s">
        <v>1825</v>
      </c>
      <c r="H2493" s="40">
        <v>1</v>
      </c>
      <c r="I2493" s="56"/>
    </row>
    <row r="2494" spans="1:9" s="81" customFormat="1" ht="21.6" customHeight="1">
      <c r="A2494" s="27">
        <v>2754</v>
      </c>
      <c r="B2494" s="104" t="s">
        <v>60</v>
      </c>
      <c r="C2494" s="104" t="s">
        <v>613</v>
      </c>
      <c r="D2494" s="34" t="s">
        <v>1515</v>
      </c>
      <c r="E2494" s="35" t="s">
        <v>614</v>
      </c>
      <c r="F2494" s="40">
        <v>230</v>
      </c>
      <c r="G2494" s="145" t="s">
        <v>1826</v>
      </c>
      <c r="H2494" s="40">
        <v>2</v>
      </c>
      <c r="I2494" s="56"/>
    </row>
    <row r="2495" spans="1:9" s="81" customFormat="1" ht="21.6" customHeight="1">
      <c r="A2495" s="27">
        <v>2755</v>
      </c>
      <c r="B2495" s="104" t="s">
        <v>60</v>
      </c>
      <c r="C2495" s="104" t="s">
        <v>615</v>
      </c>
      <c r="D2495" s="34" t="s">
        <v>1516</v>
      </c>
      <c r="E2495" s="35" t="s">
        <v>616</v>
      </c>
      <c r="F2495" s="40">
        <v>828.9</v>
      </c>
      <c r="G2495" s="144" t="s">
        <v>101</v>
      </c>
      <c r="H2495" s="40">
        <v>2</v>
      </c>
      <c r="I2495" s="56" t="s">
        <v>617</v>
      </c>
    </row>
    <row r="2496" spans="1:9" s="81" customFormat="1" ht="21.6" customHeight="1">
      <c r="A2496" s="27">
        <v>2757</v>
      </c>
      <c r="B2496" s="104" t="s">
        <v>60</v>
      </c>
      <c r="C2496" s="104" t="s">
        <v>618</v>
      </c>
      <c r="D2496" s="34" t="s">
        <v>1517</v>
      </c>
      <c r="E2496" s="35" t="s">
        <v>619</v>
      </c>
      <c r="F2496" s="40">
        <v>368</v>
      </c>
      <c r="G2496" s="145" t="s">
        <v>1809</v>
      </c>
      <c r="H2496" s="40">
        <v>1</v>
      </c>
      <c r="I2496" s="56" t="s">
        <v>526</v>
      </c>
    </row>
    <row r="2497" spans="1:9" s="81" customFormat="1" ht="21.6" customHeight="1">
      <c r="A2497" s="27">
        <v>2758</v>
      </c>
      <c r="B2497" s="104" t="s">
        <v>60</v>
      </c>
      <c r="C2497" s="104" t="s">
        <v>620</v>
      </c>
      <c r="D2497" s="34" t="s">
        <v>1518</v>
      </c>
      <c r="E2497" s="35" t="s">
        <v>621</v>
      </c>
      <c r="F2497" s="40">
        <v>368</v>
      </c>
      <c r="G2497" s="145" t="s">
        <v>87</v>
      </c>
      <c r="H2497" s="40">
        <v>1</v>
      </c>
      <c r="I2497" s="56"/>
    </row>
    <row r="2498" spans="1:9" s="81" customFormat="1" ht="21.6" customHeight="1">
      <c r="A2498" s="27">
        <v>2759</v>
      </c>
      <c r="B2498" s="104" t="s">
        <v>60</v>
      </c>
      <c r="C2498" s="104" t="s">
        <v>622</v>
      </c>
      <c r="D2498" s="34" t="s">
        <v>1519</v>
      </c>
      <c r="E2498" s="35" t="s">
        <v>623</v>
      </c>
      <c r="F2498" s="40">
        <v>368</v>
      </c>
      <c r="G2498" s="144" t="s">
        <v>1827</v>
      </c>
      <c r="H2498" s="40">
        <v>1</v>
      </c>
      <c r="I2498" s="56"/>
    </row>
    <row r="2499" spans="1:9" s="81" customFormat="1" ht="21.6" customHeight="1">
      <c r="A2499" s="27">
        <v>2760</v>
      </c>
      <c r="B2499" s="104" t="s">
        <v>60</v>
      </c>
      <c r="C2499" s="104" t="s">
        <v>624</v>
      </c>
      <c r="D2499" s="34" t="s">
        <v>1520</v>
      </c>
      <c r="E2499" s="35" t="s">
        <v>625</v>
      </c>
      <c r="F2499" s="40">
        <v>368</v>
      </c>
      <c r="G2499" s="144" t="s">
        <v>1828</v>
      </c>
      <c r="H2499" s="40">
        <v>1</v>
      </c>
      <c r="I2499" s="56"/>
    </row>
    <row r="2500" spans="1:9" s="81" customFormat="1" ht="21.6" customHeight="1">
      <c r="A2500" s="27">
        <v>2761</v>
      </c>
      <c r="B2500" s="104" t="s">
        <v>60</v>
      </c>
      <c r="C2500" s="104" t="s">
        <v>626</v>
      </c>
      <c r="D2500" s="34" t="s">
        <v>1521</v>
      </c>
      <c r="E2500" s="35" t="s">
        <v>627</v>
      </c>
      <c r="F2500" s="40">
        <v>368</v>
      </c>
      <c r="G2500" s="145" t="s">
        <v>628</v>
      </c>
      <c r="H2500" s="40">
        <v>2</v>
      </c>
      <c r="I2500" s="56"/>
    </row>
    <row r="2501" spans="1:9" s="81" customFormat="1" ht="21.6" customHeight="1">
      <c r="A2501" s="27">
        <v>2762</v>
      </c>
      <c r="B2501" s="104" t="s">
        <v>60</v>
      </c>
      <c r="C2501" s="104" t="s">
        <v>629</v>
      </c>
      <c r="D2501" s="34" t="s">
        <v>1522</v>
      </c>
      <c r="E2501" s="35" t="s">
        <v>630</v>
      </c>
      <c r="F2501" s="40">
        <v>120</v>
      </c>
      <c r="G2501" s="144" t="s">
        <v>631</v>
      </c>
      <c r="H2501" s="40">
        <v>1</v>
      </c>
      <c r="I2501" s="56" t="s">
        <v>116</v>
      </c>
    </row>
    <row r="2502" spans="1:9" s="81" customFormat="1" ht="21.6" customHeight="1">
      <c r="A2502" s="27">
        <v>2763</v>
      </c>
      <c r="B2502" s="104" t="s">
        <v>60</v>
      </c>
      <c r="C2502" s="104" t="s">
        <v>329</v>
      </c>
      <c r="D2502" s="80" t="s">
        <v>1409</v>
      </c>
      <c r="E2502" s="35" t="s">
        <v>330</v>
      </c>
      <c r="F2502" s="40">
        <v>120</v>
      </c>
      <c r="G2502" s="144" t="s">
        <v>115</v>
      </c>
      <c r="H2502" s="40">
        <v>1</v>
      </c>
      <c r="I2502" s="56" t="s">
        <v>116</v>
      </c>
    </row>
    <row r="2503" spans="1:9" s="58" customFormat="1" ht="21.6" customHeight="1">
      <c r="A2503" s="27">
        <v>2764</v>
      </c>
      <c r="B2503" s="104" t="s">
        <v>60</v>
      </c>
      <c r="C2503" s="104" t="s">
        <v>264</v>
      </c>
      <c r="D2503" s="50" t="s">
        <v>1389</v>
      </c>
      <c r="E2503" s="51" t="s">
        <v>265</v>
      </c>
      <c r="F2503" s="29">
        <v>80</v>
      </c>
      <c r="G2503" s="144" t="s">
        <v>1829</v>
      </c>
      <c r="H2503" s="29">
        <v>1</v>
      </c>
      <c r="I2503" s="31" t="s">
        <v>318</v>
      </c>
    </row>
    <row r="2504" spans="1:9" s="58" customFormat="1" ht="21.6" customHeight="1">
      <c r="A2504" s="27">
        <v>2765</v>
      </c>
      <c r="B2504" s="104" t="s">
        <v>60</v>
      </c>
      <c r="C2504" s="104" t="s">
        <v>268</v>
      </c>
      <c r="D2504" s="50" t="s">
        <v>1390</v>
      </c>
      <c r="E2504" s="51" t="s">
        <v>269</v>
      </c>
      <c r="F2504" s="29">
        <v>80</v>
      </c>
      <c r="G2504" s="144" t="s">
        <v>633</v>
      </c>
      <c r="H2504" s="29">
        <v>1</v>
      </c>
      <c r="I2504" s="31" t="s">
        <v>318</v>
      </c>
    </row>
    <row r="2505" spans="1:9" s="58" customFormat="1" ht="21.6" customHeight="1">
      <c r="A2505" s="27">
        <v>2766</v>
      </c>
      <c r="B2505" s="104" t="s">
        <v>60</v>
      </c>
      <c r="C2505" s="104" t="s">
        <v>271</v>
      </c>
      <c r="D2505" s="50" t="s">
        <v>1391</v>
      </c>
      <c r="E2505" s="51" t="s">
        <v>272</v>
      </c>
      <c r="F2505" s="29">
        <v>80</v>
      </c>
      <c r="G2505" s="144" t="s">
        <v>1830</v>
      </c>
      <c r="H2505" s="29">
        <v>1</v>
      </c>
      <c r="I2505" s="31" t="s">
        <v>318</v>
      </c>
    </row>
    <row r="2506" spans="1:9" s="26" customFormat="1" ht="21.6" customHeight="1">
      <c r="A2506" s="27">
        <v>2767</v>
      </c>
      <c r="B2506" s="104" t="s">
        <v>60</v>
      </c>
      <c r="C2506" s="104" t="s">
        <v>225</v>
      </c>
      <c r="D2506" s="39" t="s">
        <v>1375</v>
      </c>
      <c r="E2506" s="3" t="s">
        <v>226</v>
      </c>
      <c r="F2506" s="29">
        <v>120</v>
      </c>
      <c r="G2506" s="144" t="s">
        <v>320</v>
      </c>
      <c r="H2506" s="29">
        <v>2</v>
      </c>
      <c r="I2506" s="31" t="s">
        <v>364</v>
      </c>
    </row>
    <row r="2507" spans="1:9" s="26" customFormat="1" ht="21.6" customHeight="1">
      <c r="A2507" s="27">
        <v>2768</v>
      </c>
      <c r="B2507" s="104" t="s">
        <v>60</v>
      </c>
      <c r="C2507" s="104" t="s">
        <v>229</v>
      </c>
      <c r="D2507" s="39" t="s">
        <v>1376</v>
      </c>
      <c r="E2507" s="51" t="s">
        <v>230</v>
      </c>
      <c r="F2507" s="29">
        <v>120</v>
      </c>
      <c r="G2507" s="144" t="s">
        <v>278</v>
      </c>
      <c r="H2507" s="29">
        <v>1</v>
      </c>
      <c r="I2507" s="31" t="s">
        <v>364</v>
      </c>
    </row>
    <row r="2508" spans="1:9" s="26" customFormat="1" ht="21.6" customHeight="1">
      <c r="A2508" s="27">
        <v>2769</v>
      </c>
      <c r="B2508" s="104" t="s">
        <v>60</v>
      </c>
      <c r="C2508" s="104" t="s">
        <v>323</v>
      </c>
      <c r="D2508" s="39" t="s">
        <v>1407</v>
      </c>
      <c r="E2508" s="51" t="s">
        <v>324</v>
      </c>
      <c r="F2508" s="29">
        <v>120</v>
      </c>
      <c r="G2508" s="144" t="s">
        <v>1782</v>
      </c>
      <c r="H2508" s="29">
        <v>1</v>
      </c>
      <c r="I2508" s="31" t="s">
        <v>325</v>
      </c>
    </row>
    <row r="2509" spans="1:9" s="26" customFormat="1" ht="21.6" customHeight="1">
      <c r="A2509" s="27">
        <v>2770</v>
      </c>
      <c r="B2509" s="104" t="s">
        <v>60</v>
      </c>
      <c r="C2509" s="104" t="s">
        <v>284</v>
      </c>
      <c r="D2509" s="50" t="s">
        <v>1395</v>
      </c>
      <c r="E2509" s="51" t="s">
        <v>226</v>
      </c>
      <c r="F2509" s="29">
        <v>120</v>
      </c>
      <c r="G2509" s="144" t="s">
        <v>285</v>
      </c>
      <c r="H2509" s="29">
        <v>1</v>
      </c>
      <c r="I2509" s="31" t="s">
        <v>325</v>
      </c>
    </row>
    <row r="2510" spans="1:9" s="26" customFormat="1" ht="21.6" customHeight="1">
      <c r="A2510" s="27">
        <v>2771</v>
      </c>
      <c r="B2510" s="104" t="s">
        <v>60</v>
      </c>
      <c r="C2510" s="104" t="s">
        <v>287</v>
      </c>
      <c r="D2510" s="50" t="s">
        <v>1396</v>
      </c>
      <c r="E2510" s="51" t="s">
        <v>288</v>
      </c>
      <c r="F2510" s="29">
        <v>120</v>
      </c>
      <c r="G2510" s="144" t="s">
        <v>282</v>
      </c>
      <c r="H2510" s="29">
        <v>1</v>
      </c>
      <c r="I2510" s="31" t="s">
        <v>325</v>
      </c>
    </row>
    <row r="2511" spans="1:9" s="58" customFormat="1" ht="21.6" customHeight="1">
      <c r="A2511" s="27">
        <v>2772</v>
      </c>
      <c r="B2511" s="104" t="s">
        <v>60</v>
      </c>
      <c r="C2511" s="104" t="s">
        <v>326</v>
      </c>
      <c r="D2511" s="50" t="s">
        <v>1408</v>
      </c>
      <c r="E2511" s="51" t="s">
        <v>327</v>
      </c>
      <c r="F2511" s="29">
        <v>320</v>
      </c>
      <c r="G2511" s="144" t="s">
        <v>237</v>
      </c>
      <c r="H2511" s="29">
        <v>2</v>
      </c>
      <c r="I2511" s="31" t="s">
        <v>328</v>
      </c>
    </row>
    <row r="2512" spans="1:9" s="58" customFormat="1" ht="21.6" customHeight="1">
      <c r="A2512" s="27">
        <v>2773</v>
      </c>
      <c r="B2512" s="104" t="s">
        <v>60</v>
      </c>
      <c r="C2512" s="104" t="s">
        <v>329</v>
      </c>
      <c r="D2512" s="50" t="s">
        <v>1409</v>
      </c>
      <c r="E2512" s="51" t="s">
        <v>330</v>
      </c>
      <c r="F2512" s="29">
        <v>320</v>
      </c>
      <c r="G2512" s="144" t="s">
        <v>634</v>
      </c>
      <c r="H2512" s="29">
        <v>1</v>
      </c>
      <c r="I2512" s="31" t="s">
        <v>328</v>
      </c>
    </row>
    <row r="2513" spans="1:9" ht="21.6" customHeight="1">
      <c r="A2513" s="27">
        <v>2774</v>
      </c>
      <c r="B2513" s="132" t="s">
        <v>60</v>
      </c>
      <c r="C2513" s="132" t="s">
        <v>332</v>
      </c>
      <c r="D2513" s="34" t="s">
        <v>1410</v>
      </c>
      <c r="E2513" s="35" t="s">
        <v>333</v>
      </c>
      <c r="F2513" s="40">
        <v>500</v>
      </c>
      <c r="G2513" s="144" t="s">
        <v>1784</v>
      </c>
      <c r="H2513" s="40">
        <v>2</v>
      </c>
      <c r="I2513" s="55" t="s">
        <v>334</v>
      </c>
    </row>
    <row r="2514" spans="1:9" ht="21.6" customHeight="1">
      <c r="A2514" s="27">
        <v>2775</v>
      </c>
      <c r="B2514" s="132" t="s">
        <v>60</v>
      </c>
      <c r="C2514" s="132" t="s">
        <v>335</v>
      </c>
      <c r="D2514" s="34" t="s">
        <v>1411</v>
      </c>
      <c r="E2514" s="35" t="s">
        <v>336</v>
      </c>
      <c r="F2514" s="40">
        <v>500</v>
      </c>
      <c r="G2514" s="144" t="s">
        <v>337</v>
      </c>
      <c r="H2514" s="40">
        <v>1</v>
      </c>
      <c r="I2514" s="55" t="s">
        <v>338</v>
      </c>
    </row>
    <row r="2515" spans="1:9" ht="21.6" customHeight="1">
      <c r="A2515" s="27">
        <v>2776</v>
      </c>
      <c r="B2515" s="132" t="s">
        <v>60</v>
      </c>
      <c r="C2515" s="132" t="s">
        <v>339</v>
      </c>
      <c r="D2515" s="34" t="s">
        <v>1412</v>
      </c>
      <c r="E2515" s="35" t="s">
        <v>340</v>
      </c>
      <c r="F2515" s="40">
        <v>500</v>
      </c>
      <c r="G2515" s="145" t="s">
        <v>341</v>
      </c>
      <c r="H2515" s="40">
        <v>1</v>
      </c>
      <c r="I2515" s="55" t="s">
        <v>338</v>
      </c>
    </row>
    <row r="2516" spans="1:9" s="81" customFormat="1" ht="21.6" customHeight="1">
      <c r="A2516" s="27">
        <v>2777</v>
      </c>
      <c r="B2516" s="104" t="s">
        <v>60</v>
      </c>
      <c r="C2516" s="104" t="s">
        <v>635</v>
      </c>
      <c r="D2516" s="80" t="s">
        <v>1523</v>
      </c>
      <c r="E2516" s="35" t="s">
        <v>636</v>
      </c>
      <c r="F2516" s="40">
        <v>230</v>
      </c>
      <c r="G2516" s="144" t="s">
        <v>637</v>
      </c>
      <c r="H2516" s="40" t="s">
        <v>123</v>
      </c>
      <c r="I2516" s="56"/>
    </row>
    <row r="2517" spans="1:9" s="81" customFormat="1" ht="21.6" customHeight="1">
      <c r="A2517" s="27">
        <v>2778</v>
      </c>
      <c r="B2517" s="104" t="s">
        <v>60</v>
      </c>
      <c r="C2517" s="104" t="s">
        <v>954</v>
      </c>
      <c r="D2517" s="34" t="s">
        <v>1644</v>
      </c>
      <c r="E2517" s="35" t="s">
        <v>955</v>
      </c>
      <c r="F2517" s="40">
        <v>115</v>
      </c>
      <c r="G2517" s="144" t="s">
        <v>755</v>
      </c>
      <c r="H2517" s="40" t="s">
        <v>123</v>
      </c>
      <c r="I2517" s="56"/>
    </row>
    <row r="2518" spans="1:9" s="58" customFormat="1" ht="21.6" customHeight="1">
      <c r="A2518" s="27">
        <v>2779</v>
      </c>
      <c r="B2518" s="104" t="s">
        <v>60</v>
      </c>
      <c r="C2518" s="104" t="s">
        <v>295</v>
      </c>
      <c r="D2518" s="39" t="s">
        <v>1399</v>
      </c>
      <c r="E2518" s="3" t="s">
        <v>296</v>
      </c>
      <c r="F2518" s="29">
        <v>80</v>
      </c>
      <c r="G2518" s="144" t="s">
        <v>638</v>
      </c>
      <c r="H2518" s="40" t="s">
        <v>123</v>
      </c>
      <c r="I2518" s="31" t="s">
        <v>639</v>
      </c>
    </row>
    <row r="2519" spans="1:9" s="26" customFormat="1" ht="21.6" customHeight="1">
      <c r="A2519" s="27">
        <v>2780</v>
      </c>
      <c r="B2519" s="104" t="s">
        <v>60</v>
      </c>
      <c r="C2519" s="104" t="s">
        <v>298</v>
      </c>
      <c r="D2519" s="39" t="s">
        <v>1400</v>
      </c>
      <c r="E2519" s="3" t="s">
        <v>299</v>
      </c>
      <c r="F2519" s="29">
        <v>120</v>
      </c>
      <c r="G2519" s="144" t="s">
        <v>300</v>
      </c>
      <c r="H2519" s="40" t="s">
        <v>123</v>
      </c>
      <c r="I2519" s="31" t="s">
        <v>321</v>
      </c>
    </row>
    <row r="2520" spans="1:9" s="26" customFormat="1" ht="21.6" customHeight="1">
      <c r="A2520" s="27">
        <v>2781</v>
      </c>
      <c r="B2520" s="104" t="s">
        <v>60</v>
      </c>
      <c r="C2520" s="104" t="s">
        <v>345</v>
      </c>
      <c r="D2520" s="39" t="s">
        <v>1414</v>
      </c>
      <c r="E2520" s="3" t="s">
        <v>346</v>
      </c>
      <c r="F2520" s="29">
        <v>120</v>
      </c>
      <c r="G2520" s="144" t="s">
        <v>303</v>
      </c>
      <c r="H2520" s="40" t="s">
        <v>123</v>
      </c>
      <c r="I2520" s="31" t="s">
        <v>325</v>
      </c>
    </row>
    <row r="2521" spans="1:9" ht="21.6" customHeight="1">
      <c r="A2521" s="27">
        <v>2783</v>
      </c>
      <c r="B2521" s="132" t="s">
        <v>60</v>
      </c>
      <c r="C2521" s="132" t="s">
        <v>347</v>
      </c>
      <c r="D2521" s="34" t="s">
        <v>1415</v>
      </c>
      <c r="E2521" s="35" t="s">
        <v>348</v>
      </c>
      <c r="F2521" s="40">
        <v>500</v>
      </c>
      <c r="G2521" s="144" t="s">
        <v>349</v>
      </c>
      <c r="H2521" s="40" t="s">
        <v>123</v>
      </c>
      <c r="I2521" s="55" t="s">
        <v>334</v>
      </c>
    </row>
    <row r="2522" spans="1:9" s="58" customFormat="1" ht="21.6" customHeight="1">
      <c r="A2522" s="27">
        <v>2785</v>
      </c>
      <c r="B2522" s="104" t="s">
        <v>60</v>
      </c>
      <c r="C2522" s="104" t="s">
        <v>640</v>
      </c>
      <c r="D2522" s="39" t="s">
        <v>1524</v>
      </c>
      <c r="E2522" s="3" t="s">
        <v>641</v>
      </c>
      <c r="F2522" s="29">
        <v>368</v>
      </c>
      <c r="G2522" s="144" t="s">
        <v>642</v>
      </c>
      <c r="H2522" s="40" t="s">
        <v>123</v>
      </c>
      <c r="I2522" s="31" t="s">
        <v>526</v>
      </c>
    </row>
    <row r="2523" spans="1:9" s="58" customFormat="1" ht="21.6" customHeight="1">
      <c r="A2523" s="27">
        <v>2786</v>
      </c>
      <c r="B2523" s="104" t="s">
        <v>60</v>
      </c>
      <c r="C2523" s="104" t="s">
        <v>643</v>
      </c>
      <c r="D2523" s="39" t="s">
        <v>1525</v>
      </c>
      <c r="E2523" s="3" t="s">
        <v>644</v>
      </c>
      <c r="F2523" s="29">
        <v>230</v>
      </c>
      <c r="G2523" s="144" t="s">
        <v>645</v>
      </c>
      <c r="H2523" s="40" t="s">
        <v>123</v>
      </c>
      <c r="I2523" s="31"/>
    </row>
    <row r="2524" spans="1:9" s="81" customFormat="1" ht="21.6" customHeight="1">
      <c r="A2524" s="27">
        <v>2787</v>
      </c>
      <c r="B2524" s="104" t="s">
        <v>60</v>
      </c>
      <c r="C2524" s="104" t="s">
        <v>646</v>
      </c>
      <c r="D2524" s="34" t="s">
        <v>1526</v>
      </c>
      <c r="E2524" s="35" t="s">
        <v>647</v>
      </c>
      <c r="F2524" s="40" t="s">
        <v>123</v>
      </c>
      <c r="G2524" s="145" t="s">
        <v>585</v>
      </c>
      <c r="H2524" s="40" t="s">
        <v>123</v>
      </c>
      <c r="I2524" s="56"/>
    </row>
    <row r="2525" spans="1:9" s="81" customFormat="1" ht="21.6" customHeight="1">
      <c r="A2525" s="27">
        <v>2788</v>
      </c>
      <c r="B2525" s="104" t="s">
        <v>60</v>
      </c>
      <c r="C2525" s="104" t="s">
        <v>648</v>
      </c>
      <c r="D2525" s="34" t="s">
        <v>1527</v>
      </c>
      <c r="E2525" s="35" t="s">
        <v>649</v>
      </c>
      <c r="F2525" s="40" t="s">
        <v>123</v>
      </c>
      <c r="G2525" s="145" t="s">
        <v>129</v>
      </c>
      <c r="H2525" s="40" t="s">
        <v>123</v>
      </c>
      <c r="I2525" s="56"/>
    </row>
    <row r="2526" spans="1:9" ht="21.6" customHeight="1">
      <c r="A2526" s="27">
        <v>2789</v>
      </c>
      <c r="B2526" s="104" t="s">
        <v>60</v>
      </c>
      <c r="C2526" s="104" t="s">
        <v>1064</v>
      </c>
      <c r="D2526" s="34" t="s">
        <v>1686</v>
      </c>
      <c r="E2526" s="35" t="s">
        <v>1065</v>
      </c>
      <c r="F2526" s="40" t="s">
        <v>123</v>
      </c>
      <c r="G2526" s="145" t="s">
        <v>772</v>
      </c>
      <c r="H2526" s="40" t="s">
        <v>123</v>
      </c>
      <c r="I2526" s="56"/>
    </row>
    <row r="2527" spans="1:9" ht="21.6" customHeight="1">
      <c r="A2527" s="27">
        <v>2790</v>
      </c>
      <c r="B2527" s="104" t="s">
        <v>60</v>
      </c>
      <c r="C2527" s="104" t="s">
        <v>1066</v>
      </c>
      <c r="D2527" s="34" t="s">
        <v>1687</v>
      </c>
      <c r="E2527" s="35" t="s">
        <v>1067</v>
      </c>
      <c r="F2527" s="40" t="s">
        <v>123</v>
      </c>
      <c r="G2527" s="145" t="s">
        <v>775</v>
      </c>
      <c r="H2527" s="40" t="s">
        <v>123</v>
      </c>
      <c r="I2527" s="56"/>
    </row>
    <row r="2528" spans="1:9" ht="21.6" customHeight="1">
      <c r="A2528" s="27">
        <v>2791</v>
      </c>
      <c r="B2528" s="104" t="s">
        <v>60</v>
      </c>
      <c r="C2528" s="104" t="s">
        <v>1068</v>
      </c>
      <c r="D2528" s="34" t="s">
        <v>1688</v>
      </c>
      <c r="E2528" s="35" t="s">
        <v>1069</v>
      </c>
      <c r="F2528" s="40" t="s">
        <v>123</v>
      </c>
      <c r="G2528" s="145" t="s">
        <v>778</v>
      </c>
      <c r="H2528" s="40" t="s">
        <v>123</v>
      </c>
      <c r="I2528" s="56"/>
    </row>
    <row r="2529" spans="1:9" s="81" customFormat="1" ht="21.6" customHeight="1">
      <c r="A2529" s="41">
        <v>2792</v>
      </c>
      <c r="B2529" s="104" t="s">
        <v>60</v>
      </c>
      <c r="C2529" s="104" t="s">
        <v>650</v>
      </c>
      <c r="D2529" s="34" t="s">
        <v>1528</v>
      </c>
      <c r="E2529" s="35" t="s">
        <v>651</v>
      </c>
      <c r="F2529" s="40" t="s">
        <v>123</v>
      </c>
      <c r="G2529" s="144" t="s">
        <v>1821</v>
      </c>
      <c r="H2529" s="40" t="s">
        <v>123</v>
      </c>
      <c r="I2529" s="56"/>
    </row>
    <row r="2530" spans="1:9" s="81" customFormat="1" ht="21.6" customHeight="1">
      <c r="A2530" s="41">
        <v>2793</v>
      </c>
      <c r="B2530" s="84" t="s">
        <v>60</v>
      </c>
      <c r="C2530" s="84" t="s">
        <v>969</v>
      </c>
      <c r="D2530" s="84" t="s">
        <v>1651</v>
      </c>
      <c r="E2530" s="83" t="s">
        <v>970</v>
      </c>
      <c r="F2530" s="85" t="s">
        <v>654</v>
      </c>
      <c r="G2530" s="150" t="s">
        <v>1805</v>
      </c>
      <c r="H2530" s="85" t="s">
        <v>123</v>
      </c>
      <c r="I2530" s="86"/>
    </row>
    <row r="2531" spans="1:9" ht="21.6" customHeight="1">
      <c r="A2531" s="20">
        <v>2794</v>
      </c>
      <c r="B2531" s="73" t="s">
        <v>1319</v>
      </c>
      <c r="C2531" s="73" t="s">
        <v>1074</v>
      </c>
      <c r="D2531" s="73" t="s">
        <v>1689</v>
      </c>
      <c r="E2531" s="72" t="s">
        <v>1075</v>
      </c>
      <c r="F2531" s="74">
        <v>303</v>
      </c>
      <c r="G2531" s="143" t="s">
        <v>71</v>
      </c>
      <c r="H2531" s="74">
        <v>4</v>
      </c>
      <c r="I2531" s="75" t="s">
        <v>194</v>
      </c>
    </row>
    <row r="2532" spans="1:9" ht="21.6" customHeight="1">
      <c r="A2532" s="27">
        <v>2795</v>
      </c>
      <c r="B2532" s="34" t="s">
        <v>1319</v>
      </c>
      <c r="C2532" s="34" t="s">
        <v>1076</v>
      </c>
      <c r="D2532" s="34" t="s">
        <v>1690</v>
      </c>
      <c r="E2532" s="35" t="s">
        <v>1077</v>
      </c>
      <c r="F2532" s="76" t="s">
        <v>123</v>
      </c>
      <c r="G2532" s="145" t="s">
        <v>502</v>
      </c>
      <c r="H2532" s="40">
        <v>1</v>
      </c>
      <c r="I2532" s="56" t="s">
        <v>503</v>
      </c>
    </row>
    <row r="2533" spans="1:9" ht="21.6" customHeight="1">
      <c r="A2533" s="27">
        <v>2796</v>
      </c>
      <c r="B2533" s="34" t="s">
        <v>1319</v>
      </c>
      <c r="C2533" s="34" t="s">
        <v>1078</v>
      </c>
      <c r="D2533" s="34" t="s">
        <v>1691</v>
      </c>
      <c r="E2533" s="35" t="s">
        <v>1079</v>
      </c>
      <c r="F2533" s="76" t="s">
        <v>123</v>
      </c>
      <c r="G2533" s="145" t="s">
        <v>703</v>
      </c>
      <c r="H2533" s="40">
        <v>1</v>
      </c>
      <c r="I2533" s="56" t="s">
        <v>503</v>
      </c>
    </row>
    <row r="2534" spans="1:9" ht="21.6" customHeight="1">
      <c r="A2534" s="27">
        <v>2797</v>
      </c>
      <c r="B2534" s="34" t="s">
        <v>1319</v>
      </c>
      <c r="C2534" s="34" t="s">
        <v>1080</v>
      </c>
      <c r="D2534" s="34" t="s">
        <v>1692</v>
      </c>
      <c r="E2534" s="35" t="s">
        <v>1081</v>
      </c>
      <c r="F2534" s="76" t="s">
        <v>123</v>
      </c>
      <c r="G2534" s="145" t="s">
        <v>1204</v>
      </c>
      <c r="H2534" s="40">
        <v>1</v>
      </c>
      <c r="I2534" s="56" t="s">
        <v>503</v>
      </c>
    </row>
    <row r="2535" spans="1:9" ht="21.6" customHeight="1">
      <c r="A2535" s="27">
        <v>2798</v>
      </c>
      <c r="B2535" s="34" t="s">
        <v>1319</v>
      </c>
      <c r="C2535" s="34" t="s">
        <v>1082</v>
      </c>
      <c r="D2535" s="34" t="s">
        <v>1693</v>
      </c>
      <c r="E2535" s="35" t="s">
        <v>1083</v>
      </c>
      <c r="F2535" s="76" t="s">
        <v>123</v>
      </c>
      <c r="G2535" s="145" t="s">
        <v>1205</v>
      </c>
      <c r="H2535" s="40">
        <v>1</v>
      </c>
      <c r="I2535" s="56" t="s">
        <v>503</v>
      </c>
    </row>
    <row r="2536" spans="1:9" ht="21.6" customHeight="1">
      <c r="A2536" s="27">
        <v>2799</v>
      </c>
      <c r="B2536" s="34" t="s">
        <v>1319</v>
      </c>
      <c r="C2536" s="34" t="s">
        <v>1084</v>
      </c>
      <c r="D2536" s="34" t="s">
        <v>1694</v>
      </c>
      <c r="E2536" s="35" t="s">
        <v>1085</v>
      </c>
      <c r="F2536" s="40">
        <v>303</v>
      </c>
      <c r="G2536" s="145" t="s">
        <v>415</v>
      </c>
      <c r="H2536" s="40">
        <v>4</v>
      </c>
      <c r="I2536" s="56"/>
    </row>
    <row r="2537" spans="1:9" ht="21.6" customHeight="1">
      <c r="A2537" s="27">
        <v>2800</v>
      </c>
      <c r="B2537" s="34" t="s">
        <v>1319</v>
      </c>
      <c r="C2537" s="34" t="s">
        <v>1086</v>
      </c>
      <c r="D2537" s="34" t="s">
        <v>1695</v>
      </c>
      <c r="E2537" s="35" t="s">
        <v>1087</v>
      </c>
      <c r="F2537" s="40">
        <v>275</v>
      </c>
      <c r="G2537" s="144" t="s">
        <v>1809</v>
      </c>
      <c r="H2537" s="40">
        <v>1</v>
      </c>
      <c r="I2537" s="56"/>
    </row>
    <row r="2538" spans="1:9" ht="21.6" customHeight="1">
      <c r="A2538" s="27">
        <v>2801</v>
      </c>
      <c r="B2538" s="34" t="s">
        <v>1319</v>
      </c>
      <c r="C2538" s="34" t="s">
        <v>1088</v>
      </c>
      <c r="D2538" s="34" t="s">
        <v>1696</v>
      </c>
      <c r="E2538" s="35" t="s">
        <v>1089</v>
      </c>
      <c r="F2538" s="40">
        <v>275</v>
      </c>
      <c r="G2538" s="144" t="s">
        <v>1090</v>
      </c>
      <c r="H2538" s="40">
        <v>1</v>
      </c>
      <c r="I2538" s="56"/>
    </row>
    <row r="2539" spans="1:9" ht="21.6" customHeight="1">
      <c r="A2539" s="27">
        <v>2802</v>
      </c>
      <c r="B2539" s="34" t="s">
        <v>1319</v>
      </c>
      <c r="C2539" s="34" t="s">
        <v>1091</v>
      </c>
      <c r="D2539" s="34" t="s">
        <v>1697</v>
      </c>
      <c r="E2539" s="35" t="s">
        <v>1092</v>
      </c>
      <c r="F2539" s="40">
        <v>550</v>
      </c>
      <c r="G2539" s="145" t="s">
        <v>1855</v>
      </c>
      <c r="H2539" s="40">
        <v>1</v>
      </c>
      <c r="I2539" s="56"/>
    </row>
    <row r="2540" spans="1:9" ht="21.6" customHeight="1">
      <c r="A2540" s="27">
        <v>2803</v>
      </c>
      <c r="B2540" s="34" t="s">
        <v>1319</v>
      </c>
      <c r="C2540" s="34" t="s">
        <v>1093</v>
      </c>
      <c r="D2540" s="34" t="s">
        <v>1698</v>
      </c>
      <c r="E2540" s="35" t="s">
        <v>1094</v>
      </c>
      <c r="F2540" s="40">
        <v>303</v>
      </c>
      <c r="G2540" s="145" t="s">
        <v>1206</v>
      </c>
      <c r="H2540" s="40">
        <v>1</v>
      </c>
      <c r="I2540" s="56"/>
    </row>
    <row r="2541" spans="1:9" ht="21.6" customHeight="1">
      <c r="A2541" s="27">
        <v>2804</v>
      </c>
      <c r="B2541" s="34" t="s">
        <v>1319</v>
      </c>
      <c r="C2541" s="34" t="s">
        <v>1096</v>
      </c>
      <c r="D2541" s="34" t="s">
        <v>1699</v>
      </c>
      <c r="E2541" s="35" t="s">
        <v>1097</v>
      </c>
      <c r="F2541" s="40">
        <v>303</v>
      </c>
      <c r="G2541" s="145" t="s">
        <v>1207</v>
      </c>
      <c r="H2541" s="40">
        <v>1</v>
      </c>
      <c r="I2541" s="56"/>
    </row>
    <row r="2542" spans="1:9" ht="21.6" customHeight="1">
      <c r="A2542" s="27">
        <v>2805</v>
      </c>
      <c r="B2542" s="34" t="s">
        <v>1319</v>
      </c>
      <c r="C2542" s="34" t="s">
        <v>1098</v>
      </c>
      <c r="D2542" s="34" t="s">
        <v>1700</v>
      </c>
      <c r="E2542" s="35" t="s">
        <v>1099</v>
      </c>
      <c r="F2542" s="40">
        <v>303</v>
      </c>
      <c r="G2542" s="145" t="s">
        <v>1812</v>
      </c>
      <c r="H2542" s="40">
        <v>1</v>
      </c>
      <c r="I2542" s="56"/>
    </row>
    <row r="2543" spans="1:9" ht="21.6" customHeight="1">
      <c r="A2543" s="27">
        <v>2806</v>
      </c>
      <c r="B2543" s="34" t="s">
        <v>1319</v>
      </c>
      <c r="C2543" s="34" t="s">
        <v>1100</v>
      </c>
      <c r="D2543" s="34" t="s">
        <v>1701</v>
      </c>
      <c r="E2543" s="35" t="s">
        <v>1101</v>
      </c>
      <c r="F2543" s="40">
        <v>303</v>
      </c>
      <c r="G2543" s="145" t="s">
        <v>1102</v>
      </c>
      <c r="H2543" s="40">
        <v>1</v>
      </c>
      <c r="I2543" s="56"/>
    </row>
    <row r="2544" spans="1:9" ht="21.6" customHeight="1">
      <c r="A2544" s="27">
        <v>2807</v>
      </c>
      <c r="B2544" s="34" t="s">
        <v>1319</v>
      </c>
      <c r="C2544" s="34" t="s">
        <v>1103</v>
      </c>
      <c r="D2544" s="34" t="s">
        <v>1702</v>
      </c>
      <c r="E2544" s="35" t="s">
        <v>1104</v>
      </c>
      <c r="F2544" s="40">
        <v>303</v>
      </c>
      <c r="G2544" s="148" t="s">
        <v>1848</v>
      </c>
      <c r="H2544" s="40">
        <v>1</v>
      </c>
      <c r="I2544" s="56"/>
    </row>
    <row r="2545" spans="1:9" ht="21.6" customHeight="1">
      <c r="A2545" s="27">
        <v>2808</v>
      </c>
      <c r="B2545" s="34" t="s">
        <v>1319</v>
      </c>
      <c r="C2545" s="34" t="s">
        <v>1105</v>
      </c>
      <c r="D2545" s="34" t="s">
        <v>1703</v>
      </c>
      <c r="E2545" s="35" t="s">
        <v>1106</v>
      </c>
      <c r="F2545" s="40">
        <v>606</v>
      </c>
      <c r="G2545" s="145" t="s">
        <v>1849</v>
      </c>
      <c r="H2545" s="40">
        <v>1</v>
      </c>
      <c r="I2545" s="56"/>
    </row>
    <row r="2546" spans="1:9" ht="21.6" customHeight="1">
      <c r="A2546" s="27">
        <v>2809</v>
      </c>
      <c r="B2546" s="34" t="s">
        <v>1319</v>
      </c>
      <c r="C2546" s="34" t="s">
        <v>506</v>
      </c>
      <c r="D2546" s="34" t="s">
        <v>1472</v>
      </c>
      <c r="E2546" s="35" t="s">
        <v>507</v>
      </c>
      <c r="F2546" s="40">
        <v>303</v>
      </c>
      <c r="G2546" s="145" t="s">
        <v>1208</v>
      </c>
      <c r="H2546" s="40">
        <v>3</v>
      </c>
      <c r="I2546" s="56"/>
    </row>
    <row r="2547" spans="1:9" ht="21.6" customHeight="1">
      <c r="A2547" s="27">
        <v>2810</v>
      </c>
      <c r="B2547" s="34" t="s">
        <v>1319</v>
      </c>
      <c r="C2547" s="34" t="s">
        <v>691</v>
      </c>
      <c r="D2547" s="34" t="s">
        <v>1539</v>
      </c>
      <c r="E2547" s="35" t="s">
        <v>692</v>
      </c>
      <c r="F2547" s="40">
        <v>303</v>
      </c>
      <c r="G2547" s="145" t="s">
        <v>1209</v>
      </c>
      <c r="H2547" s="40">
        <v>1</v>
      </c>
      <c r="I2547" s="56"/>
    </row>
    <row r="2548" spans="1:9" ht="21.6" customHeight="1">
      <c r="A2548" s="27">
        <v>2811</v>
      </c>
      <c r="B2548" s="34" t="s">
        <v>1319</v>
      </c>
      <c r="C2548" s="34" t="s">
        <v>1107</v>
      </c>
      <c r="D2548" s="34" t="s">
        <v>1704</v>
      </c>
      <c r="E2548" s="35" t="s">
        <v>1108</v>
      </c>
      <c r="F2548" s="40">
        <v>303</v>
      </c>
      <c r="G2548" s="145" t="s">
        <v>104</v>
      </c>
      <c r="H2548" s="40">
        <v>4</v>
      </c>
      <c r="I2548" s="56"/>
    </row>
    <row r="2549" spans="1:9" ht="21.6" customHeight="1">
      <c r="A2549" s="27">
        <v>2812</v>
      </c>
      <c r="B2549" s="34" t="s">
        <v>1319</v>
      </c>
      <c r="C2549" s="34" t="s">
        <v>510</v>
      </c>
      <c r="D2549" s="34" t="s">
        <v>1474</v>
      </c>
      <c r="E2549" s="35" t="s">
        <v>511</v>
      </c>
      <c r="F2549" s="40">
        <v>303</v>
      </c>
      <c r="G2549" s="145" t="s">
        <v>1806</v>
      </c>
      <c r="H2549" s="40">
        <v>4</v>
      </c>
      <c r="I2549" s="56"/>
    </row>
    <row r="2550" spans="1:9" s="77" customFormat="1" ht="21.6" customHeight="1">
      <c r="A2550" s="27">
        <v>2813</v>
      </c>
      <c r="B2550" s="34" t="s">
        <v>1319</v>
      </c>
      <c r="C2550" s="34" t="s">
        <v>517</v>
      </c>
      <c r="D2550" s="47" t="s">
        <v>1477</v>
      </c>
      <c r="E2550" s="48" t="s">
        <v>518</v>
      </c>
      <c r="F2550" s="40">
        <v>303</v>
      </c>
      <c r="G2550" s="145" t="s">
        <v>1808</v>
      </c>
      <c r="H2550" s="40">
        <v>4</v>
      </c>
      <c r="I2550" s="56"/>
    </row>
    <row r="2551" spans="1:9" ht="21.6" customHeight="1">
      <c r="A2551" s="27">
        <v>2814</v>
      </c>
      <c r="B2551" s="34" t="s">
        <v>1319</v>
      </c>
      <c r="C2551" s="34" t="s">
        <v>519</v>
      </c>
      <c r="D2551" s="34" t="s">
        <v>1478</v>
      </c>
      <c r="E2551" s="35" t="s">
        <v>520</v>
      </c>
      <c r="F2551" s="40">
        <v>303</v>
      </c>
      <c r="G2551" s="145" t="s">
        <v>1856</v>
      </c>
      <c r="H2551" s="40">
        <v>1</v>
      </c>
      <c r="I2551" s="56"/>
    </row>
    <row r="2552" spans="1:9" ht="21.6" customHeight="1">
      <c r="A2552" s="27">
        <v>2815</v>
      </c>
      <c r="B2552" s="34" t="s">
        <v>1319</v>
      </c>
      <c r="C2552" s="34" t="s">
        <v>521</v>
      </c>
      <c r="D2552" s="34" t="s">
        <v>1479</v>
      </c>
      <c r="E2552" s="35" t="s">
        <v>522</v>
      </c>
      <c r="F2552" s="40">
        <v>303</v>
      </c>
      <c r="G2552" s="145" t="s">
        <v>523</v>
      </c>
      <c r="H2552" s="40">
        <v>1</v>
      </c>
      <c r="I2552" s="56"/>
    </row>
    <row r="2553" spans="1:9" ht="21.6" customHeight="1">
      <c r="A2553" s="27">
        <v>2816</v>
      </c>
      <c r="B2553" s="34" t="s">
        <v>1319</v>
      </c>
      <c r="C2553" s="34" t="s">
        <v>1109</v>
      </c>
      <c r="D2553" s="34" t="s">
        <v>1705</v>
      </c>
      <c r="E2553" s="35" t="s">
        <v>1110</v>
      </c>
      <c r="F2553" s="40">
        <v>550</v>
      </c>
      <c r="G2553" s="145" t="s">
        <v>1210</v>
      </c>
      <c r="H2553" s="40">
        <v>5</v>
      </c>
      <c r="I2553" s="56"/>
    </row>
    <row r="2554" spans="1:9" ht="21.6" customHeight="1">
      <c r="A2554" s="27">
        <v>2817</v>
      </c>
      <c r="B2554" s="34" t="s">
        <v>1319</v>
      </c>
      <c r="C2554" s="34" t="s">
        <v>1111</v>
      </c>
      <c r="D2554" s="34" t="s">
        <v>1706</v>
      </c>
      <c r="E2554" s="35" t="s">
        <v>1112</v>
      </c>
      <c r="F2554" s="40">
        <v>275</v>
      </c>
      <c r="G2554" s="145" t="s">
        <v>1850</v>
      </c>
      <c r="H2554" s="40">
        <v>2</v>
      </c>
      <c r="I2554" s="56"/>
    </row>
    <row r="2555" spans="1:9" ht="21.6" customHeight="1">
      <c r="A2555" s="27">
        <v>2818</v>
      </c>
      <c r="B2555" s="34" t="s">
        <v>1319</v>
      </c>
      <c r="C2555" s="34" t="s">
        <v>1113</v>
      </c>
      <c r="D2555" s="34" t="s">
        <v>1707</v>
      </c>
      <c r="E2555" s="35" t="s">
        <v>1114</v>
      </c>
      <c r="F2555" s="40">
        <v>303</v>
      </c>
      <c r="G2555" s="145" t="s">
        <v>1813</v>
      </c>
      <c r="H2555" s="40">
        <v>1</v>
      </c>
      <c r="I2555" s="56"/>
    </row>
    <row r="2556" spans="1:9" ht="21.6" customHeight="1">
      <c r="A2556" s="27">
        <v>2819</v>
      </c>
      <c r="B2556" s="34" t="s">
        <v>1319</v>
      </c>
      <c r="C2556" s="34" t="s">
        <v>1115</v>
      </c>
      <c r="D2556" s="34" t="s">
        <v>1708</v>
      </c>
      <c r="E2556" s="35" t="s">
        <v>1116</v>
      </c>
      <c r="F2556" s="40">
        <v>303</v>
      </c>
      <c r="G2556" s="145" t="s">
        <v>1814</v>
      </c>
      <c r="H2556" s="40">
        <v>1</v>
      </c>
      <c r="I2556" s="56"/>
    </row>
    <row r="2557" spans="1:9" ht="21.6" customHeight="1">
      <c r="A2557" s="27">
        <v>2820</v>
      </c>
      <c r="B2557" s="34" t="s">
        <v>1319</v>
      </c>
      <c r="C2557" s="34" t="s">
        <v>1117</v>
      </c>
      <c r="D2557" s="34" t="s">
        <v>1709</v>
      </c>
      <c r="E2557" s="35" t="s">
        <v>1118</v>
      </c>
      <c r="F2557" s="40">
        <v>303</v>
      </c>
      <c r="G2557" s="145" t="s">
        <v>1815</v>
      </c>
      <c r="H2557" s="40">
        <v>1</v>
      </c>
      <c r="I2557" s="56"/>
    </row>
    <row r="2558" spans="1:9" ht="21.6" customHeight="1">
      <c r="A2558" s="27">
        <v>2821</v>
      </c>
      <c r="B2558" s="34" t="s">
        <v>1319</v>
      </c>
      <c r="C2558" s="34" t="s">
        <v>1119</v>
      </c>
      <c r="D2558" s="34" t="s">
        <v>1710</v>
      </c>
      <c r="E2558" s="35" t="s">
        <v>1120</v>
      </c>
      <c r="F2558" s="40">
        <v>606</v>
      </c>
      <c r="G2558" s="145" t="s">
        <v>1851</v>
      </c>
      <c r="H2558" s="40">
        <v>1</v>
      </c>
      <c r="I2558" s="56"/>
    </row>
    <row r="2559" spans="1:9" ht="21.6" customHeight="1">
      <c r="A2559" s="27">
        <v>2822</v>
      </c>
      <c r="B2559" s="34" t="s">
        <v>1319</v>
      </c>
      <c r="C2559" s="34" t="s">
        <v>1121</v>
      </c>
      <c r="D2559" s="34" t="s">
        <v>1711</v>
      </c>
      <c r="E2559" s="35" t="s">
        <v>1122</v>
      </c>
      <c r="F2559" s="40">
        <v>606</v>
      </c>
      <c r="G2559" s="145" t="s">
        <v>1852</v>
      </c>
      <c r="H2559" s="40">
        <v>1</v>
      </c>
      <c r="I2559" s="56"/>
    </row>
    <row r="2560" spans="1:9" ht="21.6" customHeight="1">
      <c r="A2560" s="27">
        <v>2823</v>
      </c>
      <c r="B2560" s="34" t="s">
        <v>1319</v>
      </c>
      <c r="C2560" s="34" t="s">
        <v>452</v>
      </c>
      <c r="D2560" s="34" t="s">
        <v>1452</v>
      </c>
      <c r="E2560" s="35" t="s">
        <v>226</v>
      </c>
      <c r="F2560" s="40" t="s">
        <v>453</v>
      </c>
      <c r="G2560" s="144" t="s">
        <v>1816</v>
      </c>
      <c r="H2560" s="40">
        <v>1</v>
      </c>
      <c r="I2560" s="56" t="s">
        <v>455</v>
      </c>
    </row>
    <row r="2561" spans="1:9" ht="21.6" customHeight="1">
      <c r="A2561" s="27">
        <v>2824</v>
      </c>
      <c r="B2561" s="34" t="s">
        <v>1319</v>
      </c>
      <c r="C2561" s="34" t="s">
        <v>452</v>
      </c>
      <c r="D2561" s="34" t="s">
        <v>1452</v>
      </c>
      <c r="E2561" s="35" t="s">
        <v>226</v>
      </c>
      <c r="F2561" s="40" t="s">
        <v>453</v>
      </c>
      <c r="G2561" s="145" t="s">
        <v>1816</v>
      </c>
      <c r="H2561" s="40">
        <v>1</v>
      </c>
      <c r="I2561" s="56" t="s">
        <v>455</v>
      </c>
    </row>
    <row r="2562" spans="1:9" ht="21.6" customHeight="1">
      <c r="A2562" s="27">
        <v>2825</v>
      </c>
      <c r="B2562" s="34" t="s">
        <v>1319</v>
      </c>
      <c r="C2562" s="34" t="s">
        <v>457</v>
      </c>
      <c r="D2562" s="34" t="s">
        <v>1453</v>
      </c>
      <c r="E2562" s="35" t="s">
        <v>458</v>
      </c>
      <c r="F2562" s="40" t="s">
        <v>453</v>
      </c>
      <c r="G2562" s="144" t="s">
        <v>1817</v>
      </c>
      <c r="H2562" s="40">
        <v>1</v>
      </c>
      <c r="I2562" s="56" t="s">
        <v>455</v>
      </c>
    </row>
    <row r="2563" spans="1:9" ht="21.6" customHeight="1">
      <c r="A2563" s="27">
        <v>2826</v>
      </c>
      <c r="B2563" s="34" t="s">
        <v>1319</v>
      </c>
      <c r="C2563" s="34" t="s">
        <v>225</v>
      </c>
      <c r="D2563" s="34" t="s">
        <v>1375</v>
      </c>
      <c r="E2563" s="35" t="s">
        <v>226</v>
      </c>
      <c r="F2563" s="68" t="s">
        <v>470</v>
      </c>
      <c r="G2563" s="145" t="s">
        <v>1838</v>
      </c>
      <c r="H2563" s="40">
        <v>1</v>
      </c>
      <c r="I2563" s="56"/>
    </row>
    <row r="2564" spans="1:9" ht="21.6" customHeight="1">
      <c r="A2564" s="27">
        <v>2827</v>
      </c>
      <c r="B2564" s="34" t="s">
        <v>1319</v>
      </c>
      <c r="C2564" s="34" t="s">
        <v>225</v>
      </c>
      <c r="D2564" s="34" t="s">
        <v>1375</v>
      </c>
      <c r="E2564" s="35" t="s">
        <v>226</v>
      </c>
      <c r="F2564" s="68" t="s">
        <v>470</v>
      </c>
      <c r="G2564" s="144" t="s">
        <v>1123</v>
      </c>
      <c r="H2564" s="40">
        <v>1</v>
      </c>
      <c r="I2564" s="56"/>
    </row>
    <row r="2565" spans="1:9" ht="21.6" customHeight="1">
      <c r="A2565" s="27">
        <v>2828</v>
      </c>
      <c r="B2565" s="34" t="s">
        <v>1319</v>
      </c>
      <c r="C2565" s="34" t="s">
        <v>229</v>
      </c>
      <c r="D2565" s="64" t="s">
        <v>1376</v>
      </c>
      <c r="E2565" s="7" t="s">
        <v>230</v>
      </c>
      <c r="F2565" s="68" t="s">
        <v>470</v>
      </c>
      <c r="G2565" s="145" t="s">
        <v>1839</v>
      </c>
      <c r="H2565" s="40">
        <v>1</v>
      </c>
      <c r="I2565" s="56"/>
    </row>
    <row r="2566" spans="1:9" ht="21.6" customHeight="1">
      <c r="A2566" s="27">
        <v>2829</v>
      </c>
      <c r="B2566" s="34" t="s">
        <v>1319</v>
      </c>
      <c r="C2566" s="34" t="s">
        <v>332</v>
      </c>
      <c r="D2566" s="34" t="s">
        <v>1410</v>
      </c>
      <c r="E2566" s="35" t="s">
        <v>333</v>
      </c>
      <c r="F2566" s="40">
        <v>500</v>
      </c>
      <c r="G2566" s="144" t="s">
        <v>1853</v>
      </c>
      <c r="H2566" s="40">
        <v>2</v>
      </c>
      <c r="I2566" s="56" t="s">
        <v>1124</v>
      </c>
    </row>
    <row r="2567" spans="1:9" ht="21.6" customHeight="1">
      <c r="A2567" s="27">
        <v>2830</v>
      </c>
      <c r="B2567" s="34" t="s">
        <v>1319</v>
      </c>
      <c r="C2567" s="34" t="s">
        <v>452</v>
      </c>
      <c r="D2567" s="34" t="s">
        <v>1452</v>
      </c>
      <c r="E2567" s="35" t="s">
        <v>226</v>
      </c>
      <c r="F2567" s="40">
        <v>500</v>
      </c>
      <c r="G2567" s="144" t="s">
        <v>1211</v>
      </c>
      <c r="H2567" s="40">
        <v>1</v>
      </c>
      <c r="I2567" s="56" t="s">
        <v>1124</v>
      </c>
    </row>
    <row r="2568" spans="1:9" ht="21.6" customHeight="1">
      <c r="A2568" s="27">
        <v>2831</v>
      </c>
      <c r="B2568" s="34" t="s">
        <v>1319</v>
      </c>
      <c r="C2568" s="34" t="s">
        <v>467</v>
      </c>
      <c r="D2568" s="34" t="s">
        <v>1457</v>
      </c>
      <c r="E2568" s="35" t="s">
        <v>468</v>
      </c>
      <c r="F2568" s="40">
        <v>500</v>
      </c>
      <c r="G2568" s="145" t="s">
        <v>1126</v>
      </c>
      <c r="H2568" s="40">
        <v>1</v>
      </c>
      <c r="I2568" s="56" t="s">
        <v>1124</v>
      </c>
    </row>
    <row r="2569" spans="1:9" ht="21.6" customHeight="1">
      <c r="A2569" s="27">
        <v>2832</v>
      </c>
      <c r="B2569" s="34" t="s">
        <v>1319</v>
      </c>
      <c r="C2569" s="34" t="s">
        <v>548</v>
      </c>
      <c r="D2569" s="78" t="s">
        <v>1489</v>
      </c>
      <c r="E2569" s="35" t="s">
        <v>549</v>
      </c>
      <c r="F2569" s="40">
        <v>100</v>
      </c>
      <c r="G2569" s="145" t="s">
        <v>1819</v>
      </c>
      <c r="H2569" s="40">
        <v>1</v>
      </c>
      <c r="I2569" s="56" t="s">
        <v>116</v>
      </c>
    </row>
    <row r="2570" spans="1:9" ht="21.6" customHeight="1">
      <c r="A2570" s="27">
        <v>2833</v>
      </c>
      <c r="B2570" s="34" t="s">
        <v>1319</v>
      </c>
      <c r="C2570" s="34" t="s">
        <v>551</v>
      </c>
      <c r="D2570" s="34" t="s">
        <v>1490</v>
      </c>
      <c r="E2570" s="35" t="s">
        <v>552</v>
      </c>
      <c r="F2570" s="40">
        <v>100</v>
      </c>
      <c r="G2570" s="145" t="s">
        <v>115</v>
      </c>
      <c r="H2570" s="40">
        <v>1</v>
      </c>
      <c r="I2570" s="56" t="s">
        <v>116</v>
      </c>
    </row>
    <row r="2571" spans="1:9" ht="21.6" customHeight="1">
      <c r="A2571" s="27">
        <v>2834</v>
      </c>
      <c r="B2571" s="34" t="s">
        <v>1319</v>
      </c>
      <c r="C2571" s="34" t="s">
        <v>554</v>
      </c>
      <c r="D2571" s="34" t="s">
        <v>1491</v>
      </c>
      <c r="E2571" s="35" t="s">
        <v>555</v>
      </c>
      <c r="F2571" s="40">
        <v>100</v>
      </c>
      <c r="G2571" s="145" t="s">
        <v>550</v>
      </c>
      <c r="H2571" s="40">
        <v>1</v>
      </c>
      <c r="I2571" s="56" t="s">
        <v>116</v>
      </c>
    </row>
    <row r="2572" spans="1:9" ht="21.6" customHeight="1">
      <c r="A2572" s="27">
        <v>2835</v>
      </c>
      <c r="B2572" s="34" t="s">
        <v>1319</v>
      </c>
      <c r="C2572" s="34" t="s">
        <v>1127</v>
      </c>
      <c r="D2572" s="79" t="s">
        <v>1712</v>
      </c>
      <c r="E2572" s="35" t="s">
        <v>1128</v>
      </c>
      <c r="F2572" s="40">
        <v>303</v>
      </c>
      <c r="G2572" s="145" t="s">
        <v>1212</v>
      </c>
      <c r="H2572" s="40" t="s">
        <v>123</v>
      </c>
      <c r="I2572" s="56"/>
    </row>
    <row r="2573" spans="1:9" ht="21.6" customHeight="1">
      <c r="A2573" s="27">
        <v>2836</v>
      </c>
      <c r="B2573" s="34" t="s">
        <v>1319</v>
      </c>
      <c r="C2573" s="34" t="s">
        <v>1213</v>
      </c>
      <c r="D2573" s="79" t="s">
        <v>1733</v>
      </c>
      <c r="E2573" s="35" t="s">
        <v>1214</v>
      </c>
      <c r="F2573" s="40">
        <v>303</v>
      </c>
      <c r="G2573" s="145" t="s">
        <v>1857</v>
      </c>
      <c r="H2573" s="40" t="s">
        <v>123</v>
      </c>
      <c r="I2573" s="56"/>
    </row>
    <row r="2574" spans="1:9" ht="21.6" customHeight="1">
      <c r="A2574" s="27">
        <v>2837</v>
      </c>
      <c r="B2574" s="34" t="s">
        <v>1319</v>
      </c>
      <c r="C2574" s="34" t="s">
        <v>1129</v>
      </c>
      <c r="D2574" s="80" t="s">
        <v>1713</v>
      </c>
      <c r="E2574" s="35" t="s">
        <v>1130</v>
      </c>
      <c r="F2574" s="40">
        <v>303</v>
      </c>
      <c r="G2574" s="145" t="s">
        <v>1820</v>
      </c>
      <c r="H2574" s="40" t="s">
        <v>123</v>
      </c>
      <c r="I2574" s="56"/>
    </row>
    <row r="2575" spans="1:9" ht="21.6" customHeight="1">
      <c r="A2575" s="27">
        <v>2838</v>
      </c>
      <c r="B2575" s="34" t="s">
        <v>1319</v>
      </c>
      <c r="C2575" s="34" t="s">
        <v>1131</v>
      </c>
      <c r="D2575" s="34" t="s">
        <v>1714</v>
      </c>
      <c r="E2575" s="35" t="s">
        <v>1132</v>
      </c>
      <c r="F2575" s="40">
        <v>550</v>
      </c>
      <c r="G2575" s="145" t="s">
        <v>244</v>
      </c>
      <c r="H2575" s="40" t="s">
        <v>123</v>
      </c>
      <c r="I2575" s="56"/>
    </row>
    <row r="2576" spans="1:9" ht="21.6" customHeight="1">
      <c r="A2576" s="27">
        <v>2839</v>
      </c>
      <c r="B2576" s="34" t="s">
        <v>1319</v>
      </c>
      <c r="C2576" s="34" t="s">
        <v>1133</v>
      </c>
      <c r="D2576" s="34" t="s">
        <v>1715</v>
      </c>
      <c r="E2576" s="35" t="s">
        <v>1134</v>
      </c>
      <c r="F2576" s="40">
        <v>303</v>
      </c>
      <c r="G2576" s="145" t="s">
        <v>1135</v>
      </c>
      <c r="H2576" s="40" t="s">
        <v>123</v>
      </c>
      <c r="I2576" s="56"/>
    </row>
    <row r="2577" spans="1:9" ht="21.6" customHeight="1">
      <c r="A2577" s="27">
        <v>2840</v>
      </c>
      <c r="B2577" s="34" t="s">
        <v>1319</v>
      </c>
      <c r="C2577" s="34" t="s">
        <v>563</v>
      </c>
      <c r="D2577" s="34" t="s">
        <v>1495</v>
      </c>
      <c r="E2577" s="35" t="s">
        <v>564</v>
      </c>
      <c r="F2577" s="40">
        <v>303</v>
      </c>
      <c r="G2577" s="145" t="s">
        <v>1803</v>
      </c>
      <c r="H2577" s="40" t="s">
        <v>123</v>
      </c>
      <c r="I2577" s="56"/>
    </row>
    <row r="2578" spans="1:9" ht="21.6" customHeight="1">
      <c r="A2578" s="27">
        <v>2841</v>
      </c>
      <c r="B2578" s="34" t="s">
        <v>1319</v>
      </c>
      <c r="C2578" s="34" t="s">
        <v>1136</v>
      </c>
      <c r="D2578" s="34" t="s">
        <v>1716</v>
      </c>
      <c r="E2578" s="35" t="s">
        <v>1137</v>
      </c>
      <c r="F2578" s="40">
        <v>606</v>
      </c>
      <c r="G2578" s="145" t="s">
        <v>1803</v>
      </c>
      <c r="H2578" s="40" t="s">
        <v>123</v>
      </c>
      <c r="I2578" s="56"/>
    </row>
    <row r="2579" spans="1:9" ht="21.6" customHeight="1">
      <c r="A2579" s="27">
        <v>2842</v>
      </c>
      <c r="B2579" s="34" t="s">
        <v>1319</v>
      </c>
      <c r="C2579" s="34" t="s">
        <v>481</v>
      </c>
      <c r="D2579" s="34" t="s">
        <v>1462</v>
      </c>
      <c r="E2579" s="35" t="s">
        <v>482</v>
      </c>
      <c r="F2579" s="40" t="s">
        <v>453</v>
      </c>
      <c r="G2579" s="145" t="s">
        <v>567</v>
      </c>
      <c r="H2579" s="40" t="s">
        <v>123</v>
      </c>
      <c r="I2579" s="56" t="s">
        <v>455</v>
      </c>
    </row>
    <row r="2580" spans="1:9" ht="21.6" customHeight="1">
      <c r="A2580" s="27">
        <v>2843</v>
      </c>
      <c r="B2580" s="34" t="s">
        <v>1319</v>
      </c>
      <c r="C2580" s="34" t="s">
        <v>484</v>
      </c>
      <c r="D2580" s="34" t="s">
        <v>1463</v>
      </c>
      <c r="E2580" s="35" t="s">
        <v>485</v>
      </c>
      <c r="F2580" s="40">
        <v>500</v>
      </c>
      <c r="G2580" s="145" t="s">
        <v>1189</v>
      </c>
      <c r="H2580" s="40" t="s">
        <v>123</v>
      </c>
      <c r="I2580" s="56" t="s">
        <v>1124</v>
      </c>
    </row>
    <row r="2581" spans="1:9" ht="21.6" customHeight="1">
      <c r="A2581" s="27">
        <v>2844</v>
      </c>
      <c r="B2581" s="34" t="s">
        <v>1319</v>
      </c>
      <c r="C2581" s="34" t="s">
        <v>248</v>
      </c>
      <c r="D2581" s="67" t="s">
        <v>1383</v>
      </c>
      <c r="E2581" s="30" t="s">
        <v>249</v>
      </c>
      <c r="F2581" s="68" t="s">
        <v>470</v>
      </c>
      <c r="G2581" s="145" t="s">
        <v>1854</v>
      </c>
      <c r="H2581" s="40" t="s">
        <v>123</v>
      </c>
      <c r="I2581" s="56"/>
    </row>
    <row r="2582" spans="1:9" ht="21.6" customHeight="1">
      <c r="A2582" s="27">
        <v>2845</v>
      </c>
      <c r="B2582" s="34" t="s">
        <v>1319</v>
      </c>
      <c r="C2582" s="34" t="s">
        <v>1139</v>
      </c>
      <c r="D2582" s="34" t="s">
        <v>1717</v>
      </c>
      <c r="E2582" s="35" t="s">
        <v>1140</v>
      </c>
      <c r="F2582" s="40" t="s">
        <v>123</v>
      </c>
      <c r="G2582" s="145" t="s">
        <v>132</v>
      </c>
      <c r="H2582" s="40" t="s">
        <v>123</v>
      </c>
      <c r="I2582" s="56"/>
    </row>
    <row r="2583" spans="1:9" ht="21.6" customHeight="1">
      <c r="A2583" s="27">
        <v>2846</v>
      </c>
      <c r="B2583" s="34" t="s">
        <v>1319</v>
      </c>
      <c r="C2583" s="34" t="s">
        <v>1141</v>
      </c>
      <c r="D2583" s="34" t="s">
        <v>1718</v>
      </c>
      <c r="E2583" s="35" t="s">
        <v>1142</v>
      </c>
      <c r="F2583" s="40" t="s">
        <v>123</v>
      </c>
      <c r="G2583" s="145" t="s">
        <v>129</v>
      </c>
      <c r="H2583" s="40" t="s">
        <v>123</v>
      </c>
      <c r="I2583" s="56"/>
    </row>
    <row r="2584" spans="1:9" ht="21.6" customHeight="1">
      <c r="A2584" s="27">
        <v>2847</v>
      </c>
      <c r="B2584" s="34" t="s">
        <v>1319</v>
      </c>
      <c r="C2584" s="34" t="s">
        <v>1143</v>
      </c>
      <c r="D2584" s="34" t="s">
        <v>1719</v>
      </c>
      <c r="E2584" s="35" t="s">
        <v>1144</v>
      </c>
      <c r="F2584" s="40" t="s">
        <v>123</v>
      </c>
      <c r="G2584" s="145" t="s">
        <v>1215</v>
      </c>
      <c r="H2584" s="40" t="s">
        <v>123</v>
      </c>
      <c r="I2584" s="56" t="s">
        <v>1216</v>
      </c>
    </row>
    <row r="2585" spans="1:9" ht="21.6" customHeight="1">
      <c r="A2585" s="27">
        <v>2848</v>
      </c>
      <c r="B2585" s="34" t="s">
        <v>1319</v>
      </c>
      <c r="C2585" s="34" t="s">
        <v>1217</v>
      </c>
      <c r="D2585" s="34" t="s">
        <v>1734</v>
      </c>
      <c r="E2585" s="35" t="s">
        <v>1218</v>
      </c>
      <c r="F2585" s="40" t="s">
        <v>123</v>
      </c>
      <c r="G2585" s="145" t="s">
        <v>1219</v>
      </c>
      <c r="H2585" s="40" t="s">
        <v>123</v>
      </c>
      <c r="I2585" s="56" t="s">
        <v>1220</v>
      </c>
    </row>
    <row r="2586" spans="1:9" ht="21.6" customHeight="1">
      <c r="A2586" s="27">
        <v>2849</v>
      </c>
      <c r="B2586" s="34" t="s">
        <v>1319</v>
      </c>
      <c r="C2586" s="34" t="s">
        <v>1145</v>
      </c>
      <c r="D2586" s="34" t="s">
        <v>1720</v>
      </c>
      <c r="E2586" s="35" t="s">
        <v>1146</v>
      </c>
      <c r="F2586" s="40" t="s">
        <v>123</v>
      </c>
      <c r="G2586" s="144" t="s">
        <v>1821</v>
      </c>
      <c r="H2586" s="40" t="s">
        <v>123</v>
      </c>
      <c r="I2586" s="56"/>
    </row>
    <row r="2587" spans="1:9" ht="21.6" customHeight="1">
      <c r="A2587" s="27">
        <v>2850</v>
      </c>
      <c r="B2587" s="34" t="s">
        <v>1319</v>
      </c>
      <c r="C2587" s="34" t="s">
        <v>1147</v>
      </c>
      <c r="D2587" s="34" t="s">
        <v>1721</v>
      </c>
      <c r="E2587" s="35" t="s">
        <v>1148</v>
      </c>
      <c r="F2587" s="40" t="s">
        <v>123</v>
      </c>
      <c r="G2587" s="144" t="s">
        <v>582</v>
      </c>
      <c r="H2587" s="40" t="s">
        <v>123</v>
      </c>
      <c r="I2587" s="56"/>
    </row>
    <row r="2588" spans="1:9" ht="21.6" customHeight="1">
      <c r="A2588" s="118">
        <v>2852</v>
      </c>
      <c r="B2588" s="119" t="s">
        <v>1319</v>
      </c>
      <c r="C2588" s="119" t="s">
        <v>1149</v>
      </c>
      <c r="D2588" s="119" t="s">
        <v>1722</v>
      </c>
      <c r="E2588" s="99" t="s">
        <v>1150</v>
      </c>
      <c r="F2588" s="120" t="s">
        <v>123</v>
      </c>
      <c r="G2588" s="151" t="s">
        <v>1151</v>
      </c>
      <c r="H2588" s="120" t="s">
        <v>123</v>
      </c>
      <c r="I2588" s="121"/>
    </row>
    <row r="2589" spans="1:9" ht="21.6" customHeight="1">
      <c r="A2589" s="20">
        <v>2853</v>
      </c>
      <c r="B2589" s="134" t="s">
        <v>1320</v>
      </c>
      <c r="C2589" s="134" t="s">
        <v>498</v>
      </c>
      <c r="D2589" s="73" t="s">
        <v>1469</v>
      </c>
      <c r="E2589" s="72" t="s">
        <v>499</v>
      </c>
      <c r="F2589" s="74">
        <v>600</v>
      </c>
      <c r="G2589" s="143" t="s">
        <v>71</v>
      </c>
      <c r="H2589" s="74">
        <v>4</v>
      </c>
      <c r="I2589" s="75"/>
    </row>
    <row r="2590" spans="1:9" ht="21.6" customHeight="1">
      <c r="A2590" s="27">
        <v>2854</v>
      </c>
      <c r="B2590" s="36" t="s">
        <v>1320</v>
      </c>
      <c r="C2590" s="36" t="s">
        <v>500</v>
      </c>
      <c r="D2590" s="34" t="s">
        <v>1470</v>
      </c>
      <c r="E2590" s="35" t="s">
        <v>501</v>
      </c>
      <c r="F2590" s="76" t="s">
        <v>123</v>
      </c>
      <c r="G2590" s="145" t="s">
        <v>502</v>
      </c>
      <c r="H2590" s="40">
        <v>1</v>
      </c>
      <c r="I2590" s="56" t="s">
        <v>503</v>
      </c>
    </row>
    <row r="2591" spans="1:9" ht="21.6" customHeight="1">
      <c r="A2591" s="27">
        <v>2855</v>
      </c>
      <c r="B2591" s="36" t="s">
        <v>1320</v>
      </c>
      <c r="C2591" s="36" t="s">
        <v>1152</v>
      </c>
      <c r="D2591" s="34" t="s">
        <v>1723</v>
      </c>
      <c r="E2591" s="35" t="s">
        <v>1153</v>
      </c>
      <c r="F2591" s="76" t="s">
        <v>123</v>
      </c>
      <c r="G2591" s="145" t="s">
        <v>703</v>
      </c>
      <c r="H2591" s="40">
        <v>1</v>
      </c>
      <c r="I2591" s="56" t="s">
        <v>503</v>
      </c>
    </row>
    <row r="2592" spans="1:9" ht="21.6" customHeight="1">
      <c r="A2592" s="27">
        <v>2856</v>
      </c>
      <c r="B2592" s="36" t="s">
        <v>1320</v>
      </c>
      <c r="C2592" s="36" t="s">
        <v>1154</v>
      </c>
      <c r="D2592" s="34" t="s">
        <v>1724</v>
      </c>
      <c r="E2592" s="35" t="s">
        <v>1155</v>
      </c>
      <c r="F2592" s="76" t="s">
        <v>123</v>
      </c>
      <c r="G2592" s="144" t="s">
        <v>706</v>
      </c>
      <c r="H2592" s="40">
        <v>1</v>
      </c>
      <c r="I2592" s="56" t="s">
        <v>503</v>
      </c>
    </row>
    <row r="2593" spans="1:9" ht="21.6" customHeight="1">
      <c r="A2593" s="27">
        <v>2857</v>
      </c>
      <c r="B2593" s="36" t="s">
        <v>1320</v>
      </c>
      <c r="C2593" s="36" t="s">
        <v>1156</v>
      </c>
      <c r="D2593" s="34" t="s">
        <v>1725</v>
      </c>
      <c r="E2593" s="35" t="s">
        <v>1157</v>
      </c>
      <c r="F2593" s="76" t="s">
        <v>123</v>
      </c>
      <c r="G2593" s="145" t="s">
        <v>709</v>
      </c>
      <c r="H2593" s="40">
        <v>1</v>
      </c>
      <c r="I2593" s="56" t="s">
        <v>503</v>
      </c>
    </row>
    <row r="2594" spans="1:9" ht="21.6" customHeight="1">
      <c r="A2594" s="27">
        <v>2858</v>
      </c>
      <c r="B2594" s="36" t="s">
        <v>1320</v>
      </c>
      <c r="C2594" s="36" t="s">
        <v>504</v>
      </c>
      <c r="D2594" s="34" t="s">
        <v>1471</v>
      </c>
      <c r="E2594" s="35" t="s">
        <v>505</v>
      </c>
      <c r="F2594" s="40">
        <v>600</v>
      </c>
      <c r="G2594" s="145" t="s">
        <v>415</v>
      </c>
      <c r="H2594" s="40">
        <v>4</v>
      </c>
      <c r="I2594" s="56"/>
    </row>
    <row r="2595" spans="1:9" ht="21.6" customHeight="1">
      <c r="A2595" s="27">
        <v>2859</v>
      </c>
      <c r="B2595" s="36" t="s">
        <v>1320</v>
      </c>
      <c r="C2595" s="36" t="s">
        <v>691</v>
      </c>
      <c r="D2595" s="34" t="s">
        <v>1539</v>
      </c>
      <c r="E2595" s="35" t="s">
        <v>692</v>
      </c>
      <c r="F2595" s="40">
        <v>600</v>
      </c>
      <c r="G2595" s="144" t="s">
        <v>597</v>
      </c>
      <c r="H2595" s="40">
        <v>1</v>
      </c>
      <c r="I2595" s="89" t="s">
        <v>1220</v>
      </c>
    </row>
    <row r="2596" spans="1:9" ht="21.6" customHeight="1">
      <c r="A2596" s="27">
        <v>2860</v>
      </c>
      <c r="B2596" s="36" t="s">
        <v>1320</v>
      </c>
      <c r="C2596" s="36" t="s">
        <v>506</v>
      </c>
      <c r="D2596" s="34" t="s">
        <v>1472</v>
      </c>
      <c r="E2596" s="35" t="s">
        <v>507</v>
      </c>
      <c r="F2596" s="40">
        <v>600</v>
      </c>
      <c r="G2596" s="144" t="s">
        <v>901</v>
      </c>
      <c r="H2596" s="40">
        <v>3</v>
      </c>
      <c r="I2596" s="89" t="s">
        <v>1221</v>
      </c>
    </row>
    <row r="2597" spans="1:9" ht="21.6" customHeight="1">
      <c r="A2597" s="27">
        <v>2861</v>
      </c>
      <c r="B2597" s="36" t="s">
        <v>1320</v>
      </c>
      <c r="C2597" s="36" t="s">
        <v>508</v>
      </c>
      <c r="D2597" s="34" t="s">
        <v>1473</v>
      </c>
      <c r="E2597" s="35" t="s">
        <v>509</v>
      </c>
      <c r="F2597" s="40">
        <v>600</v>
      </c>
      <c r="G2597" s="145" t="s">
        <v>104</v>
      </c>
      <c r="H2597" s="40">
        <v>4</v>
      </c>
      <c r="I2597" s="56"/>
    </row>
    <row r="2598" spans="1:9" ht="21.6" customHeight="1">
      <c r="A2598" s="27">
        <v>2862</v>
      </c>
      <c r="B2598" s="36" t="s">
        <v>1320</v>
      </c>
      <c r="C2598" s="36" t="s">
        <v>510</v>
      </c>
      <c r="D2598" s="34" t="s">
        <v>1474</v>
      </c>
      <c r="E2598" s="35" t="s">
        <v>511</v>
      </c>
      <c r="F2598" s="40">
        <v>600</v>
      </c>
      <c r="G2598" s="145" t="s">
        <v>1806</v>
      </c>
      <c r="H2598" s="40">
        <v>4</v>
      </c>
      <c r="I2598" s="56"/>
    </row>
    <row r="2599" spans="1:9" ht="21.6" customHeight="1">
      <c r="A2599" s="27">
        <v>2863</v>
      </c>
      <c r="B2599" s="36" t="s">
        <v>1320</v>
      </c>
      <c r="C2599" s="36" t="s">
        <v>512</v>
      </c>
      <c r="D2599" s="34" t="s">
        <v>1475</v>
      </c>
      <c r="E2599" s="35" t="s">
        <v>513</v>
      </c>
      <c r="F2599" s="40">
        <v>600</v>
      </c>
      <c r="G2599" s="145" t="s">
        <v>1807</v>
      </c>
      <c r="H2599" s="40">
        <v>4</v>
      </c>
      <c r="I2599" s="56"/>
    </row>
    <row r="2600" spans="1:9" ht="21.6" customHeight="1">
      <c r="A2600" s="27">
        <v>2864</v>
      </c>
      <c r="B2600" s="36" t="s">
        <v>1320</v>
      </c>
      <c r="C2600" s="36" t="s">
        <v>514</v>
      </c>
      <c r="D2600" s="34" t="s">
        <v>1476</v>
      </c>
      <c r="E2600" s="35" t="s">
        <v>515</v>
      </c>
      <c r="F2600" s="40">
        <v>600</v>
      </c>
      <c r="G2600" s="145" t="s">
        <v>516</v>
      </c>
      <c r="H2600" s="40">
        <v>4</v>
      </c>
      <c r="I2600" s="56"/>
    </row>
    <row r="2601" spans="1:9" s="77" customFormat="1" ht="21.6" customHeight="1">
      <c r="A2601" s="27">
        <v>2865</v>
      </c>
      <c r="B2601" s="36" t="s">
        <v>1320</v>
      </c>
      <c r="C2601" s="36" t="s">
        <v>517</v>
      </c>
      <c r="D2601" s="47" t="s">
        <v>1477</v>
      </c>
      <c r="E2601" s="48" t="s">
        <v>518</v>
      </c>
      <c r="F2601" s="40">
        <v>600</v>
      </c>
      <c r="G2601" s="145" t="s">
        <v>1808</v>
      </c>
      <c r="H2601" s="40">
        <v>1</v>
      </c>
      <c r="I2601" s="56"/>
    </row>
    <row r="2602" spans="1:9" ht="21.6" customHeight="1">
      <c r="A2602" s="27">
        <v>2866</v>
      </c>
      <c r="B2602" s="36" t="s">
        <v>1320</v>
      </c>
      <c r="C2602" s="36" t="s">
        <v>519</v>
      </c>
      <c r="D2602" s="34" t="s">
        <v>1478</v>
      </c>
      <c r="E2602" s="35" t="s">
        <v>520</v>
      </c>
      <c r="F2602" s="40">
        <v>600</v>
      </c>
      <c r="G2602" s="144" t="s">
        <v>101</v>
      </c>
      <c r="H2602" s="40">
        <v>1</v>
      </c>
      <c r="I2602" s="56"/>
    </row>
    <row r="2603" spans="1:9" ht="21.6" customHeight="1">
      <c r="A2603" s="27">
        <v>2867</v>
      </c>
      <c r="B2603" s="36" t="s">
        <v>1320</v>
      </c>
      <c r="C2603" s="36" t="s">
        <v>521</v>
      </c>
      <c r="D2603" s="34" t="s">
        <v>1479</v>
      </c>
      <c r="E2603" s="35" t="s">
        <v>522</v>
      </c>
      <c r="F2603" s="40">
        <v>600</v>
      </c>
      <c r="G2603" s="145" t="s">
        <v>523</v>
      </c>
      <c r="H2603" s="40">
        <v>1</v>
      </c>
      <c r="I2603" s="56"/>
    </row>
    <row r="2604" spans="1:9" ht="21.6" customHeight="1">
      <c r="A2604" s="27">
        <v>2868</v>
      </c>
      <c r="B2604" s="36" t="s">
        <v>1320</v>
      </c>
      <c r="C2604" s="36" t="s">
        <v>1158</v>
      </c>
      <c r="D2604" s="34" t="s">
        <v>1726</v>
      </c>
      <c r="E2604" s="35" t="s">
        <v>1159</v>
      </c>
      <c r="F2604" s="40">
        <v>600</v>
      </c>
      <c r="G2604" s="145" t="s">
        <v>1851</v>
      </c>
      <c r="H2604" s="40">
        <v>1</v>
      </c>
      <c r="I2604" s="89" t="s">
        <v>1222</v>
      </c>
    </row>
    <row r="2605" spans="1:9" ht="21.6" customHeight="1">
      <c r="A2605" s="27">
        <v>2869</v>
      </c>
      <c r="B2605" s="36" t="s">
        <v>1320</v>
      </c>
      <c r="C2605" s="36" t="s">
        <v>1161</v>
      </c>
      <c r="D2605" s="36" t="s">
        <v>1727</v>
      </c>
      <c r="E2605" s="37" t="s">
        <v>1162</v>
      </c>
      <c r="F2605" s="40">
        <v>600</v>
      </c>
      <c r="G2605" s="145" t="s">
        <v>1851</v>
      </c>
      <c r="H2605" s="40">
        <v>1</v>
      </c>
      <c r="I2605" s="89" t="s">
        <v>1223</v>
      </c>
    </row>
    <row r="2606" spans="1:9" ht="21.6" customHeight="1">
      <c r="A2606" s="27">
        <v>2870</v>
      </c>
      <c r="B2606" s="36" t="s">
        <v>1320</v>
      </c>
      <c r="C2606" s="36" t="s">
        <v>99</v>
      </c>
      <c r="D2606" s="36" t="s">
        <v>1334</v>
      </c>
      <c r="E2606" s="37" t="s">
        <v>100</v>
      </c>
      <c r="F2606" s="40">
        <v>600</v>
      </c>
      <c r="G2606" s="144" t="s">
        <v>101</v>
      </c>
      <c r="H2606" s="40">
        <v>1</v>
      </c>
      <c r="I2606" s="89" t="s">
        <v>1224</v>
      </c>
    </row>
    <row r="2607" spans="1:9" ht="21.6" customHeight="1">
      <c r="A2607" s="27">
        <v>2872</v>
      </c>
      <c r="B2607" s="36" t="s">
        <v>1320</v>
      </c>
      <c r="C2607" s="36" t="s">
        <v>524</v>
      </c>
      <c r="D2607" s="34" t="s">
        <v>1480</v>
      </c>
      <c r="E2607" s="35" t="s">
        <v>525</v>
      </c>
      <c r="F2607" s="40">
        <v>600</v>
      </c>
      <c r="G2607" s="144" t="s">
        <v>1809</v>
      </c>
      <c r="H2607" s="40">
        <v>1</v>
      </c>
      <c r="I2607" s="56" t="s">
        <v>526</v>
      </c>
    </row>
    <row r="2608" spans="1:9" ht="21.6" customHeight="1">
      <c r="A2608" s="27">
        <v>2873</v>
      </c>
      <c r="B2608" s="36" t="s">
        <v>1320</v>
      </c>
      <c r="C2608" s="36" t="s">
        <v>527</v>
      </c>
      <c r="D2608" s="34" t="s">
        <v>1481</v>
      </c>
      <c r="E2608" s="35" t="s">
        <v>528</v>
      </c>
      <c r="F2608" s="40">
        <v>600</v>
      </c>
      <c r="G2608" s="144" t="s">
        <v>1810</v>
      </c>
      <c r="H2608" s="40">
        <v>1</v>
      </c>
      <c r="I2608" s="56"/>
    </row>
    <row r="2609" spans="1:9" ht="21.6" customHeight="1">
      <c r="A2609" s="27">
        <v>2874</v>
      </c>
      <c r="B2609" s="36" t="s">
        <v>1320</v>
      </c>
      <c r="C2609" s="36" t="s">
        <v>529</v>
      </c>
      <c r="D2609" s="34" t="s">
        <v>1482</v>
      </c>
      <c r="E2609" s="35" t="s">
        <v>530</v>
      </c>
      <c r="F2609" s="40">
        <v>600</v>
      </c>
      <c r="G2609" s="144" t="s">
        <v>1811</v>
      </c>
      <c r="H2609" s="40">
        <v>1</v>
      </c>
      <c r="I2609" s="56"/>
    </row>
    <row r="2610" spans="1:9" ht="21.6" customHeight="1">
      <c r="A2610" s="27">
        <v>2875</v>
      </c>
      <c r="B2610" s="36" t="s">
        <v>1320</v>
      </c>
      <c r="C2610" s="36" t="s">
        <v>531</v>
      </c>
      <c r="D2610" s="34" t="s">
        <v>1483</v>
      </c>
      <c r="E2610" s="35" t="s">
        <v>532</v>
      </c>
      <c r="F2610" s="40">
        <v>600</v>
      </c>
      <c r="G2610" s="144" t="s">
        <v>533</v>
      </c>
      <c r="H2610" s="40">
        <v>1</v>
      </c>
      <c r="I2610" s="56"/>
    </row>
    <row r="2611" spans="1:9" ht="21.6" customHeight="1">
      <c r="A2611" s="27">
        <v>2876</v>
      </c>
      <c r="B2611" s="36" t="s">
        <v>1320</v>
      </c>
      <c r="C2611" s="36" t="s">
        <v>534</v>
      </c>
      <c r="D2611" s="34" t="s">
        <v>1484</v>
      </c>
      <c r="E2611" s="35" t="s">
        <v>535</v>
      </c>
      <c r="F2611" s="40">
        <v>600</v>
      </c>
      <c r="G2611" s="145" t="s">
        <v>1812</v>
      </c>
      <c r="H2611" s="40">
        <v>1</v>
      </c>
      <c r="I2611" s="56"/>
    </row>
    <row r="2612" spans="1:9" ht="21.6" customHeight="1">
      <c r="A2612" s="27">
        <v>2877</v>
      </c>
      <c r="B2612" s="36" t="s">
        <v>1320</v>
      </c>
      <c r="C2612" s="36" t="s">
        <v>536</v>
      </c>
      <c r="D2612" s="34" t="s">
        <v>1485</v>
      </c>
      <c r="E2612" s="35" t="s">
        <v>537</v>
      </c>
      <c r="F2612" s="40">
        <v>600</v>
      </c>
      <c r="G2612" s="145" t="s">
        <v>1813</v>
      </c>
      <c r="H2612" s="40">
        <v>1</v>
      </c>
      <c r="I2612" s="56"/>
    </row>
    <row r="2613" spans="1:9" ht="21.6" customHeight="1">
      <c r="A2613" s="27">
        <v>2878</v>
      </c>
      <c r="B2613" s="36" t="s">
        <v>1320</v>
      </c>
      <c r="C2613" s="36" t="s">
        <v>538</v>
      </c>
      <c r="D2613" s="34" t="s">
        <v>1486</v>
      </c>
      <c r="E2613" s="35" t="s">
        <v>539</v>
      </c>
      <c r="F2613" s="40">
        <v>600</v>
      </c>
      <c r="G2613" s="145" t="s">
        <v>1814</v>
      </c>
      <c r="H2613" s="40">
        <v>1</v>
      </c>
      <c r="I2613" s="56"/>
    </row>
    <row r="2614" spans="1:9" ht="21.6" customHeight="1">
      <c r="A2614" s="27">
        <v>2879</v>
      </c>
      <c r="B2614" s="36" t="s">
        <v>1320</v>
      </c>
      <c r="C2614" s="36" t="s">
        <v>540</v>
      </c>
      <c r="D2614" s="34" t="s">
        <v>1487</v>
      </c>
      <c r="E2614" s="35" t="s">
        <v>541</v>
      </c>
      <c r="F2614" s="40">
        <v>600</v>
      </c>
      <c r="G2614" s="145" t="s">
        <v>1815</v>
      </c>
      <c r="H2614" s="40">
        <v>1</v>
      </c>
      <c r="I2614" s="56"/>
    </row>
    <row r="2615" spans="1:9" ht="21.6" customHeight="1">
      <c r="A2615" s="27">
        <v>2880</v>
      </c>
      <c r="B2615" s="36" t="s">
        <v>1320</v>
      </c>
      <c r="C2615" s="36" t="s">
        <v>542</v>
      </c>
      <c r="D2615" s="34" t="s">
        <v>1488</v>
      </c>
      <c r="E2615" s="35" t="s">
        <v>543</v>
      </c>
      <c r="F2615" s="40">
        <v>200</v>
      </c>
      <c r="G2615" s="144" t="s">
        <v>1832</v>
      </c>
      <c r="H2615" s="40">
        <v>1</v>
      </c>
      <c r="I2615" s="89" t="s">
        <v>111</v>
      </c>
    </row>
    <row r="2616" spans="1:9" ht="21.6" customHeight="1">
      <c r="A2616" s="27">
        <v>2881</v>
      </c>
      <c r="B2616" s="36" t="s">
        <v>1320</v>
      </c>
      <c r="C2616" s="36" t="s">
        <v>542</v>
      </c>
      <c r="D2616" s="34" t="s">
        <v>1488</v>
      </c>
      <c r="E2616" s="35" t="s">
        <v>543</v>
      </c>
      <c r="F2616" s="40">
        <v>200</v>
      </c>
      <c r="G2616" s="144" t="s">
        <v>110</v>
      </c>
      <c r="H2616" s="40">
        <v>1</v>
      </c>
      <c r="I2616" s="89" t="s">
        <v>111</v>
      </c>
    </row>
    <row r="2617" spans="1:9" ht="21.6" customHeight="1">
      <c r="A2617" s="27">
        <v>2882</v>
      </c>
      <c r="B2617" s="36" t="s">
        <v>1320</v>
      </c>
      <c r="C2617" s="36" t="s">
        <v>457</v>
      </c>
      <c r="D2617" s="34" t="s">
        <v>1453</v>
      </c>
      <c r="E2617" s="35" t="s">
        <v>458</v>
      </c>
      <c r="F2617" s="40">
        <v>200</v>
      </c>
      <c r="G2617" s="144" t="s">
        <v>114</v>
      </c>
      <c r="H2617" s="40">
        <v>1</v>
      </c>
      <c r="I2617" s="89" t="s">
        <v>111</v>
      </c>
    </row>
    <row r="2618" spans="1:9" ht="21.6" customHeight="1">
      <c r="A2618" s="27">
        <v>2883</v>
      </c>
      <c r="B2618" s="36" t="s">
        <v>1320</v>
      </c>
      <c r="C2618" s="36" t="s">
        <v>542</v>
      </c>
      <c r="D2618" s="34" t="s">
        <v>1488</v>
      </c>
      <c r="E2618" s="35" t="s">
        <v>543</v>
      </c>
      <c r="F2618" s="40">
        <v>400</v>
      </c>
      <c r="G2618" s="144" t="s">
        <v>1833</v>
      </c>
      <c r="H2618" s="40">
        <v>1</v>
      </c>
      <c r="I2618" s="89" t="s">
        <v>665</v>
      </c>
    </row>
    <row r="2619" spans="1:9" ht="21.6" customHeight="1">
      <c r="A2619" s="27">
        <v>2884</v>
      </c>
      <c r="B2619" s="36" t="s">
        <v>1320</v>
      </c>
      <c r="C2619" s="36" t="s">
        <v>335</v>
      </c>
      <c r="D2619" s="34" t="s">
        <v>1411</v>
      </c>
      <c r="E2619" s="35" t="s">
        <v>336</v>
      </c>
      <c r="F2619" s="40">
        <v>400</v>
      </c>
      <c r="G2619" s="144" t="s">
        <v>1833</v>
      </c>
      <c r="H2619" s="40">
        <v>1</v>
      </c>
      <c r="I2619" s="89" t="s">
        <v>665</v>
      </c>
    </row>
    <row r="2620" spans="1:9" ht="21.6" customHeight="1">
      <c r="A2620" s="27">
        <v>2885</v>
      </c>
      <c r="B2620" s="36" t="s">
        <v>1320</v>
      </c>
      <c r="C2620" s="36" t="s">
        <v>339</v>
      </c>
      <c r="D2620" s="34" t="s">
        <v>1412</v>
      </c>
      <c r="E2620" s="35" t="s">
        <v>340</v>
      </c>
      <c r="F2620" s="40">
        <v>400</v>
      </c>
      <c r="G2620" s="144" t="s">
        <v>1834</v>
      </c>
      <c r="H2620" s="40">
        <v>1</v>
      </c>
      <c r="I2620" s="89" t="s">
        <v>665</v>
      </c>
    </row>
    <row r="2621" spans="1:9" ht="21.6" customHeight="1">
      <c r="A2621" s="27">
        <v>2886</v>
      </c>
      <c r="B2621" s="36" t="s">
        <v>1320</v>
      </c>
      <c r="C2621" s="36" t="s">
        <v>280</v>
      </c>
      <c r="D2621" s="34" t="s">
        <v>1394</v>
      </c>
      <c r="E2621" s="35" t="s">
        <v>281</v>
      </c>
      <c r="F2621" s="68" t="s">
        <v>470</v>
      </c>
      <c r="G2621" s="145" t="s">
        <v>1782</v>
      </c>
      <c r="H2621" s="40">
        <v>1</v>
      </c>
      <c r="I2621" s="56" t="s">
        <v>683</v>
      </c>
    </row>
    <row r="2622" spans="1:9" ht="21.6" customHeight="1">
      <c r="A2622" s="27">
        <v>2887</v>
      </c>
      <c r="B2622" s="36" t="s">
        <v>1320</v>
      </c>
      <c r="C2622" s="36" t="s">
        <v>284</v>
      </c>
      <c r="D2622" s="34" t="s">
        <v>1395</v>
      </c>
      <c r="E2622" s="35" t="s">
        <v>226</v>
      </c>
      <c r="F2622" s="68" t="s">
        <v>470</v>
      </c>
      <c r="G2622" s="144" t="s">
        <v>285</v>
      </c>
      <c r="H2622" s="40">
        <v>1</v>
      </c>
      <c r="I2622" s="56" t="s">
        <v>683</v>
      </c>
    </row>
    <row r="2623" spans="1:9" ht="21.6" customHeight="1">
      <c r="A2623" s="27">
        <v>2888</v>
      </c>
      <c r="B2623" s="36" t="s">
        <v>1320</v>
      </c>
      <c r="C2623" s="36" t="s">
        <v>287</v>
      </c>
      <c r="D2623" s="64" t="s">
        <v>1396</v>
      </c>
      <c r="E2623" s="7" t="s">
        <v>288</v>
      </c>
      <c r="F2623" s="68" t="s">
        <v>470</v>
      </c>
      <c r="G2623" s="145" t="s">
        <v>282</v>
      </c>
      <c r="H2623" s="40">
        <v>1</v>
      </c>
      <c r="I2623" s="56" t="s">
        <v>683</v>
      </c>
    </row>
    <row r="2624" spans="1:9" ht="21.6" customHeight="1">
      <c r="A2624" s="27">
        <v>2889</v>
      </c>
      <c r="B2624" s="36" t="s">
        <v>1320</v>
      </c>
      <c r="C2624" s="36" t="s">
        <v>452</v>
      </c>
      <c r="D2624" s="34" t="s">
        <v>1452</v>
      </c>
      <c r="E2624" s="35" t="s">
        <v>226</v>
      </c>
      <c r="F2624" s="40">
        <v>500</v>
      </c>
      <c r="G2624" s="144" t="s">
        <v>1784</v>
      </c>
      <c r="H2624" s="40">
        <v>2</v>
      </c>
      <c r="I2624" s="90" t="s">
        <v>334</v>
      </c>
    </row>
    <row r="2625" spans="1:9" ht="21.6" customHeight="1">
      <c r="A2625" s="27">
        <v>2890</v>
      </c>
      <c r="B2625" s="36" t="s">
        <v>1320</v>
      </c>
      <c r="C2625" s="36" t="s">
        <v>335</v>
      </c>
      <c r="D2625" s="34" t="s">
        <v>1411</v>
      </c>
      <c r="E2625" s="35" t="s">
        <v>336</v>
      </c>
      <c r="F2625" s="40">
        <v>500</v>
      </c>
      <c r="G2625" s="144" t="s">
        <v>337</v>
      </c>
      <c r="H2625" s="40">
        <v>1</v>
      </c>
      <c r="I2625" s="90" t="s">
        <v>338</v>
      </c>
    </row>
    <row r="2626" spans="1:9" ht="21.6" customHeight="1">
      <c r="A2626" s="27">
        <v>2891</v>
      </c>
      <c r="B2626" s="36" t="s">
        <v>1320</v>
      </c>
      <c r="C2626" s="36" t="s">
        <v>339</v>
      </c>
      <c r="D2626" s="34" t="s">
        <v>1412</v>
      </c>
      <c r="E2626" s="35" t="s">
        <v>340</v>
      </c>
      <c r="F2626" s="40">
        <v>500</v>
      </c>
      <c r="G2626" s="145" t="s">
        <v>341</v>
      </c>
      <c r="H2626" s="40">
        <v>1</v>
      </c>
      <c r="I2626" s="90" t="s">
        <v>338</v>
      </c>
    </row>
    <row r="2627" spans="1:9" ht="21.6" customHeight="1">
      <c r="A2627" s="27">
        <v>2892</v>
      </c>
      <c r="B2627" s="36" t="s">
        <v>1320</v>
      </c>
      <c r="C2627" s="36" t="s">
        <v>332</v>
      </c>
      <c r="D2627" s="34" t="s">
        <v>1410</v>
      </c>
      <c r="E2627" s="35" t="s">
        <v>333</v>
      </c>
      <c r="F2627" s="40">
        <v>500</v>
      </c>
      <c r="G2627" s="144" t="s">
        <v>1818</v>
      </c>
      <c r="H2627" s="40">
        <v>2</v>
      </c>
      <c r="I2627" s="90" t="s">
        <v>666</v>
      </c>
    </row>
    <row r="2628" spans="1:9" ht="21.6" customHeight="1">
      <c r="A2628" s="27">
        <v>2893</v>
      </c>
      <c r="B2628" s="36" t="s">
        <v>1320</v>
      </c>
      <c r="C2628" s="36" t="s">
        <v>335</v>
      </c>
      <c r="D2628" s="34" t="s">
        <v>1411</v>
      </c>
      <c r="E2628" s="35" t="s">
        <v>336</v>
      </c>
      <c r="F2628" s="40">
        <v>500</v>
      </c>
      <c r="G2628" s="144" t="s">
        <v>546</v>
      </c>
      <c r="H2628" s="40">
        <v>1</v>
      </c>
      <c r="I2628" s="90" t="s">
        <v>666</v>
      </c>
    </row>
    <row r="2629" spans="1:9" ht="21.6" customHeight="1">
      <c r="A2629" s="27">
        <v>2894</v>
      </c>
      <c r="B2629" s="36" t="s">
        <v>1320</v>
      </c>
      <c r="C2629" s="36" t="s">
        <v>339</v>
      </c>
      <c r="D2629" s="34" t="s">
        <v>1412</v>
      </c>
      <c r="E2629" s="35" t="s">
        <v>340</v>
      </c>
      <c r="F2629" s="40">
        <v>500</v>
      </c>
      <c r="G2629" s="145" t="s">
        <v>547</v>
      </c>
      <c r="H2629" s="40">
        <v>1</v>
      </c>
      <c r="I2629" s="90" t="s">
        <v>666</v>
      </c>
    </row>
    <row r="2630" spans="1:9" ht="21.6" customHeight="1">
      <c r="A2630" s="27">
        <v>2895</v>
      </c>
      <c r="B2630" s="36" t="s">
        <v>1320</v>
      </c>
      <c r="C2630" s="36">
        <v>44218398000</v>
      </c>
      <c r="D2630" s="78" t="s">
        <v>1489</v>
      </c>
      <c r="E2630" s="35" t="s">
        <v>549</v>
      </c>
      <c r="F2630" s="40">
        <v>100</v>
      </c>
      <c r="G2630" s="145" t="s">
        <v>1819</v>
      </c>
      <c r="H2630" s="40">
        <v>1</v>
      </c>
      <c r="I2630" s="89" t="s">
        <v>1225</v>
      </c>
    </row>
    <row r="2631" spans="1:9" ht="21.6" customHeight="1">
      <c r="A2631" s="27">
        <v>2896</v>
      </c>
      <c r="B2631" s="36" t="s">
        <v>1320</v>
      </c>
      <c r="C2631" s="36">
        <v>44218389000</v>
      </c>
      <c r="D2631" s="34" t="s">
        <v>1490</v>
      </c>
      <c r="E2631" s="35" t="s">
        <v>552</v>
      </c>
      <c r="F2631" s="40">
        <v>100</v>
      </c>
      <c r="G2631" s="144" t="s">
        <v>553</v>
      </c>
      <c r="H2631" s="40">
        <v>1</v>
      </c>
      <c r="I2631" s="89" t="s">
        <v>1226</v>
      </c>
    </row>
    <row r="2632" spans="1:9" ht="21.6" customHeight="1">
      <c r="A2632" s="27">
        <v>2897</v>
      </c>
      <c r="B2632" s="36" t="s">
        <v>1320</v>
      </c>
      <c r="C2632" s="36" t="s">
        <v>554</v>
      </c>
      <c r="D2632" s="34" t="s">
        <v>1491</v>
      </c>
      <c r="E2632" s="35" t="s">
        <v>555</v>
      </c>
      <c r="F2632" s="40">
        <v>100</v>
      </c>
      <c r="G2632" s="144" t="s">
        <v>550</v>
      </c>
      <c r="H2632" s="40">
        <v>1</v>
      </c>
      <c r="I2632" s="89" t="s">
        <v>1226</v>
      </c>
    </row>
    <row r="2633" spans="1:9" ht="21.6" customHeight="1">
      <c r="A2633" s="27">
        <v>2898</v>
      </c>
      <c r="B2633" s="36" t="s">
        <v>1320</v>
      </c>
      <c r="C2633" s="36">
        <v>44218398000</v>
      </c>
      <c r="D2633" s="78" t="s">
        <v>1489</v>
      </c>
      <c r="E2633" s="35" t="s">
        <v>549</v>
      </c>
      <c r="F2633" s="91">
        <v>120</v>
      </c>
      <c r="G2633" s="145" t="s">
        <v>1819</v>
      </c>
      <c r="H2633" s="40">
        <v>1</v>
      </c>
      <c r="I2633" s="89" t="s">
        <v>1227</v>
      </c>
    </row>
    <row r="2634" spans="1:9" ht="21.6" customHeight="1">
      <c r="A2634" s="27">
        <v>2899</v>
      </c>
      <c r="B2634" s="36" t="s">
        <v>1320</v>
      </c>
      <c r="C2634" s="36" t="s">
        <v>268</v>
      </c>
      <c r="D2634" s="36" t="s">
        <v>1390</v>
      </c>
      <c r="E2634" s="37" t="s">
        <v>269</v>
      </c>
      <c r="F2634" s="91">
        <v>120</v>
      </c>
      <c r="G2634" s="144" t="s">
        <v>553</v>
      </c>
      <c r="H2634" s="40">
        <v>1</v>
      </c>
      <c r="I2634" s="89" t="s">
        <v>1228</v>
      </c>
    </row>
    <row r="2635" spans="1:9" ht="21.6" customHeight="1">
      <c r="A2635" s="27">
        <v>2900</v>
      </c>
      <c r="B2635" s="36" t="s">
        <v>1320</v>
      </c>
      <c r="C2635" s="36" t="s">
        <v>271</v>
      </c>
      <c r="D2635" s="36" t="s">
        <v>1391</v>
      </c>
      <c r="E2635" s="37" t="s">
        <v>671</v>
      </c>
      <c r="F2635" s="91">
        <v>120</v>
      </c>
      <c r="G2635" s="144" t="s">
        <v>550</v>
      </c>
      <c r="H2635" s="40">
        <v>1</v>
      </c>
      <c r="I2635" s="89" t="s">
        <v>1228</v>
      </c>
    </row>
    <row r="2636" spans="1:9" ht="21.6" customHeight="1">
      <c r="A2636" s="27">
        <v>2901</v>
      </c>
      <c r="B2636" s="36" t="s">
        <v>1320</v>
      </c>
      <c r="C2636" s="36" t="s">
        <v>693</v>
      </c>
      <c r="D2636" s="79" t="s">
        <v>1540</v>
      </c>
      <c r="E2636" s="35" t="s">
        <v>694</v>
      </c>
      <c r="F2636" s="40">
        <v>600</v>
      </c>
      <c r="G2636" s="145" t="s">
        <v>1229</v>
      </c>
      <c r="H2636" s="40" t="s">
        <v>123</v>
      </c>
      <c r="I2636" s="56"/>
    </row>
    <row r="2637" spans="1:9" ht="21.6" customHeight="1">
      <c r="A2637" s="27">
        <v>2902</v>
      </c>
      <c r="B2637" s="36" t="s">
        <v>1320</v>
      </c>
      <c r="C2637" s="36" t="s">
        <v>556</v>
      </c>
      <c r="D2637" s="79" t="s">
        <v>1492</v>
      </c>
      <c r="E2637" s="35" t="s">
        <v>557</v>
      </c>
      <c r="F2637" s="40">
        <v>600</v>
      </c>
      <c r="G2637" s="145" t="s">
        <v>1230</v>
      </c>
      <c r="H2637" s="40" t="s">
        <v>123</v>
      </c>
      <c r="I2637" s="56"/>
    </row>
    <row r="2638" spans="1:9" ht="21.6" customHeight="1">
      <c r="A2638" s="27">
        <v>2903</v>
      </c>
      <c r="B2638" s="36" t="s">
        <v>1320</v>
      </c>
      <c r="C2638" s="36" t="s">
        <v>559</v>
      </c>
      <c r="D2638" s="80" t="s">
        <v>1493</v>
      </c>
      <c r="E2638" s="35" t="s">
        <v>560</v>
      </c>
      <c r="F2638" s="40">
        <v>600</v>
      </c>
      <c r="G2638" s="145" t="s">
        <v>1820</v>
      </c>
      <c r="H2638" s="40" t="s">
        <v>123</v>
      </c>
      <c r="I2638" s="56"/>
    </row>
    <row r="2639" spans="1:9" ht="21.6" customHeight="1">
      <c r="A2639" s="27">
        <v>2905</v>
      </c>
      <c r="B2639" s="36" t="s">
        <v>1320</v>
      </c>
      <c r="C2639" s="36" t="s">
        <v>1170</v>
      </c>
      <c r="D2639" s="34" t="s">
        <v>1728</v>
      </c>
      <c r="E2639" s="35" t="s">
        <v>1171</v>
      </c>
      <c r="F2639" s="40">
        <v>600</v>
      </c>
      <c r="G2639" s="145" t="s">
        <v>244</v>
      </c>
      <c r="H2639" s="40" t="s">
        <v>123</v>
      </c>
      <c r="I2639" s="56" t="s">
        <v>526</v>
      </c>
    </row>
    <row r="2640" spans="1:9" ht="21.6" customHeight="1">
      <c r="A2640" s="27">
        <v>2906</v>
      </c>
      <c r="B2640" s="36" t="s">
        <v>1320</v>
      </c>
      <c r="C2640" s="36" t="s">
        <v>1172</v>
      </c>
      <c r="D2640" s="34" t="s">
        <v>1729</v>
      </c>
      <c r="E2640" s="35" t="s">
        <v>1173</v>
      </c>
      <c r="F2640" s="40">
        <v>600</v>
      </c>
      <c r="G2640" s="145" t="s">
        <v>1803</v>
      </c>
      <c r="H2640" s="40" t="s">
        <v>123</v>
      </c>
      <c r="I2640" s="89" t="s">
        <v>1231</v>
      </c>
    </row>
    <row r="2641" spans="1:9" ht="21.6" customHeight="1">
      <c r="A2641" s="27">
        <v>2907</v>
      </c>
      <c r="B2641" s="36" t="s">
        <v>1320</v>
      </c>
      <c r="C2641" s="36" t="s">
        <v>1175</v>
      </c>
      <c r="D2641" s="36" t="s">
        <v>1730</v>
      </c>
      <c r="E2641" s="37" t="s">
        <v>1176</v>
      </c>
      <c r="F2641" s="40">
        <v>600</v>
      </c>
      <c r="G2641" s="145" t="s">
        <v>1803</v>
      </c>
      <c r="H2641" s="40" t="s">
        <v>123</v>
      </c>
      <c r="I2641" s="89" t="s">
        <v>1232</v>
      </c>
    </row>
    <row r="2642" spans="1:9" ht="21.6" customHeight="1">
      <c r="A2642" s="27">
        <v>2908</v>
      </c>
      <c r="B2642" s="36" t="s">
        <v>1320</v>
      </c>
      <c r="C2642" s="36" t="s">
        <v>565</v>
      </c>
      <c r="D2642" s="34" t="s">
        <v>1496</v>
      </c>
      <c r="E2642" s="35" t="s">
        <v>566</v>
      </c>
      <c r="F2642" s="91">
        <v>200</v>
      </c>
      <c r="G2642" s="144" t="s">
        <v>567</v>
      </c>
      <c r="H2642" s="40" t="s">
        <v>123</v>
      </c>
      <c r="I2642" s="89" t="s">
        <v>111</v>
      </c>
    </row>
    <row r="2643" spans="1:9" ht="21.6" customHeight="1">
      <c r="A2643" s="27">
        <v>2909</v>
      </c>
      <c r="B2643" s="36" t="s">
        <v>1320</v>
      </c>
      <c r="C2643" s="36" t="s">
        <v>672</v>
      </c>
      <c r="D2643" s="36" t="s">
        <v>1535</v>
      </c>
      <c r="E2643" s="37" t="s">
        <v>673</v>
      </c>
      <c r="F2643" s="91">
        <v>400</v>
      </c>
      <c r="G2643" s="144" t="s">
        <v>567</v>
      </c>
      <c r="H2643" s="40" t="s">
        <v>123</v>
      </c>
      <c r="I2643" s="89" t="s">
        <v>665</v>
      </c>
    </row>
    <row r="2644" spans="1:9" ht="21.6" customHeight="1">
      <c r="A2644" s="27">
        <v>2910</v>
      </c>
      <c r="B2644" s="36" t="s">
        <v>1320</v>
      </c>
      <c r="C2644" s="36" t="s">
        <v>347</v>
      </c>
      <c r="D2644" s="34" t="s">
        <v>1415</v>
      </c>
      <c r="E2644" s="35" t="s">
        <v>348</v>
      </c>
      <c r="F2644" s="40">
        <v>500</v>
      </c>
      <c r="G2644" s="144" t="s">
        <v>349</v>
      </c>
      <c r="H2644" s="40" t="s">
        <v>123</v>
      </c>
      <c r="I2644" s="90" t="s">
        <v>334</v>
      </c>
    </row>
    <row r="2645" spans="1:9" ht="21.6" customHeight="1">
      <c r="A2645" s="27">
        <v>2911</v>
      </c>
      <c r="B2645" s="36" t="s">
        <v>1320</v>
      </c>
      <c r="C2645" s="36" t="s">
        <v>568</v>
      </c>
      <c r="D2645" s="34" t="s">
        <v>1497</v>
      </c>
      <c r="E2645" s="35" t="s">
        <v>569</v>
      </c>
      <c r="F2645" s="40">
        <v>500</v>
      </c>
      <c r="G2645" s="144" t="s">
        <v>570</v>
      </c>
      <c r="H2645" s="40" t="s">
        <v>123</v>
      </c>
      <c r="I2645" s="90" t="s">
        <v>666</v>
      </c>
    </row>
    <row r="2646" spans="1:9" ht="21.6" customHeight="1">
      <c r="A2646" s="27">
        <v>2912</v>
      </c>
      <c r="B2646" s="36" t="s">
        <v>1320</v>
      </c>
      <c r="C2646" s="36" t="s">
        <v>301</v>
      </c>
      <c r="D2646" s="67" t="s">
        <v>1401</v>
      </c>
      <c r="E2646" s="30" t="s">
        <v>302</v>
      </c>
      <c r="F2646" s="68" t="s">
        <v>470</v>
      </c>
      <c r="G2646" s="145" t="s">
        <v>303</v>
      </c>
      <c r="H2646" s="40" t="s">
        <v>123</v>
      </c>
      <c r="I2646" s="56"/>
    </row>
    <row r="2647" spans="1:9" ht="21.6" customHeight="1">
      <c r="A2647" s="27">
        <v>2913</v>
      </c>
      <c r="B2647" s="36" t="s">
        <v>1320</v>
      </c>
      <c r="C2647" s="36" t="s">
        <v>571</v>
      </c>
      <c r="D2647" s="34" t="s">
        <v>1498</v>
      </c>
      <c r="E2647" s="35" t="s">
        <v>572</v>
      </c>
      <c r="F2647" s="40" t="s">
        <v>123</v>
      </c>
      <c r="G2647" s="145" t="s">
        <v>132</v>
      </c>
      <c r="H2647" s="40" t="s">
        <v>123</v>
      </c>
      <c r="I2647" s="56"/>
    </row>
    <row r="2648" spans="1:9" ht="21.6" customHeight="1">
      <c r="A2648" s="27">
        <v>2914</v>
      </c>
      <c r="B2648" s="36" t="s">
        <v>1320</v>
      </c>
      <c r="C2648" s="36" t="s">
        <v>573</v>
      </c>
      <c r="D2648" s="34" t="s">
        <v>1499</v>
      </c>
      <c r="E2648" s="35" t="s">
        <v>574</v>
      </c>
      <c r="F2648" s="40" t="s">
        <v>123</v>
      </c>
      <c r="G2648" s="145" t="s">
        <v>575</v>
      </c>
      <c r="H2648" s="40" t="s">
        <v>123</v>
      </c>
      <c r="I2648" s="56"/>
    </row>
    <row r="2649" spans="1:9" ht="21.6" customHeight="1">
      <c r="A2649" s="27">
        <v>2915</v>
      </c>
      <c r="B2649" s="36" t="s">
        <v>1320</v>
      </c>
      <c r="C2649" s="36" t="s">
        <v>1178</v>
      </c>
      <c r="D2649" s="34" t="s">
        <v>1731</v>
      </c>
      <c r="E2649" s="35" t="s">
        <v>1179</v>
      </c>
      <c r="F2649" s="40" t="s">
        <v>123</v>
      </c>
      <c r="G2649" s="145" t="s">
        <v>1180</v>
      </c>
      <c r="H2649" s="40" t="s">
        <v>123</v>
      </c>
      <c r="I2649" s="56"/>
    </row>
    <row r="2650" spans="1:9" ht="21.6" customHeight="1">
      <c r="A2650" s="27">
        <v>2916</v>
      </c>
      <c r="B2650" s="36" t="s">
        <v>1320</v>
      </c>
      <c r="C2650" s="36" t="s">
        <v>695</v>
      </c>
      <c r="D2650" s="34" t="s">
        <v>1541</v>
      </c>
      <c r="E2650" s="35" t="s">
        <v>696</v>
      </c>
      <c r="F2650" s="40" t="s">
        <v>123</v>
      </c>
      <c r="G2650" s="144" t="s">
        <v>1233</v>
      </c>
      <c r="H2650" s="40" t="s">
        <v>123</v>
      </c>
      <c r="I2650" s="56"/>
    </row>
    <row r="2651" spans="1:9" ht="21.6" customHeight="1">
      <c r="A2651" s="27">
        <v>2917</v>
      </c>
      <c r="B2651" s="36" t="s">
        <v>1320</v>
      </c>
      <c r="C2651" s="36" t="s">
        <v>576</v>
      </c>
      <c r="D2651" s="34" t="s">
        <v>1500</v>
      </c>
      <c r="E2651" s="35" t="s">
        <v>577</v>
      </c>
      <c r="F2651" s="40" t="s">
        <v>123</v>
      </c>
      <c r="G2651" s="144" t="s">
        <v>1234</v>
      </c>
      <c r="H2651" s="40" t="s">
        <v>123</v>
      </c>
      <c r="I2651" s="56"/>
    </row>
    <row r="2652" spans="1:9" ht="21.6" customHeight="1">
      <c r="A2652" s="27">
        <v>2918</v>
      </c>
      <c r="B2652" s="36" t="s">
        <v>1320</v>
      </c>
      <c r="C2652" s="36" t="s">
        <v>578</v>
      </c>
      <c r="D2652" s="34" t="s">
        <v>1501</v>
      </c>
      <c r="E2652" s="35" t="s">
        <v>579</v>
      </c>
      <c r="F2652" s="40" t="s">
        <v>123</v>
      </c>
      <c r="G2652" s="144" t="s">
        <v>1821</v>
      </c>
      <c r="H2652" s="40" t="s">
        <v>123</v>
      </c>
      <c r="I2652" s="56"/>
    </row>
    <row r="2653" spans="1:9" ht="21.6" customHeight="1">
      <c r="A2653" s="27">
        <v>2919</v>
      </c>
      <c r="B2653" s="36" t="s">
        <v>1320</v>
      </c>
      <c r="C2653" s="36" t="s">
        <v>580</v>
      </c>
      <c r="D2653" s="34" t="s">
        <v>1502</v>
      </c>
      <c r="E2653" s="35" t="s">
        <v>581</v>
      </c>
      <c r="F2653" s="40" t="s">
        <v>123</v>
      </c>
      <c r="G2653" s="144" t="s">
        <v>582</v>
      </c>
      <c r="H2653" s="40" t="s">
        <v>123</v>
      </c>
      <c r="I2653" s="56"/>
    </row>
    <row r="2654" spans="1:9" ht="21.6" customHeight="1">
      <c r="A2654" s="27">
        <v>2920</v>
      </c>
      <c r="B2654" s="36" t="s">
        <v>1320</v>
      </c>
      <c r="C2654" s="36" t="s">
        <v>1181</v>
      </c>
      <c r="D2654" s="34" t="s">
        <v>1732</v>
      </c>
      <c r="E2654" s="35" t="s">
        <v>1182</v>
      </c>
      <c r="F2654" s="40" t="s">
        <v>123</v>
      </c>
      <c r="G2654" s="145" t="s">
        <v>585</v>
      </c>
      <c r="H2654" s="40" t="s">
        <v>123</v>
      </c>
      <c r="I2654" s="89" t="s">
        <v>1235</v>
      </c>
    </row>
    <row r="2655" spans="1:9" ht="21.6" customHeight="1">
      <c r="A2655" s="27">
        <v>2921</v>
      </c>
      <c r="B2655" s="36" t="s">
        <v>1320</v>
      </c>
      <c r="C2655" s="36" t="s">
        <v>583</v>
      </c>
      <c r="D2655" s="34" t="s">
        <v>1503</v>
      </c>
      <c r="E2655" s="35" t="s">
        <v>584</v>
      </c>
      <c r="F2655" s="40" t="s">
        <v>123</v>
      </c>
      <c r="G2655" s="145" t="s">
        <v>585</v>
      </c>
      <c r="H2655" s="40" t="s">
        <v>123</v>
      </c>
      <c r="I2655" s="89" t="s">
        <v>1236</v>
      </c>
    </row>
    <row r="2656" spans="1:9" ht="21.6" customHeight="1">
      <c r="A2656" s="27">
        <v>2922</v>
      </c>
      <c r="B2656" s="36" t="s">
        <v>1320</v>
      </c>
      <c r="C2656" s="36" t="s">
        <v>675</v>
      </c>
      <c r="D2656" s="36" t="s">
        <v>1536</v>
      </c>
      <c r="E2656" s="37" t="s">
        <v>676</v>
      </c>
      <c r="F2656" s="40" t="s">
        <v>123</v>
      </c>
      <c r="G2656" s="145" t="s">
        <v>585</v>
      </c>
      <c r="H2656" s="40" t="s">
        <v>123</v>
      </c>
      <c r="I2656" s="89" t="s">
        <v>1237</v>
      </c>
    </row>
    <row r="2657" spans="1:9" s="46" customFormat="1" ht="21.6" customHeight="1">
      <c r="A2657" s="20">
        <v>2923</v>
      </c>
      <c r="B2657" s="128" t="s">
        <v>1321</v>
      </c>
      <c r="C2657" s="128" t="s">
        <v>191</v>
      </c>
      <c r="D2657" s="21" t="s">
        <v>1361</v>
      </c>
      <c r="E2657" s="22" t="s">
        <v>192</v>
      </c>
      <c r="F2657" s="23">
        <v>120</v>
      </c>
      <c r="G2657" s="143" t="s">
        <v>193</v>
      </c>
      <c r="H2657" s="24">
        <v>1</v>
      </c>
      <c r="I2657" s="25" t="s">
        <v>194</v>
      </c>
    </row>
    <row r="2658" spans="1:9" s="46" customFormat="1" ht="21.6" customHeight="1">
      <c r="A2658" s="27">
        <v>2924</v>
      </c>
      <c r="B2658" s="39" t="s">
        <v>1321</v>
      </c>
      <c r="C2658" s="39" t="s">
        <v>1238</v>
      </c>
      <c r="D2658" s="28" t="s">
        <v>1735</v>
      </c>
      <c r="E2658" s="3" t="s">
        <v>1239</v>
      </c>
      <c r="F2658" s="29">
        <v>120</v>
      </c>
      <c r="G2658" s="144" t="s">
        <v>75</v>
      </c>
      <c r="H2658" s="29">
        <v>1</v>
      </c>
      <c r="I2658" s="31"/>
    </row>
    <row r="2659" spans="1:9" s="46" customFormat="1" ht="21.6" customHeight="1">
      <c r="A2659" s="27">
        <v>2925</v>
      </c>
      <c r="B2659" s="39" t="s">
        <v>1321</v>
      </c>
      <c r="C2659" s="39" t="s">
        <v>76</v>
      </c>
      <c r="D2659" s="32" t="s">
        <v>1326</v>
      </c>
      <c r="E2659" s="33" t="s">
        <v>77</v>
      </c>
      <c r="F2659" s="29">
        <v>120</v>
      </c>
      <c r="G2659" s="144" t="s">
        <v>78</v>
      </c>
      <c r="H2659" s="29">
        <v>1</v>
      </c>
      <c r="I2659" s="31"/>
    </row>
    <row r="2660" spans="1:9" s="46" customFormat="1" ht="21.6" customHeight="1">
      <c r="A2660" s="27">
        <v>2926</v>
      </c>
      <c r="B2660" s="39" t="s">
        <v>1321</v>
      </c>
      <c r="C2660" s="39" t="s">
        <v>1240</v>
      </c>
      <c r="D2660" s="32" t="s">
        <v>1736</v>
      </c>
      <c r="E2660" s="3" t="s">
        <v>1241</v>
      </c>
      <c r="F2660" s="29">
        <v>240</v>
      </c>
      <c r="G2660" s="145" t="s">
        <v>1775</v>
      </c>
      <c r="H2660" s="29">
        <v>1</v>
      </c>
      <c r="I2660" s="31"/>
    </row>
    <row r="2661" spans="1:9" s="46" customFormat="1" ht="21.6" customHeight="1">
      <c r="A2661" s="27">
        <v>2927</v>
      </c>
      <c r="B2661" s="39" t="s">
        <v>1321</v>
      </c>
      <c r="C2661" s="39" t="s">
        <v>1242</v>
      </c>
      <c r="D2661" s="32" t="s">
        <v>1737</v>
      </c>
      <c r="E2661" s="33" t="s">
        <v>1243</v>
      </c>
      <c r="F2661" s="29">
        <v>240</v>
      </c>
      <c r="G2661" s="144" t="s">
        <v>87</v>
      </c>
      <c r="H2661" s="29">
        <v>1</v>
      </c>
      <c r="I2661" s="31"/>
    </row>
    <row r="2662" spans="1:9" s="46" customFormat="1" ht="21.6" customHeight="1">
      <c r="A2662" s="27">
        <v>2928</v>
      </c>
      <c r="B2662" s="39" t="s">
        <v>1321</v>
      </c>
      <c r="C2662" s="39" t="s">
        <v>1244</v>
      </c>
      <c r="D2662" s="28" t="s">
        <v>1738</v>
      </c>
      <c r="E2662" s="3" t="s">
        <v>1245</v>
      </c>
      <c r="F2662" s="29">
        <v>240</v>
      </c>
      <c r="G2662" s="144" t="s">
        <v>1809</v>
      </c>
      <c r="H2662" s="29">
        <v>1</v>
      </c>
      <c r="I2662" s="31"/>
    </row>
    <row r="2663" spans="1:9" s="46" customFormat="1" ht="21.6" customHeight="1">
      <c r="A2663" s="27">
        <v>2929</v>
      </c>
      <c r="B2663" s="39" t="s">
        <v>1321</v>
      </c>
      <c r="C2663" s="39" t="s">
        <v>201</v>
      </c>
      <c r="D2663" s="28" t="s">
        <v>1365</v>
      </c>
      <c r="E2663" s="3" t="s">
        <v>202</v>
      </c>
      <c r="F2663" s="29">
        <v>120</v>
      </c>
      <c r="G2663" s="144" t="s">
        <v>81</v>
      </c>
      <c r="H2663" s="29">
        <v>1</v>
      </c>
      <c r="I2663" s="31"/>
    </row>
    <row r="2664" spans="1:9" s="46" customFormat="1" ht="21.6" customHeight="1">
      <c r="A2664" s="27">
        <v>2930</v>
      </c>
      <c r="B2664" s="39" t="s">
        <v>1321</v>
      </c>
      <c r="C2664" s="39" t="s">
        <v>93</v>
      </c>
      <c r="D2664" s="28" t="s">
        <v>1332</v>
      </c>
      <c r="E2664" s="3" t="s">
        <v>94</v>
      </c>
      <c r="F2664" s="29">
        <v>120</v>
      </c>
      <c r="G2664" s="144" t="s">
        <v>95</v>
      </c>
      <c r="H2664" s="29">
        <v>3</v>
      </c>
      <c r="I2664" s="31"/>
    </row>
    <row r="2665" spans="1:9" s="46" customFormat="1" ht="21.6" customHeight="1">
      <c r="A2665" s="27">
        <v>2931</v>
      </c>
      <c r="B2665" s="39" t="s">
        <v>1321</v>
      </c>
      <c r="C2665" s="39" t="s">
        <v>203</v>
      </c>
      <c r="D2665" s="28" t="s">
        <v>1366</v>
      </c>
      <c r="E2665" s="3" t="s">
        <v>204</v>
      </c>
      <c r="F2665" s="29">
        <v>120</v>
      </c>
      <c r="G2665" s="144" t="s">
        <v>98</v>
      </c>
      <c r="H2665" s="29">
        <v>1</v>
      </c>
      <c r="I2665" s="31"/>
    </row>
    <row r="2666" spans="1:9" s="46" customFormat="1" ht="21.6" customHeight="1">
      <c r="A2666" s="27">
        <v>2932</v>
      </c>
      <c r="B2666" s="39" t="s">
        <v>1321</v>
      </c>
      <c r="C2666" s="39" t="s">
        <v>205</v>
      </c>
      <c r="D2666" s="28" t="s">
        <v>1367</v>
      </c>
      <c r="E2666" s="3" t="s">
        <v>206</v>
      </c>
      <c r="F2666" s="29">
        <v>120</v>
      </c>
      <c r="G2666" s="144" t="s">
        <v>107</v>
      </c>
      <c r="H2666" s="29">
        <v>1</v>
      </c>
      <c r="I2666" s="31"/>
    </row>
    <row r="2667" spans="1:9" s="46" customFormat="1" ht="21.6" customHeight="1">
      <c r="A2667" s="27">
        <v>2933</v>
      </c>
      <c r="B2667" s="39" t="s">
        <v>1321</v>
      </c>
      <c r="C2667" s="39" t="s">
        <v>207</v>
      </c>
      <c r="D2667" s="28" t="s">
        <v>1368</v>
      </c>
      <c r="E2667" s="3" t="s">
        <v>208</v>
      </c>
      <c r="F2667" s="29">
        <v>120</v>
      </c>
      <c r="G2667" s="145" t="s">
        <v>104</v>
      </c>
      <c r="H2667" s="29">
        <v>1</v>
      </c>
      <c r="I2667" s="31"/>
    </row>
    <row r="2668" spans="1:9" s="46" customFormat="1" ht="21.6" customHeight="1">
      <c r="A2668" s="27">
        <v>2934</v>
      </c>
      <c r="B2668" s="39" t="s">
        <v>1321</v>
      </c>
      <c r="C2668" s="39" t="s">
        <v>1246</v>
      </c>
      <c r="D2668" s="47" t="s">
        <v>1739</v>
      </c>
      <c r="E2668" s="48" t="s">
        <v>1247</v>
      </c>
      <c r="F2668" s="49">
        <v>240</v>
      </c>
      <c r="G2668" s="148" t="s">
        <v>1858</v>
      </c>
      <c r="H2668" s="29">
        <v>1</v>
      </c>
      <c r="I2668" s="31"/>
    </row>
    <row r="2669" spans="1:9" s="46" customFormat="1" ht="21.6" customHeight="1">
      <c r="A2669" s="27">
        <v>2935</v>
      </c>
      <c r="B2669" s="39" t="s">
        <v>1321</v>
      </c>
      <c r="C2669" s="39" t="s">
        <v>1248</v>
      </c>
      <c r="D2669" s="47" t="s">
        <v>1740</v>
      </c>
      <c r="E2669" s="48" t="s">
        <v>1249</v>
      </c>
      <c r="F2669" s="49">
        <v>120</v>
      </c>
      <c r="G2669" s="144" t="s">
        <v>90</v>
      </c>
      <c r="H2669" s="29">
        <v>5</v>
      </c>
      <c r="I2669" s="31"/>
    </row>
    <row r="2670" spans="1:9" s="46" customFormat="1" ht="21.6" customHeight="1">
      <c r="A2670" s="27">
        <v>2936</v>
      </c>
      <c r="B2670" s="39" t="s">
        <v>1321</v>
      </c>
      <c r="C2670" s="39" t="s">
        <v>211</v>
      </c>
      <c r="D2670" s="28" t="s">
        <v>1370</v>
      </c>
      <c r="E2670" s="3" t="s">
        <v>212</v>
      </c>
      <c r="F2670" s="29">
        <v>240</v>
      </c>
      <c r="G2670" s="144" t="s">
        <v>101</v>
      </c>
      <c r="H2670" s="29">
        <v>1</v>
      </c>
      <c r="I2670" s="31"/>
    </row>
    <row r="2671" spans="1:9" s="46" customFormat="1" ht="21.6" customHeight="1">
      <c r="A2671" s="27">
        <v>2937</v>
      </c>
      <c r="B2671" s="39" t="s">
        <v>1321</v>
      </c>
      <c r="C2671" s="39" t="s">
        <v>213</v>
      </c>
      <c r="D2671" s="50" t="s">
        <v>1371</v>
      </c>
      <c r="E2671" s="51" t="s">
        <v>214</v>
      </c>
      <c r="F2671" s="29">
        <v>80</v>
      </c>
      <c r="G2671" s="144" t="s">
        <v>1777</v>
      </c>
      <c r="H2671" s="29">
        <v>1</v>
      </c>
      <c r="I2671" s="31" t="s">
        <v>1250</v>
      </c>
    </row>
    <row r="2672" spans="1:9" s="46" customFormat="1" ht="21.6" customHeight="1">
      <c r="A2672" s="27">
        <v>2938</v>
      </c>
      <c r="B2672" s="39" t="s">
        <v>1321</v>
      </c>
      <c r="C2672" s="39" t="s">
        <v>217</v>
      </c>
      <c r="D2672" s="50" t="s">
        <v>1372</v>
      </c>
      <c r="E2672" s="51" t="s">
        <v>218</v>
      </c>
      <c r="F2672" s="29">
        <v>80</v>
      </c>
      <c r="G2672" s="144" t="s">
        <v>219</v>
      </c>
      <c r="H2672" s="29">
        <v>1</v>
      </c>
      <c r="I2672" s="31" t="s">
        <v>1250</v>
      </c>
    </row>
    <row r="2673" spans="1:9" s="46" customFormat="1" ht="21.6" customHeight="1">
      <c r="A2673" s="27">
        <v>2939</v>
      </c>
      <c r="B2673" s="39" t="s">
        <v>1321</v>
      </c>
      <c r="C2673" s="39" t="s">
        <v>220</v>
      </c>
      <c r="D2673" s="50" t="s">
        <v>1373</v>
      </c>
      <c r="E2673" s="51" t="s">
        <v>221</v>
      </c>
      <c r="F2673" s="29">
        <v>80</v>
      </c>
      <c r="G2673" s="144" t="s">
        <v>215</v>
      </c>
      <c r="H2673" s="29">
        <v>1</v>
      </c>
      <c r="I2673" s="31" t="s">
        <v>1251</v>
      </c>
    </row>
    <row r="2674" spans="1:9" s="46" customFormat="1" ht="21.6" customHeight="1">
      <c r="A2674" s="27">
        <v>2940</v>
      </c>
      <c r="B2674" s="39" t="s">
        <v>1321</v>
      </c>
      <c r="C2674" s="39" t="s">
        <v>170</v>
      </c>
      <c r="D2674" s="39" t="s">
        <v>1356</v>
      </c>
      <c r="E2674" s="3" t="s">
        <v>171</v>
      </c>
      <c r="F2674" s="29">
        <v>80</v>
      </c>
      <c r="G2674" s="144" t="s">
        <v>355</v>
      </c>
      <c r="H2674" s="29">
        <v>1</v>
      </c>
      <c r="I2674" s="31"/>
    </row>
    <row r="2675" spans="1:9" s="46" customFormat="1" ht="21.6" customHeight="1">
      <c r="A2675" s="27">
        <v>2941</v>
      </c>
      <c r="B2675" s="39" t="s">
        <v>1321</v>
      </c>
      <c r="C2675" s="39" t="s">
        <v>222</v>
      </c>
      <c r="D2675" s="39" t="s">
        <v>1374</v>
      </c>
      <c r="E2675" s="3" t="s">
        <v>223</v>
      </c>
      <c r="F2675" s="29">
        <v>80</v>
      </c>
      <c r="G2675" s="144" t="s">
        <v>224</v>
      </c>
      <c r="H2675" s="29">
        <v>1</v>
      </c>
      <c r="I2675" s="31"/>
    </row>
    <row r="2676" spans="1:9" s="46" customFormat="1" ht="21.6" customHeight="1">
      <c r="A2676" s="27">
        <v>2942</v>
      </c>
      <c r="B2676" s="39" t="s">
        <v>1321</v>
      </c>
      <c r="C2676" s="39" t="s">
        <v>225</v>
      </c>
      <c r="D2676" s="39" t="s">
        <v>1375</v>
      </c>
      <c r="E2676" s="3" t="s">
        <v>226</v>
      </c>
      <c r="F2676" s="29">
        <v>120</v>
      </c>
      <c r="G2676" s="145" t="s">
        <v>1859</v>
      </c>
      <c r="H2676" s="29">
        <v>2</v>
      </c>
      <c r="I2676" s="56" t="s">
        <v>357</v>
      </c>
    </row>
    <row r="2677" spans="1:9" s="46" customFormat="1" ht="21.6" customHeight="1">
      <c r="A2677" s="27">
        <v>2943</v>
      </c>
      <c r="B2677" s="39" t="s">
        <v>1321</v>
      </c>
      <c r="C2677" s="39" t="s">
        <v>229</v>
      </c>
      <c r="D2677" s="39" t="s">
        <v>1376</v>
      </c>
      <c r="E2677" s="51" t="s">
        <v>230</v>
      </c>
      <c r="F2677" s="29">
        <v>120</v>
      </c>
      <c r="G2677" s="145" t="s">
        <v>1252</v>
      </c>
      <c r="H2677" s="29">
        <v>1</v>
      </c>
      <c r="I2677" s="56" t="s">
        <v>228</v>
      </c>
    </row>
    <row r="2678" spans="1:9" s="46" customFormat="1" ht="21.6" customHeight="1">
      <c r="A2678" s="27">
        <v>2944</v>
      </c>
      <c r="B2678" s="39" t="s">
        <v>1321</v>
      </c>
      <c r="C2678" s="39" t="s">
        <v>1253</v>
      </c>
      <c r="D2678" s="39" t="s">
        <v>1741</v>
      </c>
      <c r="E2678" s="3" t="s">
        <v>1254</v>
      </c>
      <c r="F2678" s="29">
        <v>120</v>
      </c>
      <c r="G2678" s="144" t="s">
        <v>122</v>
      </c>
      <c r="H2678" s="40" t="s">
        <v>123</v>
      </c>
      <c r="I2678" s="31"/>
    </row>
    <row r="2679" spans="1:9" s="46" customFormat="1" ht="21.6" customHeight="1">
      <c r="A2679" s="27">
        <v>2945</v>
      </c>
      <c r="B2679" s="39" t="s">
        <v>1321</v>
      </c>
      <c r="C2679" s="39" t="s">
        <v>1255</v>
      </c>
      <c r="D2679" s="39" t="s">
        <v>1742</v>
      </c>
      <c r="E2679" s="48" t="s">
        <v>1256</v>
      </c>
      <c r="F2679" s="29">
        <v>240</v>
      </c>
      <c r="G2679" s="145" t="s">
        <v>244</v>
      </c>
      <c r="H2679" s="40" t="s">
        <v>123</v>
      </c>
      <c r="I2679" s="31"/>
    </row>
    <row r="2680" spans="1:9" s="46" customFormat="1" ht="21.6" customHeight="1">
      <c r="A2680" s="27">
        <v>2946</v>
      </c>
      <c r="B2680" s="39" t="s">
        <v>1321</v>
      </c>
      <c r="C2680" s="39" t="s">
        <v>245</v>
      </c>
      <c r="D2680" s="39" t="s">
        <v>1382</v>
      </c>
      <c r="E2680" s="3" t="s">
        <v>246</v>
      </c>
      <c r="F2680" s="29">
        <v>80</v>
      </c>
      <c r="G2680" s="144" t="s">
        <v>247</v>
      </c>
      <c r="H2680" s="40" t="s">
        <v>123</v>
      </c>
      <c r="I2680" s="31" t="s">
        <v>1251</v>
      </c>
    </row>
    <row r="2681" spans="1:9" s="46" customFormat="1" ht="21.6" customHeight="1">
      <c r="A2681" s="27">
        <v>2947</v>
      </c>
      <c r="B2681" s="39" t="s">
        <v>1321</v>
      </c>
      <c r="C2681" s="39" t="s">
        <v>248</v>
      </c>
      <c r="D2681" s="39" t="s">
        <v>1383</v>
      </c>
      <c r="E2681" s="3" t="s">
        <v>249</v>
      </c>
      <c r="F2681" s="29">
        <v>120</v>
      </c>
      <c r="G2681" s="144" t="s">
        <v>1257</v>
      </c>
      <c r="H2681" s="40" t="s">
        <v>123</v>
      </c>
      <c r="I2681" s="56" t="s">
        <v>357</v>
      </c>
    </row>
    <row r="2682" spans="1:9" s="46" customFormat="1" ht="21.6" customHeight="1">
      <c r="A2682" s="27">
        <v>2948</v>
      </c>
      <c r="B2682" s="39" t="s">
        <v>1321</v>
      </c>
      <c r="C2682" s="39" t="s">
        <v>1258</v>
      </c>
      <c r="D2682" s="39" t="s">
        <v>1743</v>
      </c>
      <c r="E2682" s="3" t="s">
        <v>1259</v>
      </c>
      <c r="F2682" s="29" t="s">
        <v>123</v>
      </c>
      <c r="G2682" s="146" t="s">
        <v>129</v>
      </c>
      <c r="H2682" s="40" t="s">
        <v>123</v>
      </c>
      <c r="I2682" s="31"/>
    </row>
    <row r="2683" spans="1:9" s="46" customFormat="1" ht="21.6" customHeight="1">
      <c r="A2683" s="27">
        <v>2951</v>
      </c>
      <c r="B2683" s="39" t="s">
        <v>1321</v>
      </c>
      <c r="C2683" s="39" t="s">
        <v>1260</v>
      </c>
      <c r="D2683" s="39" t="s">
        <v>1744</v>
      </c>
      <c r="E2683" s="3" t="s">
        <v>1261</v>
      </c>
      <c r="F2683" s="29" t="s">
        <v>123</v>
      </c>
      <c r="G2683" s="144" t="s">
        <v>1262</v>
      </c>
      <c r="H2683" s="40" t="s">
        <v>123</v>
      </c>
      <c r="I2683" s="122" t="s">
        <v>1263</v>
      </c>
    </row>
    <row r="2684" spans="1:9" s="81" customFormat="1" ht="21.6" customHeight="1">
      <c r="A2684" s="20">
        <v>2952</v>
      </c>
      <c r="B2684" s="128" t="s">
        <v>1322</v>
      </c>
      <c r="C2684" s="128" t="s">
        <v>587</v>
      </c>
      <c r="D2684" s="73" t="s">
        <v>1504</v>
      </c>
      <c r="E2684" s="72" t="s">
        <v>588</v>
      </c>
      <c r="F2684" s="74">
        <v>210</v>
      </c>
      <c r="G2684" s="143" t="s">
        <v>589</v>
      </c>
      <c r="H2684" s="123" t="s">
        <v>1264</v>
      </c>
      <c r="I2684" s="75" t="s">
        <v>1265</v>
      </c>
    </row>
    <row r="2685" spans="1:9" s="81" customFormat="1" ht="21.6" customHeight="1">
      <c r="A2685" s="27">
        <v>2953</v>
      </c>
      <c r="B2685" s="39" t="s">
        <v>1322</v>
      </c>
      <c r="C2685" s="39" t="s">
        <v>889</v>
      </c>
      <c r="D2685" s="34" t="s">
        <v>1616</v>
      </c>
      <c r="E2685" s="35" t="s">
        <v>890</v>
      </c>
      <c r="F2685" s="40">
        <v>210</v>
      </c>
      <c r="G2685" s="145" t="s">
        <v>502</v>
      </c>
      <c r="H2685" s="76" t="s">
        <v>1266</v>
      </c>
      <c r="I2685" s="56" t="s">
        <v>1220</v>
      </c>
    </row>
    <row r="2686" spans="1:9" s="81" customFormat="1" ht="21.6" customHeight="1">
      <c r="A2686" s="27">
        <v>2954</v>
      </c>
      <c r="B2686" s="39" t="s">
        <v>1322</v>
      </c>
      <c r="C2686" s="39" t="s">
        <v>1267</v>
      </c>
      <c r="D2686" s="34" t="s">
        <v>1745</v>
      </c>
      <c r="E2686" s="35" t="s">
        <v>1268</v>
      </c>
      <c r="F2686" s="76">
        <v>210</v>
      </c>
      <c r="G2686" s="145" t="s">
        <v>1269</v>
      </c>
      <c r="H2686" s="76" t="s">
        <v>1270</v>
      </c>
      <c r="I2686" s="56" t="s">
        <v>1271</v>
      </c>
    </row>
    <row r="2687" spans="1:9" s="81" customFormat="1" ht="21.6" customHeight="1">
      <c r="A2687" s="27">
        <v>2955</v>
      </c>
      <c r="B2687" s="39" t="s">
        <v>1322</v>
      </c>
      <c r="C2687" s="39" t="s">
        <v>710</v>
      </c>
      <c r="D2687" s="34" t="s">
        <v>1547</v>
      </c>
      <c r="E2687" s="35" t="s">
        <v>711</v>
      </c>
      <c r="F2687" s="40">
        <v>210</v>
      </c>
      <c r="G2687" s="145" t="s">
        <v>415</v>
      </c>
      <c r="H2687" s="124" t="s">
        <v>1264</v>
      </c>
      <c r="I2687" s="56" t="s">
        <v>1265</v>
      </c>
    </row>
    <row r="2688" spans="1:9" s="81" customFormat="1" ht="21.6" customHeight="1">
      <c r="A2688" s="27">
        <v>2956</v>
      </c>
      <c r="B2688" s="39" t="s">
        <v>1322</v>
      </c>
      <c r="C2688" s="39" t="s">
        <v>899</v>
      </c>
      <c r="D2688" s="34" t="s">
        <v>1620</v>
      </c>
      <c r="E2688" s="35" t="s">
        <v>900</v>
      </c>
      <c r="F2688" s="40">
        <v>210</v>
      </c>
      <c r="G2688" s="144" t="s">
        <v>597</v>
      </c>
      <c r="H2688" s="76" t="s">
        <v>1264</v>
      </c>
      <c r="I2688" s="56" t="s">
        <v>1265</v>
      </c>
    </row>
    <row r="2689" spans="1:9" s="81" customFormat="1" ht="21.6" customHeight="1">
      <c r="A2689" s="27">
        <v>2957</v>
      </c>
      <c r="B2689" s="39" t="s">
        <v>1322</v>
      </c>
      <c r="C2689" s="39" t="s">
        <v>598</v>
      </c>
      <c r="D2689" s="34" t="s">
        <v>1508</v>
      </c>
      <c r="E2689" s="35" t="s">
        <v>599</v>
      </c>
      <c r="F2689" s="40">
        <v>210</v>
      </c>
      <c r="G2689" s="145" t="s">
        <v>600</v>
      </c>
      <c r="H2689" s="76" t="s">
        <v>1264</v>
      </c>
      <c r="I2689" s="56" t="s">
        <v>1265</v>
      </c>
    </row>
    <row r="2690" spans="1:9" s="81" customFormat="1" ht="21.6" customHeight="1">
      <c r="A2690" s="27">
        <v>2958</v>
      </c>
      <c r="B2690" s="39" t="s">
        <v>1322</v>
      </c>
      <c r="C2690" s="39" t="s">
        <v>601</v>
      </c>
      <c r="D2690" s="34" t="s">
        <v>1509</v>
      </c>
      <c r="E2690" s="35" t="s">
        <v>602</v>
      </c>
      <c r="F2690" s="40">
        <v>210</v>
      </c>
      <c r="G2690" s="144" t="s">
        <v>1822</v>
      </c>
      <c r="H2690" s="76" t="s">
        <v>1272</v>
      </c>
      <c r="I2690" s="56" t="s">
        <v>1273</v>
      </c>
    </row>
    <row r="2691" spans="1:9" s="81" customFormat="1" ht="21.6" customHeight="1">
      <c r="A2691" s="27">
        <v>2959</v>
      </c>
      <c r="B2691" s="39" t="s">
        <v>1322</v>
      </c>
      <c r="C2691" s="39" t="s">
        <v>902</v>
      </c>
      <c r="D2691" s="34" t="s">
        <v>1621</v>
      </c>
      <c r="E2691" s="35" t="s">
        <v>903</v>
      </c>
      <c r="F2691" s="40">
        <v>210</v>
      </c>
      <c r="G2691" s="144" t="s">
        <v>1823</v>
      </c>
      <c r="H2691" s="76" t="s">
        <v>1264</v>
      </c>
      <c r="I2691" s="56" t="s">
        <v>1273</v>
      </c>
    </row>
    <row r="2692" spans="1:9" s="81" customFormat="1" ht="21.6" customHeight="1">
      <c r="A2692" s="27">
        <v>2960</v>
      </c>
      <c r="B2692" s="39" t="s">
        <v>1322</v>
      </c>
      <c r="C2692" s="39" t="s">
        <v>605</v>
      </c>
      <c r="D2692" s="34" t="s">
        <v>1511</v>
      </c>
      <c r="E2692" s="35" t="s">
        <v>606</v>
      </c>
      <c r="F2692" s="40">
        <v>210</v>
      </c>
      <c r="G2692" s="145" t="s">
        <v>533</v>
      </c>
      <c r="H2692" s="40">
        <v>1</v>
      </c>
      <c r="I2692" s="56"/>
    </row>
    <row r="2693" spans="1:9" s="81" customFormat="1" ht="21.6" customHeight="1">
      <c r="A2693" s="27">
        <v>2961</v>
      </c>
      <c r="B2693" s="39" t="s">
        <v>1322</v>
      </c>
      <c r="C2693" s="39" t="s">
        <v>607</v>
      </c>
      <c r="D2693" s="34" t="s">
        <v>1512</v>
      </c>
      <c r="E2693" s="35" t="s">
        <v>608</v>
      </c>
      <c r="F2693" s="40">
        <v>210</v>
      </c>
      <c r="G2693" s="145" t="s">
        <v>1812</v>
      </c>
      <c r="H2693" s="40">
        <v>1</v>
      </c>
      <c r="I2693" s="56"/>
    </row>
    <row r="2694" spans="1:9" s="81" customFormat="1" ht="21.6" customHeight="1">
      <c r="A2694" s="27">
        <v>2962</v>
      </c>
      <c r="B2694" s="39" t="s">
        <v>1322</v>
      </c>
      <c r="C2694" s="39" t="s">
        <v>609</v>
      </c>
      <c r="D2694" s="34" t="s">
        <v>1513</v>
      </c>
      <c r="E2694" s="35" t="s">
        <v>610</v>
      </c>
      <c r="F2694" s="40">
        <v>210</v>
      </c>
      <c r="G2694" s="145" t="s">
        <v>1824</v>
      </c>
      <c r="H2694" s="40">
        <v>1</v>
      </c>
      <c r="I2694" s="56"/>
    </row>
    <row r="2695" spans="1:9" s="81" customFormat="1" ht="21.6" customHeight="1">
      <c r="A2695" s="27">
        <v>2963</v>
      </c>
      <c r="B2695" s="39" t="s">
        <v>1322</v>
      </c>
      <c r="C2695" s="39" t="s">
        <v>611</v>
      </c>
      <c r="D2695" s="34" t="s">
        <v>1514</v>
      </c>
      <c r="E2695" s="35" t="s">
        <v>612</v>
      </c>
      <c r="F2695" s="40">
        <v>210</v>
      </c>
      <c r="G2695" s="145" t="s">
        <v>1825</v>
      </c>
      <c r="H2695" s="40">
        <v>1</v>
      </c>
      <c r="I2695" s="56"/>
    </row>
    <row r="2696" spans="1:9" s="81" customFormat="1" ht="21.6" customHeight="1">
      <c r="A2696" s="27">
        <v>2964</v>
      </c>
      <c r="B2696" s="39" t="s">
        <v>1322</v>
      </c>
      <c r="C2696" s="39" t="s">
        <v>613</v>
      </c>
      <c r="D2696" s="34" t="s">
        <v>1515</v>
      </c>
      <c r="E2696" s="35" t="s">
        <v>614</v>
      </c>
      <c r="F2696" s="40">
        <v>210</v>
      </c>
      <c r="G2696" s="145" t="s">
        <v>1826</v>
      </c>
      <c r="H2696" s="40">
        <v>2</v>
      </c>
      <c r="I2696" s="56"/>
    </row>
    <row r="2697" spans="1:9" s="81" customFormat="1" ht="21.6" customHeight="1">
      <c r="A2697" s="27">
        <v>2965</v>
      </c>
      <c r="B2697" s="39" t="s">
        <v>1322</v>
      </c>
      <c r="C2697" s="39" t="s">
        <v>1274</v>
      </c>
      <c r="D2697" s="34" t="s">
        <v>1746</v>
      </c>
      <c r="E2697" s="35" t="s">
        <v>1275</v>
      </c>
      <c r="F2697" s="40">
        <v>480</v>
      </c>
      <c r="G2697" s="145" t="s">
        <v>1809</v>
      </c>
      <c r="H2697" s="40">
        <v>1</v>
      </c>
      <c r="I2697" s="56"/>
    </row>
    <row r="2698" spans="1:9" s="46" customFormat="1" ht="21.6" customHeight="1">
      <c r="A2698" s="27">
        <v>2966</v>
      </c>
      <c r="B2698" s="39" t="s">
        <v>1322</v>
      </c>
      <c r="C2698" s="39" t="s">
        <v>1276</v>
      </c>
      <c r="D2698" s="32" t="s">
        <v>1747</v>
      </c>
      <c r="E2698" s="3" t="s">
        <v>1277</v>
      </c>
      <c r="F2698" s="29">
        <v>480</v>
      </c>
      <c r="G2698" s="145" t="s">
        <v>1775</v>
      </c>
      <c r="H2698" s="29">
        <v>1</v>
      </c>
      <c r="I2698" s="31"/>
    </row>
    <row r="2699" spans="1:9" s="81" customFormat="1" ht="21.6" customHeight="1">
      <c r="A2699" s="27">
        <v>2967</v>
      </c>
      <c r="B2699" s="39" t="s">
        <v>1322</v>
      </c>
      <c r="C2699" s="39" t="s">
        <v>1278</v>
      </c>
      <c r="D2699" s="34" t="s">
        <v>1748</v>
      </c>
      <c r="E2699" s="35" t="s">
        <v>1279</v>
      </c>
      <c r="F2699" s="40">
        <v>480</v>
      </c>
      <c r="G2699" s="145" t="s">
        <v>87</v>
      </c>
      <c r="H2699" s="40">
        <v>1</v>
      </c>
      <c r="I2699" s="56"/>
    </row>
    <row r="2700" spans="1:9" s="81" customFormat="1" ht="21.6" customHeight="1">
      <c r="A2700" s="27">
        <v>2968</v>
      </c>
      <c r="B2700" s="39" t="s">
        <v>1322</v>
      </c>
      <c r="C2700" s="39" t="s">
        <v>1280</v>
      </c>
      <c r="D2700" s="34" t="s">
        <v>1749</v>
      </c>
      <c r="E2700" s="35" t="s">
        <v>1281</v>
      </c>
      <c r="F2700" s="40">
        <v>480</v>
      </c>
      <c r="G2700" s="145" t="s">
        <v>628</v>
      </c>
      <c r="H2700" s="40">
        <v>5</v>
      </c>
      <c r="I2700" s="56"/>
    </row>
    <row r="2701" spans="1:9" s="81" customFormat="1" ht="21.6" customHeight="1">
      <c r="A2701" s="27">
        <v>2969</v>
      </c>
      <c r="B2701" s="39" t="s">
        <v>1322</v>
      </c>
      <c r="C2701" s="39" t="s">
        <v>719</v>
      </c>
      <c r="D2701" s="34" t="s">
        <v>1551</v>
      </c>
      <c r="E2701" s="35" t="s">
        <v>720</v>
      </c>
      <c r="F2701" s="40">
        <v>630</v>
      </c>
      <c r="G2701" s="145" t="s">
        <v>101</v>
      </c>
      <c r="H2701" s="40">
        <v>1</v>
      </c>
      <c r="I2701" s="56" t="s">
        <v>617</v>
      </c>
    </row>
    <row r="2702" spans="1:9" s="81" customFormat="1" ht="21.6" customHeight="1">
      <c r="A2702" s="27">
        <v>2970</v>
      </c>
      <c r="B2702" s="39" t="s">
        <v>1322</v>
      </c>
      <c r="C2702" s="39" t="s">
        <v>273</v>
      </c>
      <c r="D2702" s="34" t="s">
        <v>1392</v>
      </c>
      <c r="E2702" s="35" t="s">
        <v>274</v>
      </c>
      <c r="F2702" s="40">
        <v>80</v>
      </c>
      <c r="G2702" s="144" t="s">
        <v>631</v>
      </c>
      <c r="H2702" s="40">
        <v>1</v>
      </c>
      <c r="I2702" s="56" t="s">
        <v>116</v>
      </c>
    </row>
    <row r="2703" spans="1:9" s="81" customFormat="1" ht="21.6" customHeight="1">
      <c r="A2703" s="27">
        <v>2971</v>
      </c>
      <c r="B2703" s="39" t="s">
        <v>1322</v>
      </c>
      <c r="C2703" s="39" t="s">
        <v>276</v>
      </c>
      <c r="D2703" s="80" t="s">
        <v>1393</v>
      </c>
      <c r="E2703" s="35" t="s">
        <v>277</v>
      </c>
      <c r="F2703" s="40">
        <v>80</v>
      </c>
      <c r="G2703" s="144" t="s">
        <v>115</v>
      </c>
      <c r="H2703" s="40">
        <v>1</v>
      </c>
      <c r="I2703" s="56" t="s">
        <v>116</v>
      </c>
    </row>
    <row r="2704" spans="1:9" s="58" customFormat="1" ht="21.6" customHeight="1">
      <c r="A2704" s="27">
        <v>2972</v>
      </c>
      <c r="B2704" s="39" t="s">
        <v>1322</v>
      </c>
      <c r="C2704" s="39" t="s">
        <v>264</v>
      </c>
      <c r="D2704" s="50" t="s">
        <v>1389</v>
      </c>
      <c r="E2704" s="51" t="s">
        <v>265</v>
      </c>
      <c r="F2704" s="29">
        <v>80</v>
      </c>
      <c r="G2704" s="144" t="s">
        <v>1841</v>
      </c>
      <c r="H2704" s="29">
        <v>1</v>
      </c>
      <c r="I2704" s="31" t="s">
        <v>796</v>
      </c>
    </row>
    <row r="2705" spans="1:9" s="58" customFormat="1" ht="21.6" customHeight="1">
      <c r="A2705" s="27">
        <v>2973</v>
      </c>
      <c r="B2705" s="39" t="s">
        <v>1322</v>
      </c>
      <c r="C2705" s="39" t="s">
        <v>268</v>
      </c>
      <c r="D2705" s="50" t="s">
        <v>1390</v>
      </c>
      <c r="E2705" s="51" t="s">
        <v>269</v>
      </c>
      <c r="F2705" s="29">
        <v>80</v>
      </c>
      <c r="G2705" s="144" t="s">
        <v>797</v>
      </c>
      <c r="H2705" s="29">
        <v>1</v>
      </c>
      <c r="I2705" s="31" t="s">
        <v>796</v>
      </c>
    </row>
    <row r="2706" spans="1:9" s="58" customFormat="1" ht="21.6" customHeight="1">
      <c r="A2706" s="27">
        <v>2974</v>
      </c>
      <c r="B2706" s="39" t="s">
        <v>1322</v>
      </c>
      <c r="C2706" s="39" t="s">
        <v>271</v>
      </c>
      <c r="D2706" s="50" t="s">
        <v>1391</v>
      </c>
      <c r="E2706" s="51" t="s">
        <v>272</v>
      </c>
      <c r="F2706" s="29">
        <v>80</v>
      </c>
      <c r="G2706" s="144" t="s">
        <v>1842</v>
      </c>
      <c r="H2706" s="29">
        <v>1</v>
      </c>
      <c r="I2706" s="31" t="s">
        <v>796</v>
      </c>
    </row>
    <row r="2707" spans="1:9" s="26" customFormat="1" ht="21.6" customHeight="1">
      <c r="A2707" s="27">
        <v>2975</v>
      </c>
      <c r="B2707" s="39" t="s">
        <v>1322</v>
      </c>
      <c r="C2707" s="39" t="s">
        <v>225</v>
      </c>
      <c r="D2707" s="39" t="s">
        <v>1375</v>
      </c>
      <c r="E2707" s="3" t="s">
        <v>226</v>
      </c>
      <c r="F2707" s="29">
        <v>120</v>
      </c>
      <c r="G2707" s="144" t="s">
        <v>1781</v>
      </c>
      <c r="H2707" s="29">
        <v>2</v>
      </c>
      <c r="I2707" s="31" t="s">
        <v>279</v>
      </c>
    </row>
    <row r="2708" spans="1:9" s="26" customFormat="1" ht="21.6" customHeight="1">
      <c r="A2708" s="27">
        <v>2976</v>
      </c>
      <c r="B2708" s="39" t="s">
        <v>1322</v>
      </c>
      <c r="C2708" s="39" t="s">
        <v>229</v>
      </c>
      <c r="D2708" s="39" t="s">
        <v>1376</v>
      </c>
      <c r="E2708" s="51" t="s">
        <v>230</v>
      </c>
      <c r="F2708" s="29">
        <v>120</v>
      </c>
      <c r="G2708" s="144" t="s">
        <v>278</v>
      </c>
      <c r="H2708" s="29">
        <v>1</v>
      </c>
      <c r="I2708" s="31" t="s">
        <v>279</v>
      </c>
    </row>
    <row r="2709" spans="1:9" s="26" customFormat="1" ht="21.6" customHeight="1">
      <c r="A2709" s="27">
        <v>2977</v>
      </c>
      <c r="B2709" s="39" t="s">
        <v>1322</v>
      </c>
      <c r="C2709" s="39" t="s">
        <v>280</v>
      </c>
      <c r="D2709" s="39" t="s">
        <v>1394</v>
      </c>
      <c r="E2709" s="51" t="s">
        <v>281</v>
      </c>
      <c r="F2709" s="29">
        <v>120</v>
      </c>
      <c r="G2709" s="144" t="s">
        <v>1782</v>
      </c>
      <c r="H2709" s="29">
        <v>1</v>
      </c>
      <c r="I2709" s="31" t="s">
        <v>283</v>
      </c>
    </row>
    <row r="2710" spans="1:9" s="26" customFormat="1" ht="21.6" customHeight="1">
      <c r="A2710" s="27">
        <v>2978</v>
      </c>
      <c r="B2710" s="39" t="s">
        <v>1322</v>
      </c>
      <c r="C2710" s="39" t="s">
        <v>284</v>
      </c>
      <c r="D2710" s="50" t="s">
        <v>1395</v>
      </c>
      <c r="E2710" s="51" t="s">
        <v>226</v>
      </c>
      <c r="F2710" s="29">
        <v>120</v>
      </c>
      <c r="G2710" s="144" t="s">
        <v>285</v>
      </c>
      <c r="H2710" s="29">
        <v>1</v>
      </c>
      <c r="I2710" s="31" t="s">
        <v>286</v>
      </c>
    </row>
    <row r="2711" spans="1:9" s="26" customFormat="1" ht="21.6" customHeight="1">
      <c r="A2711" s="27">
        <v>2979</v>
      </c>
      <c r="B2711" s="39" t="s">
        <v>1322</v>
      </c>
      <c r="C2711" s="39" t="s">
        <v>287</v>
      </c>
      <c r="D2711" s="50" t="s">
        <v>1396</v>
      </c>
      <c r="E2711" s="51" t="s">
        <v>288</v>
      </c>
      <c r="F2711" s="29">
        <v>120</v>
      </c>
      <c r="G2711" s="144" t="s">
        <v>282</v>
      </c>
      <c r="H2711" s="29">
        <v>1</v>
      </c>
      <c r="I2711" s="31" t="s">
        <v>286</v>
      </c>
    </row>
    <row r="2712" spans="1:9" s="58" customFormat="1" ht="21.6" customHeight="1">
      <c r="A2712" s="27">
        <v>2980</v>
      </c>
      <c r="B2712" s="39" t="s">
        <v>1322</v>
      </c>
      <c r="C2712" s="39" t="s">
        <v>231</v>
      </c>
      <c r="D2712" s="39" t="s">
        <v>1377</v>
      </c>
      <c r="E2712" s="51" t="s">
        <v>232</v>
      </c>
      <c r="F2712" s="29">
        <v>160</v>
      </c>
      <c r="G2712" s="144" t="s">
        <v>1843</v>
      </c>
      <c r="H2712" s="29">
        <v>1</v>
      </c>
      <c r="I2712" s="31" t="s">
        <v>290</v>
      </c>
    </row>
    <row r="2713" spans="1:9" s="58" customFormat="1" ht="21.6" customHeight="1">
      <c r="A2713" s="27">
        <v>2981</v>
      </c>
      <c r="B2713" s="39" t="s">
        <v>1322</v>
      </c>
      <c r="C2713" s="39" t="s">
        <v>235</v>
      </c>
      <c r="D2713" s="50" t="s">
        <v>1378</v>
      </c>
      <c r="E2713" s="51" t="s">
        <v>236</v>
      </c>
      <c r="F2713" s="29">
        <v>160</v>
      </c>
      <c r="G2713" s="144" t="s">
        <v>237</v>
      </c>
      <c r="H2713" s="29">
        <v>1</v>
      </c>
      <c r="I2713" s="31" t="s">
        <v>290</v>
      </c>
    </row>
    <row r="2714" spans="1:9" s="58" customFormat="1" ht="21.6" customHeight="1">
      <c r="A2714" s="27">
        <v>2982</v>
      </c>
      <c r="B2714" s="39" t="s">
        <v>1322</v>
      </c>
      <c r="C2714" s="39" t="s">
        <v>238</v>
      </c>
      <c r="D2714" s="50" t="s">
        <v>1379</v>
      </c>
      <c r="E2714" s="51" t="s">
        <v>239</v>
      </c>
      <c r="F2714" s="29">
        <v>160</v>
      </c>
      <c r="G2714" s="144" t="s">
        <v>798</v>
      </c>
      <c r="H2714" s="29">
        <v>1</v>
      </c>
      <c r="I2714" s="31" t="s">
        <v>290</v>
      </c>
    </row>
    <row r="2715" spans="1:9" s="81" customFormat="1" ht="21.6" customHeight="1">
      <c r="A2715" s="27">
        <v>2983</v>
      </c>
      <c r="B2715" s="39" t="s">
        <v>1322</v>
      </c>
      <c r="C2715" s="39" t="s">
        <v>913</v>
      </c>
      <c r="D2715" s="80" t="s">
        <v>1625</v>
      </c>
      <c r="E2715" s="35" t="s">
        <v>914</v>
      </c>
      <c r="F2715" s="40">
        <v>210</v>
      </c>
      <c r="G2715" s="144" t="s">
        <v>637</v>
      </c>
      <c r="H2715" s="40" t="s">
        <v>123</v>
      </c>
      <c r="I2715" s="56"/>
    </row>
    <row r="2716" spans="1:9" s="81" customFormat="1" ht="21.6" customHeight="1">
      <c r="A2716" s="27">
        <v>2984</v>
      </c>
      <c r="B2716" s="39" t="s">
        <v>1322</v>
      </c>
      <c r="C2716" s="39" t="s">
        <v>1282</v>
      </c>
      <c r="D2716" s="80" t="s">
        <v>1750</v>
      </c>
      <c r="E2716" s="35" t="s">
        <v>1283</v>
      </c>
      <c r="F2716" s="40">
        <v>210</v>
      </c>
      <c r="G2716" s="144" t="s">
        <v>1284</v>
      </c>
      <c r="H2716" s="40" t="s">
        <v>123</v>
      </c>
      <c r="I2716" s="56"/>
    </row>
    <row r="2717" spans="1:9" s="58" customFormat="1" ht="21.6" customHeight="1">
      <c r="A2717" s="27">
        <v>2985</v>
      </c>
      <c r="B2717" s="39" t="s">
        <v>1322</v>
      </c>
      <c r="C2717" s="39" t="s">
        <v>295</v>
      </c>
      <c r="D2717" s="39" t="s">
        <v>1399</v>
      </c>
      <c r="E2717" s="3" t="s">
        <v>296</v>
      </c>
      <c r="F2717" s="29">
        <v>80</v>
      </c>
      <c r="G2717" s="144" t="s">
        <v>799</v>
      </c>
      <c r="H2717" s="40" t="s">
        <v>123</v>
      </c>
      <c r="I2717" s="31" t="s">
        <v>796</v>
      </c>
    </row>
    <row r="2718" spans="1:9" s="26" customFormat="1" ht="21.6" customHeight="1">
      <c r="A2718" s="27">
        <v>2986</v>
      </c>
      <c r="B2718" s="39" t="s">
        <v>1322</v>
      </c>
      <c r="C2718" s="39" t="s">
        <v>298</v>
      </c>
      <c r="D2718" s="39" t="s">
        <v>1400</v>
      </c>
      <c r="E2718" s="3" t="s">
        <v>299</v>
      </c>
      <c r="F2718" s="29">
        <v>120</v>
      </c>
      <c r="G2718" s="144" t="s">
        <v>300</v>
      </c>
      <c r="H2718" s="40" t="s">
        <v>123</v>
      </c>
      <c r="I2718" s="31" t="s">
        <v>279</v>
      </c>
    </row>
    <row r="2719" spans="1:9" s="26" customFormat="1" ht="21.6" customHeight="1">
      <c r="A2719" s="27">
        <v>2987</v>
      </c>
      <c r="B2719" s="39" t="s">
        <v>1322</v>
      </c>
      <c r="C2719" s="39" t="s">
        <v>301</v>
      </c>
      <c r="D2719" s="39" t="s">
        <v>1401</v>
      </c>
      <c r="E2719" s="3" t="s">
        <v>302</v>
      </c>
      <c r="F2719" s="29">
        <v>120</v>
      </c>
      <c r="G2719" s="144" t="s">
        <v>303</v>
      </c>
      <c r="H2719" s="40" t="s">
        <v>123</v>
      </c>
      <c r="I2719" s="31" t="s">
        <v>283</v>
      </c>
    </row>
    <row r="2720" spans="1:9" s="58" customFormat="1" ht="21.6" customHeight="1">
      <c r="A2720" s="27">
        <v>2988</v>
      </c>
      <c r="B2720" s="39" t="s">
        <v>1322</v>
      </c>
      <c r="C2720" s="39" t="s">
        <v>251</v>
      </c>
      <c r="D2720" s="39" t="s">
        <v>1384</v>
      </c>
      <c r="E2720" s="3" t="s">
        <v>252</v>
      </c>
      <c r="F2720" s="29">
        <v>160</v>
      </c>
      <c r="G2720" s="144" t="s">
        <v>760</v>
      </c>
      <c r="H2720" s="40" t="s">
        <v>123</v>
      </c>
      <c r="I2720" s="31" t="s">
        <v>290</v>
      </c>
    </row>
    <row r="2721" spans="1:9" s="58" customFormat="1" ht="21.6" customHeight="1">
      <c r="A2721" s="27">
        <v>2989</v>
      </c>
      <c r="B2721" s="39" t="s">
        <v>1322</v>
      </c>
      <c r="C2721" s="39" t="s">
        <v>1285</v>
      </c>
      <c r="D2721" s="39" t="s">
        <v>1751</v>
      </c>
      <c r="E2721" s="3" t="s">
        <v>1286</v>
      </c>
      <c r="F2721" s="29">
        <v>480</v>
      </c>
      <c r="G2721" s="144" t="s">
        <v>642</v>
      </c>
      <c r="H2721" s="40" t="s">
        <v>123</v>
      </c>
      <c r="I2721" s="31"/>
    </row>
    <row r="2722" spans="1:9" s="58" customFormat="1" ht="21.6" customHeight="1">
      <c r="A2722" s="27">
        <v>2990</v>
      </c>
      <c r="B2722" s="39" t="s">
        <v>1322</v>
      </c>
      <c r="C2722" s="39" t="s">
        <v>643</v>
      </c>
      <c r="D2722" s="39" t="s">
        <v>1525</v>
      </c>
      <c r="E2722" s="3" t="s">
        <v>644</v>
      </c>
      <c r="F2722" s="29">
        <v>210</v>
      </c>
      <c r="G2722" s="144" t="s">
        <v>645</v>
      </c>
      <c r="H2722" s="40" t="s">
        <v>123</v>
      </c>
      <c r="I2722" s="31"/>
    </row>
    <row r="2723" spans="1:9" s="81" customFormat="1" ht="21.6" customHeight="1">
      <c r="A2723" s="27">
        <v>2992</v>
      </c>
      <c r="B2723" s="39" t="s">
        <v>1322</v>
      </c>
      <c r="C2723" s="39" t="s">
        <v>1287</v>
      </c>
      <c r="D2723" s="34" t="s">
        <v>1752</v>
      </c>
      <c r="E2723" s="35" t="s">
        <v>1288</v>
      </c>
      <c r="F2723" s="40" t="s">
        <v>123</v>
      </c>
      <c r="G2723" s="145" t="s">
        <v>585</v>
      </c>
      <c r="H2723" s="40" t="s">
        <v>123</v>
      </c>
      <c r="I2723" s="56"/>
    </row>
    <row r="2724" spans="1:9" s="81" customFormat="1" ht="21.6" customHeight="1">
      <c r="A2724" s="27">
        <v>2993</v>
      </c>
      <c r="B2724" s="39" t="s">
        <v>1322</v>
      </c>
      <c r="C2724" s="39" t="s">
        <v>923</v>
      </c>
      <c r="D2724" s="34" t="s">
        <v>1630</v>
      </c>
      <c r="E2724" s="35" t="s">
        <v>924</v>
      </c>
      <c r="F2724" s="40" t="s">
        <v>123</v>
      </c>
      <c r="G2724" s="145" t="s">
        <v>129</v>
      </c>
      <c r="H2724" s="40" t="s">
        <v>123</v>
      </c>
      <c r="I2724" s="56" t="s">
        <v>1289</v>
      </c>
    </row>
    <row r="2725" spans="1:9" s="81" customFormat="1" ht="21.6" customHeight="1">
      <c r="A2725" s="27">
        <v>2994</v>
      </c>
      <c r="B2725" s="39" t="s">
        <v>1322</v>
      </c>
      <c r="C2725" s="39" t="s">
        <v>1290</v>
      </c>
      <c r="D2725" s="34" t="s">
        <v>1753</v>
      </c>
      <c r="E2725" s="35" t="s">
        <v>1291</v>
      </c>
      <c r="F2725" s="40" t="s">
        <v>123</v>
      </c>
      <c r="G2725" s="145" t="s">
        <v>1292</v>
      </c>
      <c r="H2725" s="40" t="s">
        <v>123</v>
      </c>
      <c r="I2725" s="56"/>
    </row>
    <row r="2726" spans="1:9" s="81" customFormat="1" ht="21.6" customHeight="1">
      <c r="A2726" s="41">
        <v>2995</v>
      </c>
      <c r="B2726" s="39" t="s">
        <v>1322</v>
      </c>
      <c r="C2726" s="39" t="s">
        <v>650</v>
      </c>
      <c r="D2726" s="34" t="s">
        <v>1528</v>
      </c>
      <c r="E2726" s="35" t="s">
        <v>651</v>
      </c>
      <c r="F2726" s="40" t="s">
        <v>123</v>
      </c>
      <c r="G2726" s="144" t="s">
        <v>1821</v>
      </c>
      <c r="H2726" s="40" t="s">
        <v>123</v>
      </c>
      <c r="I2726" s="56"/>
    </row>
    <row r="2727" spans="1:9" s="81" customFormat="1" ht="21.6" customHeight="1">
      <c r="A2727" s="41">
        <v>2996</v>
      </c>
      <c r="B2727" s="135" t="s">
        <v>1322</v>
      </c>
      <c r="C2727" s="135" t="s">
        <v>1293</v>
      </c>
      <c r="D2727" s="84" t="s">
        <v>1754</v>
      </c>
      <c r="E2727" s="83" t="s">
        <v>1294</v>
      </c>
      <c r="F2727" s="85" t="s">
        <v>654</v>
      </c>
      <c r="G2727" s="150" t="s">
        <v>1805</v>
      </c>
      <c r="H2727" s="85" t="s">
        <v>123</v>
      </c>
      <c r="I2727" s="86"/>
    </row>
    <row r="2728" spans="1:9" s="81" customFormat="1" ht="21.6" customHeight="1">
      <c r="A2728" s="20">
        <v>2997</v>
      </c>
      <c r="B2728" s="128" t="s">
        <v>1323</v>
      </c>
      <c r="C2728" s="128" t="s">
        <v>587</v>
      </c>
      <c r="D2728" s="73" t="s">
        <v>1504</v>
      </c>
      <c r="E2728" s="72" t="s">
        <v>588</v>
      </c>
      <c r="F2728" s="74">
        <v>210</v>
      </c>
      <c r="G2728" s="143" t="s">
        <v>589</v>
      </c>
      <c r="H2728" s="123" t="s">
        <v>1264</v>
      </c>
      <c r="I2728" s="75" t="s">
        <v>1265</v>
      </c>
    </row>
    <row r="2729" spans="1:9" s="81" customFormat="1" ht="21.6" customHeight="1">
      <c r="A2729" s="27">
        <v>2998</v>
      </c>
      <c r="B2729" s="39" t="s">
        <v>1323</v>
      </c>
      <c r="C2729" s="39" t="s">
        <v>889</v>
      </c>
      <c r="D2729" s="34" t="s">
        <v>1616</v>
      </c>
      <c r="E2729" s="35" t="s">
        <v>890</v>
      </c>
      <c r="F2729" s="40">
        <v>210</v>
      </c>
      <c r="G2729" s="145" t="s">
        <v>502</v>
      </c>
      <c r="H2729" s="76" t="s">
        <v>1266</v>
      </c>
      <c r="I2729" s="56" t="s">
        <v>1220</v>
      </c>
    </row>
    <row r="2730" spans="1:9" s="81" customFormat="1" ht="21.6" customHeight="1">
      <c r="A2730" s="27">
        <v>2999</v>
      </c>
      <c r="B2730" s="39" t="s">
        <v>1323</v>
      </c>
      <c r="C2730" s="39" t="s">
        <v>1267</v>
      </c>
      <c r="D2730" s="34" t="s">
        <v>1745</v>
      </c>
      <c r="E2730" s="35" t="s">
        <v>1268</v>
      </c>
      <c r="F2730" s="76">
        <v>210</v>
      </c>
      <c r="G2730" s="145" t="s">
        <v>1269</v>
      </c>
      <c r="H2730" s="76" t="s">
        <v>1270</v>
      </c>
      <c r="I2730" s="56" t="s">
        <v>1271</v>
      </c>
    </row>
    <row r="2731" spans="1:9" s="81" customFormat="1" ht="21.6" customHeight="1">
      <c r="A2731" s="27">
        <v>3000</v>
      </c>
      <c r="B2731" s="39" t="s">
        <v>1323</v>
      </c>
      <c r="C2731" s="39" t="s">
        <v>710</v>
      </c>
      <c r="D2731" s="34" t="s">
        <v>1547</v>
      </c>
      <c r="E2731" s="35" t="s">
        <v>711</v>
      </c>
      <c r="F2731" s="40">
        <v>210</v>
      </c>
      <c r="G2731" s="145" t="s">
        <v>415</v>
      </c>
      <c r="H2731" s="124" t="s">
        <v>1264</v>
      </c>
      <c r="I2731" s="56" t="s">
        <v>1265</v>
      </c>
    </row>
    <row r="2732" spans="1:9" s="81" customFormat="1" ht="21.6" customHeight="1">
      <c r="A2732" s="27">
        <v>3001</v>
      </c>
      <c r="B2732" s="39" t="s">
        <v>1323</v>
      </c>
      <c r="C2732" s="39" t="s">
        <v>899</v>
      </c>
      <c r="D2732" s="34" t="s">
        <v>1620</v>
      </c>
      <c r="E2732" s="35" t="s">
        <v>900</v>
      </c>
      <c r="F2732" s="40">
        <v>210</v>
      </c>
      <c r="G2732" s="144" t="s">
        <v>597</v>
      </c>
      <c r="H2732" s="76" t="s">
        <v>1264</v>
      </c>
      <c r="I2732" s="56" t="s">
        <v>1265</v>
      </c>
    </row>
    <row r="2733" spans="1:9" s="81" customFormat="1" ht="21.6" customHeight="1">
      <c r="A2733" s="27">
        <v>3002</v>
      </c>
      <c r="B2733" s="39" t="s">
        <v>1323</v>
      </c>
      <c r="C2733" s="39" t="s">
        <v>598</v>
      </c>
      <c r="D2733" s="34" t="s">
        <v>1508</v>
      </c>
      <c r="E2733" s="35" t="s">
        <v>599</v>
      </c>
      <c r="F2733" s="40">
        <v>210</v>
      </c>
      <c r="G2733" s="145" t="s">
        <v>600</v>
      </c>
      <c r="H2733" s="76" t="s">
        <v>1264</v>
      </c>
      <c r="I2733" s="56" t="s">
        <v>1265</v>
      </c>
    </row>
    <row r="2734" spans="1:9" s="81" customFormat="1" ht="21.6" customHeight="1">
      <c r="A2734" s="27">
        <v>3003</v>
      </c>
      <c r="B2734" s="39" t="s">
        <v>1323</v>
      </c>
      <c r="C2734" s="39" t="s">
        <v>601</v>
      </c>
      <c r="D2734" s="34" t="s">
        <v>1509</v>
      </c>
      <c r="E2734" s="35" t="s">
        <v>602</v>
      </c>
      <c r="F2734" s="40">
        <v>210</v>
      </c>
      <c r="G2734" s="144" t="s">
        <v>1822</v>
      </c>
      <c r="H2734" s="76" t="s">
        <v>1272</v>
      </c>
      <c r="I2734" s="56" t="s">
        <v>1273</v>
      </c>
    </row>
    <row r="2735" spans="1:9" s="81" customFormat="1" ht="21.6" customHeight="1">
      <c r="A2735" s="27">
        <v>3004</v>
      </c>
      <c r="B2735" s="39" t="s">
        <v>1323</v>
      </c>
      <c r="C2735" s="39" t="s">
        <v>902</v>
      </c>
      <c r="D2735" s="34" t="s">
        <v>1621</v>
      </c>
      <c r="E2735" s="35" t="s">
        <v>903</v>
      </c>
      <c r="F2735" s="40">
        <v>210</v>
      </c>
      <c r="G2735" s="144" t="s">
        <v>1823</v>
      </c>
      <c r="H2735" s="76" t="s">
        <v>1264</v>
      </c>
      <c r="I2735" s="56" t="s">
        <v>1273</v>
      </c>
    </row>
    <row r="2736" spans="1:9" s="81" customFormat="1" ht="21.6" customHeight="1">
      <c r="A2736" s="27">
        <v>3005</v>
      </c>
      <c r="B2736" s="39" t="s">
        <v>1323</v>
      </c>
      <c r="C2736" s="39" t="s">
        <v>605</v>
      </c>
      <c r="D2736" s="34" t="s">
        <v>1511</v>
      </c>
      <c r="E2736" s="35" t="s">
        <v>606</v>
      </c>
      <c r="F2736" s="40">
        <v>210</v>
      </c>
      <c r="G2736" s="145" t="s">
        <v>533</v>
      </c>
      <c r="H2736" s="40">
        <v>1</v>
      </c>
      <c r="I2736" s="56"/>
    </row>
    <row r="2737" spans="1:9" s="81" customFormat="1" ht="21.6" customHeight="1">
      <c r="A2737" s="27">
        <v>3006</v>
      </c>
      <c r="B2737" s="39" t="s">
        <v>1323</v>
      </c>
      <c r="C2737" s="39" t="s">
        <v>607</v>
      </c>
      <c r="D2737" s="34" t="s">
        <v>1512</v>
      </c>
      <c r="E2737" s="35" t="s">
        <v>608</v>
      </c>
      <c r="F2737" s="40">
        <v>210</v>
      </c>
      <c r="G2737" s="145" t="s">
        <v>1812</v>
      </c>
      <c r="H2737" s="40">
        <v>1</v>
      </c>
      <c r="I2737" s="56"/>
    </row>
    <row r="2738" spans="1:9" s="81" customFormat="1" ht="21.6" customHeight="1">
      <c r="A2738" s="27">
        <v>3007</v>
      </c>
      <c r="B2738" s="39" t="s">
        <v>1323</v>
      </c>
      <c r="C2738" s="39" t="s">
        <v>609</v>
      </c>
      <c r="D2738" s="34" t="s">
        <v>1513</v>
      </c>
      <c r="E2738" s="35" t="s">
        <v>610</v>
      </c>
      <c r="F2738" s="40">
        <v>210</v>
      </c>
      <c r="G2738" s="145" t="s">
        <v>1824</v>
      </c>
      <c r="H2738" s="40">
        <v>1</v>
      </c>
      <c r="I2738" s="56"/>
    </row>
    <row r="2739" spans="1:9" s="81" customFormat="1" ht="21.6" customHeight="1">
      <c r="A2739" s="27">
        <v>3008</v>
      </c>
      <c r="B2739" s="39" t="s">
        <v>1323</v>
      </c>
      <c r="C2739" s="39" t="s">
        <v>611</v>
      </c>
      <c r="D2739" s="34" t="s">
        <v>1514</v>
      </c>
      <c r="E2739" s="35" t="s">
        <v>612</v>
      </c>
      <c r="F2739" s="40">
        <v>210</v>
      </c>
      <c r="G2739" s="145" t="s">
        <v>1825</v>
      </c>
      <c r="H2739" s="40">
        <v>1</v>
      </c>
      <c r="I2739" s="56"/>
    </row>
    <row r="2740" spans="1:9" s="81" customFormat="1" ht="21.6" customHeight="1">
      <c r="A2740" s="27">
        <v>3009</v>
      </c>
      <c r="B2740" s="39" t="s">
        <v>1323</v>
      </c>
      <c r="C2740" s="39" t="s">
        <v>613</v>
      </c>
      <c r="D2740" s="34" t="s">
        <v>1515</v>
      </c>
      <c r="E2740" s="35" t="s">
        <v>614</v>
      </c>
      <c r="F2740" s="40">
        <v>210</v>
      </c>
      <c r="G2740" s="145" t="s">
        <v>1826</v>
      </c>
      <c r="H2740" s="40">
        <v>2</v>
      </c>
      <c r="I2740" s="56"/>
    </row>
    <row r="2741" spans="1:9" s="81" customFormat="1" ht="21.6" customHeight="1">
      <c r="A2741" s="27">
        <v>3010</v>
      </c>
      <c r="B2741" s="39" t="s">
        <v>1323</v>
      </c>
      <c r="C2741" s="39" t="s">
        <v>1274</v>
      </c>
      <c r="D2741" s="34" t="s">
        <v>1746</v>
      </c>
      <c r="E2741" s="35" t="s">
        <v>1275</v>
      </c>
      <c r="F2741" s="40">
        <v>480</v>
      </c>
      <c r="G2741" s="145" t="s">
        <v>1809</v>
      </c>
      <c r="H2741" s="40">
        <v>1</v>
      </c>
      <c r="I2741" s="56"/>
    </row>
    <row r="2742" spans="1:9" s="46" customFormat="1" ht="21.6" customHeight="1">
      <c r="A2742" s="27">
        <v>3011</v>
      </c>
      <c r="B2742" s="39" t="s">
        <v>1323</v>
      </c>
      <c r="C2742" s="39" t="s">
        <v>1276</v>
      </c>
      <c r="D2742" s="32" t="s">
        <v>1747</v>
      </c>
      <c r="E2742" s="3" t="s">
        <v>1277</v>
      </c>
      <c r="F2742" s="29">
        <v>480</v>
      </c>
      <c r="G2742" s="145" t="s">
        <v>1775</v>
      </c>
      <c r="H2742" s="29">
        <v>1</v>
      </c>
      <c r="I2742" s="31"/>
    </row>
    <row r="2743" spans="1:9" s="81" customFormat="1" ht="21.6" customHeight="1">
      <c r="A2743" s="27">
        <v>3012</v>
      </c>
      <c r="B2743" s="39" t="s">
        <v>1323</v>
      </c>
      <c r="C2743" s="39" t="s">
        <v>1278</v>
      </c>
      <c r="D2743" s="34" t="s">
        <v>1748</v>
      </c>
      <c r="E2743" s="35" t="s">
        <v>1279</v>
      </c>
      <c r="F2743" s="40">
        <v>480</v>
      </c>
      <c r="G2743" s="145" t="s">
        <v>87</v>
      </c>
      <c r="H2743" s="40">
        <v>1</v>
      </c>
      <c r="I2743" s="56"/>
    </row>
    <row r="2744" spans="1:9" s="81" customFormat="1" ht="21.6" customHeight="1">
      <c r="A2744" s="27">
        <v>3013</v>
      </c>
      <c r="B2744" s="39" t="s">
        <v>1323</v>
      </c>
      <c r="C2744" s="39" t="s">
        <v>1280</v>
      </c>
      <c r="D2744" s="34" t="s">
        <v>1749</v>
      </c>
      <c r="E2744" s="35" t="s">
        <v>1281</v>
      </c>
      <c r="F2744" s="40">
        <v>480</v>
      </c>
      <c r="G2744" s="145" t="s">
        <v>628</v>
      </c>
      <c r="H2744" s="40">
        <v>5</v>
      </c>
      <c r="I2744" s="56"/>
    </row>
    <row r="2745" spans="1:9" s="81" customFormat="1" ht="21.6" customHeight="1">
      <c r="A2745" s="27">
        <v>3014</v>
      </c>
      <c r="B2745" s="39" t="s">
        <v>1323</v>
      </c>
      <c r="C2745" s="39" t="s">
        <v>719</v>
      </c>
      <c r="D2745" s="34" t="s">
        <v>1551</v>
      </c>
      <c r="E2745" s="35" t="s">
        <v>720</v>
      </c>
      <c r="F2745" s="40">
        <v>630</v>
      </c>
      <c r="G2745" s="145" t="s">
        <v>101</v>
      </c>
      <c r="H2745" s="40">
        <v>1</v>
      </c>
      <c r="I2745" s="56" t="s">
        <v>617</v>
      </c>
    </row>
    <row r="2746" spans="1:9" s="81" customFormat="1" ht="21.6" customHeight="1">
      <c r="A2746" s="27">
        <v>3015</v>
      </c>
      <c r="B2746" s="39" t="s">
        <v>1323</v>
      </c>
      <c r="C2746" s="39" t="s">
        <v>273</v>
      </c>
      <c r="D2746" s="34" t="s">
        <v>1392</v>
      </c>
      <c r="E2746" s="35" t="s">
        <v>274</v>
      </c>
      <c r="F2746" s="40">
        <v>80</v>
      </c>
      <c r="G2746" s="144" t="s">
        <v>631</v>
      </c>
      <c r="H2746" s="40">
        <v>1</v>
      </c>
      <c r="I2746" s="56" t="s">
        <v>116</v>
      </c>
    </row>
    <row r="2747" spans="1:9" s="81" customFormat="1" ht="21.6" customHeight="1">
      <c r="A2747" s="27">
        <v>3016</v>
      </c>
      <c r="B2747" s="39" t="s">
        <v>1323</v>
      </c>
      <c r="C2747" s="39" t="s">
        <v>276</v>
      </c>
      <c r="D2747" s="80" t="s">
        <v>1393</v>
      </c>
      <c r="E2747" s="35" t="s">
        <v>277</v>
      </c>
      <c r="F2747" s="40">
        <v>80</v>
      </c>
      <c r="G2747" s="144" t="s">
        <v>115</v>
      </c>
      <c r="H2747" s="40">
        <v>1</v>
      </c>
      <c r="I2747" s="56" t="s">
        <v>116</v>
      </c>
    </row>
    <row r="2748" spans="1:9" s="58" customFormat="1" ht="21.6" customHeight="1">
      <c r="A2748" s="27">
        <v>3017</v>
      </c>
      <c r="B2748" s="39" t="s">
        <v>1323</v>
      </c>
      <c r="C2748" s="39" t="s">
        <v>264</v>
      </c>
      <c r="D2748" s="50" t="s">
        <v>1389</v>
      </c>
      <c r="E2748" s="51" t="s">
        <v>265</v>
      </c>
      <c r="F2748" s="29">
        <v>80</v>
      </c>
      <c r="G2748" s="144" t="s">
        <v>1841</v>
      </c>
      <c r="H2748" s="29">
        <v>1</v>
      </c>
      <c r="I2748" s="31" t="s">
        <v>796</v>
      </c>
    </row>
    <row r="2749" spans="1:9" s="58" customFormat="1" ht="21.6" customHeight="1">
      <c r="A2749" s="27">
        <v>3018</v>
      </c>
      <c r="B2749" s="39" t="s">
        <v>1323</v>
      </c>
      <c r="C2749" s="39" t="s">
        <v>268</v>
      </c>
      <c r="D2749" s="50" t="s">
        <v>1390</v>
      </c>
      <c r="E2749" s="51" t="s">
        <v>269</v>
      </c>
      <c r="F2749" s="29">
        <v>80</v>
      </c>
      <c r="G2749" s="144" t="s">
        <v>797</v>
      </c>
      <c r="H2749" s="29">
        <v>1</v>
      </c>
      <c r="I2749" s="31" t="s">
        <v>796</v>
      </c>
    </row>
    <row r="2750" spans="1:9" s="58" customFormat="1" ht="21.6" customHeight="1">
      <c r="A2750" s="27">
        <v>3019</v>
      </c>
      <c r="B2750" s="39" t="s">
        <v>1323</v>
      </c>
      <c r="C2750" s="39" t="s">
        <v>271</v>
      </c>
      <c r="D2750" s="50" t="s">
        <v>1391</v>
      </c>
      <c r="E2750" s="51" t="s">
        <v>272</v>
      </c>
      <c r="F2750" s="29">
        <v>80</v>
      </c>
      <c r="G2750" s="144" t="s">
        <v>1842</v>
      </c>
      <c r="H2750" s="29">
        <v>1</v>
      </c>
      <c r="I2750" s="31" t="s">
        <v>796</v>
      </c>
    </row>
    <row r="2751" spans="1:9" s="26" customFormat="1" ht="21.6" customHeight="1">
      <c r="A2751" s="27">
        <v>3020</v>
      </c>
      <c r="B2751" s="39" t="s">
        <v>1323</v>
      </c>
      <c r="C2751" s="39" t="s">
        <v>225</v>
      </c>
      <c r="D2751" s="39" t="s">
        <v>1375</v>
      </c>
      <c r="E2751" s="3" t="s">
        <v>226</v>
      </c>
      <c r="F2751" s="29">
        <v>120</v>
      </c>
      <c r="G2751" s="144" t="s">
        <v>1781</v>
      </c>
      <c r="H2751" s="29">
        <v>2</v>
      </c>
      <c r="I2751" s="31" t="s">
        <v>279</v>
      </c>
    </row>
    <row r="2752" spans="1:9" s="26" customFormat="1" ht="21.6" customHeight="1">
      <c r="A2752" s="27">
        <v>3021</v>
      </c>
      <c r="B2752" s="39" t="s">
        <v>1323</v>
      </c>
      <c r="C2752" s="39" t="s">
        <v>229</v>
      </c>
      <c r="D2752" s="39" t="s">
        <v>1376</v>
      </c>
      <c r="E2752" s="51" t="s">
        <v>230</v>
      </c>
      <c r="F2752" s="29">
        <v>120</v>
      </c>
      <c r="G2752" s="144" t="s">
        <v>278</v>
      </c>
      <c r="H2752" s="29">
        <v>1</v>
      </c>
      <c r="I2752" s="31" t="s">
        <v>279</v>
      </c>
    </row>
    <row r="2753" spans="1:9" s="26" customFormat="1" ht="21.6" customHeight="1">
      <c r="A2753" s="27">
        <v>3022</v>
      </c>
      <c r="B2753" s="39" t="s">
        <v>1323</v>
      </c>
      <c r="C2753" s="39" t="s">
        <v>280</v>
      </c>
      <c r="D2753" s="39" t="s">
        <v>1394</v>
      </c>
      <c r="E2753" s="51" t="s">
        <v>281</v>
      </c>
      <c r="F2753" s="29">
        <v>120</v>
      </c>
      <c r="G2753" s="144" t="s">
        <v>1782</v>
      </c>
      <c r="H2753" s="29">
        <v>1</v>
      </c>
      <c r="I2753" s="31" t="s">
        <v>283</v>
      </c>
    </row>
    <row r="2754" spans="1:9" s="26" customFormat="1" ht="21.6" customHeight="1">
      <c r="A2754" s="27">
        <v>3023</v>
      </c>
      <c r="B2754" s="39" t="s">
        <v>1323</v>
      </c>
      <c r="C2754" s="39" t="s">
        <v>284</v>
      </c>
      <c r="D2754" s="50" t="s">
        <v>1395</v>
      </c>
      <c r="E2754" s="51" t="s">
        <v>226</v>
      </c>
      <c r="F2754" s="29">
        <v>120</v>
      </c>
      <c r="G2754" s="144" t="s">
        <v>285</v>
      </c>
      <c r="H2754" s="29">
        <v>1</v>
      </c>
      <c r="I2754" s="31" t="s">
        <v>286</v>
      </c>
    </row>
    <row r="2755" spans="1:9" s="26" customFormat="1" ht="21.6" customHeight="1">
      <c r="A2755" s="27">
        <v>3024</v>
      </c>
      <c r="B2755" s="39" t="s">
        <v>1323</v>
      </c>
      <c r="C2755" s="39" t="s">
        <v>287</v>
      </c>
      <c r="D2755" s="50" t="s">
        <v>1396</v>
      </c>
      <c r="E2755" s="51" t="s">
        <v>288</v>
      </c>
      <c r="F2755" s="29">
        <v>120</v>
      </c>
      <c r="G2755" s="144" t="s">
        <v>282</v>
      </c>
      <c r="H2755" s="29">
        <v>1</v>
      </c>
      <c r="I2755" s="31" t="s">
        <v>286</v>
      </c>
    </row>
    <row r="2756" spans="1:9" s="58" customFormat="1" ht="21.6" customHeight="1">
      <c r="A2756" s="27">
        <v>3025</v>
      </c>
      <c r="B2756" s="39" t="s">
        <v>1323</v>
      </c>
      <c r="C2756" s="39" t="s">
        <v>231</v>
      </c>
      <c r="D2756" s="39" t="s">
        <v>1377</v>
      </c>
      <c r="E2756" s="51" t="s">
        <v>232</v>
      </c>
      <c r="F2756" s="29">
        <v>160</v>
      </c>
      <c r="G2756" s="144" t="s">
        <v>1843</v>
      </c>
      <c r="H2756" s="29">
        <v>1</v>
      </c>
      <c r="I2756" s="31" t="s">
        <v>290</v>
      </c>
    </row>
    <row r="2757" spans="1:9" s="58" customFormat="1" ht="21.6" customHeight="1">
      <c r="A2757" s="27">
        <v>3026</v>
      </c>
      <c r="B2757" s="39" t="s">
        <v>1323</v>
      </c>
      <c r="C2757" s="39" t="s">
        <v>235</v>
      </c>
      <c r="D2757" s="50" t="s">
        <v>1378</v>
      </c>
      <c r="E2757" s="51" t="s">
        <v>236</v>
      </c>
      <c r="F2757" s="29">
        <v>160</v>
      </c>
      <c r="G2757" s="144" t="s">
        <v>237</v>
      </c>
      <c r="H2757" s="29">
        <v>1</v>
      </c>
      <c r="I2757" s="31" t="s">
        <v>290</v>
      </c>
    </row>
    <row r="2758" spans="1:9" s="58" customFormat="1" ht="21.6" customHeight="1">
      <c r="A2758" s="27">
        <v>3027</v>
      </c>
      <c r="B2758" s="39" t="s">
        <v>1323</v>
      </c>
      <c r="C2758" s="39" t="s">
        <v>238</v>
      </c>
      <c r="D2758" s="50" t="s">
        <v>1379</v>
      </c>
      <c r="E2758" s="51" t="s">
        <v>239</v>
      </c>
      <c r="F2758" s="29">
        <v>160</v>
      </c>
      <c r="G2758" s="144" t="s">
        <v>798</v>
      </c>
      <c r="H2758" s="29">
        <v>1</v>
      </c>
      <c r="I2758" s="31" t="s">
        <v>290</v>
      </c>
    </row>
    <row r="2759" spans="1:9" s="81" customFormat="1" ht="21.6" customHeight="1">
      <c r="A2759" s="27">
        <v>3028</v>
      </c>
      <c r="B2759" s="39" t="s">
        <v>1323</v>
      </c>
      <c r="C2759" s="39" t="s">
        <v>913</v>
      </c>
      <c r="D2759" s="80" t="s">
        <v>1625</v>
      </c>
      <c r="E2759" s="35" t="s">
        <v>914</v>
      </c>
      <c r="F2759" s="40">
        <v>210</v>
      </c>
      <c r="G2759" s="144" t="s">
        <v>637</v>
      </c>
      <c r="H2759" s="40" t="s">
        <v>123</v>
      </c>
      <c r="I2759" s="56"/>
    </row>
    <row r="2760" spans="1:9" s="81" customFormat="1" ht="21.6" customHeight="1">
      <c r="A2760" s="27">
        <v>3029</v>
      </c>
      <c r="B2760" s="39" t="s">
        <v>1323</v>
      </c>
      <c r="C2760" s="39" t="s">
        <v>1282</v>
      </c>
      <c r="D2760" s="80" t="s">
        <v>1750</v>
      </c>
      <c r="E2760" s="35" t="s">
        <v>1283</v>
      </c>
      <c r="F2760" s="40">
        <v>210</v>
      </c>
      <c r="G2760" s="144" t="s">
        <v>1284</v>
      </c>
      <c r="H2760" s="40" t="s">
        <v>123</v>
      </c>
      <c r="I2760" s="56"/>
    </row>
    <row r="2761" spans="1:9" s="58" customFormat="1" ht="21.6" customHeight="1">
      <c r="A2761" s="27">
        <v>3030</v>
      </c>
      <c r="B2761" s="39" t="s">
        <v>1323</v>
      </c>
      <c r="C2761" s="39" t="s">
        <v>295</v>
      </c>
      <c r="D2761" s="39" t="s">
        <v>1399</v>
      </c>
      <c r="E2761" s="3" t="s">
        <v>296</v>
      </c>
      <c r="F2761" s="29">
        <v>80</v>
      </c>
      <c r="G2761" s="144" t="s">
        <v>799</v>
      </c>
      <c r="H2761" s="40" t="s">
        <v>123</v>
      </c>
      <c r="I2761" s="31" t="s">
        <v>796</v>
      </c>
    </row>
    <row r="2762" spans="1:9" s="26" customFormat="1" ht="21.6" customHeight="1">
      <c r="A2762" s="27">
        <v>3031</v>
      </c>
      <c r="B2762" s="39" t="s">
        <v>1323</v>
      </c>
      <c r="C2762" s="39" t="s">
        <v>298</v>
      </c>
      <c r="D2762" s="39" t="s">
        <v>1400</v>
      </c>
      <c r="E2762" s="3" t="s">
        <v>299</v>
      </c>
      <c r="F2762" s="29">
        <v>120</v>
      </c>
      <c r="G2762" s="144" t="s">
        <v>300</v>
      </c>
      <c r="H2762" s="40" t="s">
        <v>123</v>
      </c>
      <c r="I2762" s="31" t="s">
        <v>279</v>
      </c>
    </row>
    <row r="2763" spans="1:9" s="26" customFormat="1" ht="21.6" customHeight="1">
      <c r="A2763" s="27">
        <v>3032</v>
      </c>
      <c r="B2763" s="39" t="s">
        <v>1323</v>
      </c>
      <c r="C2763" s="39" t="s">
        <v>301</v>
      </c>
      <c r="D2763" s="39" t="s">
        <v>1401</v>
      </c>
      <c r="E2763" s="3" t="s">
        <v>302</v>
      </c>
      <c r="F2763" s="29">
        <v>120</v>
      </c>
      <c r="G2763" s="144" t="s">
        <v>303</v>
      </c>
      <c r="H2763" s="40" t="s">
        <v>123</v>
      </c>
      <c r="I2763" s="31" t="s">
        <v>283</v>
      </c>
    </row>
    <row r="2764" spans="1:9" s="58" customFormat="1" ht="21.6" customHeight="1">
      <c r="A2764" s="27">
        <v>3033</v>
      </c>
      <c r="B2764" s="39" t="s">
        <v>1323</v>
      </c>
      <c r="C2764" s="39" t="s">
        <v>251</v>
      </c>
      <c r="D2764" s="39" t="s">
        <v>1384</v>
      </c>
      <c r="E2764" s="3" t="s">
        <v>252</v>
      </c>
      <c r="F2764" s="29">
        <v>160</v>
      </c>
      <c r="G2764" s="144" t="s">
        <v>760</v>
      </c>
      <c r="H2764" s="40" t="s">
        <v>123</v>
      </c>
      <c r="I2764" s="31" t="s">
        <v>290</v>
      </c>
    </row>
    <row r="2765" spans="1:9" s="58" customFormat="1" ht="21.6" customHeight="1">
      <c r="A2765" s="27">
        <v>3034</v>
      </c>
      <c r="B2765" s="39" t="s">
        <v>1323</v>
      </c>
      <c r="C2765" s="39" t="s">
        <v>1285</v>
      </c>
      <c r="D2765" s="39" t="s">
        <v>1751</v>
      </c>
      <c r="E2765" s="3" t="s">
        <v>1286</v>
      </c>
      <c r="F2765" s="29">
        <v>480</v>
      </c>
      <c r="G2765" s="144" t="s">
        <v>642</v>
      </c>
      <c r="H2765" s="40" t="s">
        <v>123</v>
      </c>
      <c r="I2765" s="31"/>
    </row>
    <row r="2766" spans="1:9" s="58" customFormat="1" ht="21.6" customHeight="1">
      <c r="A2766" s="27">
        <v>3035</v>
      </c>
      <c r="B2766" s="39" t="s">
        <v>1323</v>
      </c>
      <c r="C2766" s="39" t="s">
        <v>643</v>
      </c>
      <c r="D2766" s="39" t="s">
        <v>1525</v>
      </c>
      <c r="E2766" s="3" t="s">
        <v>644</v>
      </c>
      <c r="F2766" s="29">
        <v>210</v>
      </c>
      <c r="G2766" s="144" t="s">
        <v>645</v>
      </c>
      <c r="H2766" s="40" t="s">
        <v>123</v>
      </c>
      <c r="I2766" s="31"/>
    </row>
    <row r="2767" spans="1:9" s="81" customFormat="1" ht="21.6" customHeight="1">
      <c r="A2767" s="27">
        <v>3037</v>
      </c>
      <c r="B2767" s="39" t="s">
        <v>1323</v>
      </c>
      <c r="C2767" s="39" t="s">
        <v>1287</v>
      </c>
      <c r="D2767" s="34" t="s">
        <v>1752</v>
      </c>
      <c r="E2767" s="35" t="s">
        <v>1288</v>
      </c>
      <c r="F2767" s="40" t="s">
        <v>123</v>
      </c>
      <c r="G2767" s="145" t="s">
        <v>585</v>
      </c>
      <c r="H2767" s="40" t="s">
        <v>123</v>
      </c>
      <c r="I2767" s="56"/>
    </row>
    <row r="2768" spans="1:9" s="81" customFormat="1" ht="21.6" customHeight="1">
      <c r="A2768" s="27">
        <v>3038</v>
      </c>
      <c r="B2768" s="39" t="s">
        <v>1323</v>
      </c>
      <c r="C2768" s="39" t="s">
        <v>1044</v>
      </c>
      <c r="D2768" s="34" t="s">
        <v>1677</v>
      </c>
      <c r="E2768" s="35" t="s">
        <v>1045</v>
      </c>
      <c r="F2768" s="40" t="s">
        <v>123</v>
      </c>
      <c r="G2768" s="145" t="s">
        <v>129</v>
      </c>
      <c r="H2768" s="40" t="s">
        <v>123</v>
      </c>
      <c r="I2768" s="56" t="s">
        <v>1295</v>
      </c>
    </row>
    <row r="2769" spans="1:9" s="81" customFormat="1" ht="21.6" customHeight="1">
      <c r="A2769" s="27">
        <v>3039</v>
      </c>
      <c r="B2769" s="39" t="s">
        <v>1323</v>
      </c>
      <c r="C2769" s="39" t="s">
        <v>1290</v>
      </c>
      <c r="D2769" s="34" t="s">
        <v>1753</v>
      </c>
      <c r="E2769" s="35" t="s">
        <v>1291</v>
      </c>
      <c r="F2769" s="40" t="s">
        <v>123</v>
      </c>
      <c r="G2769" s="145" t="s">
        <v>1292</v>
      </c>
      <c r="H2769" s="40" t="s">
        <v>123</v>
      </c>
      <c r="I2769" s="56"/>
    </row>
    <row r="2770" spans="1:9" s="81" customFormat="1" ht="21.6" customHeight="1">
      <c r="A2770" s="41">
        <v>3040</v>
      </c>
      <c r="B2770" s="39" t="s">
        <v>1323</v>
      </c>
      <c r="C2770" s="39" t="s">
        <v>650</v>
      </c>
      <c r="D2770" s="34" t="s">
        <v>1528</v>
      </c>
      <c r="E2770" s="35" t="s">
        <v>651</v>
      </c>
      <c r="F2770" s="40" t="s">
        <v>123</v>
      </c>
      <c r="G2770" s="144" t="s">
        <v>1821</v>
      </c>
      <c r="H2770" s="40" t="s">
        <v>123</v>
      </c>
      <c r="I2770" s="56"/>
    </row>
    <row r="2771" spans="1:9" s="81" customFormat="1" ht="21.6" customHeight="1">
      <c r="A2771" s="118">
        <v>3041</v>
      </c>
      <c r="B2771" s="130" t="s">
        <v>1323</v>
      </c>
      <c r="C2771" s="130" t="s">
        <v>1293</v>
      </c>
      <c r="D2771" s="119" t="s">
        <v>1754</v>
      </c>
      <c r="E2771" s="99" t="s">
        <v>1294</v>
      </c>
      <c r="F2771" s="120" t="s">
        <v>654</v>
      </c>
      <c r="G2771" s="152" t="s">
        <v>1805</v>
      </c>
      <c r="H2771" s="120" t="s">
        <v>123</v>
      </c>
      <c r="I2771" s="121"/>
    </row>
    <row r="2772" spans="1:9" ht="21.6" customHeight="1">
      <c r="B2772" s="125"/>
      <c r="C2772" s="125"/>
      <c r="G2772" s="153"/>
    </row>
    <row r="2773" spans="1:9" ht="21.6" customHeight="1">
      <c r="C2773" s="136">
        <v>1</v>
      </c>
    </row>
    <row r="2774" spans="1:9" ht="21.6" customHeight="1">
      <c r="I2774" s="19"/>
    </row>
    <row r="2775" spans="1:9" ht="21.6" customHeight="1">
      <c r="I2775" s="19"/>
    </row>
    <row r="2776" spans="1:9" ht="21.6" customHeight="1">
      <c r="I2776" s="19"/>
    </row>
    <row r="2778" spans="1:9" ht="21.6" customHeight="1">
      <c r="D2778" s="127"/>
    </row>
    <row r="2779" spans="1:9" ht="21.6" customHeight="1">
      <c r="D2779" s="127"/>
    </row>
    <row r="2780" spans="1:9" ht="21.6" customHeight="1">
      <c r="D2780" s="127"/>
    </row>
    <row r="2781" spans="1:9" ht="21.6" customHeight="1">
      <c r="D2781" s="127"/>
    </row>
    <row r="2782" spans="1:9" ht="21.6" customHeight="1">
      <c r="D2782" s="127"/>
    </row>
    <row r="2783" spans="1:9" ht="21.6" customHeight="1">
      <c r="D2783" s="127"/>
    </row>
  </sheetData>
  <autoFilter ref="A1:I2771" xr:uid="{E8B37A12-ABD7-486E-947B-4A4045C3757A}"/>
  <phoneticPr fontId="3" type="noConversion"/>
  <pageMargins left="0.27" right="0.17" top="0.28999999999999998" bottom="0.44" header="0.19" footer="0.17"/>
  <pageSetup paperSize="9" scale="12" fitToHeight="0" orientation="landscape" r:id="rId1"/>
  <headerFooter alignWithMargins="0">
    <oddFooter xml:space="preserve">&amp;C&amp;9&amp;P/&amp;N&amp;R&amp;9&amp;A   &amp;F  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623D1-642B-4BF8-A88D-428B36C77E6B}">
  <dimension ref="A1:A2784"/>
  <sheetViews>
    <sheetView workbookViewId="0">
      <selection sqref="A1:A1048576"/>
    </sheetView>
  </sheetViews>
  <sheetFormatPr defaultRowHeight="15.6"/>
  <cols>
    <col min="1" max="1" width="27.58203125" style="14" bestFit="1" customWidth="1"/>
  </cols>
  <sheetData>
    <row r="1" spans="1:1">
      <c r="A1" s="1" t="s">
        <v>0</v>
      </c>
    </row>
    <row r="2" spans="1:1">
      <c r="A2" s="9" t="s">
        <v>20</v>
      </c>
    </row>
    <row r="3" spans="1:1">
      <c r="A3" s="3" t="s">
        <v>2</v>
      </c>
    </row>
    <row r="4" spans="1:1">
      <c r="A4" s="10" t="s">
        <v>21</v>
      </c>
    </row>
    <row r="5" spans="1:1">
      <c r="A5" s="10" t="s">
        <v>19</v>
      </c>
    </row>
    <row r="6" spans="1:1">
      <c r="A6" s="3" t="s">
        <v>3</v>
      </c>
    </row>
    <row r="7" spans="1:1">
      <c r="A7" s="10" t="s">
        <v>22</v>
      </c>
    </row>
    <row r="8" spans="1:1">
      <c r="A8" s="3"/>
    </row>
    <row r="9" spans="1:1">
      <c r="A9" s="10" t="s">
        <v>24</v>
      </c>
    </row>
    <row r="10" spans="1:1">
      <c r="A10" s="5" t="s">
        <v>6</v>
      </c>
    </row>
    <row r="11" spans="1:1">
      <c r="A11" s="10" t="s">
        <v>23</v>
      </c>
    </row>
    <row r="12" spans="1:1">
      <c r="A12" s="3" t="s">
        <v>4</v>
      </c>
    </row>
    <row r="13" spans="1:1">
      <c r="A13" s="10" t="s">
        <v>25</v>
      </c>
    </row>
    <row r="14" spans="1:1">
      <c r="A14" s="5" t="s">
        <v>7</v>
      </c>
    </row>
    <row r="15" spans="1:1">
      <c r="A15" s="10"/>
    </row>
    <row r="16" spans="1:1">
      <c r="A16" s="10"/>
    </row>
    <row r="17" spans="1:1">
      <c r="A17" s="3"/>
    </row>
    <row r="18" spans="1:1">
      <c r="A18" s="3" t="s">
        <v>1</v>
      </c>
    </row>
    <row r="19" spans="1:1">
      <c r="A19" s="3" t="s">
        <v>5</v>
      </c>
    </row>
    <row r="20" spans="1:1">
      <c r="A20" s="10" t="s">
        <v>26</v>
      </c>
    </row>
    <row r="21" spans="1:1">
      <c r="A21" s="5" t="s">
        <v>8</v>
      </c>
    </row>
    <row r="22" spans="1:1">
      <c r="A22" s="10" t="s">
        <v>27</v>
      </c>
    </row>
    <row r="23" spans="1:1">
      <c r="A23" s="5" t="s">
        <v>9</v>
      </c>
    </row>
    <row r="24" spans="1:1">
      <c r="A24" s="12"/>
    </row>
    <row r="25" spans="1:1">
      <c r="A25" s="2"/>
    </row>
    <row r="26" spans="1:1">
      <c r="A26" s="3"/>
    </row>
    <row r="27" spans="1:1">
      <c r="A27" s="13"/>
    </row>
    <row r="28" spans="1:1">
      <c r="A28" s="10" t="s">
        <v>28</v>
      </c>
    </row>
    <row r="29" spans="1:1">
      <c r="A29" s="5" t="s">
        <v>10</v>
      </c>
    </row>
    <row r="30" spans="1:1">
      <c r="A30" s="3"/>
    </row>
    <row r="31" spans="1:1">
      <c r="A31" s="10" t="s">
        <v>29</v>
      </c>
    </row>
    <row r="32" spans="1:1">
      <c r="A32" s="5" t="s">
        <v>11</v>
      </c>
    </row>
    <row r="33" spans="1:1">
      <c r="A33" s="10"/>
    </row>
    <row r="34" spans="1:1">
      <c r="A34" s="3"/>
    </row>
    <row r="35" spans="1:1">
      <c r="A35" s="10" t="s">
        <v>30</v>
      </c>
    </row>
    <row r="36" spans="1:1">
      <c r="A36" s="5" t="s">
        <v>12</v>
      </c>
    </row>
    <row r="37" spans="1:1">
      <c r="A37" s="3"/>
    </row>
    <row r="38" spans="1:1">
      <c r="A38" s="10" t="s">
        <v>31</v>
      </c>
    </row>
    <row r="39" spans="1:1">
      <c r="A39" s="5" t="s">
        <v>13</v>
      </c>
    </row>
    <row r="40" spans="1:1">
      <c r="A40" s="10"/>
    </row>
    <row r="41" spans="1:1">
      <c r="A41" s="3"/>
    </row>
    <row r="42" spans="1:1">
      <c r="A42" s="10" t="s">
        <v>32</v>
      </c>
    </row>
    <row r="43" spans="1:1">
      <c r="A43" s="5" t="s">
        <v>14</v>
      </c>
    </row>
    <row r="44" spans="1:1">
      <c r="A44" s="10"/>
    </row>
    <row r="45" spans="1:1">
      <c r="A45" s="3"/>
    </row>
    <row r="46" spans="1:1">
      <c r="A46" s="11" t="s">
        <v>33</v>
      </c>
    </row>
    <row r="47" spans="1:1">
      <c r="A47" s="10" t="s">
        <v>15</v>
      </c>
    </row>
    <row r="48" spans="1:1">
      <c r="A48" s="10" t="s">
        <v>34</v>
      </c>
    </row>
    <row r="49" spans="1:1">
      <c r="A49" s="12" t="s">
        <v>16</v>
      </c>
    </row>
    <row r="50" spans="1:1">
      <c r="A50" s="9"/>
    </row>
    <row r="51" spans="1:1">
      <c r="A51" s="7"/>
    </row>
    <row r="52" spans="1:1">
      <c r="A52" s="11" t="s">
        <v>35</v>
      </c>
    </row>
    <row r="53" spans="1:1">
      <c r="A53" s="11" t="s">
        <v>17</v>
      </c>
    </row>
    <row r="54" spans="1:1">
      <c r="A54" s="10" t="s">
        <v>36</v>
      </c>
    </row>
    <row r="55" spans="1:1">
      <c r="A55" s="10" t="s">
        <v>18</v>
      </c>
    </row>
    <row r="56" spans="1:1">
      <c r="A56" s="10"/>
    </row>
    <row r="57" spans="1:1">
      <c r="A57" s="10"/>
    </row>
    <row r="58" spans="1:1">
      <c r="A58" s="7"/>
    </row>
    <row r="59" spans="1:1">
      <c r="A59" s="11"/>
    </row>
    <row r="60" spans="1:1">
      <c r="A60" s="11"/>
    </row>
    <row r="61" spans="1:1">
      <c r="A61" s="7"/>
    </row>
    <row r="62" spans="1:1">
      <c r="A62" s="10"/>
    </row>
    <row r="63" spans="1:1">
      <c r="A63" s="7"/>
    </row>
    <row r="64" spans="1:1">
      <c r="A64" s="11"/>
    </row>
    <row r="65" spans="1:1">
      <c r="A65" s="10"/>
    </row>
    <row r="66" spans="1:1">
      <c r="A66"/>
    </row>
    <row r="67" spans="1:1">
      <c r="A67"/>
    </row>
    <row r="68" spans="1:1">
      <c r="A68"/>
    </row>
    <row r="69" spans="1:1">
      <c r="A69"/>
    </row>
    <row r="70" spans="1:1">
      <c r="A70"/>
    </row>
    <row r="71" spans="1:1">
      <c r="A71"/>
    </row>
    <row r="72" spans="1:1">
      <c r="A72"/>
    </row>
    <row r="73" spans="1:1">
      <c r="A73"/>
    </row>
    <row r="74" spans="1:1">
      <c r="A74"/>
    </row>
    <row r="75" spans="1:1">
      <c r="A75"/>
    </row>
    <row r="76" spans="1:1">
      <c r="A76"/>
    </row>
    <row r="77" spans="1:1">
      <c r="A77"/>
    </row>
    <row r="78" spans="1:1">
      <c r="A78"/>
    </row>
    <row r="79" spans="1:1">
      <c r="A79"/>
    </row>
    <row r="80" spans="1:1">
      <c r="A80"/>
    </row>
    <row r="81" spans="1:1">
      <c r="A81"/>
    </row>
    <row r="82" spans="1:1">
      <c r="A82"/>
    </row>
    <row r="83" spans="1:1">
      <c r="A83"/>
    </row>
    <row r="84" spans="1:1">
      <c r="A84"/>
    </row>
    <row r="85" spans="1:1">
      <c r="A85"/>
    </row>
    <row r="86" spans="1:1">
      <c r="A86"/>
    </row>
    <row r="87" spans="1:1">
      <c r="A87"/>
    </row>
    <row r="88" spans="1:1">
      <c r="A88"/>
    </row>
    <row r="89" spans="1:1">
      <c r="A89"/>
    </row>
    <row r="90" spans="1:1">
      <c r="A90"/>
    </row>
    <row r="91" spans="1:1">
      <c r="A91"/>
    </row>
    <row r="92" spans="1:1">
      <c r="A92"/>
    </row>
    <row r="93" spans="1:1">
      <c r="A93"/>
    </row>
    <row r="94" spans="1:1">
      <c r="A94"/>
    </row>
    <row r="95" spans="1:1">
      <c r="A95"/>
    </row>
    <row r="96" spans="1:1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>
      <c r="A122"/>
    </row>
    <row r="123" spans="1:1">
      <c r="A123"/>
    </row>
    <row r="124" spans="1:1">
      <c r="A124"/>
    </row>
    <row r="125" spans="1:1">
      <c r="A125"/>
    </row>
    <row r="126" spans="1:1">
      <c r="A126"/>
    </row>
    <row r="127" spans="1:1">
      <c r="A127"/>
    </row>
    <row r="128" spans="1:1">
      <c r="A128"/>
    </row>
    <row r="129" spans="1:1">
      <c r="A129"/>
    </row>
    <row r="130" spans="1:1">
      <c r="A130"/>
    </row>
    <row r="131" spans="1:1">
      <c r="A131"/>
    </row>
    <row r="132" spans="1:1">
      <c r="A132"/>
    </row>
    <row r="133" spans="1:1">
      <c r="A133"/>
    </row>
    <row r="134" spans="1:1">
      <c r="A134"/>
    </row>
    <row r="135" spans="1:1">
      <c r="A135"/>
    </row>
    <row r="136" spans="1:1">
      <c r="A136"/>
    </row>
    <row r="137" spans="1:1">
      <c r="A137"/>
    </row>
    <row r="138" spans="1:1">
      <c r="A138"/>
    </row>
    <row r="139" spans="1:1">
      <c r="A139"/>
    </row>
    <row r="140" spans="1:1">
      <c r="A140"/>
    </row>
    <row r="141" spans="1:1">
      <c r="A141"/>
    </row>
    <row r="142" spans="1:1">
      <c r="A142"/>
    </row>
    <row r="143" spans="1:1">
      <c r="A143"/>
    </row>
    <row r="144" spans="1:1">
      <c r="A144"/>
    </row>
    <row r="145" spans="1:1">
      <c r="A145"/>
    </row>
    <row r="146" spans="1:1">
      <c r="A146"/>
    </row>
    <row r="147" spans="1:1">
      <c r="A147"/>
    </row>
    <row r="148" spans="1:1">
      <c r="A148"/>
    </row>
    <row r="149" spans="1:1">
      <c r="A149"/>
    </row>
    <row r="150" spans="1:1">
      <c r="A150"/>
    </row>
    <row r="151" spans="1:1">
      <c r="A151"/>
    </row>
    <row r="152" spans="1:1">
      <c r="A152"/>
    </row>
    <row r="153" spans="1:1">
      <c r="A153"/>
    </row>
    <row r="154" spans="1:1">
      <c r="A154"/>
    </row>
    <row r="155" spans="1:1">
      <c r="A155"/>
    </row>
    <row r="156" spans="1:1">
      <c r="A156"/>
    </row>
    <row r="157" spans="1:1">
      <c r="A157"/>
    </row>
    <row r="158" spans="1:1">
      <c r="A158"/>
    </row>
    <row r="159" spans="1:1">
      <c r="A159"/>
    </row>
    <row r="160" spans="1:1">
      <c r="A160"/>
    </row>
    <row r="161" spans="1:1">
      <c r="A161"/>
    </row>
    <row r="162" spans="1:1">
      <c r="A162"/>
    </row>
    <row r="163" spans="1:1">
      <c r="A163"/>
    </row>
    <row r="164" spans="1:1">
      <c r="A164"/>
    </row>
    <row r="165" spans="1:1">
      <c r="A165"/>
    </row>
    <row r="166" spans="1:1">
      <c r="A166"/>
    </row>
    <row r="167" spans="1:1">
      <c r="A167"/>
    </row>
    <row r="168" spans="1:1">
      <c r="A168"/>
    </row>
    <row r="169" spans="1:1">
      <c r="A169"/>
    </row>
    <row r="170" spans="1:1">
      <c r="A170"/>
    </row>
    <row r="171" spans="1:1">
      <c r="A171"/>
    </row>
    <row r="172" spans="1:1">
      <c r="A172"/>
    </row>
    <row r="173" spans="1:1">
      <c r="A173"/>
    </row>
    <row r="174" spans="1:1">
      <c r="A174"/>
    </row>
    <row r="175" spans="1:1">
      <c r="A175"/>
    </row>
    <row r="176" spans="1:1">
      <c r="A176"/>
    </row>
    <row r="177" spans="1:1">
      <c r="A177"/>
    </row>
    <row r="178" spans="1:1">
      <c r="A178"/>
    </row>
    <row r="179" spans="1:1">
      <c r="A179"/>
    </row>
    <row r="180" spans="1:1">
      <c r="A180"/>
    </row>
    <row r="181" spans="1:1">
      <c r="A181"/>
    </row>
    <row r="182" spans="1:1">
      <c r="A182"/>
    </row>
    <row r="183" spans="1:1">
      <c r="A183"/>
    </row>
    <row r="184" spans="1:1">
      <c r="A184"/>
    </row>
    <row r="185" spans="1:1">
      <c r="A185"/>
    </row>
    <row r="186" spans="1:1">
      <c r="A186"/>
    </row>
    <row r="187" spans="1:1">
      <c r="A187"/>
    </row>
    <row r="188" spans="1:1">
      <c r="A188"/>
    </row>
    <row r="189" spans="1:1">
      <c r="A189"/>
    </row>
    <row r="190" spans="1:1">
      <c r="A190"/>
    </row>
    <row r="191" spans="1:1">
      <c r="A191"/>
    </row>
    <row r="192" spans="1:1">
      <c r="A192"/>
    </row>
    <row r="193" spans="1:1">
      <c r="A193"/>
    </row>
    <row r="194" spans="1:1">
      <c r="A194"/>
    </row>
    <row r="195" spans="1:1">
      <c r="A195"/>
    </row>
    <row r="196" spans="1:1">
      <c r="A196"/>
    </row>
    <row r="197" spans="1:1">
      <c r="A197"/>
    </row>
    <row r="198" spans="1:1">
      <c r="A198"/>
    </row>
    <row r="199" spans="1:1">
      <c r="A199"/>
    </row>
    <row r="200" spans="1:1">
      <c r="A200"/>
    </row>
    <row r="201" spans="1:1">
      <c r="A201"/>
    </row>
    <row r="202" spans="1:1">
      <c r="A202"/>
    </row>
    <row r="203" spans="1:1">
      <c r="A203"/>
    </row>
    <row r="204" spans="1:1">
      <c r="A204"/>
    </row>
    <row r="205" spans="1:1">
      <c r="A205"/>
    </row>
    <row r="206" spans="1:1">
      <c r="A206"/>
    </row>
    <row r="207" spans="1:1">
      <c r="A207"/>
    </row>
    <row r="208" spans="1: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  <row r="436" spans="1:1">
      <c r="A436"/>
    </row>
    <row r="437" spans="1:1">
      <c r="A437"/>
    </row>
    <row r="438" spans="1:1">
      <c r="A438"/>
    </row>
    <row r="439" spans="1:1">
      <c r="A439"/>
    </row>
    <row r="440" spans="1:1">
      <c r="A440"/>
    </row>
    <row r="441" spans="1:1">
      <c r="A441"/>
    </row>
    <row r="442" spans="1:1">
      <c r="A442"/>
    </row>
    <row r="443" spans="1:1">
      <c r="A443"/>
    </row>
    <row r="444" spans="1:1">
      <c r="A444"/>
    </row>
    <row r="445" spans="1:1">
      <c r="A445"/>
    </row>
    <row r="446" spans="1:1">
      <c r="A446"/>
    </row>
    <row r="447" spans="1:1">
      <c r="A447"/>
    </row>
    <row r="448" spans="1:1">
      <c r="A448"/>
    </row>
    <row r="449" spans="1:1">
      <c r="A449"/>
    </row>
    <row r="450" spans="1:1">
      <c r="A450"/>
    </row>
    <row r="451" spans="1:1">
      <c r="A451"/>
    </row>
    <row r="452" spans="1:1">
      <c r="A452"/>
    </row>
    <row r="453" spans="1:1">
      <c r="A453"/>
    </row>
    <row r="454" spans="1:1">
      <c r="A454"/>
    </row>
    <row r="455" spans="1:1">
      <c r="A455"/>
    </row>
    <row r="456" spans="1:1">
      <c r="A456"/>
    </row>
    <row r="457" spans="1:1">
      <c r="A457"/>
    </row>
    <row r="458" spans="1:1">
      <c r="A458"/>
    </row>
    <row r="459" spans="1:1">
      <c r="A459"/>
    </row>
    <row r="460" spans="1:1">
      <c r="A460"/>
    </row>
    <row r="461" spans="1:1">
      <c r="A461"/>
    </row>
    <row r="462" spans="1:1">
      <c r="A462"/>
    </row>
    <row r="463" spans="1:1">
      <c r="A463"/>
    </row>
    <row r="464" spans="1:1">
      <c r="A464"/>
    </row>
    <row r="465" spans="1:1">
      <c r="A465"/>
    </row>
    <row r="466" spans="1:1">
      <c r="A466"/>
    </row>
    <row r="467" spans="1:1">
      <c r="A467"/>
    </row>
    <row r="468" spans="1:1">
      <c r="A468"/>
    </row>
    <row r="469" spans="1:1">
      <c r="A469"/>
    </row>
    <row r="470" spans="1:1">
      <c r="A470"/>
    </row>
    <row r="471" spans="1:1">
      <c r="A471"/>
    </row>
    <row r="472" spans="1:1">
      <c r="A472"/>
    </row>
    <row r="473" spans="1:1">
      <c r="A473"/>
    </row>
    <row r="474" spans="1:1">
      <c r="A474"/>
    </row>
    <row r="475" spans="1:1">
      <c r="A475"/>
    </row>
    <row r="476" spans="1:1">
      <c r="A476"/>
    </row>
    <row r="477" spans="1:1">
      <c r="A477"/>
    </row>
    <row r="478" spans="1:1">
      <c r="A478"/>
    </row>
    <row r="479" spans="1:1">
      <c r="A479"/>
    </row>
    <row r="480" spans="1:1">
      <c r="A480"/>
    </row>
    <row r="481" spans="1:1">
      <c r="A481"/>
    </row>
    <row r="482" spans="1:1">
      <c r="A482"/>
    </row>
    <row r="483" spans="1:1">
      <c r="A483"/>
    </row>
    <row r="484" spans="1:1">
      <c r="A484"/>
    </row>
    <row r="485" spans="1:1">
      <c r="A485"/>
    </row>
    <row r="486" spans="1:1">
      <c r="A486"/>
    </row>
    <row r="487" spans="1:1">
      <c r="A487"/>
    </row>
    <row r="488" spans="1:1">
      <c r="A488"/>
    </row>
    <row r="489" spans="1:1">
      <c r="A489"/>
    </row>
    <row r="490" spans="1:1">
      <c r="A490"/>
    </row>
    <row r="491" spans="1:1">
      <c r="A491"/>
    </row>
    <row r="492" spans="1:1">
      <c r="A492"/>
    </row>
    <row r="493" spans="1:1">
      <c r="A493"/>
    </row>
    <row r="494" spans="1:1">
      <c r="A494"/>
    </row>
    <row r="495" spans="1:1">
      <c r="A495"/>
    </row>
    <row r="496" spans="1:1">
      <c r="A496"/>
    </row>
    <row r="497" spans="1:1">
      <c r="A497"/>
    </row>
    <row r="498" spans="1:1">
      <c r="A498"/>
    </row>
    <row r="499" spans="1:1">
      <c r="A499"/>
    </row>
    <row r="500" spans="1:1">
      <c r="A500"/>
    </row>
    <row r="501" spans="1:1">
      <c r="A501"/>
    </row>
    <row r="502" spans="1:1">
      <c r="A502"/>
    </row>
    <row r="503" spans="1:1">
      <c r="A503"/>
    </row>
    <row r="504" spans="1:1">
      <c r="A504"/>
    </row>
    <row r="505" spans="1:1">
      <c r="A505"/>
    </row>
    <row r="506" spans="1:1">
      <c r="A506"/>
    </row>
    <row r="507" spans="1:1">
      <c r="A507"/>
    </row>
    <row r="508" spans="1:1">
      <c r="A508"/>
    </row>
    <row r="509" spans="1:1">
      <c r="A509"/>
    </row>
    <row r="510" spans="1:1">
      <c r="A510"/>
    </row>
    <row r="511" spans="1:1">
      <c r="A511"/>
    </row>
    <row r="512" spans="1:1">
      <c r="A512"/>
    </row>
    <row r="513" spans="1:1">
      <c r="A513"/>
    </row>
    <row r="514" spans="1:1">
      <c r="A514"/>
    </row>
    <row r="515" spans="1:1">
      <c r="A515"/>
    </row>
    <row r="516" spans="1:1">
      <c r="A516"/>
    </row>
    <row r="517" spans="1:1">
      <c r="A517"/>
    </row>
    <row r="518" spans="1:1">
      <c r="A518"/>
    </row>
    <row r="519" spans="1:1">
      <c r="A519"/>
    </row>
    <row r="520" spans="1:1">
      <c r="A520"/>
    </row>
    <row r="521" spans="1:1">
      <c r="A521"/>
    </row>
    <row r="522" spans="1:1">
      <c r="A522"/>
    </row>
    <row r="523" spans="1:1">
      <c r="A523"/>
    </row>
    <row r="524" spans="1:1">
      <c r="A524"/>
    </row>
    <row r="525" spans="1:1">
      <c r="A525"/>
    </row>
    <row r="526" spans="1:1">
      <c r="A526"/>
    </row>
    <row r="527" spans="1:1">
      <c r="A527"/>
    </row>
    <row r="528" spans="1:1">
      <c r="A528"/>
    </row>
    <row r="529" spans="1:1">
      <c r="A529"/>
    </row>
    <row r="530" spans="1:1">
      <c r="A530"/>
    </row>
    <row r="531" spans="1:1">
      <c r="A531"/>
    </row>
    <row r="532" spans="1:1">
      <c r="A532"/>
    </row>
    <row r="533" spans="1:1">
      <c r="A533"/>
    </row>
    <row r="534" spans="1:1">
      <c r="A534"/>
    </row>
    <row r="535" spans="1:1">
      <c r="A535"/>
    </row>
    <row r="536" spans="1:1">
      <c r="A536"/>
    </row>
    <row r="537" spans="1:1">
      <c r="A537"/>
    </row>
    <row r="538" spans="1:1">
      <c r="A538"/>
    </row>
    <row r="539" spans="1:1">
      <c r="A539"/>
    </row>
    <row r="540" spans="1:1">
      <c r="A540"/>
    </row>
    <row r="541" spans="1:1">
      <c r="A541"/>
    </row>
    <row r="542" spans="1:1">
      <c r="A542"/>
    </row>
    <row r="543" spans="1:1">
      <c r="A543"/>
    </row>
    <row r="544" spans="1:1">
      <c r="A544"/>
    </row>
    <row r="545" spans="1:1">
      <c r="A545"/>
    </row>
    <row r="546" spans="1:1">
      <c r="A546"/>
    </row>
    <row r="547" spans="1:1">
      <c r="A547"/>
    </row>
    <row r="548" spans="1:1">
      <c r="A548"/>
    </row>
    <row r="549" spans="1:1">
      <c r="A549"/>
    </row>
    <row r="550" spans="1:1">
      <c r="A550"/>
    </row>
    <row r="551" spans="1:1">
      <c r="A551"/>
    </row>
    <row r="552" spans="1:1">
      <c r="A552"/>
    </row>
    <row r="553" spans="1:1">
      <c r="A553"/>
    </row>
    <row r="554" spans="1:1">
      <c r="A554"/>
    </row>
    <row r="555" spans="1:1">
      <c r="A555"/>
    </row>
    <row r="556" spans="1:1">
      <c r="A556"/>
    </row>
    <row r="557" spans="1:1">
      <c r="A557"/>
    </row>
    <row r="558" spans="1:1">
      <c r="A558"/>
    </row>
    <row r="559" spans="1:1">
      <c r="A559"/>
    </row>
    <row r="560" spans="1:1">
      <c r="A560"/>
    </row>
    <row r="561" spans="1:1">
      <c r="A561"/>
    </row>
    <row r="562" spans="1:1">
      <c r="A562"/>
    </row>
    <row r="563" spans="1:1">
      <c r="A563"/>
    </row>
    <row r="564" spans="1:1">
      <c r="A564"/>
    </row>
    <row r="565" spans="1:1">
      <c r="A565"/>
    </row>
    <row r="566" spans="1:1">
      <c r="A566"/>
    </row>
    <row r="567" spans="1:1">
      <c r="A567"/>
    </row>
    <row r="568" spans="1:1">
      <c r="A568"/>
    </row>
    <row r="569" spans="1:1">
      <c r="A569"/>
    </row>
    <row r="570" spans="1:1">
      <c r="A570"/>
    </row>
    <row r="571" spans="1:1">
      <c r="A571"/>
    </row>
    <row r="572" spans="1:1">
      <c r="A572"/>
    </row>
    <row r="573" spans="1:1">
      <c r="A573"/>
    </row>
    <row r="574" spans="1:1">
      <c r="A574"/>
    </row>
    <row r="575" spans="1:1">
      <c r="A575"/>
    </row>
    <row r="576" spans="1:1">
      <c r="A576"/>
    </row>
    <row r="577" spans="1:1">
      <c r="A577"/>
    </row>
    <row r="578" spans="1:1">
      <c r="A578"/>
    </row>
    <row r="579" spans="1:1">
      <c r="A579"/>
    </row>
    <row r="580" spans="1:1">
      <c r="A580"/>
    </row>
    <row r="581" spans="1:1">
      <c r="A581"/>
    </row>
    <row r="582" spans="1:1">
      <c r="A582"/>
    </row>
    <row r="583" spans="1:1">
      <c r="A583"/>
    </row>
    <row r="584" spans="1:1">
      <c r="A584"/>
    </row>
    <row r="585" spans="1:1">
      <c r="A585"/>
    </row>
    <row r="586" spans="1:1">
      <c r="A586"/>
    </row>
    <row r="587" spans="1:1">
      <c r="A587"/>
    </row>
    <row r="588" spans="1:1">
      <c r="A588"/>
    </row>
    <row r="589" spans="1:1">
      <c r="A589"/>
    </row>
    <row r="590" spans="1:1">
      <c r="A590"/>
    </row>
    <row r="591" spans="1:1">
      <c r="A591"/>
    </row>
    <row r="592" spans="1:1">
      <c r="A592"/>
    </row>
    <row r="593" spans="1:1">
      <c r="A593"/>
    </row>
    <row r="594" spans="1:1">
      <c r="A594"/>
    </row>
    <row r="595" spans="1:1">
      <c r="A595"/>
    </row>
    <row r="596" spans="1:1">
      <c r="A596"/>
    </row>
    <row r="597" spans="1:1">
      <c r="A597"/>
    </row>
    <row r="598" spans="1:1">
      <c r="A598"/>
    </row>
    <row r="599" spans="1:1">
      <c r="A599"/>
    </row>
    <row r="600" spans="1:1">
      <c r="A600"/>
    </row>
    <row r="601" spans="1:1">
      <c r="A601"/>
    </row>
    <row r="602" spans="1:1">
      <c r="A602"/>
    </row>
    <row r="603" spans="1:1">
      <c r="A603"/>
    </row>
    <row r="604" spans="1:1">
      <c r="A604"/>
    </row>
    <row r="605" spans="1:1">
      <c r="A605"/>
    </row>
    <row r="606" spans="1:1">
      <c r="A606"/>
    </row>
    <row r="607" spans="1:1">
      <c r="A607"/>
    </row>
    <row r="608" spans="1:1">
      <c r="A608"/>
    </row>
    <row r="609" spans="1:1">
      <c r="A609"/>
    </row>
    <row r="610" spans="1:1">
      <c r="A610"/>
    </row>
    <row r="611" spans="1:1">
      <c r="A611"/>
    </row>
    <row r="612" spans="1:1">
      <c r="A612"/>
    </row>
    <row r="613" spans="1:1">
      <c r="A613"/>
    </row>
    <row r="614" spans="1:1">
      <c r="A614"/>
    </row>
    <row r="615" spans="1:1">
      <c r="A615"/>
    </row>
    <row r="616" spans="1:1">
      <c r="A616"/>
    </row>
    <row r="617" spans="1:1">
      <c r="A617"/>
    </row>
    <row r="618" spans="1:1">
      <c r="A618"/>
    </row>
    <row r="619" spans="1:1">
      <c r="A619"/>
    </row>
    <row r="620" spans="1:1">
      <c r="A620"/>
    </row>
    <row r="621" spans="1:1">
      <c r="A621"/>
    </row>
    <row r="622" spans="1:1">
      <c r="A622"/>
    </row>
    <row r="623" spans="1:1">
      <c r="A623"/>
    </row>
    <row r="624" spans="1:1">
      <c r="A624"/>
    </row>
    <row r="625" spans="1:1">
      <c r="A625"/>
    </row>
    <row r="626" spans="1:1">
      <c r="A626"/>
    </row>
    <row r="627" spans="1:1">
      <c r="A627"/>
    </row>
    <row r="628" spans="1:1">
      <c r="A628"/>
    </row>
    <row r="629" spans="1:1">
      <c r="A629"/>
    </row>
    <row r="630" spans="1:1">
      <c r="A630"/>
    </row>
    <row r="631" spans="1:1">
      <c r="A631"/>
    </row>
    <row r="632" spans="1:1">
      <c r="A632"/>
    </row>
    <row r="633" spans="1:1">
      <c r="A633"/>
    </row>
    <row r="634" spans="1:1">
      <c r="A634"/>
    </row>
    <row r="635" spans="1:1">
      <c r="A635"/>
    </row>
    <row r="636" spans="1:1">
      <c r="A636"/>
    </row>
    <row r="637" spans="1:1">
      <c r="A637"/>
    </row>
    <row r="638" spans="1:1">
      <c r="A638"/>
    </row>
    <row r="639" spans="1:1">
      <c r="A639"/>
    </row>
    <row r="640" spans="1:1">
      <c r="A640"/>
    </row>
    <row r="641" spans="1:1">
      <c r="A641"/>
    </row>
    <row r="642" spans="1:1">
      <c r="A642"/>
    </row>
    <row r="643" spans="1:1">
      <c r="A643"/>
    </row>
    <row r="644" spans="1:1">
      <c r="A644"/>
    </row>
    <row r="645" spans="1:1">
      <c r="A645"/>
    </row>
    <row r="646" spans="1:1">
      <c r="A646"/>
    </row>
    <row r="647" spans="1:1">
      <c r="A647"/>
    </row>
    <row r="648" spans="1:1">
      <c r="A648"/>
    </row>
    <row r="649" spans="1:1">
      <c r="A649"/>
    </row>
    <row r="650" spans="1:1">
      <c r="A650"/>
    </row>
    <row r="651" spans="1:1">
      <c r="A651"/>
    </row>
    <row r="652" spans="1:1">
      <c r="A652"/>
    </row>
    <row r="653" spans="1:1">
      <c r="A653"/>
    </row>
    <row r="654" spans="1:1">
      <c r="A654"/>
    </row>
    <row r="655" spans="1:1">
      <c r="A655"/>
    </row>
    <row r="656" spans="1:1">
      <c r="A656"/>
    </row>
    <row r="657" spans="1:1">
      <c r="A657"/>
    </row>
    <row r="658" spans="1:1">
      <c r="A658"/>
    </row>
    <row r="659" spans="1:1">
      <c r="A659"/>
    </row>
    <row r="660" spans="1:1">
      <c r="A660"/>
    </row>
    <row r="661" spans="1:1">
      <c r="A661"/>
    </row>
    <row r="662" spans="1:1">
      <c r="A662"/>
    </row>
    <row r="663" spans="1:1">
      <c r="A663"/>
    </row>
    <row r="664" spans="1:1">
      <c r="A664"/>
    </row>
    <row r="665" spans="1:1">
      <c r="A665"/>
    </row>
    <row r="666" spans="1:1">
      <c r="A666"/>
    </row>
    <row r="667" spans="1:1">
      <c r="A667"/>
    </row>
    <row r="668" spans="1:1">
      <c r="A668"/>
    </row>
    <row r="669" spans="1:1">
      <c r="A669"/>
    </row>
    <row r="670" spans="1:1">
      <c r="A670"/>
    </row>
    <row r="671" spans="1:1">
      <c r="A671"/>
    </row>
    <row r="672" spans="1:1">
      <c r="A672"/>
    </row>
    <row r="673" spans="1:1">
      <c r="A673"/>
    </row>
    <row r="674" spans="1:1">
      <c r="A674"/>
    </row>
    <row r="675" spans="1:1">
      <c r="A675"/>
    </row>
    <row r="676" spans="1:1">
      <c r="A676"/>
    </row>
    <row r="677" spans="1:1">
      <c r="A677"/>
    </row>
    <row r="678" spans="1:1">
      <c r="A678"/>
    </row>
    <row r="679" spans="1:1">
      <c r="A679"/>
    </row>
    <row r="680" spans="1:1">
      <c r="A680"/>
    </row>
    <row r="681" spans="1:1">
      <c r="A681"/>
    </row>
    <row r="682" spans="1:1">
      <c r="A682"/>
    </row>
    <row r="683" spans="1:1">
      <c r="A683"/>
    </row>
    <row r="684" spans="1:1">
      <c r="A684"/>
    </row>
    <row r="685" spans="1:1">
      <c r="A685"/>
    </row>
    <row r="686" spans="1:1">
      <c r="A686"/>
    </row>
    <row r="687" spans="1:1">
      <c r="A687"/>
    </row>
    <row r="688" spans="1:1">
      <c r="A688"/>
    </row>
    <row r="689" spans="1:1">
      <c r="A689"/>
    </row>
    <row r="690" spans="1:1">
      <c r="A690"/>
    </row>
    <row r="691" spans="1:1">
      <c r="A691"/>
    </row>
    <row r="692" spans="1:1">
      <c r="A692"/>
    </row>
    <row r="693" spans="1:1">
      <c r="A693"/>
    </row>
    <row r="694" spans="1:1">
      <c r="A694"/>
    </row>
    <row r="695" spans="1:1">
      <c r="A695"/>
    </row>
    <row r="696" spans="1:1">
      <c r="A696"/>
    </row>
    <row r="697" spans="1:1">
      <c r="A697"/>
    </row>
    <row r="698" spans="1:1">
      <c r="A698"/>
    </row>
    <row r="699" spans="1:1">
      <c r="A699"/>
    </row>
    <row r="700" spans="1:1">
      <c r="A700"/>
    </row>
    <row r="701" spans="1:1">
      <c r="A701"/>
    </row>
    <row r="702" spans="1:1">
      <c r="A702"/>
    </row>
    <row r="703" spans="1:1">
      <c r="A703"/>
    </row>
    <row r="704" spans="1:1">
      <c r="A704"/>
    </row>
    <row r="705" spans="1:1">
      <c r="A705"/>
    </row>
    <row r="706" spans="1:1">
      <c r="A706"/>
    </row>
    <row r="707" spans="1:1">
      <c r="A707"/>
    </row>
    <row r="708" spans="1:1">
      <c r="A708"/>
    </row>
    <row r="709" spans="1:1">
      <c r="A709"/>
    </row>
    <row r="710" spans="1:1">
      <c r="A710"/>
    </row>
    <row r="711" spans="1:1">
      <c r="A711"/>
    </row>
    <row r="712" spans="1:1">
      <c r="A712"/>
    </row>
    <row r="713" spans="1:1">
      <c r="A713"/>
    </row>
    <row r="714" spans="1:1">
      <c r="A714"/>
    </row>
    <row r="715" spans="1:1">
      <c r="A715"/>
    </row>
    <row r="716" spans="1:1">
      <c r="A716"/>
    </row>
    <row r="717" spans="1:1">
      <c r="A717"/>
    </row>
    <row r="718" spans="1:1">
      <c r="A718"/>
    </row>
    <row r="719" spans="1:1">
      <c r="A719"/>
    </row>
    <row r="720" spans="1:1">
      <c r="A720"/>
    </row>
    <row r="721" spans="1:1">
      <c r="A721"/>
    </row>
    <row r="722" spans="1:1">
      <c r="A722"/>
    </row>
    <row r="723" spans="1:1">
      <c r="A723"/>
    </row>
    <row r="724" spans="1:1">
      <c r="A724"/>
    </row>
    <row r="725" spans="1:1">
      <c r="A725"/>
    </row>
    <row r="726" spans="1:1">
      <c r="A726"/>
    </row>
    <row r="727" spans="1:1">
      <c r="A727"/>
    </row>
    <row r="728" spans="1:1">
      <c r="A728"/>
    </row>
    <row r="729" spans="1:1">
      <c r="A729"/>
    </row>
    <row r="730" spans="1:1">
      <c r="A730"/>
    </row>
    <row r="731" spans="1:1">
      <c r="A731"/>
    </row>
    <row r="732" spans="1:1">
      <c r="A732"/>
    </row>
    <row r="733" spans="1:1">
      <c r="A733"/>
    </row>
    <row r="734" spans="1:1">
      <c r="A734"/>
    </row>
    <row r="735" spans="1:1">
      <c r="A735"/>
    </row>
    <row r="736" spans="1:1">
      <c r="A736"/>
    </row>
    <row r="737" spans="1:1">
      <c r="A737"/>
    </row>
    <row r="738" spans="1:1">
      <c r="A738"/>
    </row>
    <row r="739" spans="1:1">
      <c r="A739"/>
    </row>
    <row r="740" spans="1:1">
      <c r="A740"/>
    </row>
    <row r="741" spans="1:1">
      <c r="A741"/>
    </row>
    <row r="742" spans="1:1">
      <c r="A742"/>
    </row>
    <row r="743" spans="1:1">
      <c r="A743"/>
    </row>
    <row r="744" spans="1:1">
      <c r="A744"/>
    </row>
    <row r="745" spans="1:1">
      <c r="A745"/>
    </row>
    <row r="746" spans="1:1">
      <c r="A746"/>
    </row>
    <row r="747" spans="1:1">
      <c r="A747"/>
    </row>
    <row r="748" spans="1:1">
      <c r="A748"/>
    </row>
    <row r="749" spans="1:1">
      <c r="A749"/>
    </row>
    <row r="750" spans="1:1">
      <c r="A750"/>
    </row>
    <row r="751" spans="1:1">
      <c r="A751"/>
    </row>
    <row r="752" spans="1:1">
      <c r="A752"/>
    </row>
    <row r="753" spans="1:1">
      <c r="A753"/>
    </row>
    <row r="754" spans="1:1">
      <c r="A754"/>
    </row>
    <row r="755" spans="1:1">
      <c r="A755"/>
    </row>
    <row r="756" spans="1:1">
      <c r="A756"/>
    </row>
    <row r="757" spans="1:1">
      <c r="A757"/>
    </row>
    <row r="758" spans="1:1">
      <c r="A758"/>
    </row>
    <row r="759" spans="1:1">
      <c r="A759"/>
    </row>
    <row r="760" spans="1:1">
      <c r="A760"/>
    </row>
    <row r="761" spans="1:1">
      <c r="A761"/>
    </row>
    <row r="762" spans="1:1">
      <c r="A762"/>
    </row>
    <row r="763" spans="1:1">
      <c r="A763"/>
    </row>
    <row r="764" spans="1:1">
      <c r="A764"/>
    </row>
    <row r="765" spans="1:1">
      <c r="A765"/>
    </row>
    <row r="766" spans="1:1">
      <c r="A766"/>
    </row>
    <row r="767" spans="1:1">
      <c r="A767"/>
    </row>
    <row r="768" spans="1:1">
      <c r="A768"/>
    </row>
    <row r="769" spans="1:1">
      <c r="A769"/>
    </row>
    <row r="770" spans="1:1">
      <c r="A770"/>
    </row>
    <row r="771" spans="1:1">
      <c r="A771"/>
    </row>
    <row r="772" spans="1:1">
      <c r="A772"/>
    </row>
    <row r="773" spans="1:1">
      <c r="A773"/>
    </row>
    <row r="774" spans="1:1">
      <c r="A774"/>
    </row>
    <row r="775" spans="1:1">
      <c r="A775"/>
    </row>
    <row r="776" spans="1:1">
      <c r="A776"/>
    </row>
    <row r="777" spans="1:1">
      <c r="A777"/>
    </row>
    <row r="778" spans="1:1">
      <c r="A778"/>
    </row>
    <row r="779" spans="1:1">
      <c r="A779"/>
    </row>
    <row r="780" spans="1:1">
      <c r="A780"/>
    </row>
    <row r="781" spans="1:1">
      <c r="A781"/>
    </row>
    <row r="782" spans="1:1">
      <c r="A782"/>
    </row>
    <row r="783" spans="1:1">
      <c r="A783"/>
    </row>
    <row r="784" spans="1:1">
      <c r="A784"/>
    </row>
    <row r="785" spans="1:1">
      <c r="A785"/>
    </row>
    <row r="786" spans="1:1">
      <c r="A786"/>
    </row>
    <row r="787" spans="1:1">
      <c r="A787"/>
    </row>
    <row r="788" spans="1:1">
      <c r="A788"/>
    </row>
    <row r="789" spans="1:1">
      <c r="A789"/>
    </row>
    <row r="790" spans="1:1">
      <c r="A790"/>
    </row>
    <row r="791" spans="1:1">
      <c r="A791"/>
    </row>
    <row r="792" spans="1:1">
      <c r="A792"/>
    </row>
    <row r="793" spans="1:1">
      <c r="A793"/>
    </row>
    <row r="794" spans="1:1">
      <c r="A794"/>
    </row>
    <row r="795" spans="1:1">
      <c r="A795"/>
    </row>
    <row r="796" spans="1:1">
      <c r="A796"/>
    </row>
    <row r="797" spans="1:1">
      <c r="A797"/>
    </row>
    <row r="798" spans="1:1">
      <c r="A798"/>
    </row>
    <row r="799" spans="1:1">
      <c r="A799"/>
    </row>
    <row r="800" spans="1:1">
      <c r="A800"/>
    </row>
    <row r="801" spans="1:1">
      <c r="A801"/>
    </row>
    <row r="802" spans="1:1">
      <c r="A802"/>
    </row>
    <row r="803" spans="1:1">
      <c r="A803"/>
    </row>
    <row r="804" spans="1:1">
      <c r="A804"/>
    </row>
    <row r="805" spans="1:1">
      <c r="A805"/>
    </row>
    <row r="806" spans="1:1">
      <c r="A806"/>
    </row>
    <row r="807" spans="1:1">
      <c r="A807"/>
    </row>
    <row r="808" spans="1:1">
      <c r="A808"/>
    </row>
    <row r="809" spans="1:1">
      <c r="A809"/>
    </row>
    <row r="810" spans="1:1">
      <c r="A810"/>
    </row>
    <row r="811" spans="1:1">
      <c r="A811"/>
    </row>
    <row r="812" spans="1:1">
      <c r="A812"/>
    </row>
    <row r="813" spans="1:1">
      <c r="A813"/>
    </row>
    <row r="814" spans="1:1">
      <c r="A814"/>
    </row>
    <row r="815" spans="1:1">
      <c r="A815"/>
    </row>
    <row r="816" spans="1:1">
      <c r="A816"/>
    </row>
    <row r="817" spans="1:1">
      <c r="A817"/>
    </row>
    <row r="818" spans="1:1">
      <c r="A818"/>
    </row>
    <row r="819" spans="1:1">
      <c r="A819"/>
    </row>
    <row r="820" spans="1:1">
      <c r="A820"/>
    </row>
    <row r="821" spans="1:1">
      <c r="A821"/>
    </row>
    <row r="822" spans="1:1">
      <c r="A822"/>
    </row>
    <row r="823" spans="1:1">
      <c r="A823"/>
    </row>
    <row r="824" spans="1:1">
      <c r="A824"/>
    </row>
    <row r="825" spans="1:1">
      <c r="A825"/>
    </row>
    <row r="826" spans="1:1">
      <c r="A826"/>
    </row>
    <row r="827" spans="1:1">
      <c r="A827"/>
    </row>
    <row r="828" spans="1:1">
      <c r="A828"/>
    </row>
    <row r="829" spans="1:1">
      <c r="A829"/>
    </row>
    <row r="830" spans="1:1">
      <c r="A830"/>
    </row>
    <row r="831" spans="1:1">
      <c r="A831"/>
    </row>
    <row r="832" spans="1:1">
      <c r="A832"/>
    </row>
    <row r="833" spans="1:1">
      <c r="A833"/>
    </row>
    <row r="834" spans="1:1">
      <c r="A834"/>
    </row>
    <row r="835" spans="1:1">
      <c r="A835"/>
    </row>
    <row r="836" spans="1:1">
      <c r="A836"/>
    </row>
    <row r="837" spans="1:1">
      <c r="A837"/>
    </row>
    <row r="838" spans="1:1">
      <c r="A838"/>
    </row>
    <row r="839" spans="1:1">
      <c r="A839"/>
    </row>
    <row r="840" spans="1:1">
      <c r="A840"/>
    </row>
    <row r="841" spans="1:1">
      <c r="A841"/>
    </row>
    <row r="842" spans="1:1">
      <c r="A842"/>
    </row>
    <row r="843" spans="1:1">
      <c r="A843"/>
    </row>
    <row r="844" spans="1:1">
      <c r="A844"/>
    </row>
    <row r="845" spans="1:1">
      <c r="A845"/>
    </row>
    <row r="846" spans="1:1">
      <c r="A846"/>
    </row>
    <row r="847" spans="1:1">
      <c r="A847"/>
    </row>
    <row r="848" spans="1:1">
      <c r="A848"/>
    </row>
    <row r="849" spans="1:1">
      <c r="A849"/>
    </row>
    <row r="850" spans="1:1">
      <c r="A850"/>
    </row>
    <row r="851" spans="1:1">
      <c r="A851"/>
    </row>
    <row r="852" spans="1:1">
      <c r="A852"/>
    </row>
    <row r="853" spans="1:1">
      <c r="A853"/>
    </row>
    <row r="854" spans="1:1">
      <c r="A854"/>
    </row>
    <row r="855" spans="1:1">
      <c r="A855"/>
    </row>
    <row r="856" spans="1:1">
      <c r="A856"/>
    </row>
    <row r="857" spans="1:1">
      <c r="A857"/>
    </row>
    <row r="858" spans="1:1">
      <c r="A858"/>
    </row>
    <row r="859" spans="1:1">
      <c r="A859"/>
    </row>
    <row r="860" spans="1:1">
      <c r="A860"/>
    </row>
    <row r="861" spans="1:1">
      <c r="A861"/>
    </row>
    <row r="862" spans="1:1">
      <c r="A862"/>
    </row>
    <row r="863" spans="1:1">
      <c r="A863"/>
    </row>
    <row r="864" spans="1:1">
      <c r="A864"/>
    </row>
    <row r="865" spans="1:1">
      <c r="A865"/>
    </row>
    <row r="866" spans="1:1">
      <c r="A866"/>
    </row>
    <row r="867" spans="1:1">
      <c r="A867"/>
    </row>
    <row r="868" spans="1:1">
      <c r="A868"/>
    </row>
    <row r="869" spans="1:1">
      <c r="A869"/>
    </row>
    <row r="870" spans="1:1">
      <c r="A870"/>
    </row>
    <row r="871" spans="1:1">
      <c r="A871"/>
    </row>
    <row r="872" spans="1:1">
      <c r="A872"/>
    </row>
    <row r="873" spans="1:1">
      <c r="A873"/>
    </row>
    <row r="874" spans="1:1">
      <c r="A874"/>
    </row>
    <row r="875" spans="1:1">
      <c r="A875"/>
    </row>
    <row r="876" spans="1:1">
      <c r="A876"/>
    </row>
    <row r="877" spans="1:1">
      <c r="A877"/>
    </row>
    <row r="878" spans="1:1">
      <c r="A878"/>
    </row>
    <row r="879" spans="1:1">
      <c r="A879"/>
    </row>
    <row r="880" spans="1:1">
      <c r="A880"/>
    </row>
    <row r="881" spans="1:1">
      <c r="A881"/>
    </row>
    <row r="882" spans="1:1">
      <c r="A882"/>
    </row>
    <row r="883" spans="1:1">
      <c r="A883"/>
    </row>
    <row r="884" spans="1:1">
      <c r="A884"/>
    </row>
    <row r="885" spans="1:1">
      <c r="A885"/>
    </row>
    <row r="886" spans="1:1">
      <c r="A886"/>
    </row>
    <row r="887" spans="1:1">
      <c r="A887"/>
    </row>
    <row r="888" spans="1:1">
      <c r="A888"/>
    </row>
    <row r="889" spans="1:1">
      <c r="A889"/>
    </row>
    <row r="890" spans="1:1">
      <c r="A890"/>
    </row>
    <row r="891" spans="1:1">
      <c r="A891"/>
    </row>
    <row r="892" spans="1:1">
      <c r="A892"/>
    </row>
    <row r="893" spans="1:1">
      <c r="A893"/>
    </row>
    <row r="894" spans="1:1">
      <c r="A894"/>
    </row>
    <row r="895" spans="1:1">
      <c r="A895"/>
    </row>
    <row r="896" spans="1:1">
      <c r="A896"/>
    </row>
    <row r="897" spans="1:1">
      <c r="A897"/>
    </row>
    <row r="898" spans="1:1">
      <c r="A898"/>
    </row>
    <row r="899" spans="1:1">
      <c r="A899"/>
    </row>
    <row r="900" spans="1:1">
      <c r="A900"/>
    </row>
    <row r="901" spans="1:1">
      <c r="A901"/>
    </row>
    <row r="902" spans="1:1">
      <c r="A902"/>
    </row>
    <row r="903" spans="1:1">
      <c r="A903"/>
    </row>
    <row r="904" spans="1:1">
      <c r="A904"/>
    </row>
    <row r="905" spans="1:1">
      <c r="A905"/>
    </row>
    <row r="906" spans="1:1">
      <c r="A906"/>
    </row>
    <row r="907" spans="1:1">
      <c r="A907"/>
    </row>
    <row r="908" spans="1:1">
      <c r="A908"/>
    </row>
    <row r="909" spans="1:1">
      <c r="A909"/>
    </row>
    <row r="910" spans="1:1">
      <c r="A910"/>
    </row>
    <row r="911" spans="1:1">
      <c r="A911"/>
    </row>
    <row r="912" spans="1:1">
      <c r="A912"/>
    </row>
    <row r="913" spans="1:1">
      <c r="A913"/>
    </row>
    <row r="914" spans="1:1">
      <c r="A914"/>
    </row>
    <row r="915" spans="1:1">
      <c r="A915"/>
    </row>
    <row r="916" spans="1:1">
      <c r="A916"/>
    </row>
    <row r="917" spans="1:1">
      <c r="A917"/>
    </row>
    <row r="918" spans="1:1">
      <c r="A918"/>
    </row>
    <row r="919" spans="1:1">
      <c r="A919"/>
    </row>
    <row r="920" spans="1:1">
      <c r="A920"/>
    </row>
    <row r="921" spans="1:1">
      <c r="A921"/>
    </row>
    <row r="922" spans="1:1">
      <c r="A922"/>
    </row>
    <row r="923" spans="1:1">
      <c r="A923"/>
    </row>
    <row r="924" spans="1:1">
      <c r="A924"/>
    </row>
    <row r="925" spans="1:1">
      <c r="A925"/>
    </row>
    <row r="926" spans="1:1">
      <c r="A926"/>
    </row>
    <row r="927" spans="1:1">
      <c r="A927"/>
    </row>
    <row r="928" spans="1:1">
      <c r="A928"/>
    </row>
    <row r="929" spans="1:1">
      <c r="A929"/>
    </row>
    <row r="930" spans="1:1">
      <c r="A930"/>
    </row>
    <row r="931" spans="1:1">
      <c r="A931"/>
    </row>
    <row r="932" spans="1:1">
      <c r="A932"/>
    </row>
    <row r="933" spans="1:1">
      <c r="A933"/>
    </row>
    <row r="934" spans="1:1">
      <c r="A934"/>
    </row>
    <row r="935" spans="1:1">
      <c r="A935"/>
    </row>
    <row r="936" spans="1:1">
      <c r="A936"/>
    </row>
    <row r="937" spans="1:1">
      <c r="A937"/>
    </row>
    <row r="938" spans="1:1">
      <c r="A938"/>
    </row>
    <row r="939" spans="1:1">
      <c r="A939"/>
    </row>
    <row r="940" spans="1:1">
      <c r="A940"/>
    </row>
    <row r="941" spans="1:1">
      <c r="A941"/>
    </row>
    <row r="942" spans="1:1">
      <c r="A942"/>
    </row>
    <row r="943" spans="1:1">
      <c r="A943"/>
    </row>
    <row r="944" spans="1:1">
      <c r="A944"/>
    </row>
    <row r="945" spans="1:1">
      <c r="A945"/>
    </row>
    <row r="946" spans="1:1">
      <c r="A946"/>
    </row>
    <row r="947" spans="1:1">
      <c r="A947"/>
    </row>
    <row r="948" spans="1:1">
      <c r="A948"/>
    </row>
    <row r="949" spans="1:1">
      <c r="A949"/>
    </row>
    <row r="950" spans="1:1">
      <c r="A950"/>
    </row>
    <row r="951" spans="1:1">
      <c r="A951"/>
    </row>
    <row r="952" spans="1:1">
      <c r="A952"/>
    </row>
    <row r="953" spans="1:1">
      <c r="A953"/>
    </row>
    <row r="954" spans="1:1">
      <c r="A954"/>
    </row>
    <row r="955" spans="1:1">
      <c r="A955"/>
    </row>
    <row r="956" spans="1:1">
      <c r="A956"/>
    </row>
    <row r="957" spans="1:1">
      <c r="A957"/>
    </row>
    <row r="958" spans="1:1">
      <c r="A958"/>
    </row>
    <row r="959" spans="1:1">
      <c r="A959"/>
    </row>
    <row r="960" spans="1:1">
      <c r="A960"/>
    </row>
    <row r="961" spans="1:1">
      <c r="A961"/>
    </row>
    <row r="962" spans="1:1">
      <c r="A962"/>
    </row>
    <row r="963" spans="1:1">
      <c r="A963"/>
    </row>
    <row r="964" spans="1:1">
      <c r="A964"/>
    </row>
    <row r="965" spans="1:1">
      <c r="A965"/>
    </row>
    <row r="966" spans="1:1">
      <c r="A966"/>
    </row>
    <row r="967" spans="1:1">
      <c r="A967"/>
    </row>
    <row r="968" spans="1:1">
      <c r="A968"/>
    </row>
    <row r="969" spans="1:1">
      <c r="A969"/>
    </row>
    <row r="970" spans="1:1">
      <c r="A970"/>
    </row>
    <row r="971" spans="1:1">
      <c r="A971"/>
    </row>
    <row r="972" spans="1:1">
      <c r="A972"/>
    </row>
    <row r="973" spans="1:1">
      <c r="A973"/>
    </row>
    <row r="974" spans="1:1">
      <c r="A974"/>
    </row>
    <row r="975" spans="1:1">
      <c r="A975"/>
    </row>
    <row r="976" spans="1:1">
      <c r="A976"/>
    </row>
    <row r="977" spans="1:1">
      <c r="A977"/>
    </row>
    <row r="978" spans="1:1">
      <c r="A978"/>
    </row>
    <row r="979" spans="1:1">
      <c r="A979"/>
    </row>
    <row r="980" spans="1:1">
      <c r="A980"/>
    </row>
    <row r="981" spans="1:1">
      <c r="A981"/>
    </row>
    <row r="982" spans="1:1">
      <c r="A982"/>
    </row>
    <row r="983" spans="1:1">
      <c r="A983"/>
    </row>
    <row r="984" spans="1:1">
      <c r="A984"/>
    </row>
    <row r="985" spans="1:1">
      <c r="A985"/>
    </row>
    <row r="986" spans="1:1">
      <c r="A986"/>
    </row>
    <row r="987" spans="1:1">
      <c r="A987"/>
    </row>
    <row r="988" spans="1:1">
      <c r="A988"/>
    </row>
    <row r="989" spans="1:1">
      <c r="A989"/>
    </row>
    <row r="990" spans="1:1">
      <c r="A990"/>
    </row>
    <row r="991" spans="1:1">
      <c r="A991"/>
    </row>
    <row r="992" spans="1:1">
      <c r="A992"/>
    </row>
    <row r="993" spans="1:1">
      <c r="A993"/>
    </row>
    <row r="994" spans="1:1">
      <c r="A994"/>
    </row>
    <row r="995" spans="1:1">
      <c r="A995"/>
    </row>
    <row r="996" spans="1:1">
      <c r="A996"/>
    </row>
    <row r="997" spans="1:1">
      <c r="A997"/>
    </row>
    <row r="998" spans="1:1">
      <c r="A998"/>
    </row>
    <row r="999" spans="1:1">
      <c r="A999"/>
    </row>
    <row r="1000" spans="1:1">
      <c r="A1000"/>
    </row>
    <row r="1001" spans="1:1">
      <c r="A1001"/>
    </row>
    <row r="1002" spans="1:1">
      <c r="A1002"/>
    </row>
    <row r="1003" spans="1:1">
      <c r="A1003"/>
    </row>
    <row r="1004" spans="1:1">
      <c r="A1004"/>
    </row>
    <row r="1005" spans="1:1">
      <c r="A1005"/>
    </row>
    <row r="1006" spans="1:1">
      <c r="A1006"/>
    </row>
    <row r="1007" spans="1:1">
      <c r="A1007"/>
    </row>
    <row r="1008" spans="1:1">
      <c r="A1008"/>
    </row>
    <row r="1009" spans="1:1">
      <c r="A1009"/>
    </row>
    <row r="1010" spans="1:1">
      <c r="A1010"/>
    </row>
    <row r="1011" spans="1:1">
      <c r="A1011"/>
    </row>
    <row r="1012" spans="1:1">
      <c r="A1012"/>
    </row>
    <row r="1013" spans="1:1">
      <c r="A1013"/>
    </row>
    <row r="1014" spans="1:1">
      <c r="A1014"/>
    </row>
    <row r="1015" spans="1:1">
      <c r="A1015"/>
    </row>
    <row r="1016" spans="1:1">
      <c r="A1016"/>
    </row>
    <row r="1017" spans="1:1">
      <c r="A1017"/>
    </row>
    <row r="1018" spans="1:1">
      <c r="A1018"/>
    </row>
    <row r="1019" spans="1:1">
      <c r="A1019"/>
    </row>
    <row r="1020" spans="1:1">
      <c r="A1020"/>
    </row>
    <row r="1021" spans="1:1">
      <c r="A1021"/>
    </row>
    <row r="1022" spans="1:1">
      <c r="A1022"/>
    </row>
    <row r="1023" spans="1:1">
      <c r="A1023"/>
    </row>
    <row r="1024" spans="1:1">
      <c r="A1024"/>
    </row>
    <row r="1025" spans="1:1">
      <c r="A1025"/>
    </row>
    <row r="1026" spans="1:1">
      <c r="A1026"/>
    </row>
    <row r="1027" spans="1:1">
      <c r="A1027"/>
    </row>
    <row r="1028" spans="1:1">
      <c r="A1028"/>
    </row>
    <row r="1029" spans="1:1">
      <c r="A1029"/>
    </row>
    <row r="1030" spans="1:1">
      <c r="A1030"/>
    </row>
    <row r="1031" spans="1:1">
      <c r="A1031"/>
    </row>
    <row r="1032" spans="1:1">
      <c r="A1032"/>
    </row>
    <row r="1033" spans="1:1">
      <c r="A1033"/>
    </row>
    <row r="1034" spans="1:1">
      <c r="A1034"/>
    </row>
    <row r="1035" spans="1:1">
      <c r="A1035"/>
    </row>
    <row r="1036" spans="1:1">
      <c r="A1036"/>
    </row>
    <row r="1037" spans="1:1">
      <c r="A1037"/>
    </row>
    <row r="1038" spans="1:1">
      <c r="A1038"/>
    </row>
    <row r="1039" spans="1:1">
      <c r="A1039"/>
    </row>
    <row r="1040" spans="1:1">
      <c r="A1040"/>
    </row>
    <row r="1041" spans="1:1">
      <c r="A1041"/>
    </row>
    <row r="1042" spans="1:1">
      <c r="A1042"/>
    </row>
    <row r="1043" spans="1:1">
      <c r="A1043"/>
    </row>
    <row r="1044" spans="1:1">
      <c r="A1044"/>
    </row>
    <row r="1045" spans="1:1">
      <c r="A1045"/>
    </row>
    <row r="1046" spans="1:1">
      <c r="A1046"/>
    </row>
    <row r="1047" spans="1:1">
      <c r="A1047"/>
    </row>
    <row r="1048" spans="1:1">
      <c r="A1048"/>
    </row>
    <row r="1049" spans="1:1">
      <c r="A1049"/>
    </row>
    <row r="1050" spans="1:1">
      <c r="A1050"/>
    </row>
    <row r="1051" spans="1:1">
      <c r="A1051"/>
    </row>
    <row r="1052" spans="1:1">
      <c r="A1052"/>
    </row>
    <row r="1053" spans="1:1">
      <c r="A1053"/>
    </row>
    <row r="1054" spans="1:1">
      <c r="A1054"/>
    </row>
    <row r="1055" spans="1:1">
      <c r="A1055"/>
    </row>
    <row r="1056" spans="1:1">
      <c r="A1056"/>
    </row>
    <row r="1057" spans="1:1">
      <c r="A1057"/>
    </row>
    <row r="1058" spans="1:1">
      <c r="A1058"/>
    </row>
    <row r="1059" spans="1:1">
      <c r="A1059"/>
    </row>
    <row r="1060" spans="1:1">
      <c r="A1060"/>
    </row>
    <row r="1061" spans="1:1">
      <c r="A1061"/>
    </row>
    <row r="1062" spans="1:1">
      <c r="A1062"/>
    </row>
    <row r="1063" spans="1:1">
      <c r="A1063"/>
    </row>
    <row r="1064" spans="1:1">
      <c r="A1064"/>
    </row>
    <row r="1065" spans="1:1">
      <c r="A1065"/>
    </row>
    <row r="1066" spans="1:1">
      <c r="A1066"/>
    </row>
    <row r="1067" spans="1:1">
      <c r="A1067"/>
    </row>
    <row r="1068" spans="1:1">
      <c r="A1068"/>
    </row>
    <row r="1069" spans="1:1">
      <c r="A1069"/>
    </row>
    <row r="1070" spans="1:1">
      <c r="A1070"/>
    </row>
    <row r="1071" spans="1:1">
      <c r="A1071"/>
    </row>
    <row r="1072" spans="1:1">
      <c r="A1072"/>
    </row>
    <row r="1073" spans="1:1">
      <c r="A1073"/>
    </row>
    <row r="1074" spans="1:1">
      <c r="A1074"/>
    </row>
    <row r="1075" spans="1:1">
      <c r="A1075"/>
    </row>
    <row r="1076" spans="1:1">
      <c r="A1076"/>
    </row>
    <row r="1077" spans="1:1">
      <c r="A1077"/>
    </row>
    <row r="1078" spans="1:1">
      <c r="A1078"/>
    </row>
    <row r="1079" spans="1:1">
      <c r="A1079"/>
    </row>
    <row r="1080" spans="1:1">
      <c r="A1080"/>
    </row>
    <row r="1081" spans="1:1">
      <c r="A1081"/>
    </row>
    <row r="1082" spans="1:1">
      <c r="A1082"/>
    </row>
    <row r="1083" spans="1:1">
      <c r="A1083"/>
    </row>
    <row r="1084" spans="1:1">
      <c r="A1084"/>
    </row>
    <row r="1085" spans="1:1">
      <c r="A1085"/>
    </row>
    <row r="1086" spans="1:1">
      <c r="A1086"/>
    </row>
    <row r="1087" spans="1:1">
      <c r="A1087"/>
    </row>
    <row r="1088" spans="1:1">
      <c r="A1088"/>
    </row>
    <row r="1089" spans="1:1">
      <c r="A1089"/>
    </row>
    <row r="1090" spans="1:1">
      <c r="A1090"/>
    </row>
    <row r="1091" spans="1:1">
      <c r="A1091"/>
    </row>
    <row r="1092" spans="1:1">
      <c r="A1092"/>
    </row>
    <row r="1093" spans="1:1">
      <c r="A1093"/>
    </row>
    <row r="1094" spans="1:1">
      <c r="A1094"/>
    </row>
    <row r="1095" spans="1:1">
      <c r="A1095"/>
    </row>
    <row r="1096" spans="1:1">
      <c r="A1096"/>
    </row>
    <row r="1097" spans="1:1">
      <c r="A1097"/>
    </row>
    <row r="1098" spans="1:1">
      <c r="A1098"/>
    </row>
    <row r="1099" spans="1:1">
      <c r="A1099"/>
    </row>
    <row r="1100" spans="1:1">
      <c r="A1100"/>
    </row>
    <row r="1101" spans="1:1">
      <c r="A1101"/>
    </row>
    <row r="1102" spans="1:1">
      <c r="A1102"/>
    </row>
    <row r="1103" spans="1:1">
      <c r="A1103"/>
    </row>
    <row r="1104" spans="1:1">
      <c r="A1104"/>
    </row>
    <row r="1105" spans="1:1">
      <c r="A1105"/>
    </row>
    <row r="1106" spans="1:1">
      <c r="A1106"/>
    </row>
    <row r="1107" spans="1:1">
      <c r="A1107"/>
    </row>
    <row r="1108" spans="1:1">
      <c r="A1108"/>
    </row>
    <row r="1109" spans="1:1">
      <c r="A1109"/>
    </row>
    <row r="1110" spans="1:1">
      <c r="A1110"/>
    </row>
    <row r="1111" spans="1:1">
      <c r="A1111"/>
    </row>
    <row r="1112" spans="1:1">
      <c r="A1112"/>
    </row>
    <row r="1113" spans="1:1">
      <c r="A1113"/>
    </row>
    <row r="1114" spans="1:1">
      <c r="A1114"/>
    </row>
    <row r="1115" spans="1:1">
      <c r="A1115"/>
    </row>
    <row r="1116" spans="1:1">
      <c r="A1116"/>
    </row>
    <row r="1117" spans="1:1">
      <c r="A1117"/>
    </row>
    <row r="1118" spans="1:1">
      <c r="A1118"/>
    </row>
    <row r="1119" spans="1:1">
      <c r="A1119"/>
    </row>
    <row r="1120" spans="1:1">
      <c r="A1120"/>
    </row>
    <row r="1121" spans="1:1">
      <c r="A1121"/>
    </row>
    <row r="1122" spans="1:1">
      <c r="A1122"/>
    </row>
    <row r="1123" spans="1:1">
      <c r="A1123"/>
    </row>
    <row r="1124" spans="1:1">
      <c r="A1124"/>
    </row>
    <row r="1125" spans="1:1">
      <c r="A1125"/>
    </row>
    <row r="1126" spans="1:1">
      <c r="A1126"/>
    </row>
    <row r="1127" spans="1:1">
      <c r="A1127"/>
    </row>
    <row r="1128" spans="1:1">
      <c r="A1128"/>
    </row>
    <row r="1129" spans="1:1">
      <c r="A1129"/>
    </row>
    <row r="1130" spans="1:1">
      <c r="A1130"/>
    </row>
    <row r="1131" spans="1:1">
      <c r="A1131"/>
    </row>
    <row r="1132" spans="1:1">
      <c r="A1132"/>
    </row>
    <row r="1133" spans="1:1">
      <c r="A1133"/>
    </row>
    <row r="1134" spans="1:1">
      <c r="A1134"/>
    </row>
    <row r="1135" spans="1:1">
      <c r="A1135"/>
    </row>
    <row r="1136" spans="1:1">
      <c r="A1136"/>
    </row>
    <row r="1137" spans="1:1">
      <c r="A1137"/>
    </row>
    <row r="1138" spans="1:1">
      <c r="A1138"/>
    </row>
    <row r="1139" spans="1:1">
      <c r="A1139"/>
    </row>
    <row r="1140" spans="1:1">
      <c r="A1140"/>
    </row>
    <row r="1141" spans="1:1">
      <c r="A1141"/>
    </row>
    <row r="1142" spans="1:1">
      <c r="A1142"/>
    </row>
    <row r="1143" spans="1:1">
      <c r="A1143"/>
    </row>
    <row r="1144" spans="1:1">
      <c r="A1144"/>
    </row>
    <row r="1145" spans="1:1">
      <c r="A1145"/>
    </row>
    <row r="1146" spans="1:1">
      <c r="A1146"/>
    </row>
    <row r="1147" spans="1:1">
      <c r="A1147"/>
    </row>
    <row r="1148" spans="1:1">
      <c r="A1148"/>
    </row>
    <row r="1149" spans="1:1">
      <c r="A1149"/>
    </row>
    <row r="1150" spans="1:1">
      <c r="A1150"/>
    </row>
    <row r="1151" spans="1:1">
      <c r="A1151"/>
    </row>
    <row r="1152" spans="1:1">
      <c r="A1152"/>
    </row>
    <row r="1153" spans="1:1">
      <c r="A1153"/>
    </row>
    <row r="1154" spans="1:1">
      <c r="A1154"/>
    </row>
    <row r="1155" spans="1:1">
      <c r="A1155"/>
    </row>
    <row r="1156" spans="1:1">
      <c r="A1156"/>
    </row>
    <row r="1157" spans="1:1">
      <c r="A1157"/>
    </row>
    <row r="1158" spans="1:1">
      <c r="A1158"/>
    </row>
    <row r="1159" spans="1:1">
      <c r="A1159"/>
    </row>
    <row r="1160" spans="1:1">
      <c r="A1160"/>
    </row>
    <row r="1161" spans="1:1">
      <c r="A1161"/>
    </row>
    <row r="1162" spans="1:1">
      <c r="A1162"/>
    </row>
    <row r="1163" spans="1:1">
      <c r="A1163"/>
    </row>
    <row r="1164" spans="1:1">
      <c r="A1164"/>
    </row>
    <row r="1165" spans="1:1">
      <c r="A1165"/>
    </row>
    <row r="1166" spans="1:1">
      <c r="A1166"/>
    </row>
    <row r="1167" spans="1:1">
      <c r="A1167"/>
    </row>
    <row r="1168" spans="1:1">
      <c r="A1168"/>
    </row>
    <row r="1169" spans="1:1">
      <c r="A1169"/>
    </row>
    <row r="1170" spans="1:1">
      <c r="A1170"/>
    </row>
    <row r="1171" spans="1:1">
      <c r="A1171"/>
    </row>
    <row r="1172" spans="1:1">
      <c r="A1172"/>
    </row>
    <row r="1173" spans="1:1">
      <c r="A1173"/>
    </row>
    <row r="1174" spans="1:1">
      <c r="A1174"/>
    </row>
    <row r="1175" spans="1:1">
      <c r="A1175"/>
    </row>
    <row r="1176" spans="1:1">
      <c r="A1176"/>
    </row>
    <row r="1177" spans="1:1">
      <c r="A1177"/>
    </row>
    <row r="1178" spans="1:1">
      <c r="A1178"/>
    </row>
    <row r="1179" spans="1:1">
      <c r="A1179"/>
    </row>
    <row r="1180" spans="1:1">
      <c r="A1180"/>
    </row>
    <row r="1181" spans="1:1">
      <c r="A1181"/>
    </row>
    <row r="1182" spans="1:1">
      <c r="A1182"/>
    </row>
    <row r="1183" spans="1:1">
      <c r="A1183"/>
    </row>
    <row r="1184" spans="1:1">
      <c r="A1184"/>
    </row>
    <row r="1185" spans="1:1">
      <c r="A1185"/>
    </row>
    <row r="1186" spans="1:1">
      <c r="A1186"/>
    </row>
    <row r="1187" spans="1:1">
      <c r="A1187"/>
    </row>
    <row r="1188" spans="1:1">
      <c r="A1188"/>
    </row>
    <row r="1189" spans="1:1">
      <c r="A1189"/>
    </row>
    <row r="1190" spans="1:1">
      <c r="A1190"/>
    </row>
    <row r="1191" spans="1:1">
      <c r="A1191"/>
    </row>
    <row r="1192" spans="1:1">
      <c r="A1192"/>
    </row>
    <row r="1193" spans="1:1">
      <c r="A1193"/>
    </row>
    <row r="1194" spans="1:1">
      <c r="A1194"/>
    </row>
    <row r="1195" spans="1:1">
      <c r="A1195"/>
    </row>
    <row r="1196" spans="1:1">
      <c r="A1196"/>
    </row>
    <row r="1197" spans="1:1">
      <c r="A1197"/>
    </row>
    <row r="1198" spans="1:1">
      <c r="A1198"/>
    </row>
    <row r="1199" spans="1:1">
      <c r="A1199"/>
    </row>
    <row r="1200" spans="1:1">
      <c r="A1200"/>
    </row>
    <row r="1201" spans="1:1">
      <c r="A1201"/>
    </row>
    <row r="1202" spans="1:1">
      <c r="A1202"/>
    </row>
    <row r="1203" spans="1:1">
      <c r="A1203"/>
    </row>
    <row r="1204" spans="1:1">
      <c r="A1204"/>
    </row>
    <row r="1205" spans="1:1">
      <c r="A1205"/>
    </row>
    <row r="1206" spans="1:1">
      <c r="A1206"/>
    </row>
    <row r="1207" spans="1:1">
      <c r="A1207"/>
    </row>
    <row r="1208" spans="1:1">
      <c r="A1208"/>
    </row>
    <row r="1209" spans="1:1">
      <c r="A1209"/>
    </row>
    <row r="1210" spans="1:1">
      <c r="A1210"/>
    </row>
    <row r="1211" spans="1:1">
      <c r="A1211"/>
    </row>
    <row r="1212" spans="1:1">
      <c r="A1212"/>
    </row>
    <row r="1213" spans="1:1">
      <c r="A1213"/>
    </row>
    <row r="1214" spans="1:1">
      <c r="A1214"/>
    </row>
    <row r="1215" spans="1:1">
      <c r="A1215"/>
    </row>
    <row r="1216" spans="1:1">
      <c r="A1216"/>
    </row>
    <row r="1217" spans="1:1">
      <c r="A1217"/>
    </row>
    <row r="1218" spans="1:1">
      <c r="A1218"/>
    </row>
    <row r="1219" spans="1:1">
      <c r="A1219"/>
    </row>
    <row r="1220" spans="1:1">
      <c r="A1220"/>
    </row>
    <row r="1221" spans="1:1">
      <c r="A1221"/>
    </row>
    <row r="1222" spans="1:1">
      <c r="A1222"/>
    </row>
    <row r="1223" spans="1:1">
      <c r="A1223"/>
    </row>
    <row r="1224" spans="1:1">
      <c r="A1224"/>
    </row>
    <row r="1225" spans="1:1">
      <c r="A1225"/>
    </row>
    <row r="1226" spans="1:1">
      <c r="A1226"/>
    </row>
    <row r="1227" spans="1:1">
      <c r="A1227"/>
    </row>
    <row r="1228" spans="1:1">
      <c r="A1228"/>
    </row>
    <row r="1229" spans="1:1">
      <c r="A1229"/>
    </row>
    <row r="1230" spans="1:1">
      <c r="A1230"/>
    </row>
    <row r="1231" spans="1:1">
      <c r="A1231"/>
    </row>
    <row r="1232" spans="1:1">
      <c r="A1232"/>
    </row>
    <row r="1233" spans="1:1">
      <c r="A1233"/>
    </row>
    <row r="1234" spans="1:1">
      <c r="A1234"/>
    </row>
    <row r="1235" spans="1:1">
      <c r="A1235"/>
    </row>
    <row r="1236" spans="1:1">
      <c r="A1236"/>
    </row>
    <row r="1237" spans="1:1">
      <c r="A1237"/>
    </row>
    <row r="1238" spans="1:1">
      <c r="A1238"/>
    </row>
    <row r="1239" spans="1:1">
      <c r="A1239"/>
    </row>
    <row r="1240" spans="1:1">
      <c r="A1240"/>
    </row>
    <row r="1241" spans="1:1">
      <c r="A1241"/>
    </row>
    <row r="1242" spans="1:1">
      <c r="A1242"/>
    </row>
    <row r="1243" spans="1:1">
      <c r="A1243"/>
    </row>
    <row r="1244" spans="1:1">
      <c r="A1244"/>
    </row>
    <row r="1245" spans="1:1">
      <c r="A1245"/>
    </row>
    <row r="1246" spans="1:1">
      <c r="A1246"/>
    </row>
    <row r="1247" spans="1:1">
      <c r="A1247"/>
    </row>
    <row r="1248" spans="1:1">
      <c r="A1248"/>
    </row>
    <row r="1249" spans="1:1">
      <c r="A1249"/>
    </row>
    <row r="1250" spans="1:1">
      <c r="A1250"/>
    </row>
    <row r="1251" spans="1:1">
      <c r="A1251"/>
    </row>
    <row r="1252" spans="1:1">
      <c r="A1252"/>
    </row>
    <row r="1253" spans="1:1">
      <c r="A1253"/>
    </row>
    <row r="1254" spans="1:1">
      <c r="A1254"/>
    </row>
    <row r="1255" spans="1:1">
      <c r="A1255"/>
    </row>
    <row r="1256" spans="1:1">
      <c r="A1256"/>
    </row>
    <row r="1257" spans="1:1">
      <c r="A1257"/>
    </row>
    <row r="1258" spans="1:1">
      <c r="A1258"/>
    </row>
    <row r="1259" spans="1:1">
      <c r="A1259"/>
    </row>
    <row r="1260" spans="1:1">
      <c r="A1260"/>
    </row>
    <row r="1261" spans="1:1">
      <c r="A1261"/>
    </row>
    <row r="1262" spans="1:1">
      <c r="A1262"/>
    </row>
    <row r="1263" spans="1:1">
      <c r="A1263"/>
    </row>
    <row r="1264" spans="1:1">
      <c r="A1264"/>
    </row>
    <row r="1265" spans="1:1">
      <c r="A1265"/>
    </row>
    <row r="1266" spans="1:1">
      <c r="A1266"/>
    </row>
    <row r="1267" spans="1:1">
      <c r="A1267"/>
    </row>
    <row r="1268" spans="1:1">
      <c r="A1268"/>
    </row>
    <row r="1269" spans="1:1">
      <c r="A1269"/>
    </row>
    <row r="1270" spans="1:1">
      <c r="A1270"/>
    </row>
    <row r="1271" spans="1:1">
      <c r="A1271"/>
    </row>
    <row r="1272" spans="1:1">
      <c r="A1272"/>
    </row>
    <row r="1273" spans="1:1">
      <c r="A1273"/>
    </row>
    <row r="1274" spans="1:1">
      <c r="A1274"/>
    </row>
    <row r="1275" spans="1:1">
      <c r="A1275"/>
    </row>
    <row r="1276" spans="1:1">
      <c r="A1276"/>
    </row>
    <row r="1277" spans="1:1">
      <c r="A1277"/>
    </row>
    <row r="1278" spans="1:1">
      <c r="A1278"/>
    </row>
    <row r="1279" spans="1:1">
      <c r="A1279"/>
    </row>
    <row r="1280" spans="1:1">
      <c r="A1280"/>
    </row>
    <row r="1281" spans="1:1">
      <c r="A1281"/>
    </row>
    <row r="1282" spans="1:1">
      <c r="A1282"/>
    </row>
    <row r="1283" spans="1:1">
      <c r="A1283"/>
    </row>
    <row r="1284" spans="1:1">
      <c r="A1284"/>
    </row>
    <row r="1285" spans="1:1">
      <c r="A1285"/>
    </row>
    <row r="1286" spans="1:1">
      <c r="A1286"/>
    </row>
    <row r="1287" spans="1:1">
      <c r="A1287"/>
    </row>
    <row r="1288" spans="1:1">
      <c r="A1288"/>
    </row>
    <row r="1289" spans="1:1">
      <c r="A1289"/>
    </row>
    <row r="1290" spans="1:1">
      <c r="A1290"/>
    </row>
    <row r="1291" spans="1:1">
      <c r="A1291"/>
    </row>
    <row r="1292" spans="1:1">
      <c r="A1292"/>
    </row>
    <row r="1293" spans="1:1">
      <c r="A1293"/>
    </row>
    <row r="1294" spans="1:1">
      <c r="A1294"/>
    </row>
    <row r="1295" spans="1:1">
      <c r="A1295"/>
    </row>
    <row r="1296" spans="1:1">
      <c r="A1296"/>
    </row>
    <row r="1297" spans="1:1">
      <c r="A1297"/>
    </row>
    <row r="1298" spans="1:1">
      <c r="A1298"/>
    </row>
    <row r="1299" spans="1:1">
      <c r="A1299"/>
    </row>
    <row r="1300" spans="1:1">
      <c r="A1300"/>
    </row>
    <row r="1301" spans="1:1">
      <c r="A1301"/>
    </row>
    <row r="1302" spans="1:1">
      <c r="A1302"/>
    </row>
    <row r="1303" spans="1:1">
      <c r="A1303"/>
    </row>
    <row r="1304" spans="1:1">
      <c r="A1304"/>
    </row>
    <row r="1305" spans="1:1">
      <c r="A1305"/>
    </row>
    <row r="1306" spans="1:1">
      <c r="A1306"/>
    </row>
    <row r="1307" spans="1:1">
      <c r="A1307"/>
    </row>
    <row r="1308" spans="1:1">
      <c r="A1308"/>
    </row>
    <row r="1309" spans="1:1">
      <c r="A1309"/>
    </row>
    <row r="1310" spans="1:1">
      <c r="A1310"/>
    </row>
    <row r="1311" spans="1:1">
      <c r="A1311"/>
    </row>
    <row r="1312" spans="1:1">
      <c r="A1312"/>
    </row>
    <row r="1313" spans="1:1">
      <c r="A1313"/>
    </row>
    <row r="1314" spans="1:1">
      <c r="A1314"/>
    </row>
    <row r="1315" spans="1:1">
      <c r="A1315"/>
    </row>
    <row r="1316" spans="1:1">
      <c r="A1316"/>
    </row>
    <row r="1317" spans="1:1">
      <c r="A1317"/>
    </row>
    <row r="1318" spans="1:1">
      <c r="A1318"/>
    </row>
    <row r="1319" spans="1:1">
      <c r="A1319"/>
    </row>
    <row r="1320" spans="1:1">
      <c r="A1320"/>
    </row>
    <row r="1321" spans="1:1">
      <c r="A1321"/>
    </row>
    <row r="1322" spans="1:1">
      <c r="A1322"/>
    </row>
    <row r="1323" spans="1:1">
      <c r="A1323"/>
    </row>
    <row r="1324" spans="1:1">
      <c r="A1324"/>
    </row>
    <row r="1325" spans="1:1">
      <c r="A1325"/>
    </row>
    <row r="1326" spans="1:1">
      <c r="A1326"/>
    </row>
    <row r="1327" spans="1:1">
      <c r="A1327"/>
    </row>
    <row r="1328" spans="1:1">
      <c r="A1328"/>
    </row>
    <row r="1329" spans="1:1">
      <c r="A1329"/>
    </row>
    <row r="1330" spans="1:1">
      <c r="A1330"/>
    </row>
    <row r="1331" spans="1:1">
      <c r="A1331"/>
    </row>
    <row r="1332" spans="1:1">
      <c r="A1332"/>
    </row>
    <row r="1333" spans="1:1">
      <c r="A1333"/>
    </row>
    <row r="1334" spans="1:1">
      <c r="A1334"/>
    </row>
    <row r="1335" spans="1:1">
      <c r="A1335"/>
    </row>
    <row r="1336" spans="1:1">
      <c r="A1336"/>
    </row>
    <row r="1337" spans="1:1">
      <c r="A1337"/>
    </row>
    <row r="1338" spans="1:1">
      <c r="A1338"/>
    </row>
    <row r="1339" spans="1:1">
      <c r="A1339"/>
    </row>
    <row r="1340" spans="1:1">
      <c r="A1340"/>
    </row>
    <row r="1341" spans="1:1">
      <c r="A1341"/>
    </row>
    <row r="1342" spans="1:1">
      <c r="A1342"/>
    </row>
    <row r="1343" spans="1:1">
      <c r="A1343"/>
    </row>
    <row r="1344" spans="1:1">
      <c r="A1344"/>
    </row>
    <row r="1345" spans="1:1">
      <c r="A1345"/>
    </row>
    <row r="1346" spans="1:1">
      <c r="A1346"/>
    </row>
    <row r="1347" spans="1:1">
      <c r="A1347"/>
    </row>
    <row r="1348" spans="1:1">
      <c r="A1348"/>
    </row>
    <row r="1349" spans="1:1">
      <c r="A1349"/>
    </row>
    <row r="1350" spans="1:1">
      <c r="A1350"/>
    </row>
    <row r="1351" spans="1:1">
      <c r="A1351"/>
    </row>
    <row r="1352" spans="1:1">
      <c r="A1352"/>
    </row>
    <row r="1353" spans="1:1">
      <c r="A1353"/>
    </row>
    <row r="1354" spans="1:1">
      <c r="A1354"/>
    </row>
    <row r="1355" spans="1:1">
      <c r="A1355"/>
    </row>
    <row r="1356" spans="1:1">
      <c r="A1356"/>
    </row>
    <row r="1357" spans="1:1">
      <c r="A1357"/>
    </row>
    <row r="1358" spans="1:1">
      <c r="A1358"/>
    </row>
    <row r="1359" spans="1:1">
      <c r="A1359"/>
    </row>
    <row r="1360" spans="1:1">
      <c r="A1360"/>
    </row>
    <row r="1361" spans="1:1">
      <c r="A1361"/>
    </row>
    <row r="1362" spans="1:1">
      <c r="A1362"/>
    </row>
    <row r="1363" spans="1:1">
      <c r="A1363"/>
    </row>
    <row r="1364" spans="1:1">
      <c r="A1364"/>
    </row>
    <row r="1365" spans="1:1">
      <c r="A1365"/>
    </row>
    <row r="1366" spans="1:1">
      <c r="A1366"/>
    </row>
    <row r="1367" spans="1:1">
      <c r="A1367"/>
    </row>
    <row r="1368" spans="1:1">
      <c r="A1368"/>
    </row>
    <row r="1369" spans="1:1">
      <c r="A1369"/>
    </row>
    <row r="1370" spans="1:1">
      <c r="A1370"/>
    </row>
    <row r="1371" spans="1:1">
      <c r="A1371"/>
    </row>
    <row r="1372" spans="1:1">
      <c r="A1372"/>
    </row>
    <row r="1373" spans="1:1">
      <c r="A1373"/>
    </row>
    <row r="1374" spans="1:1">
      <c r="A1374"/>
    </row>
    <row r="1375" spans="1:1">
      <c r="A1375"/>
    </row>
    <row r="1376" spans="1:1">
      <c r="A1376"/>
    </row>
    <row r="1377" spans="1:1">
      <c r="A1377"/>
    </row>
    <row r="1378" spans="1:1">
      <c r="A1378"/>
    </row>
    <row r="1379" spans="1:1">
      <c r="A1379"/>
    </row>
    <row r="1380" spans="1:1">
      <c r="A1380"/>
    </row>
    <row r="1381" spans="1:1">
      <c r="A1381"/>
    </row>
    <row r="1382" spans="1:1">
      <c r="A1382"/>
    </row>
    <row r="1383" spans="1:1">
      <c r="A1383"/>
    </row>
    <row r="1384" spans="1:1">
      <c r="A1384"/>
    </row>
    <row r="1385" spans="1:1">
      <c r="A1385"/>
    </row>
    <row r="1386" spans="1:1">
      <c r="A1386"/>
    </row>
    <row r="1387" spans="1:1">
      <c r="A1387"/>
    </row>
    <row r="1388" spans="1:1">
      <c r="A1388"/>
    </row>
    <row r="1389" spans="1:1">
      <c r="A1389"/>
    </row>
    <row r="1390" spans="1:1">
      <c r="A1390"/>
    </row>
    <row r="1391" spans="1:1">
      <c r="A1391"/>
    </row>
    <row r="1392" spans="1:1">
      <c r="A1392"/>
    </row>
    <row r="1393" spans="1:1">
      <c r="A1393"/>
    </row>
    <row r="1394" spans="1:1">
      <c r="A1394"/>
    </row>
    <row r="1395" spans="1:1">
      <c r="A1395"/>
    </row>
    <row r="1396" spans="1:1">
      <c r="A1396"/>
    </row>
    <row r="1397" spans="1:1">
      <c r="A1397"/>
    </row>
    <row r="1398" spans="1:1">
      <c r="A1398"/>
    </row>
    <row r="1399" spans="1:1">
      <c r="A1399"/>
    </row>
    <row r="1400" spans="1:1">
      <c r="A1400"/>
    </row>
    <row r="1401" spans="1:1">
      <c r="A1401"/>
    </row>
    <row r="1402" spans="1:1">
      <c r="A1402"/>
    </row>
    <row r="1403" spans="1:1">
      <c r="A1403"/>
    </row>
    <row r="1404" spans="1:1">
      <c r="A1404"/>
    </row>
    <row r="1405" spans="1:1">
      <c r="A1405"/>
    </row>
    <row r="1406" spans="1:1">
      <c r="A1406"/>
    </row>
    <row r="1407" spans="1:1">
      <c r="A1407"/>
    </row>
    <row r="1408" spans="1:1">
      <c r="A1408"/>
    </row>
    <row r="1409" spans="1:1">
      <c r="A1409"/>
    </row>
    <row r="1410" spans="1:1">
      <c r="A1410"/>
    </row>
    <row r="1411" spans="1:1">
      <c r="A1411"/>
    </row>
    <row r="1412" spans="1:1">
      <c r="A1412"/>
    </row>
    <row r="1413" spans="1:1">
      <c r="A1413"/>
    </row>
    <row r="1414" spans="1:1">
      <c r="A1414"/>
    </row>
    <row r="1415" spans="1:1">
      <c r="A1415"/>
    </row>
    <row r="1416" spans="1:1">
      <c r="A1416"/>
    </row>
    <row r="1417" spans="1:1">
      <c r="A1417"/>
    </row>
    <row r="1418" spans="1:1">
      <c r="A1418"/>
    </row>
    <row r="1419" spans="1:1">
      <c r="A1419"/>
    </row>
    <row r="1420" spans="1:1">
      <c r="A1420"/>
    </row>
    <row r="1421" spans="1:1">
      <c r="A1421"/>
    </row>
    <row r="1422" spans="1:1">
      <c r="A1422"/>
    </row>
    <row r="1423" spans="1:1">
      <c r="A1423"/>
    </row>
    <row r="1424" spans="1:1">
      <c r="A1424"/>
    </row>
    <row r="1425" spans="1:1">
      <c r="A1425"/>
    </row>
    <row r="1426" spans="1:1">
      <c r="A1426"/>
    </row>
    <row r="1427" spans="1:1">
      <c r="A1427"/>
    </row>
    <row r="1428" spans="1:1">
      <c r="A1428"/>
    </row>
    <row r="1429" spans="1:1">
      <c r="A1429"/>
    </row>
    <row r="1430" spans="1:1">
      <c r="A1430"/>
    </row>
    <row r="1431" spans="1:1">
      <c r="A1431"/>
    </row>
    <row r="1432" spans="1:1">
      <c r="A1432"/>
    </row>
    <row r="1433" spans="1:1">
      <c r="A1433"/>
    </row>
    <row r="1434" spans="1:1">
      <c r="A1434"/>
    </row>
    <row r="1435" spans="1:1">
      <c r="A1435"/>
    </row>
    <row r="1436" spans="1:1">
      <c r="A1436"/>
    </row>
    <row r="1437" spans="1:1">
      <c r="A1437"/>
    </row>
    <row r="1438" spans="1:1">
      <c r="A1438"/>
    </row>
    <row r="1439" spans="1:1">
      <c r="A1439"/>
    </row>
    <row r="1440" spans="1:1">
      <c r="A1440"/>
    </row>
    <row r="1441" spans="1:1">
      <c r="A1441"/>
    </row>
    <row r="1442" spans="1:1">
      <c r="A1442"/>
    </row>
    <row r="1443" spans="1:1">
      <c r="A1443"/>
    </row>
    <row r="1444" spans="1:1">
      <c r="A1444"/>
    </row>
    <row r="1445" spans="1:1">
      <c r="A1445"/>
    </row>
    <row r="1446" spans="1:1">
      <c r="A1446"/>
    </row>
    <row r="1447" spans="1:1">
      <c r="A1447"/>
    </row>
    <row r="1448" spans="1:1">
      <c r="A1448"/>
    </row>
    <row r="1449" spans="1:1">
      <c r="A1449"/>
    </row>
    <row r="1450" spans="1:1">
      <c r="A1450"/>
    </row>
    <row r="1451" spans="1:1">
      <c r="A1451"/>
    </row>
    <row r="1452" spans="1:1">
      <c r="A1452"/>
    </row>
    <row r="1453" spans="1:1">
      <c r="A1453"/>
    </row>
    <row r="1454" spans="1:1">
      <c r="A1454"/>
    </row>
    <row r="1455" spans="1:1">
      <c r="A1455"/>
    </row>
    <row r="1456" spans="1:1">
      <c r="A1456"/>
    </row>
    <row r="1457" spans="1:1">
      <c r="A1457"/>
    </row>
    <row r="1458" spans="1:1">
      <c r="A1458"/>
    </row>
    <row r="1459" spans="1:1">
      <c r="A1459"/>
    </row>
    <row r="1460" spans="1:1">
      <c r="A1460"/>
    </row>
    <row r="1461" spans="1:1">
      <c r="A1461"/>
    </row>
    <row r="1462" spans="1:1">
      <c r="A1462"/>
    </row>
    <row r="1463" spans="1:1">
      <c r="A1463"/>
    </row>
    <row r="1464" spans="1:1">
      <c r="A1464"/>
    </row>
    <row r="1465" spans="1:1">
      <c r="A1465"/>
    </row>
    <row r="1466" spans="1:1">
      <c r="A1466"/>
    </row>
    <row r="1467" spans="1:1">
      <c r="A1467"/>
    </row>
    <row r="1468" spans="1:1">
      <c r="A1468"/>
    </row>
    <row r="1469" spans="1:1">
      <c r="A1469"/>
    </row>
    <row r="1470" spans="1:1">
      <c r="A1470"/>
    </row>
    <row r="1471" spans="1:1">
      <c r="A1471"/>
    </row>
    <row r="1472" spans="1:1">
      <c r="A1472"/>
    </row>
    <row r="1473" spans="1:1">
      <c r="A1473"/>
    </row>
    <row r="1474" spans="1:1">
      <c r="A1474"/>
    </row>
    <row r="1475" spans="1:1">
      <c r="A1475"/>
    </row>
    <row r="1476" spans="1:1">
      <c r="A1476"/>
    </row>
    <row r="1477" spans="1:1">
      <c r="A1477"/>
    </row>
    <row r="1478" spans="1:1">
      <c r="A1478"/>
    </row>
    <row r="1479" spans="1:1">
      <c r="A1479"/>
    </row>
    <row r="1480" spans="1:1">
      <c r="A1480"/>
    </row>
    <row r="1481" spans="1:1">
      <c r="A1481"/>
    </row>
    <row r="1482" spans="1:1">
      <c r="A1482"/>
    </row>
    <row r="1483" spans="1:1">
      <c r="A1483"/>
    </row>
    <row r="1484" spans="1:1">
      <c r="A1484"/>
    </row>
    <row r="1485" spans="1:1">
      <c r="A1485"/>
    </row>
    <row r="1486" spans="1:1">
      <c r="A1486"/>
    </row>
    <row r="1487" spans="1:1">
      <c r="A1487"/>
    </row>
    <row r="1488" spans="1:1">
      <c r="A1488"/>
    </row>
    <row r="1489" spans="1:1">
      <c r="A1489"/>
    </row>
    <row r="1490" spans="1:1">
      <c r="A1490"/>
    </row>
    <row r="1491" spans="1:1">
      <c r="A1491"/>
    </row>
    <row r="1492" spans="1:1">
      <c r="A1492"/>
    </row>
    <row r="1493" spans="1:1">
      <c r="A1493"/>
    </row>
    <row r="1494" spans="1:1">
      <c r="A1494"/>
    </row>
    <row r="1495" spans="1:1">
      <c r="A1495"/>
    </row>
    <row r="1496" spans="1:1">
      <c r="A1496"/>
    </row>
    <row r="1497" spans="1:1">
      <c r="A1497"/>
    </row>
    <row r="1498" spans="1:1">
      <c r="A1498"/>
    </row>
    <row r="1499" spans="1:1">
      <c r="A1499"/>
    </row>
    <row r="1500" spans="1:1">
      <c r="A1500"/>
    </row>
    <row r="1501" spans="1:1">
      <c r="A1501"/>
    </row>
    <row r="1502" spans="1:1">
      <c r="A1502"/>
    </row>
    <row r="1503" spans="1:1">
      <c r="A1503"/>
    </row>
    <row r="1504" spans="1:1">
      <c r="A1504"/>
    </row>
    <row r="1505" spans="1:1">
      <c r="A1505"/>
    </row>
    <row r="1506" spans="1:1">
      <c r="A1506"/>
    </row>
    <row r="1507" spans="1:1">
      <c r="A1507"/>
    </row>
    <row r="1508" spans="1:1">
      <c r="A1508"/>
    </row>
    <row r="1509" spans="1:1">
      <c r="A1509"/>
    </row>
    <row r="1510" spans="1:1">
      <c r="A1510"/>
    </row>
    <row r="1511" spans="1:1">
      <c r="A1511"/>
    </row>
    <row r="1512" spans="1:1">
      <c r="A1512"/>
    </row>
    <row r="1513" spans="1:1">
      <c r="A1513"/>
    </row>
    <row r="1514" spans="1:1">
      <c r="A1514"/>
    </row>
    <row r="1515" spans="1:1">
      <c r="A1515"/>
    </row>
    <row r="1516" spans="1:1">
      <c r="A1516"/>
    </row>
    <row r="1517" spans="1:1">
      <c r="A1517"/>
    </row>
    <row r="1518" spans="1:1">
      <c r="A1518"/>
    </row>
    <row r="1519" spans="1:1">
      <c r="A1519"/>
    </row>
    <row r="1520" spans="1:1">
      <c r="A1520"/>
    </row>
    <row r="1521" spans="1:1">
      <c r="A1521"/>
    </row>
    <row r="1522" spans="1:1">
      <c r="A1522"/>
    </row>
    <row r="1523" spans="1:1">
      <c r="A1523"/>
    </row>
    <row r="1524" spans="1:1">
      <c r="A1524"/>
    </row>
    <row r="1525" spans="1:1">
      <c r="A1525"/>
    </row>
    <row r="1526" spans="1:1">
      <c r="A1526"/>
    </row>
    <row r="1527" spans="1:1">
      <c r="A1527"/>
    </row>
    <row r="1528" spans="1:1">
      <c r="A1528"/>
    </row>
    <row r="1529" spans="1:1">
      <c r="A1529"/>
    </row>
    <row r="1530" spans="1:1">
      <c r="A1530"/>
    </row>
    <row r="1531" spans="1:1">
      <c r="A1531"/>
    </row>
    <row r="1532" spans="1:1">
      <c r="A1532"/>
    </row>
    <row r="1533" spans="1:1">
      <c r="A1533"/>
    </row>
    <row r="1534" spans="1:1">
      <c r="A1534"/>
    </row>
    <row r="1535" spans="1:1">
      <c r="A1535"/>
    </row>
    <row r="1536" spans="1:1">
      <c r="A1536"/>
    </row>
    <row r="1537" spans="1:1">
      <c r="A1537"/>
    </row>
    <row r="1538" spans="1:1">
      <c r="A1538"/>
    </row>
    <row r="1539" spans="1:1">
      <c r="A1539"/>
    </row>
    <row r="1540" spans="1:1">
      <c r="A1540"/>
    </row>
    <row r="1541" spans="1:1">
      <c r="A1541"/>
    </row>
    <row r="1542" spans="1:1">
      <c r="A1542"/>
    </row>
    <row r="1543" spans="1:1">
      <c r="A1543"/>
    </row>
    <row r="1544" spans="1:1">
      <c r="A1544"/>
    </row>
    <row r="1545" spans="1:1">
      <c r="A1545"/>
    </row>
    <row r="1546" spans="1:1">
      <c r="A1546"/>
    </row>
    <row r="1547" spans="1:1">
      <c r="A1547"/>
    </row>
    <row r="1548" spans="1:1">
      <c r="A1548"/>
    </row>
    <row r="1549" spans="1:1">
      <c r="A1549"/>
    </row>
    <row r="1550" spans="1:1">
      <c r="A1550"/>
    </row>
    <row r="1551" spans="1:1">
      <c r="A1551"/>
    </row>
    <row r="1552" spans="1:1">
      <c r="A1552"/>
    </row>
    <row r="1553" spans="1:1">
      <c r="A1553"/>
    </row>
    <row r="1554" spans="1:1">
      <c r="A1554"/>
    </row>
    <row r="1555" spans="1:1">
      <c r="A1555"/>
    </row>
    <row r="1556" spans="1:1">
      <c r="A1556"/>
    </row>
    <row r="1557" spans="1:1">
      <c r="A1557"/>
    </row>
    <row r="1558" spans="1:1">
      <c r="A1558"/>
    </row>
    <row r="1559" spans="1:1">
      <c r="A1559"/>
    </row>
    <row r="1560" spans="1:1">
      <c r="A1560"/>
    </row>
    <row r="1561" spans="1:1">
      <c r="A1561"/>
    </row>
    <row r="1562" spans="1:1">
      <c r="A1562"/>
    </row>
    <row r="1563" spans="1:1">
      <c r="A1563"/>
    </row>
    <row r="1564" spans="1:1">
      <c r="A1564"/>
    </row>
    <row r="1565" spans="1:1">
      <c r="A1565"/>
    </row>
    <row r="1566" spans="1:1">
      <c r="A1566"/>
    </row>
    <row r="1567" spans="1:1">
      <c r="A1567"/>
    </row>
    <row r="1568" spans="1:1">
      <c r="A1568"/>
    </row>
    <row r="1569" spans="1:1">
      <c r="A1569"/>
    </row>
    <row r="1570" spans="1:1">
      <c r="A1570"/>
    </row>
    <row r="1571" spans="1:1">
      <c r="A1571"/>
    </row>
    <row r="1572" spans="1:1">
      <c r="A1572"/>
    </row>
    <row r="1573" spans="1:1">
      <c r="A1573"/>
    </row>
    <row r="1574" spans="1:1">
      <c r="A1574"/>
    </row>
    <row r="1575" spans="1:1">
      <c r="A1575"/>
    </row>
    <row r="1576" spans="1:1">
      <c r="A1576"/>
    </row>
    <row r="1577" spans="1:1">
      <c r="A1577"/>
    </row>
    <row r="1578" spans="1:1">
      <c r="A1578"/>
    </row>
    <row r="1579" spans="1:1">
      <c r="A1579"/>
    </row>
    <row r="1580" spans="1:1">
      <c r="A1580"/>
    </row>
    <row r="1581" spans="1:1">
      <c r="A1581"/>
    </row>
    <row r="1582" spans="1:1">
      <c r="A1582"/>
    </row>
    <row r="1583" spans="1:1">
      <c r="A1583"/>
    </row>
    <row r="1584" spans="1:1">
      <c r="A1584"/>
    </row>
    <row r="1585" spans="1:1">
      <c r="A1585"/>
    </row>
    <row r="1586" spans="1:1">
      <c r="A1586"/>
    </row>
    <row r="1587" spans="1:1">
      <c r="A1587"/>
    </row>
    <row r="1588" spans="1:1">
      <c r="A1588"/>
    </row>
    <row r="1589" spans="1:1">
      <c r="A1589"/>
    </row>
    <row r="1590" spans="1:1">
      <c r="A1590"/>
    </row>
    <row r="1591" spans="1:1">
      <c r="A1591"/>
    </row>
    <row r="1592" spans="1:1">
      <c r="A1592"/>
    </row>
    <row r="1593" spans="1:1">
      <c r="A1593"/>
    </row>
    <row r="1594" spans="1:1">
      <c r="A1594"/>
    </row>
    <row r="1595" spans="1:1">
      <c r="A1595"/>
    </row>
    <row r="1596" spans="1:1">
      <c r="A1596"/>
    </row>
    <row r="1597" spans="1:1">
      <c r="A1597"/>
    </row>
    <row r="1598" spans="1:1">
      <c r="A1598"/>
    </row>
    <row r="1599" spans="1:1">
      <c r="A1599"/>
    </row>
    <row r="1600" spans="1:1">
      <c r="A1600"/>
    </row>
    <row r="1601" spans="1:1">
      <c r="A1601"/>
    </row>
    <row r="1602" spans="1:1">
      <c r="A1602"/>
    </row>
    <row r="1603" spans="1:1">
      <c r="A1603"/>
    </row>
    <row r="1604" spans="1:1">
      <c r="A1604"/>
    </row>
    <row r="1605" spans="1:1">
      <c r="A1605"/>
    </row>
    <row r="1606" spans="1:1">
      <c r="A1606"/>
    </row>
    <row r="1607" spans="1:1">
      <c r="A1607"/>
    </row>
    <row r="1608" spans="1:1">
      <c r="A1608"/>
    </row>
    <row r="1609" spans="1:1">
      <c r="A1609"/>
    </row>
    <row r="1610" spans="1:1">
      <c r="A1610"/>
    </row>
    <row r="1611" spans="1:1">
      <c r="A1611"/>
    </row>
    <row r="1612" spans="1:1">
      <c r="A1612"/>
    </row>
    <row r="1613" spans="1:1">
      <c r="A1613"/>
    </row>
    <row r="1614" spans="1:1">
      <c r="A1614"/>
    </row>
    <row r="1615" spans="1:1">
      <c r="A1615"/>
    </row>
    <row r="1616" spans="1:1">
      <c r="A1616"/>
    </row>
    <row r="1617" spans="1:1">
      <c r="A1617"/>
    </row>
    <row r="1618" spans="1:1">
      <c r="A1618"/>
    </row>
    <row r="1619" spans="1:1">
      <c r="A1619"/>
    </row>
    <row r="1620" spans="1:1">
      <c r="A1620"/>
    </row>
    <row r="1621" spans="1:1">
      <c r="A1621"/>
    </row>
    <row r="1622" spans="1:1">
      <c r="A1622"/>
    </row>
    <row r="1623" spans="1:1">
      <c r="A1623"/>
    </row>
    <row r="1624" spans="1:1">
      <c r="A1624"/>
    </row>
    <row r="1625" spans="1:1">
      <c r="A1625"/>
    </row>
    <row r="1626" spans="1:1">
      <c r="A1626"/>
    </row>
    <row r="1627" spans="1:1">
      <c r="A1627"/>
    </row>
    <row r="1628" spans="1:1">
      <c r="A1628"/>
    </row>
    <row r="1629" spans="1:1">
      <c r="A1629"/>
    </row>
    <row r="1630" spans="1:1">
      <c r="A1630"/>
    </row>
    <row r="1631" spans="1:1">
      <c r="A1631"/>
    </row>
    <row r="1632" spans="1:1">
      <c r="A1632"/>
    </row>
    <row r="1633" spans="1:1">
      <c r="A1633"/>
    </row>
    <row r="1634" spans="1:1">
      <c r="A1634"/>
    </row>
    <row r="1635" spans="1:1">
      <c r="A1635"/>
    </row>
    <row r="1636" spans="1:1">
      <c r="A1636"/>
    </row>
    <row r="1637" spans="1:1">
      <c r="A1637"/>
    </row>
    <row r="1638" spans="1:1">
      <c r="A1638"/>
    </row>
    <row r="1639" spans="1:1">
      <c r="A1639"/>
    </row>
    <row r="1640" spans="1:1">
      <c r="A1640"/>
    </row>
    <row r="1641" spans="1:1">
      <c r="A1641"/>
    </row>
    <row r="1642" spans="1:1">
      <c r="A1642"/>
    </row>
    <row r="1643" spans="1:1">
      <c r="A1643"/>
    </row>
    <row r="1644" spans="1:1">
      <c r="A1644"/>
    </row>
    <row r="1645" spans="1:1">
      <c r="A1645"/>
    </row>
    <row r="1646" spans="1:1">
      <c r="A1646"/>
    </row>
    <row r="1647" spans="1:1">
      <c r="A1647"/>
    </row>
    <row r="1648" spans="1:1">
      <c r="A1648"/>
    </row>
    <row r="1649" spans="1:1">
      <c r="A1649"/>
    </row>
    <row r="1650" spans="1:1">
      <c r="A1650"/>
    </row>
    <row r="1651" spans="1:1">
      <c r="A1651"/>
    </row>
    <row r="1652" spans="1:1">
      <c r="A1652"/>
    </row>
    <row r="1653" spans="1:1">
      <c r="A1653"/>
    </row>
    <row r="1654" spans="1:1">
      <c r="A1654"/>
    </row>
    <row r="1655" spans="1:1">
      <c r="A1655"/>
    </row>
    <row r="1656" spans="1:1">
      <c r="A1656"/>
    </row>
    <row r="1657" spans="1:1">
      <c r="A1657"/>
    </row>
    <row r="1658" spans="1:1">
      <c r="A1658"/>
    </row>
    <row r="1659" spans="1:1">
      <c r="A1659"/>
    </row>
    <row r="1660" spans="1:1">
      <c r="A1660"/>
    </row>
    <row r="1661" spans="1:1">
      <c r="A1661"/>
    </row>
    <row r="1662" spans="1:1">
      <c r="A1662"/>
    </row>
    <row r="1663" spans="1:1">
      <c r="A1663"/>
    </row>
    <row r="1664" spans="1:1">
      <c r="A1664"/>
    </row>
    <row r="1665" spans="1:1">
      <c r="A1665"/>
    </row>
    <row r="1666" spans="1:1">
      <c r="A1666"/>
    </row>
    <row r="1667" spans="1:1">
      <c r="A1667"/>
    </row>
    <row r="1668" spans="1:1">
      <c r="A1668"/>
    </row>
    <row r="1669" spans="1:1">
      <c r="A1669"/>
    </row>
    <row r="1670" spans="1:1">
      <c r="A1670"/>
    </row>
    <row r="1671" spans="1:1">
      <c r="A1671"/>
    </row>
    <row r="1672" spans="1:1">
      <c r="A1672"/>
    </row>
    <row r="1673" spans="1:1">
      <c r="A1673"/>
    </row>
    <row r="1674" spans="1:1">
      <c r="A1674"/>
    </row>
    <row r="1675" spans="1:1">
      <c r="A1675"/>
    </row>
    <row r="1676" spans="1:1">
      <c r="A1676"/>
    </row>
    <row r="1677" spans="1:1">
      <c r="A1677"/>
    </row>
    <row r="1678" spans="1:1">
      <c r="A1678"/>
    </row>
    <row r="1679" spans="1:1">
      <c r="A1679"/>
    </row>
    <row r="1680" spans="1:1">
      <c r="A1680"/>
    </row>
    <row r="1681" spans="1:1">
      <c r="A1681"/>
    </row>
    <row r="1682" spans="1:1">
      <c r="A1682"/>
    </row>
    <row r="1683" spans="1:1">
      <c r="A1683"/>
    </row>
    <row r="1684" spans="1:1">
      <c r="A1684"/>
    </row>
    <row r="1685" spans="1:1">
      <c r="A1685"/>
    </row>
    <row r="1686" spans="1:1">
      <c r="A1686"/>
    </row>
    <row r="1687" spans="1:1">
      <c r="A1687"/>
    </row>
    <row r="1688" spans="1:1">
      <c r="A1688"/>
    </row>
    <row r="1689" spans="1:1">
      <c r="A1689"/>
    </row>
    <row r="1690" spans="1:1">
      <c r="A1690"/>
    </row>
    <row r="1691" spans="1:1">
      <c r="A1691"/>
    </row>
    <row r="1692" spans="1:1">
      <c r="A1692"/>
    </row>
    <row r="1693" spans="1:1">
      <c r="A1693"/>
    </row>
    <row r="1694" spans="1:1">
      <c r="A1694"/>
    </row>
    <row r="1695" spans="1:1">
      <c r="A1695"/>
    </row>
    <row r="1696" spans="1:1">
      <c r="A1696"/>
    </row>
    <row r="1697" spans="1:1">
      <c r="A1697"/>
    </row>
    <row r="1698" spans="1:1">
      <c r="A1698"/>
    </row>
    <row r="1699" spans="1:1">
      <c r="A1699"/>
    </row>
    <row r="1700" spans="1:1">
      <c r="A1700"/>
    </row>
    <row r="1701" spans="1:1">
      <c r="A1701"/>
    </row>
    <row r="1702" spans="1:1">
      <c r="A1702"/>
    </row>
    <row r="1703" spans="1:1">
      <c r="A1703"/>
    </row>
    <row r="1704" spans="1:1">
      <c r="A1704"/>
    </row>
    <row r="1705" spans="1:1">
      <c r="A1705"/>
    </row>
    <row r="1706" spans="1:1">
      <c r="A1706"/>
    </row>
    <row r="1707" spans="1:1">
      <c r="A1707"/>
    </row>
    <row r="1708" spans="1:1">
      <c r="A1708"/>
    </row>
    <row r="1709" spans="1:1">
      <c r="A1709"/>
    </row>
    <row r="1710" spans="1:1">
      <c r="A1710"/>
    </row>
    <row r="1711" spans="1:1">
      <c r="A1711"/>
    </row>
    <row r="1712" spans="1:1">
      <c r="A1712"/>
    </row>
    <row r="1713" spans="1:1">
      <c r="A1713"/>
    </row>
    <row r="1714" spans="1:1">
      <c r="A1714"/>
    </row>
    <row r="1715" spans="1:1">
      <c r="A1715"/>
    </row>
    <row r="1716" spans="1:1">
      <c r="A1716"/>
    </row>
    <row r="1717" spans="1:1">
      <c r="A1717"/>
    </row>
    <row r="1718" spans="1:1">
      <c r="A1718"/>
    </row>
    <row r="1719" spans="1:1">
      <c r="A1719"/>
    </row>
    <row r="1720" spans="1:1">
      <c r="A1720"/>
    </row>
    <row r="1721" spans="1:1">
      <c r="A1721"/>
    </row>
    <row r="1722" spans="1:1">
      <c r="A1722"/>
    </row>
    <row r="1723" spans="1:1">
      <c r="A1723"/>
    </row>
    <row r="1724" spans="1:1">
      <c r="A1724"/>
    </row>
    <row r="1725" spans="1:1">
      <c r="A1725"/>
    </row>
    <row r="1726" spans="1:1">
      <c r="A1726"/>
    </row>
    <row r="1727" spans="1:1">
      <c r="A1727"/>
    </row>
    <row r="1728" spans="1:1">
      <c r="A1728"/>
    </row>
    <row r="1729" spans="1:1">
      <c r="A1729"/>
    </row>
    <row r="1730" spans="1:1">
      <c r="A1730"/>
    </row>
    <row r="1731" spans="1:1">
      <c r="A1731"/>
    </row>
    <row r="1732" spans="1:1">
      <c r="A1732"/>
    </row>
    <row r="1733" spans="1:1">
      <c r="A1733"/>
    </row>
    <row r="1734" spans="1:1">
      <c r="A1734"/>
    </row>
    <row r="1735" spans="1:1">
      <c r="A1735"/>
    </row>
    <row r="1736" spans="1:1">
      <c r="A1736"/>
    </row>
    <row r="1737" spans="1:1">
      <c r="A1737"/>
    </row>
    <row r="1738" spans="1:1">
      <c r="A1738"/>
    </row>
    <row r="1739" spans="1:1">
      <c r="A1739"/>
    </row>
    <row r="1740" spans="1:1">
      <c r="A1740"/>
    </row>
    <row r="1741" spans="1:1">
      <c r="A1741"/>
    </row>
    <row r="1742" spans="1:1">
      <c r="A1742"/>
    </row>
    <row r="1743" spans="1:1">
      <c r="A1743"/>
    </row>
    <row r="1744" spans="1:1">
      <c r="A1744"/>
    </row>
    <row r="1745" spans="1:1">
      <c r="A1745"/>
    </row>
    <row r="1746" spans="1:1">
      <c r="A1746"/>
    </row>
    <row r="1747" spans="1:1">
      <c r="A1747"/>
    </row>
    <row r="1748" spans="1:1">
      <c r="A1748"/>
    </row>
    <row r="1749" spans="1:1">
      <c r="A1749"/>
    </row>
    <row r="1750" spans="1:1">
      <c r="A1750"/>
    </row>
    <row r="1751" spans="1:1">
      <c r="A1751"/>
    </row>
    <row r="1752" spans="1:1">
      <c r="A1752"/>
    </row>
    <row r="1753" spans="1:1">
      <c r="A1753"/>
    </row>
    <row r="1754" spans="1:1">
      <c r="A1754"/>
    </row>
    <row r="1755" spans="1:1">
      <c r="A1755"/>
    </row>
    <row r="1756" spans="1:1">
      <c r="A1756"/>
    </row>
    <row r="1757" spans="1:1">
      <c r="A1757"/>
    </row>
    <row r="1758" spans="1:1">
      <c r="A1758"/>
    </row>
    <row r="1759" spans="1:1">
      <c r="A1759"/>
    </row>
    <row r="1760" spans="1:1">
      <c r="A1760"/>
    </row>
    <row r="1761" spans="1:1">
      <c r="A1761"/>
    </row>
    <row r="1762" spans="1:1">
      <c r="A1762"/>
    </row>
    <row r="1763" spans="1:1">
      <c r="A1763"/>
    </row>
    <row r="1764" spans="1:1">
      <c r="A1764"/>
    </row>
    <row r="1765" spans="1:1">
      <c r="A1765"/>
    </row>
    <row r="1766" spans="1:1">
      <c r="A1766"/>
    </row>
    <row r="1767" spans="1:1">
      <c r="A1767"/>
    </row>
    <row r="1768" spans="1:1">
      <c r="A1768"/>
    </row>
    <row r="1769" spans="1:1">
      <c r="A1769"/>
    </row>
    <row r="1770" spans="1:1">
      <c r="A1770"/>
    </row>
    <row r="1771" spans="1:1">
      <c r="A1771"/>
    </row>
    <row r="1772" spans="1:1">
      <c r="A1772"/>
    </row>
    <row r="1773" spans="1:1">
      <c r="A1773"/>
    </row>
    <row r="1774" spans="1:1">
      <c r="A1774"/>
    </row>
    <row r="1775" spans="1:1">
      <c r="A1775"/>
    </row>
    <row r="1776" spans="1:1">
      <c r="A1776"/>
    </row>
    <row r="1777" spans="1:1">
      <c r="A1777"/>
    </row>
    <row r="1778" spans="1:1">
      <c r="A1778"/>
    </row>
    <row r="1779" spans="1:1">
      <c r="A1779"/>
    </row>
    <row r="1780" spans="1:1">
      <c r="A1780"/>
    </row>
    <row r="1781" spans="1:1">
      <c r="A1781"/>
    </row>
    <row r="1782" spans="1:1">
      <c r="A1782"/>
    </row>
    <row r="1783" spans="1:1">
      <c r="A1783"/>
    </row>
    <row r="1784" spans="1:1">
      <c r="A1784"/>
    </row>
    <row r="1785" spans="1:1">
      <c r="A1785"/>
    </row>
    <row r="1786" spans="1:1">
      <c r="A1786"/>
    </row>
    <row r="1787" spans="1:1">
      <c r="A1787"/>
    </row>
    <row r="1788" spans="1:1">
      <c r="A1788"/>
    </row>
    <row r="1789" spans="1:1">
      <c r="A1789"/>
    </row>
    <row r="1790" spans="1:1">
      <c r="A1790"/>
    </row>
    <row r="1791" spans="1:1">
      <c r="A1791"/>
    </row>
    <row r="1792" spans="1:1">
      <c r="A1792"/>
    </row>
    <row r="1793" spans="1:1">
      <c r="A1793"/>
    </row>
    <row r="1794" spans="1:1">
      <c r="A1794"/>
    </row>
    <row r="1795" spans="1:1">
      <c r="A1795"/>
    </row>
    <row r="1796" spans="1:1">
      <c r="A1796"/>
    </row>
    <row r="1797" spans="1:1">
      <c r="A1797"/>
    </row>
    <row r="1798" spans="1:1">
      <c r="A1798"/>
    </row>
    <row r="1799" spans="1:1">
      <c r="A1799"/>
    </row>
    <row r="1800" spans="1:1">
      <c r="A1800"/>
    </row>
    <row r="1801" spans="1:1">
      <c r="A1801"/>
    </row>
    <row r="1802" spans="1:1">
      <c r="A1802"/>
    </row>
    <row r="1803" spans="1:1">
      <c r="A1803"/>
    </row>
    <row r="1804" spans="1:1">
      <c r="A1804"/>
    </row>
    <row r="1805" spans="1:1">
      <c r="A1805"/>
    </row>
    <row r="1806" spans="1:1">
      <c r="A1806"/>
    </row>
    <row r="1807" spans="1:1">
      <c r="A1807"/>
    </row>
    <row r="1808" spans="1:1">
      <c r="A1808"/>
    </row>
    <row r="1809" spans="1:1">
      <c r="A1809"/>
    </row>
    <row r="1810" spans="1:1">
      <c r="A1810"/>
    </row>
    <row r="1811" spans="1:1">
      <c r="A1811"/>
    </row>
    <row r="1812" spans="1:1">
      <c r="A1812"/>
    </row>
    <row r="1813" spans="1:1">
      <c r="A1813"/>
    </row>
    <row r="1814" spans="1:1">
      <c r="A1814"/>
    </row>
    <row r="1815" spans="1:1">
      <c r="A1815"/>
    </row>
    <row r="1816" spans="1:1">
      <c r="A1816"/>
    </row>
    <row r="1817" spans="1:1">
      <c r="A1817"/>
    </row>
    <row r="1818" spans="1:1">
      <c r="A1818"/>
    </row>
    <row r="1819" spans="1:1">
      <c r="A1819"/>
    </row>
    <row r="1820" spans="1:1">
      <c r="A1820"/>
    </row>
    <row r="1821" spans="1:1">
      <c r="A1821"/>
    </row>
    <row r="1822" spans="1:1">
      <c r="A1822"/>
    </row>
    <row r="1823" spans="1:1">
      <c r="A1823"/>
    </row>
    <row r="1824" spans="1:1">
      <c r="A1824"/>
    </row>
    <row r="1825" spans="1:1">
      <c r="A1825"/>
    </row>
    <row r="1826" spans="1:1">
      <c r="A1826"/>
    </row>
    <row r="1827" spans="1:1">
      <c r="A1827"/>
    </row>
    <row r="1828" spans="1:1">
      <c r="A1828"/>
    </row>
    <row r="1829" spans="1:1">
      <c r="A1829"/>
    </row>
    <row r="1830" spans="1:1">
      <c r="A1830"/>
    </row>
    <row r="1831" spans="1:1">
      <c r="A1831"/>
    </row>
    <row r="1832" spans="1:1">
      <c r="A1832"/>
    </row>
    <row r="1833" spans="1:1">
      <c r="A1833"/>
    </row>
    <row r="1834" spans="1:1">
      <c r="A1834"/>
    </row>
    <row r="1835" spans="1:1">
      <c r="A1835"/>
    </row>
    <row r="1836" spans="1:1">
      <c r="A1836"/>
    </row>
    <row r="1837" spans="1:1">
      <c r="A1837"/>
    </row>
    <row r="1838" spans="1:1">
      <c r="A1838"/>
    </row>
    <row r="1839" spans="1:1">
      <c r="A1839"/>
    </row>
    <row r="1840" spans="1:1">
      <c r="A1840"/>
    </row>
    <row r="1841" spans="1:1">
      <c r="A1841"/>
    </row>
    <row r="1842" spans="1:1">
      <c r="A1842"/>
    </row>
    <row r="1843" spans="1:1">
      <c r="A1843"/>
    </row>
    <row r="1844" spans="1:1">
      <c r="A1844"/>
    </row>
    <row r="1845" spans="1:1">
      <c r="A1845"/>
    </row>
    <row r="1846" spans="1:1">
      <c r="A1846"/>
    </row>
    <row r="1847" spans="1:1">
      <c r="A1847"/>
    </row>
    <row r="1848" spans="1:1">
      <c r="A1848"/>
    </row>
    <row r="1849" spans="1:1">
      <c r="A1849"/>
    </row>
    <row r="1850" spans="1:1">
      <c r="A1850"/>
    </row>
    <row r="1851" spans="1:1">
      <c r="A1851"/>
    </row>
    <row r="1852" spans="1:1">
      <c r="A1852"/>
    </row>
    <row r="1853" spans="1:1">
      <c r="A1853"/>
    </row>
    <row r="1854" spans="1:1">
      <c r="A1854"/>
    </row>
    <row r="1855" spans="1:1">
      <c r="A1855"/>
    </row>
    <row r="1856" spans="1:1">
      <c r="A1856"/>
    </row>
    <row r="1857" spans="1:1">
      <c r="A1857"/>
    </row>
    <row r="1858" spans="1:1">
      <c r="A1858"/>
    </row>
    <row r="1859" spans="1:1">
      <c r="A1859"/>
    </row>
    <row r="1860" spans="1:1">
      <c r="A1860"/>
    </row>
    <row r="1861" spans="1:1">
      <c r="A1861"/>
    </row>
    <row r="1862" spans="1:1">
      <c r="A1862"/>
    </row>
    <row r="1863" spans="1:1">
      <c r="A1863"/>
    </row>
    <row r="1864" spans="1:1">
      <c r="A1864"/>
    </row>
    <row r="1865" spans="1:1">
      <c r="A1865"/>
    </row>
    <row r="1866" spans="1:1">
      <c r="A1866"/>
    </row>
    <row r="1867" spans="1:1">
      <c r="A1867"/>
    </row>
    <row r="1868" spans="1:1">
      <c r="A1868"/>
    </row>
    <row r="1869" spans="1:1">
      <c r="A1869"/>
    </row>
    <row r="1870" spans="1:1">
      <c r="A1870"/>
    </row>
    <row r="1871" spans="1:1">
      <c r="A1871"/>
    </row>
    <row r="1872" spans="1:1">
      <c r="A1872"/>
    </row>
    <row r="1873" spans="1:1">
      <c r="A1873"/>
    </row>
    <row r="1874" spans="1:1">
      <c r="A1874"/>
    </row>
    <row r="1875" spans="1:1">
      <c r="A1875"/>
    </row>
    <row r="1876" spans="1:1">
      <c r="A1876"/>
    </row>
    <row r="1877" spans="1:1">
      <c r="A1877"/>
    </row>
    <row r="1878" spans="1:1">
      <c r="A1878"/>
    </row>
    <row r="1879" spans="1:1">
      <c r="A1879"/>
    </row>
    <row r="1880" spans="1:1">
      <c r="A1880"/>
    </row>
    <row r="1881" spans="1:1">
      <c r="A1881"/>
    </row>
    <row r="1882" spans="1:1">
      <c r="A1882"/>
    </row>
    <row r="1883" spans="1:1">
      <c r="A1883"/>
    </row>
    <row r="1884" spans="1:1">
      <c r="A1884"/>
    </row>
    <row r="1885" spans="1:1">
      <c r="A1885"/>
    </row>
    <row r="1886" spans="1:1">
      <c r="A1886"/>
    </row>
    <row r="1887" spans="1:1">
      <c r="A1887"/>
    </row>
    <row r="1888" spans="1:1">
      <c r="A1888"/>
    </row>
    <row r="1889" spans="1:1">
      <c r="A1889"/>
    </row>
    <row r="1890" spans="1:1">
      <c r="A1890"/>
    </row>
    <row r="1891" spans="1:1">
      <c r="A1891"/>
    </row>
    <row r="1892" spans="1:1">
      <c r="A1892"/>
    </row>
    <row r="1893" spans="1:1">
      <c r="A1893"/>
    </row>
    <row r="1894" spans="1:1">
      <c r="A1894"/>
    </row>
    <row r="1895" spans="1:1">
      <c r="A1895"/>
    </row>
    <row r="1896" spans="1:1">
      <c r="A1896"/>
    </row>
    <row r="1897" spans="1:1">
      <c r="A1897"/>
    </row>
    <row r="1898" spans="1:1">
      <c r="A1898"/>
    </row>
    <row r="1899" spans="1:1">
      <c r="A1899"/>
    </row>
    <row r="1900" spans="1:1">
      <c r="A1900"/>
    </row>
    <row r="1901" spans="1:1">
      <c r="A1901"/>
    </row>
    <row r="1902" spans="1:1">
      <c r="A1902"/>
    </row>
    <row r="1903" spans="1:1">
      <c r="A1903"/>
    </row>
    <row r="1904" spans="1:1">
      <c r="A1904"/>
    </row>
    <row r="1905" spans="1:1">
      <c r="A1905"/>
    </row>
    <row r="1906" spans="1:1">
      <c r="A1906"/>
    </row>
    <row r="1907" spans="1:1">
      <c r="A1907"/>
    </row>
    <row r="1908" spans="1:1">
      <c r="A1908"/>
    </row>
    <row r="1909" spans="1:1">
      <c r="A1909"/>
    </row>
    <row r="1910" spans="1:1">
      <c r="A1910"/>
    </row>
    <row r="1911" spans="1:1">
      <c r="A1911"/>
    </row>
    <row r="1912" spans="1:1">
      <c r="A1912"/>
    </row>
    <row r="1913" spans="1:1">
      <c r="A1913"/>
    </row>
    <row r="1914" spans="1:1">
      <c r="A1914"/>
    </row>
    <row r="1915" spans="1:1">
      <c r="A1915"/>
    </row>
    <row r="1916" spans="1:1">
      <c r="A1916"/>
    </row>
    <row r="1917" spans="1:1">
      <c r="A1917"/>
    </row>
    <row r="1918" spans="1:1">
      <c r="A1918"/>
    </row>
    <row r="1919" spans="1:1">
      <c r="A1919"/>
    </row>
    <row r="1920" spans="1:1">
      <c r="A1920"/>
    </row>
    <row r="1921" spans="1:1">
      <c r="A1921"/>
    </row>
    <row r="1922" spans="1:1">
      <c r="A1922"/>
    </row>
    <row r="1923" spans="1:1">
      <c r="A1923"/>
    </row>
    <row r="1924" spans="1:1">
      <c r="A1924"/>
    </row>
    <row r="1925" spans="1:1">
      <c r="A1925"/>
    </row>
    <row r="1926" spans="1:1">
      <c r="A1926"/>
    </row>
    <row r="1927" spans="1:1">
      <c r="A1927"/>
    </row>
    <row r="1928" spans="1:1">
      <c r="A1928"/>
    </row>
    <row r="1929" spans="1:1">
      <c r="A1929"/>
    </row>
    <row r="1930" spans="1:1">
      <c r="A1930"/>
    </row>
    <row r="1931" spans="1:1">
      <c r="A1931"/>
    </row>
    <row r="1932" spans="1:1">
      <c r="A1932"/>
    </row>
    <row r="1933" spans="1:1">
      <c r="A1933"/>
    </row>
    <row r="1934" spans="1:1">
      <c r="A1934"/>
    </row>
    <row r="1935" spans="1:1">
      <c r="A1935"/>
    </row>
    <row r="1936" spans="1:1">
      <c r="A1936"/>
    </row>
    <row r="1937" spans="1:1">
      <c r="A1937"/>
    </row>
    <row r="1938" spans="1:1">
      <c r="A1938"/>
    </row>
    <row r="1939" spans="1:1">
      <c r="A1939"/>
    </row>
    <row r="1940" spans="1:1">
      <c r="A1940"/>
    </row>
    <row r="1941" spans="1:1">
      <c r="A1941"/>
    </row>
    <row r="1942" spans="1:1">
      <c r="A1942"/>
    </row>
    <row r="1943" spans="1:1">
      <c r="A1943"/>
    </row>
    <row r="1944" spans="1:1">
      <c r="A1944"/>
    </row>
    <row r="1945" spans="1:1">
      <c r="A1945"/>
    </row>
    <row r="1946" spans="1:1">
      <c r="A1946"/>
    </row>
    <row r="1947" spans="1:1">
      <c r="A1947"/>
    </row>
    <row r="1948" spans="1:1">
      <c r="A1948"/>
    </row>
    <row r="1949" spans="1:1">
      <c r="A1949"/>
    </row>
    <row r="1950" spans="1:1">
      <c r="A1950"/>
    </row>
    <row r="1951" spans="1:1">
      <c r="A1951"/>
    </row>
    <row r="1952" spans="1:1">
      <c r="A1952"/>
    </row>
    <row r="1953" spans="1:1">
      <c r="A1953"/>
    </row>
    <row r="1954" spans="1:1">
      <c r="A1954"/>
    </row>
    <row r="1955" spans="1:1">
      <c r="A1955"/>
    </row>
    <row r="1956" spans="1:1">
      <c r="A1956"/>
    </row>
    <row r="1957" spans="1:1">
      <c r="A1957"/>
    </row>
    <row r="1958" spans="1:1">
      <c r="A1958"/>
    </row>
    <row r="1959" spans="1:1">
      <c r="A1959"/>
    </row>
    <row r="1960" spans="1:1">
      <c r="A1960"/>
    </row>
    <row r="1961" spans="1:1">
      <c r="A1961"/>
    </row>
    <row r="1962" spans="1:1">
      <c r="A1962"/>
    </row>
    <row r="1963" spans="1:1">
      <c r="A1963"/>
    </row>
    <row r="1964" spans="1:1">
      <c r="A1964"/>
    </row>
    <row r="1965" spans="1:1">
      <c r="A1965"/>
    </row>
    <row r="1966" spans="1:1">
      <c r="A1966"/>
    </row>
    <row r="1967" spans="1:1">
      <c r="A1967"/>
    </row>
    <row r="1968" spans="1:1">
      <c r="A1968"/>
    </row>
    <row r="1969" spans="1:1">
      <c r="A1969"/>
    </row>
    <row r="1970" spans="1:1">
      <c r="A1970"/>
    </row>
    <row r="1971" spans="1:1">
      <c r="A1971"/>
    </row>
    <row r="1972" spans="1:1">
      <c r="A1972"/>
    </row>
    <row r="1973" spans="1:1">
      <c r="A1973"/>
    </row>
    <row r="1974" spans="1:1">
      <c r="A1974"/>
    </row>
    <row r="1975" spans="1:1">
      <c r="A1975"/>
    </row>
    <row r="1976" spans="1:1">
      <c r="A1976"/>
    </row>
    <row r="1977" spans="1:1">
      <c r="A1977"/>
    </row>
    <row r="1978" spans="1:1">
      <c r="A1978"/>
    </row>
    <row r="1979" spans="1:1">
      <c r="A1979"/>
    </row>
    <row r="1980" spans="1:1">
      <c r="A1980"/>
    </row>
    <row r="1981" spans="1:1">
      <c r="A1981"/>
    </row>
    <row r="1982" spans="1:1">
      <c r="A1982"/>
    </row>
    <row r="1983" spans="1:1">
      <c r="A1983"/>
    </row>
    <row r="1984" spans="1:1">
      <c r="A1984"/>
    </row>
    <row r="1985" spans="1:1">
      <c r="A1985"/>
    </row>
    <row r="1986" spans="1:1">
      <c r="A1986"/>
    </row>
    <row r="1987" spans="1:1">
      <c r="A1987"/>
    </row>
    <row r="1988" spans="1:1">
      <c r="A1988"/>
    </row>
    <row r="1989" spans="1:1">
      <c r="A1989"/>
    </row>
    <row r="1990" spans="1:1">
      <c r="A1990"/>
    </row>
    <row r="1991" spans="1:1">
      <c r="A1991"/>
    </row>
    <row r="1992" spans="1:1">
      <c r="A1992"/>
    </row>
    <row r="1993" spans="1:1">
      <c r="A1993"/>
    </row>
    <row r="1994" spans="1:1">
      <c r="A1994"/>
    </row>
    <row r="1995" spans="1:1">
      <c r="A1995"/>
    </row>
    <row r="1996" spans="1:1">
      <c r="A1996"/>
    </row>
    <row r="1997" spans="1:1">
      <c r="A1997"/>
    </row>
    <row r="1998" spans="1:1">
      <c r="A1998"/>
    </row>
    <row r="1999" spans="1:1">
      <c r="A1999"/>
    </row>
    <row r="2000" spans="1:1">
      <c r="A2000"/>
    </row>
    <row r="2001" spans="1:1">
      <c r="A2001"/>
    </row>
    <row r="2002" spans="1:1">
      <c r="A2002"/>
    </row>
    <row r="2003" spans="1:1">
      <c r="A2003"/>
    </row>
    <row r="2004" spans="1:1">
      <c r="A2004"/>
    </row>
    <row r="2005" spans="1:1">
      <c r="A2005"/>
    </row>
    <row r="2006" spans="1:1">
      <c r="A2006"/>
    </row>
    <row r="2007" spans="1:1">
      <c r="A2007"/>
    </row>
    <row r="2008" spans="1:1">
      <c r="A2008"/>
    </row>
    <row r="2009" spans="1:1">
      <c r="A2009"/>
    </row>
    <row r="2010" spans="1:1">
      <c r="A2010"/>
    </row>
    <row r="2011" spans="1:1">
      <c r="A2011"/>
    </row>
    <row r="2012" spans="1:1">
      <c r="A2012"/>
    </row>
    <row r="2013" spans="1:1">
      <c r="A2013"/>
    </row>
    <row r="2014" spans="1:1">
      <c r="A2014"/>
    </row>
    <row r="2015" spans="1:1">
      <c r="A2015"/>
    </row>
    <row r="2016" spans="1:1">
      <c r="A2016"/>
    </row>
    <row r="2017" spans="1:1">
      <c r="A2017"/>
    </row>
    <row r="2018" spans="1:1">
      <c r="A2018"/>
    </row>
    <row r="2019" spans="1:1">
      <c r="A2019"/>
    </row>
    <row r="2020" spans="1:1">
      <c r="A2020"/>
    </row>
    <row r="2021" spans="1:1">
      <c r="A2021"/>
    </row>
    <row r="2022" spans="1:1">
      <c r="A2022"/>
    </row>
    <row r="2023" spans="1:1">
      <c r="A2023"/>
    </row>
    <row r="2024" spans="1:1">
      <c r="A2024"/>
    </row>
    <row r="2025" spans="1:1">
      <c r="A2025"/>
    </row>
    <row r="2026" spans="1:1">
      <c r="A2026"/>
    </row>
    <row r="2027" spans="1:1">
      <c r="A2027"/>
    </row>
    <row r="2028" spans="1:1">
      <c r="A2028"/>
    </row>
    <row r="2029" spans="1:1">
      <c r="A2029"/>
    </row>
    <row r="2030" spans="1:1">
      <c r="A2030"/>
    </row>
    <row r="2031" spans="1:1">
      <c r="A2031"/>
    </row>
    <row r="2032" spans="1:1">
      <c r="A2032"/>
    </row>
    <row r="2033" spans="1:1">
      <c r="A2033"/>
    </row>
    <row r="2034" spans="1:1">
      <c r="A2034"/>
    </row>
    <row r="2035" spans="1:1">
      <c r="A2035"/>
    </row>
    <row r="2036" spans="1:1">
      <c r="A2036"/>
    </row>
    <row r="2037" spans="1:1">
      <c r="A2037"/>
    </row>
    <row r="2038" spans="1:1">
      <c r="A2038"/>
    </row>
    <row r="2039" spans="1:1">
      <c r="A2039"/>
    </row>
    <row r="2040" spans="1:1">
      <c r="A2040"/>
    </row>
    <row r="2041" spans="1:1">
      <c r="A2041"/>
    </row>
    <row r="2042" spans="1:1">
      <c r="A2042"/>
    </row>
    <row r="2043" spans="1:1">
      <c r="A2043"/>
    </row>
    <row r="2044" spans="1:1">
      <c r="A2044"/>
    </row>
    <row r="2045" spans="1:1">
      <c r="A2045"/>
    </row>
    <row r="2046" spans="1:1">
      <c r="A2046"/>
    </row>
    <row r="2047" spans="1:1">
      <c r="A2047"/>
    </row>
    <row r="2048" spans="1:1">
      <c r="A2048"/>
    </row>
    <row r="2049" spans="1:1">
      <c r="A2049"/>
    </row>
    <row r="2050" spans="1:1">
      <c r="A2050"/>
    </row>
    <row r="2051" spans="1:1">
      <c r="A2051"/>
    </row>
    <row r="2052" spans="1:1">
      <c r="A2052"/>
    </row>
    <row r="2053" spans="1:1">
      <c r="A2053"/>
    </row>
    <row r="2054" spans="1:1">
      <c r="A2054"/>
    </row>
    <row r="2055" spans="1:1">
      <c r="A2055"/>
    </row>
    <row r="2056" spans="1:1">
      <c r="A2056"/>
    </row>
    <row r="2057" spans="1:1">
      <c r="A2057"/>
    </row>
    <row r="2058" spans="1:1">
      <c r="A2058"/>
    </row>
    <row r="2059" spans="1:1">
      <c r="A2059"/>
    </row>
    <row r="2060" spans="1:1">
      <c r="A2060"/>
    </row>
    <row r="2061" spans="1:1">
      <c r="A2061"/>
    </row>
    <row r="2062" spans="1:1">
      <c r="A2062"/>
    </row>
    <row r="2063" spans="1:1">
      <c r="A2063"/>
    </row>
    <row r="2064" spans="1:1">
      <c r="A2064"/>
    </row>
    <row r="2065" spans="1:1">
      <c r="A2065"/>
    </row>
    <row r="2066" spans="1:1">
      <c r="A2066"/>
    </row>
    <row r="2067" spans="1:1">
      <c r="A2067"/>
    </row>
    <row r="2068" spans="1:1">
      <c r="A2068"/>
    </row>
    <row r="2069" spans="1:1">
      <c r="A2069"/>
    </row>
    <row r="2070" spans="1:1">
      <c r="A2070"/>
    </row>
    <row r="2071" spans="1:1">
      <c r="A2071"/>
    </row>
    <row r="2072" spans="1:1">
      <c r="A2072"/>
    </row>
    <row r="2073" spans="1:1">
      <c r="A2073"/>
    </row>
    <row r="2074" spans="1:1">
      <c r="A2074"/>
    </row>
    <row r="2075" spans="1:1">
      <c r="A2075"/>
    </row>
    <row r="2076" spans="1:1">
      <c r="A2076"/>
    </row>
    <row r="2077" spans="1:1">
      <c r="A2077"/>
    </row>
    <row r="2078" spans="1:1">
      <c r="A2078"/>
    </row>
    <row r="2079" spans="1:1">
      <c r="A2079"/>
    </row>
    <row r="2080" spans="1:1">
      <c r="A2080"/>
    </row>
    <row r="2081" spans="1:1">
      <c r="A2081"/>
    </row>
    <row r="2082" spans="1:1">
      <c r="A2082"/>
    </row>
    <row r="2083" spans="1:1">
      <c r="A2083"/>
    </row>
    <row r="2084" spans="1:1">
      <c r="A2084"/>
    </row>
    <row r="2085" spans="1:1">
      <c r="A2085"/>
    </row>
    <row r="2086" spans="1:1">
      <c r="A2086"/>
    </row>
    <row r="2087" spans="1:1">
      <c r="A2087"/>
    </row>
    <row r="2088" spans="1:1">
      <c r="A2088"/>
    </row>
    <row r="2089" spans="1:1">
      <c r="A2089"/>
    </row>
    <row r="2090" spans="1:1">
      <c r="A2090"/>
    </row>
    <row r="2091" spans="1:1">
      <c r="A2091"/>
    </row>
    <row r="2092" spans="1:1">
      <c r="A2092"/>
    </row>
    <row r="2093" spans="1:1">
      <c r="A2093"/>
    </row>
    <row r="2094" spans="1:1">
      <c r="A2094"/>
    </row>
    <row r="2095" spans="1:1">
      <c r="A2095"/>
    </row>
    <row r="2096" spans="1:1">
      <c r="A2096"/>
    </row>
    <row r="2097" spans="1:1">
      <c r="A2097"/>
    </row>
    <row r="2098" spans="1:1">
      <c r="A2098"/>
    </row>
    <row r="2099" spans="1:1">
      <c r="A2099"/>
    </row>
    <row r="2100" spans="1:1">
      <c r="A2100"/>
    </row>
    <row r="2101" spans="1:1">
      <c r="A2101"/>
    </row>
    <row r="2102" spans="1:1">
      <c r="A2102"/>
    </row>
    <row r="2103" spans="1:1">
      <c r="A2103"/>
    </row>
    <row r="2104" spans="1:1">
      <c r="A2104"/>
    </row>
    <row r="2105" spans="1:1">
      <c r="A2105"/>
    </row>
    <row r="2106" spans="1:1">
      <c r="A2106"/>
    </row>
    <row r="2107" spans="1:1">
      <c r="A2107"/>
    </row>
    <row r="2108" spans="1:1">
      <c r="A2108"/>
    </row>
    <row r="2109" spans="1:1">
      <c r="A2109"/>
    </row>
    <row r="2110" spans="1:1">
      <c r="A2110"/>
    </row>
    <row r="2111" spans="1:1">
      <c r="A2111"/>
    </row>
    <row r="2112" spans="1:1">
      <c r="A2112"/>
    </row>
    <row r="2113" spans="1:1">
      <c r="A2113"/>
    </row>
    <row r="2114" spans="1:1">
      <c r="A2114"/>
    </row>
    <row r="2115" spans="1:1">
      <c r="A2115"/>
    </row>
    <row r="2116" spans="1:1">
      <c r="A2116"/>
    </row>
    <row r="2117" spans="1:1">
      <c r="A2117"/>
    </row>
    <row r="2118" spans="1:1">
      <c r="A2118"/>
    </row>
    <row r="2119" spans="1:1">
      <c r="A2119"/>
    </row>
    <row r="2120" spans="1:1">
      <c r="A2120"/>
    </row>
    <row r="2121" spans="1:1">
      <c r="A2121"/>
    </row>
    <row r="2122" spans="1:1">
      <c r="A2122"/>
    </row>
    <row r="2123" spans="1:1">
      <c r="A2123"/>
    </row>
    <row r="2124" spans="1:1">
      <c r="A2124"/>
    </row>
    <row r="2125" spans="1:1">
      <c r="A2125"/>
    </row>
    <row r="2126" spans="1:1">
      <c r="A2126"/>
    </row>
    <row r="2127" spans="1:1">
      <c r="A2127"/>
    </row>
    <row r="2128" spans="1:1">
      <c r="A2128"/>
    </row>
    <row r="2129" spans="1:1">
      <c r="A2129"/>
    </row>
    <row r="2130" spans="1:1">
      <c r="A2130"/>
    </row>
    <row r="2131" spans="1:1">
      <c r="A2131"/>
    </row>
    <row r="2132" spans="1:1">
      <c r="A2132"/>
    </row>
    <row r="2133" spans="1:1">
      <c r="A2133"/>
    </row>
    <row r="2134" spans="1:1">
      <c r="A2134"/>
    </row>
    <row r="2135" spans="1:1">
      <c r="A2135"/>
    </row>
    <row r="2136" spans="1:1">
      <c r="A2136"/>
    </row>
    <row r="2137" spans="1:1">
      <c r="A2137"/>
    </row>
    <row r="2138" spans="1:1">
      <c r="A2138"/>
    </row>
    <row r="2139" spans="1:1">
      <c r="A2139"/>
    </row>
    <row r="2140" spans="1:1">
      <c r="A2140"/>
    </row>
    <row r="2141" spans="1:1">
      <c r="A2141"/>
    </row>
    <row r="2142" spans="1:1">
      <c r="A2142"/>
    </row>
    <row r="2143" spans="1:1">
      <c r="A2143"/>
    </row>
    <row r="2144" spans="1:1">
      <c r="A2144"/>
    </row>
    <row r="2145" spans="1:1">
      <c r="A2145"/>
    </row>
    <row r="2146" spans="1:1">
      <c r="A2146"/>
    </row>
    <row r="2147" spans="1:1">
      <c r="A2147"/>
    </row>
    <row r="2148" spans="1:1">
      <c r="A2148"/>
    </row>
    <row r="2149" spans="1:1">
      <c r="A2149"/>
    </row>
    <row r="2150" spans="1:1">
      <c r="A2150"/>
    </row>
    <row r="2151" spans="1:1">
      <c r="A2151"/>
    </row>
    <row r="2152" spans="1:1">
      <c r="A2152"/>
    </row>
    <row r="2153" spans="1:1">
      <c r="A2153"/>
    </row>
    <row r="2154" spans="1:1">
      <c r="A2154"/>
    </row>
    <row r="2155" spans="1:1">
      <c r="A2155"/>
    </row>
    <row r="2156" spans="1:1">
      <c r="A2156"/>
    </row>
    <row r="2157" spans="1:1">
      <c r="A2157"/>
    </row>
    <row r="2158" spans="1:1">
      <c r="A2158"/>
    </row>
    <row r="2159" spans="1:1">
      <c r="A2159"/>
    </row>
    <row r="2160" spans="1:1">
      <c r="A2160"/>
    </row>
    <row r="2161" spans="1:1">
      <c r="A2161"/>
    </row>
    <row r="2162" spans="1:1">
      <c r="A2162"/>
    </row>
    <row r="2163" spans="1:1">
      <c r="A2163"/>
    </row>
    <row r="2164" spans="1:1">
      <c r="A2164"/>
    </row>
    <row r="2165" spans="1:1">
      <c r="A2165"/>
    </row>
    <row r="2166" spans="1:1">
      <c r="A2166"/>
    </row>
    <row r="2167" spans="1:1">
      <c r="A2167"/>
    </row>
    <row r="2168" spans="1:1">
      <c r="A2168"/>
    </row>
    <row r="2169" spans="1:1">
      <c r="A2169"/>
    </row>
    <row r="2170" spans="1:1">
      <c r="A2170"/>
    </row>
    <row r="2171" spans="1:1">
      <c r="A2171"/>
    </row>
    <row r="2172" spans="1:1">
      <c r="A2172"/>
    </row>
    <row r="2173" spans="1:1">
      <c r="A2173"/>
    </row>
    <row r="2174" spans="1:1">
      <c r="A2174"/>
    </row>
    <row r="2175" spans="1:1">
      <c r="A2175"/>
    </row>
    <row r="2176" spans="1:1">
      <c r="A2176"/>
    </row>
    <row r="2177" spans="1:1">
      <c r="A2177"/>
    </row>
    <row r="2178" spans="1:1">
      <c r="A2178"/>
    </row>
    <row r="2179" spans="1:1">
      <c r="A2179"/>
    </row>
    <row r="2180" spans="1:1">
      <c r="A2180"/>
    </row>
    <row r="2181" spans="1:1">
      <c r="A2181"/>
    </row>
    <row r="2182" spans="1:1">
      <c r="A2182"/>
    </row>
    <row r="2183" spans="1:1">
      <c r="A2183"/>
    </row>
    <row r="2184" spans="1:1">
      <c r="A2184"/>
    </row>
    <row r="2185" spans="1:1">
      <c r="A2185"/>
    </row>
    <row r="2186" spans="1:1">
      <c r="A2186"/>
    </row>
    <row r="2187" spans="1:1">
      <c r="A2187"/>
    </row>
    <row r="2188" spans="1:1">
      <c r="A2188"/>
    </row>
    <row r="2189" spans="1:1">
      <c r="A2189"/>
    </row>
    <row r="2190" spans="1:1">
      <c r="A2190"/>
    </row>
    <row r="2191" spans="1:1">
      <c r="A2191"/>
    </row>
    <row r="2192" spans="1:1">
      <c r="A2192"/>
    </row>
    <row r="2193" spans="1:1">
      <c r="A2193"/>
    </row>
    <row r="2194" spans="1:1">
      <c r="A2194"/>
    </row>
    <row r="2195" spans="1:1">
      <c r="A2195"/>
    </row>
    <row r="2196" spans="1:1">
      <c r="A2196"/>
    </row>
    <row r="2197" spans="1:1">
      <c r="A2197"/>
    </row>
    <row r="2198" spans="1:1">
      <c r="A2198"/>
    </row>
    <row r="2199" spans="1:1">
      <c r="A2199"/>
    </row>
    <row r="2200" spans="1:1">
      <c r="A2200"/>
    </row>
    <row r="2201" spans="1:1">
      <c r="A2201"/>
    </row>
    <row r="2202" spans="1:1">
      <c r="A2202"/>
    </row>
    <row r="2203" spans="1:1">
      <c r="A2203"/>
    </row>
    <row r="2204" spans="1:1">
      <c r="A2204"/>
    </row>
    <row r="2205" spans="1:1">
      <c r="A2205"/>
    </row>
    <row r="2206" spans="1:1">
      <c r="A2206"/>
    </row>
    <row r="2207" spans="1:1">
      <c r="A2207"/>
    </row>
    <row r="2208" spans="1:1">
      <c r="A2208"/>
    </row>
    <row r="2209" spans="1:1">
      <c r="A2209"/>
    </row>
    <row r="2210" spans="1:1">
      <c r="A2210"/>
    </row>
    <row r="2211" spans="1:1">
      <c r="A2211"/>
    </row>
    <row r="2212" spans="1:1">
      <c r="A2212"/>
    </row>
    <row r="2213" spans="1:1">
      <c r="A2213"/>
    </row>
    <row r="2214" spans="1:1">
      <c r="A2214"/>
    </row>
    <row r="2215" spans="1:1">
      <c r="A2215"/>
    </row>
    <row r="2216" spans="1:1">
      <c r="A2216"/>
    </row>
    <row r="2217" spans="1:1">
      <c r="A2217"/>
    </row>
    <row r="2218" spans="1:1">
      <c r="A2218"/>
    </row>
    <row r="2219" spans="1:1">
      <c r="A2219"/>
    </row>
    <row r="2220" spans="1:1">
      <c r="A2220"/>
    </row>
    <row r="2221" spans="1:1">
      <c r="A2221"/>
    </row>
    <row r="2222" spans="1:1">
      <c r="A2222"/>
    </row>
    <row r="2223" spans="1:1">
      <c r="A2223"/>
    </row>
    <row r="2224" spans="1:1">
      <c r="A2224"/>
    </row>
    <row r="2225" spans="1:1">
      <c r="A2225"/>
    </row>
    <row r="2226" spans="1:1">
      <c r="A2226"/>
    </row>
    <row r="2227" spans="1:1">
      <c r="A2227"/>
    </row>
    <row r="2228" spans="1:1">
      <c r="A2228"/>
    </row>
    <row r="2229" spans="1:1">
      <c r="A2229"/>
    </row>
    <row r="2230" spans="1:1">
      <c r="A2230"/>
    </row>
    <row r="2231" spans="1:1">
      <c r="A2231"/>
    </row>
    <row r="2232" spans="1:1">
      <c r="A2232"/>
    </row>
    <row r="2233" spans="1:1">
      <c r="A2233"/>
    </row>
    <row r="2234" spans="1:1">
      <c r="A2234"/>
    </row>
    <row r="2235" spans="1:1">
      <c r="A2235"/>
    </row>
    <row r="2236" spans="1:1">
      <c r="A2236"/>
    </row>
    <row r="2237" spans="1:1">
      <c r="A2237"/>
    </row>
    <row r="2238" spans="1:1">
      <c r="A2238"/>
    </row>
    <row r="2239" spans="1:1">
      <c r="A2239"/>
    </row>
    <row r="2240" spans="1:1">
      <c r="A2240"/>
    </row>
    <row r="2241" spans="1:1">
      <c r="A2241"/>
    </row>
    <row r="2242" spans="1:1">
      <c r="A2242"/>
    </row>
    <row r="2243" spans="1:1">
      <c r="A2243"/>
    </row>
    <row r="2244" spans="1:1">
      <c r="A2244"/>
    </row>
    <row r="2245" spans="1:1">
      <c r="A2245"/>
    </row>
    <row r="2246" spans="1:1">
      <c r="A2246"/>
    </row>
    <row r="2247" spans="1:1">
      <c r="A2247"/>
    </row>
    <row r="2248" spans="1:1">
      <c r="A2248"/>
    </row>
    <row r="2249" spans="1:1">
      <c r="A2249"/>
    </row>
    <row r="2250" spans="1:1">
      <c r="A2250"/>
    </row>
    <row r="2251" spans="1:1">
      <c r="A2251"/>
    </row>
    <row r="2252" spans="1:1">
      <c r="A2252"/>
    </row>
    <row r="2253" spans="1:1">
      <c r="A2253"/>
    </row>
    <row r="2254" spans="1:1">
      <c r="A2254"/>
    </row>
    <row r="2255" spans="1:1">
      <c r="A2255"/>
    </row>
    <row r="2256" spans="1:1">
      <c r="A2256"/>
    </row>
    <row r="2257" spans="1:1">
      <c r="A2257"/>
    </row>
    <row r="2258" spans="1:1">
      <c r="A2258"/>
    </row>
    <row r="2259" spans="1:1">
      <c r="A2259"/>
    </row>
    <row r="2260" spans="1:1">
      <c r="A2260"/>
    </row>
    <row r="2261" spans="1:1">
      <c r="A2261"/>
    </row>
    <row r="2262" spans="1:1">
      <c r="A2262"/>
    </row>
    <row r="2263" spans="1:1">
      <c r="A2263"/>
    </row>
    <row r="2264" spans="1:1">
      <c r="A2264"/>
    </row>
    <row r="2265" spans="1:1">
      <c r="A2265"/>
    </row>
    <row r="2266" spans="1:1">
      <c r="A2266"/>
    </row>
    <row r="2267" spans="1:1">
      <c r="A2267"/>
    </row>
    <row r="2268" spans="1:1">
      <c r="A2268"/>
    </row>
    <row r="2269" spans="1:1">
      <c r="A2269"/>
    </row>
    <row r="2270" spans="1:1">
      <c r="A2270"/>
    </row>
    <row r="2271" spans="1:1">
      <c r="A2271"/>
    </row>
    <row r="2272" spans="1:1">
      <c r="A2272"/>
    </row>
    <row r="2273" spans="1:1">
      <c r="A2273"/>
    </row>
    <row r="2274" spans="1:1">
      <c r="A2274"/>
    </row>
    <row r="2275" spans="1:1">
      <c r="A2275"/>
    </row>
    <row r="2276" spans="1:1">
      <c r="A2276"/>
    </row>
    <row r="2277" spans="1:1">
      <c r="A2277"/>
    </row>
    <row r="2278" spans="1:1">
      <c r="A2278"/>
    </row>
    <row r="2279" spans="1:1">
      <c r="A2279"/>
    </row>
    <row r="2280" spans="1:1">
      <c r="A2280"/>
    </row>
    <row r="2281" spans="1:1">
      <c r="A2281"/>
    </row>
    <row r="2282" spans="1:1">
      <c r="A2282"/>
    </row>
    <row r="2283" spans="1:1">
      <c r="A2283"/>
    </row>
    <row r="2284" spans="1:1">
      <c r="A2284"/>
    </row>
    <row r="2285" spans="1:1">
      <c r="A2285"/>
    </row>
    <row r="2286" spans="1:1">
      <c r="A2286"/>
    </row>
    <row r="2287" spans="1:1">
      <c r="A2287"/>
    </row>
    <row r="2288" spans="1:1">
      <c r="A2288"/>
    </row>
    <row r="2289" spans="1:1">
      <c r="A2289"/>
    </row>
    <row r="2290" spans="1:1">
      <c r="A2290"/>
    </row>
    <row r="2291" spans="1:1">
      <c r="A2291"/>
    </row>
    <row r="2292" spans="1:1">
      <c r="A2292"/>
    </row>
    <row r="2293" spans="1:1">
      <c r="A2293"/>
    </row>
    <row r="2294" spans="1:1">
      <c r="A2294"/>
    </row>
    <row r="2295" spans="1:1">
      <c r="A2295"/>
    </row>
    <row r="2296" spans="1:1">
      <c r="A2296"/>
    </row>
    <row r="2297" spans="1:1">
      <c r="A2297"/>
    </row>
    <row r="2298" spans="1:1">
      <c r="A2298"/>
    </row>
    <row r="2299" spans="1:1">
      <c r="A2299"/>
    </row>
    <row r="2300" spans="1:1">
      <c r="A2300"/>
    </row>
    <row r="2301" spans="1:1">
      <c r="A2301"/>
    </row>
    <row r="2302" spans="1:1">
      <c r="A2302"/>
    </row>
    <row r="2303" spans="1:1">
      <c r="A2303"/>
    </row>
    <row r="2304" spans="1:1">
      <c r="A2304"/>
    </row>
    <row r="2305" spans="1:1">
      <c r="A2305"/>
    </row>
    <row r="2306" spans="1:1">
      <c r="A2306"/>
    </row>
    <row r="2307" spans="1:1">
      <c r="A2307"/>
    </row>
    <row r="2308" spans="1:1">
      <c r="A2308"/>
    </row>
    <row r="2309" spans="1:1">
      <c r="A2309"/>
    </row>
    <row r="2310" spans="1:1">
      <c r="A2310"/>
    </row>
    <row r="2311" spans="1:1">
      <c r="A2311"/>
    </row>
    <row r="2312" spans="1:1">
      <c r="A2312"/>
    </row>
    <row r="2313" spans="1:1">
      <c r="A2313"/>
    </row>
    <row r="2314" spans="1:1">
      <c r="A2314"/>
    </row>
    <row r="2315" spans="1:1">
      <c r="A2315"/>
    </row>
    <row r="2316" spans="1:1">
      <c r="A2316"/>
    </row>
    <row r="2317" spans="1:1">
      <c r="A2317"/>
    </row>
    <row r="2318" spans="1:1">
      <c r="A2318"/>
    </row>
    <row r="2319" spans="1:1">
      <c r="A2319"/>
    </row>
    <row r="2320" spans="1:1">
      <c r="A2320"/>
    </row>
    <row r="2321" spans="1:1">
      <c r="A2321"/>
    </row>
    <row r="2322" spans="1:1">
      <c r="A2322"/>
    </row>
    <row r="2323" spans="1:1">
      <c r="A2323"/>
    </row>
    <row r="2324" spans="1:1">
      <c r="A2324"/>
    </row>
    <row r="2325" spans="1:1">
      <c r="A2325"/>
    </row>
    <row r="2326" spans="1:1">
      <c r="A2326"/>
    </row>
    <row r="2327" spans="1:1">
      <c r="A2327"/>
    </row>
    <row r="2328" spans="1:1">
      <c r="A2328"/>
    </row>
    <row r="2329" spans="1:1">
      <c r="A2329"/>
    </row>
    <row r="2330" spans="1:1">
      <c r="A2330"/>
    </row>
    <row r="2331" spans="1:1">
      <c r="A2331"/>
    </row>
    <row r="2332" spans="1:1">
      <c r="A2332"/>
    </row>
    <row r="2333" spans="1:1">
      <c r="A2333"/>
    </row>
    <row r="2334" spans="1:1">
      <c r="A2334"/>
    </row>
    <row r="2335" spans="1:1">
      <c r="A2335"/>
    </row>
    <row r="2336" spans="1:1">
      <c r="A2336"/>
    </row>
    <row r="2337" spans="1:1">
      <c r="A2337"/>
    </row>
    <row r="2338" spans="1:1">
      <c r="A2338"/>
    </row>
    <row r="2339" spans="1:1">
      <c r="A2339"/>
    </row>
    <row r="2340" spans="1:1">
      <c r="A2340"/>
    </row>
    <row r="2341" spans="1:1">
      <c r="A2341"/>
    </row>
    <row r="2342" spans="1:1">
      <c r="A2342"/>
    </row>
    <row r="2343" spans="1:1">
      <c r="A2343"/>
    </row>
    <row r="2344" spans="1:1">
      <c r="A2344"/>
    </row>
    <row r="2345" spans="1:1">
      <c r="A2345"/>
    </row>
    <row r="2346" spans="1:1">
      <c r="A2346"/>
    </row>
    <row r="2347" spans="1:1">
      <c r="A2347"/>
    </row>
    <row r="2348" spans="1:1">
      <c r="A2348"/>
    </row>
    <row r="2349" spans="1:1">
      <c r="A2349"/>
    </row>
    <row r="2350" spans="1:1">
      <c r="A2350"/>
    </row>
    <row r="2351" spans="1:1">
      <c r="A2351"/>
    </row>
    <row r="2352" spans="1:1">
      <c r="A2352"/>
    </row>
    <row r="2353" spans="1:1">
      <c r="A2353"/>
    </row>
    <row r="2354" spans="1:1">
      <c r="A2354"/>
    </row>
    <row r="2355" spans="1:1">
      <c r="A2355"/>
    </row>
    <row r="2356" spans="1:1">
      <c r="A2356"/>
    </row>
    <row r="2357" spans="1:1">
      <c r="A2357"/>
    </row>
    <row r="2358" spans="1:1">
      <c r="A2358"/>
    </row>
    <row r="2359" spans="1:1">
      <c r="A2359"/>
    </row>
    <row r="2360" spans="1:1">
      <c r="A2360"/>
    </row>
    <row r="2361" spans="1:1">
      <c r="A2361"/>
    </row>
    <row r="2362" spans="1:1">
      <c r="A2362"/>
    </row>
    <row r="2363" spans="1:1">
      <c r="A2363"/>
    </row>
    <row r="2364" spans="1:1">
      <c r="A2364"/>
    </row>
    <row r="2365" spans="1:1">
      <c r="A2365"/>
    </row>
    <row r="2366" spans="1:1">
      <c r="A2366"/>
    </row>
    <row r="2367" spans="1:1">
      <c r="A2367"/>
    </row>
    <row r="2368" spans="1:1">
      <c r="A2368"/>
    </row>
    <row r="2369" spans="1:1">
      <c r="A2369"/>
    </row>
    <row r="2370" spans="1:1">
      <c r="A2370"/>
    </row>
    <row r="2371" spans="1:1">
      <c r="A2371"/>
    </row>
    <row r="2372" spans="1:1">
      <c r="A2372"/>
    </row>
    <row r="2373" spans="1:1">
      <c r="A2373"/>
    </row>
    <row r="2374" spans="1:1">
      <c r="A2374"/>
    </row>
    <row r="2375" spans="1:1">
      <c r="A2375"/>
    </row>
    <row r="2376" spans="1:1">
      <c r="A2376"/>
    </row>
    <row r="2377" spans="1:1">
      <c r="A2377"/>
    </row>
    <row r="2378" spans="1:1">
      <c r="A2378"/>
    </row>
    <row r="2379" spans="1:1">
      <c r="A2379"/>
    </row>
    <row r="2380" spans="1:1">
      <c r="A2380"/>
    </row>
    <row r="2381" spans="1:1">
      <c r="A2381"/>
    </row>
    <row r="2382" spans="1:1">
      <c r="A2382"/>
    </row>
    <row r="2383" spans="1:1">
      <c r="A2383"/>
    </row>
    <row r="2384" spans="1:1">
      <c r="A2384"/>
    </row>
    <row r="2385" spans="1:1">
      <c r="A2385"/>
    </row>
    <row r="2386" spans="1:1">
      <c r="A2386"/>
    </row>
    <row r="2387" spans="1:1">
      <c r="A2387"/>
    </row>
    <row r="2388" spans="1:1">
      <c r="A2388"/>
    </row>
    <row r="2389" spans="1:1">
      <c r="A2389"/>
    </row>
    <row r="2390" spans="1:1">
      <c r="A2390"/>
    </row>
    <row r="2391" spans="1:1">
      <c r="A2391"/>
    </row>
    <row r="2392" spans="1:1">
      <c r="A2392"/>
    </row>
    <row r="2393" spans="1:1">
      <c r="A2393"/>
    </row>
    <row r="2394" spans="1:1">
      <c r="A2394"/>
    </row>
    <row r="2395" spans="1:1">
      <c r="A2395"/>
    </row>
    <row r="2396" spans="1:1">
      <c r="A2396"/>
    </row>
    <row r="2397" spans="1:1">
      <c r="A2397"/>
    </row>
    <row r="2398" spans="1:1">
      <c r="A2398"/>
    </row>
    <row r="2399" spans="1:1">
      <c r="A2399"/>
    </row>
    <row r="2400" spans="1:1">
      <c r="A2400"/>
    </row>
    <row r="2401" spans="1:1">
      <c r="A2401"/>
    </row>
    <row r="2402" spans="1:1">
      <c r="A2402"/>
    </row>
    <row r="2403" spans="1:1">
      <c r="A2403"/>
    </row>
    <row r="2404" spans="1:1">
      <c r="A2404"/>
    </row>
    <row r="2405" spans="1:1">
      <c r="A2405"/>
    </row>
    <row r="2406" spans="1:1">
      <c r="A2406"/>
    </row>
    <row r="2407" spans="1:1">
      <c r="A2407"/>
    </row>
    <row r="2408" spans="1:1">
      <c r="A2408"/>
    </row>
    <row r="2409" spans="1:1">
      <c r="A2409"/>
    </row>
    <row r="2410" spans="1:1">
      <c r="A2410"/>
    </row>
    <row r="2411" spans="1:1">
      <c r="A2411"/>
    </row>
    <row r="2412" spans="1:1">
      <c r="A2412"/>
    </row>
    <row r="2413" spans="1:1">
      <c r="A2413"/>
    </row>
    <row r="2414" spans="1:1">
      <c r="A2414"/>
    </row>
    <row r="2415" spans="1:1">
      <c r="A2415"/>
    </row>
    <row r="2416" spans="1:1">
      <c r="A2416"/>
    </row>
    <row r="2417" spans="1:1">
      <c r="A2417"/>
    </row>
    <row r="2418" spans="1:1">
      <c r="A2418"/>
    </row>
    <row r="2419" spans="1:1">
      <c r="A2419"/>
    </row>
    <row r="2420" spans="1:1">
      <c r="A2420"/>
    </row>
    <row r="2421" spans="1:1">
      <c r="A2421"/>
    </row>
    <row r="2422" spans="1:1">
      <c r="A2422"/>
    </row>
    <row r="2423" spans="1:1">
      <c r="A2423"/>
    </row>
    <row r="2424" spans="1:1">
      <c r="A2424"/>
    </row>
    <row r="2425" spans="1:1">
      <c r="A2425"/>
    </row>
    <row r="2426" spans="1:1">
      <c r="A2426"/>
    </row>
    <row r="2427" spans="1:1">
      <c r="A2427"/>
    </row>
    <row r="2428" spans="1:1">
      <c r="A2428"/>
    </row>
    <row r="2429" spans="1:1">
      <c r="A2429"/>
    </row>
    <row r="2430" spans="1:1">
      <c r="A2430"/>
    </row>
    <row r="2431" spans="1:1">
      <c r="A2431"/>
    </row>
    <row r="2432" spans="1:1">
      <c r="A2432"/>
    </row>
    <row r="2433" spans="1:1">
      <c r="A2433"/>
    </row>
    <row r="2434" spans="1:1">
      <c r="A2434"/>
    </row>
    <row r="2435" spans="1:1">
      <c r="A2435"/>
    </row>
    <row r="2436" spans="1:1">
      <c r="A2436"/>
    </row>
    <row r="2437" spans="1:1">
      <c r="A2437"/>
    </row>
    <row r="2438" spans="1:1">
      <c r="A2438"/>
    </row>
    <row r="2439" spans="1:1">
      <c r="A2439"/>
    </row>
    <row r="2440" spans="1:1">
      <c r="A2440"/>
    </row>
    <row r="2441" spans="1:1">
      <c r="A2441"/>
    </row>
    <row r="2442" spans="1:1">
      <c r="A2442"/>
    </row>
    <row r="2443" spans="1:1">
      <c r="A2443"/>
    </row>
    <row r="2444" spans="1:1">
      <c r="A2444"/>
    </row>
    <row r="2445" spans="1:1">
      <c r="A2445"/>
    </row>
    <row r="2446" spans="1:1">
      <c r="A2446"/>
    </row>
    <row r="2447" spans="1:1">
      <c r="A2447"/>
    </row>
    <row r="2448" spans="1:1">
      <c r="A2448"/>
    </row>
    <row r="2449" spans="1:1">
      <c r="A2449"/>
    </row>
    <row r="2450" spans="1:1">
      <c r="A2450"/>
    </row>
    <row r="2451" spans="1:1">
      <c r="A2451"/>
    </row>
    <row r="2452" spans="1:1">
      <c r="A2452"/>
    </row>
    <row r="2453" spans="1:1">
      <c r="A2453"/>
    </row>
    <row r="2454" spans="1:1">
      <c r="A2454"/>
    </row>
    <row r="2455" spans="1:1">
      <c r="A2455"/>
    </row>
    <row r="2456" spans="1:1">
      <c r="A2456"/>
    </row>
    <row r="2457" spans="1:1">
      <c r="A2457"/>
    </row>
    <row r="2458" spans="1:1">
      <c r="A2458"/>
    </row>
    <row r="2459" spans="1:1">
      <c r="A2459"/>
    </row>
    <row r="2460" spans="1:1">
      <c r="A2460"/>
    </row>
    <row r="2461" spans="1:1">
      <c r="A2461"/>
    </row>
    <row r="2462" spans="1:1">
      <c r="A2462"/>
    </row>
    <row r="2463" spans="1:1">
      <c r="A2463"/>
    </row>
    <row r="2464" spans="1:1">
      <c r="A2464"/>
    </row>
    <row r="2465" spans="1:1">
      <c r="A2465"/>
    </row>
    <row r="2466" spans="1:1">
      <c r="A2466"/>
    </row>
    <row r="2467" spans="1:1">
      <c r="A2467"/>
    </row>
    <row r="2468" spans="1:1">
      <c r="A2468"/>
    </row>
    <row r="2469" spans="1:1">
      <c r="A2469"/>
    </row>
    <row r="2470" spans="1:1">
      <c r="A2470"/>
    </row>
    <row r="2471" spans="1:1">
      <c r="A2471"/>
    </row>
    <row r="2472" spans="1:1">
      <c r="A2472"/>
    </row>
    <row r="2473" spans="1:1">
      <c r="A2473"/>
    </row>
    <row r="2474" spans="1:1">
      <c r="A2474"/>
    </row>
    <row r="2475" spans="1:1">
      <c r="A2475"/>
    </row>
    <row r="2476" spans="1:1">
      <c r="A2476"/>
    </row>
    <row r="2477" spans="1:1">
      <c r="A2477"/>
    </row>
    <row r="2478" spans="1:1">
      <c r="A2478"/>
    </row>
    <row r="2479" spans="1:1">
      <c r="A2479"/>
    </row>
    <row r="2480" spans="1:1">
      <c r="A2480"/>
    </row>
    <row r="2481" spans="1:1">
      <c r="A2481"/>
    </row>
    <row r="2482" spans="1:1">
      <c r="A2482"/>
    </row>
    <row r="2483" spans="1:1">
      <c r="A2483"/>
    </row>
    <row r="2484" spans="1:1">
      <c r="A2484"/>
    </row>
    <row r="2485" spans="1:1">
      <c r="A2485"/>
    </row>
    <row r="2486" spans="1:1">
      <c r="A2486"/>
    </row>
    <row r="2487" spans="1:1">
      <c r="A2487"/>
    </row>
    <row r="2488" spans="1:1">
      <c r="A2488"/>
    </row>
    <row r="2489" spans="1:1">
      <c r="A2489"/>
    </row>
    <row r="2490" spans="1:1">
      <c r="A2490"/>
    </row>
    <row r="2491" spans="1:1">
      <c r="A2491"/>
    </row>
    <row r="2492" spans="1:1">
      <c r="A2492"/>
    </row>
    <row r="2493" spans="1:1">
      <c r="A2493"/>
    </row>
    <row r="2494" spans="1:1">
      <c r="A2494"/>
    </row>
    <row r="2495" spans="1:1">
      <c r="A2495"/>
    </row>
    <row r="2496" spans="1:1">
      <c r="A2496"/>
    </row>
    <row r="2497" spans="1:1">
      <c r="A2497"/>
    </row>
    <row r="2498" spans="1:1">
      <c r="A2498"/>
    </row>
    <row r="2499" spans="1:1">
      <c r="A2499"/>
    </row>
    <row r="2500" spans="1:1">
      <c r="A2500"/>
    </row>
    <row r="2501" spans="1:1">
      <c r="A2501"/>
    </row>
    <row r="2502" spans="1:1">
      <c r="A2502"/>
    </row>
    <row r="2503" spans="1:1">
      <c r="A2503"/>
    </row>
    <row r="2504" spans="1:1">
      <c r="A2504"/>
    </row>
    <row r="2505" spans="1:1">
      <c r="A2505"/>
    </row>
    <row r="2506" spans="1:1">
      <c r="A2506"/>
    </row>
    <row r="2507" spans="1:1">
      <c r="A2507"/>
    </row>
    <row r="2508" spans="1:1">
      <c r="A2508"/>
    </row>
    <row r="2509" spans="1:1">
      <c r="A2509"/>
    </row>
    <row r="2510" spans="1:1">
      <c r="A2510"/>
    </row>
    <row r="2511" spans="1:1">
      <c r="A2511"/>
    </row>
    <row r="2512" spans="1:1">
      <c r="A2512"/>
    </row>
    <row r="2513" spans="1:1">
      <c r="A2513"/>
    </row>
    <row r="2514" spans="1:1">
      <c r="A2514"/>
    </row>
    <row r="2515" spans="1:1">
      <c r="A2515"/>
    </row>
    <row r="2516" spans="1:1">
      <c r="A2516"/>
    </row>
    <row r="2517" spans="1:1">
      <c r="A2517"/>
    </row>
    <row r="2518" spans="1:1">
      <c r="A2518"/>
    </row>
    <row r="2519" spans="1:1">
      <c r="A2519"/>
    </row>
    <row r="2520" spans="1:1">
      <c r="A2520"/>
    </row>
    <row r="2521" spans="1:1">
      <c r="A2521"/>
    </row>
    <row r="2522" spans="1:1">
      <c r="A2522"/>
    </row>
    <row r="2523" spans="1:1">
      <c r="A2523"/>
    </row>
    <row r="2524" spans="1:1">
      <c r="A2524"/>
    </row>
    <row r="2525" spans="1:1">
      <c r="A2525"/>
    </row>
    <row r="2526" spans="1:1">
      <c r="A2526"/>
    </row>
    <row r="2527" spans="1:1">
      <c r="A2527"/>
    </row>
    <row r="2528" spans="1:1">
      <c r="A2528"/>
    </row>
    <row r="2529" spans="1:1">
      <c r="A2529"/>
    </row>
    <row r="2530" spans="1:1">
      <c r="A2530"/>
    </row>
    <row r="2531" spans="1:1">
      <c r="A2531"/>
    </row>
    <row r="2532" spans="1:1">
      <c r="A2532"/>
    </row>
    <row r="2533" spans="1:1">
      <c r="A2533"/>
    </row>
    <row r="2534" spans="1:1">
      <c r="A2534"/>
    </row>
    <row r="2535" spans="1:1">
      <c r="A2535"/>
    </row>
    <row r="2536" spans="1:1">
      <c r="A2536"/>
    </row>
    <row r="2537" spans="1:1">
      <c r="A2537"/>
    </row>
    <row r="2538" spans="1:1">
      <c r="A2538"/>
    </row>
    <row r="2539" spans="1:1">
      <c r="A2539"/>
    </row>
    <row r="2540" spans="1:1">
      <c r="A2540"/>
    </row>
    <row r="2541" spans="1:1">
      <c r="A2541"/>
    </row>
    <row r="2542" spans="1:1">
      <c r="A2542"/>
    </row>
    <row r="2543" spans="1:1">
      <c r="A2543"/>
    </row>
    <row r="2544" spans="1:1">
      <c r="A2544"/>
    </row>
    <row r="2545" spans="1:1">
      <c r="A2545"/>
    </row>
    <row r="2546" spans="1:1">
      <c r="A2546"/>
    </row>
    <row r="2547" spans="1:1">
      <c r="A2547"/>
    </row>
    <row r="2548" spans="1:1">
      <c r="A2548"/>
    </row>
    <row r="2549" spans="1:1">
      <c r="A2549"/>
    </row>
    <row r="2550" spans="1:1">
      <c r="A2550"/>
    </row>
    <row r="2551" spans="1:1">
      <c r="A2551"/>
    </row>
    <row r="2552" spans="1:1">
      <c r="A2552"/>
    </row>
    <row r="2553" spans="1:1">
      <c r="A2553"/>
    </row>
    <row r="2554" spans="1:1">
      <c r="A2554"/>
    </row>
    <row r="2555" spans="1:1">
      <c r="A2555"/>
    </row>
    <row r="2556" spans="1:1">
      <c r="A2556"/>
    </row>
    <row r="2557" spans="1:1">
      <c r="A2557"/>
    </row>
    <row r="2558" spans="1:1">
      <c r="A2558"/>
    </row>
    <row r="2559" spans="1:1">
      <c r="A2559"/>
    </row>
    <row r="2560" spans="1:1">
      <c r="A2560"/>
    </row>
    <row r="2561" spans="1:1">
      <c r="A2561"/>
    </row>
    <row r="2562" spans="1:1">
      <c r="A2562"/>
    </row>
    <row r="2563" spans="1:1">
      <c r="A2563"/>
    </row>
    <row r="2564" spans="1:1">
      <c r="A2564"/>
    </row>
    <row r="2565" spans="1:1">
      <c r="A2565"/>
    </row>
    <row r="2566" spans="1:1">
      <c r="A2566"/>
    </row>
    <row r="2567" spans="1:1">
      <c r="A2567"/>
    </row>
    <row r="2568" spans="1:1">
      <c r="A2568"/>
    </row>
    <row r="2569" spans="1:1">
      <c r="A2569"/>
    </row>
    <row r="2570" spans="1:1">
      <c r="A2570"/>
    </row>
    <row r="2571" spans="1:1">
      <c r="A2571"/>
    </row>
    <row r="2572" spans="1:1">
      <c r="A2572"/>
    </row>
    <row r="2573" spans="1:1">
      <c r="A2573"/>
    </row>
    <row r="2574" spans="1:1">
      <c r="A2574"/>
    </row>
    <row r="2575" spans="1:1">
      <c r="A2575"/>
    </row>
    <row r="2576" spans="1:1">
      <c r="A2576"/>
    </row>
    <row r="2577" spans="1:1">
      <c r="A2577"/>
    </row>
    <row r="2578" spans="1:1">
      <c r="A2578"/>
    </row>
    <row r="2579" spans="1:1">
      <c r="A2579"/>
    </row>
    <row r="2580" spans="1:1">
      <c r="A2580"/>
    </row>
    <row r="2581" spans="1:1">
      <c r="A2581"/>
    </row>
    <row r="2582" spans="1:1">
      <c r="A2582"/>
    </row>
    <row r="2583" spans="1:1">
      <c r="A2583"/>
    </row>
    <row r="2584" spans="1:1">
      <c r="A2584"/>
    </row>
    <row r="2585" spans="1:1">
      <c r="A2585"/>
    </row>
    <row r="2586" spans="1:1">
      <c r="A2586"/>
    </row>
    <row r="2587" spans="1:1">
      <c r="A2587"/>
    </row>
    <row r="2588" spans="1:1">
      <c r="A2588"/>
    </row>
    <row r="2589" spans="1:1">
      <c r="A2589"/>
    </row>
    <row r="2590" spans="1:1">
      <c r="A2590"/>
    </row>
    <row r="2591" spans="1:1">
      <c r="A2591"/>
    </row>
    <row r="2592" spans="1:1">
      <c r="A2592"/>
    </row>
    <row r="2593" spans="1:1">
      <c r="A2593"/>
    </row>
    <row r="2594" spans="1:1">
      <c r="A2594"/>
    </row>
    <row r="2595" spans="1:1">
      <c r="A2595"/>
    </row>
    <row r="2596" spans="1:1">
      <c r="A2596"/>
    </row>
    <row r="2597" spans="1:1">
      <c r="A2597"/>
    </row>
    <row r="2598" spans="1:1">
      <c r="A2598"/>
    </row>
    <row r="2599" spans="1:1">
      <c r="A2599"/>
    </row>
    <row r="2600" spans="1:1">
      <c r="A2600"/>
    </row>
    <row r="2601" spans="1:1">
      <c r="A2601"/>
    </row>
    <row r="2602" spans="1:1">
      <c r="A2602"/>
    </row>
    <row r="2603" spans="1:1">
      <c r="A2603"/>
    </row>
    <row r="2604" spans="1:1">
      <c r="A2604"/>
    </row>
    <row r="2605" spans="1:1">
      <c r="A2605"/>
    </row>
    <row r="2606" spans="1:1">
      <c r="A2606"/>
    </row>
    <row r="2607" spans="1:1">
      <c r="A2607"/>
    </row>
    <row r="2608" spans="1:1">
      <c r="A2608"/>
    </row>
    <row r="2609" spans="1:1">
      <c r="A2609"/>
    </row>
    <row r="2610" spans="1:1">
      <c r="A2610"/>
    </row>
    <row r="2611" spans="1:1">
      <c r="A2611"/>
    </row>
    <row r="2612" spans="1:1">
      <c r="A2612"/>
    </row>
    <row r="2613" spans="1:1">
      <c r="A2613"/>
    </row>
    <row r="2614" spans="1:1">
      <c r="A2614"/>
    </row>
    <row r="2615" spans="1:1">
      <c r="A2615"/>
    </row>
    <row r="2616" spans="1:1">
      <c r="A2616"/>
    </row>
    <row r="2617" spans="1:1">
      <c r="A2617"/>
    </row>
    <row r="2618" spans="1:1">
      <c r="A2618"/>
    </row>
    <row r="2619" spans="1:1">
      <c r="A2619"/>
    </row>
    <row r="2620" spans="1:1">
      <c r="A2620"/>
    </row>
    <row r="2621" spans="1:1">
      <c r="A2621"/>
    </row>
    <row r="2622" spans="1:1">
      <c r="A2622"/>
    </row>
    <row r="2623" spans="1:1">
      <c r="A2623"/>
    </row>
    <row r="2624" spans="1:1">
      <c r="A2624"/>
    </row>
    <row r="2625" spans="1:1">
      <c r="A2625"/>
    </row>
    <row r="2626" spans="1:1">
      <c r="A2626"/>
    </row>
    <row r="2627" spans="1:1">
      <c r="A2627"/>
    </row>
    <row r="2628" spans="1:1">
      <c r="A2628"/>
    </row>
    <row r="2629" spans="1:1">
      <c r="A2629"/>
    </row>
    <row r="2630" spans="1:1">
      <c r="A2630"/>
    </row>
    <row r="2631" spans="1:1">
      <c r="A2631"/>
    </row>
    <row r="2632" spans="1:1">
      <c r="A2632"/>
    </row>
    <row r="2633" spans="1:1">
      <c r="A2633"/>
    </row>
    <row r="2634" spans="1:1">
      <c r="A2634"/>
    </row>
    <row r="2635" spans="1:1">
      <c r="A2635"/>
    </row>
    <row r="2636" spans="1:1">
      <c r="A2636"/>
    </row>
    <row r="2637" spans="1:1">
      <c r="A2637"/>
    </row>
    <row r="2638" spans="1:1">
      <c r="A2638"/>
    </row>
    <row r="2639" spans="1:1">
      <c r="A2639"/>
    </row>
    <row r="2640" spans="1:1">
      <c r="A2640"/>
    </row>
    <row r="2641" spans="1:1">
      <c r="A2641"/>
    </row>
    <row r="2642" spans="1:1">
      <c r="A2642"/>
    </row>
    <row r="2643" spans="1:1">
      <c r="A2643"/>
    </row>
    <row r="2644" spans="1:1">
      <c r="A2644"/>
    </row>
    <row r="2645" spans="1:1">
      <c r="A2645"/>
    </row>
    <row r="2646" spans="1:1">
      <c r="A2646"/>
    </row>
    <row r="2647" spans="1:1">
      <c r="A2647"/>
    </row>
    <row r="2648" spans="1:1">
      <c r="A2648"/>
    </row>
    <row r="2649" spans="1:1">
      <c r="A2649"/>
    </row>
    <row r="2650" spans="1:1">
      <c r="A2650"/>
    </row>
    <row r="2651" spans="1:1">
      <c r="A2651"/>
    </row>
    <row r="2652" spans="1:1">
      <c r="A2652"/>
    </row>
    <row r="2653" spans="1:1">
      <c r="A2653"/>
    </row>
    <row r="2654" spans="1:1">
      <c r="A2654"/>
    </row>
    <row r="2655" spans="1:1">
      <c r="A2655"/>
    </row>
    <row r="2656" spans="1:1">
      <c r="A2656"/>
    </row>
    <row r="2657" spans="1:1">
      <c r="A2657"/>
    </row>
    <row r="2658" spans="1:1">
      <c r="A2658"/>
    </row>
    <row r="2659" spans="1:1">
      <c r="A2659"/>
    </row>
    <row r="2660" spans="1:1">
      <c r="A2660"/>
    </row>
    <row r="2661" spans="1:1">
      <c r="A2661"/>
    </row>
    <row r="2662" spans="1:1">
      <c r="A2662"/>
    </row>
    <row r="2663" spans="1:1">
      <c r="A2663"/>
    </row>
    <row r="2664" spans="1:1">
      <c r="A2664"/>
    </row>
    <row r="2665" spans="1:1">
      <c r="A2665"/>
    </row>
    <row r="2666" spans="1:1">
      <c r="A2666"/>
    </row>
    <row r="2667" spans="1:1">
      <c r="A2667"/>
    </row>
    <row r="2668" spans="1:1">
      <c r="A2668"/>
    </row>
    <row r="2669" spans="1:1">
      <c r="A2669"/>
    </row>
    <row r="2670" spans="1:1">
      <c r="A2670"/>
    </row>
    <row r="2671" spans="1:1">
      <c r="A2671"/>
    </row>
    <row r="2672" spans="1:1">
      <c r="A2672"/>
    </row>
    <row r="2673" spans="1:1">
      <c r="A2673"/>
    </row>
    <row r="2674" spans="1:1">
      <c r="A2674"/>
    </row>
    <row r="2675" spans="1:1">
      <c r="A2675"/>
    </row>
    <row r="2676" spans="1:1">
      <c r="A2676"/>
    </row>
    <row r="2677" spans="1:1">
      <c r="A2677"/>
    </row>
    <row r="2678" spans="1:1">
      <c r="A2678"/>
    </row>
    <row r="2679" spans="1:1">
      <c r="A2679"/>
    </row>
    <row r="2680" spans="1:1">
      <c r="A2680"/>
    </row>
    <row r="2681" spans="1:1">
      <c r="A2681"/>
    </row>
    <row r="2682" spans="1:1">
      <c r="A2682"/>
    </row>
    <row r="2683" spans="1:1">
      <c r="A2683"/>
    </row>
    <row r="2684" spans="1:1">
      <c r="A2684"/>
    </row>
    <row r="2685" spans="1:1">
      <c r="A2685"/>
    </row>
    <row r="2686" spans="1:1">
      <c r="A2686"/>
    </row>
    <row r="2687" spans="1:1">
      <c r="A2687"/>
    </row>
    <row r="2688" spans="1:1">
      <c r="A2688"/>
    </row>
    <row r="2689" spans="1:1">
      <c r="A2689"/>
    </row>
    <row r="2690" spans="1:1">
      <c r="A2690"/>
    </row>
    <row r="2691" spans="1:1">
      <c r="A2691"/>
    </row>
    <row r="2692" spans="1:1">
      <c r="A2692"/>
    </row>
    <row r="2693" spans="1:1">
      <c r="A2693"/>
    </row>
    <row r="2694" spans="1:1">
      <c r="A2694"/>
    </row>
    <row r="2695" spans="1:1">
      <c r="A2695"/>
    </row>
    <row r="2696" spans="1:1">
      <c r="A2696"/>
    </row>
    <row r="2697" spans="1:1">
      <c r="A2697"/>
    </row>
    <row r="2698" spans="1:1">
      <c r="A2698"/>
    </row>
    <row r="2699" spans="1:1">
      <c r="A2699"/>
    </row>
    <row r="2700" spans="1:1">
      <c r="A2700"/>
    </row>
    <row r="2701" spans="1:1">
      <c r="A2701"/>
    </row>
    <row r="2702" spans="1:1">
      <c r="A2702"/>
    </row>
    <row r="2703" spans="1:1">
      <c r="A2703"/>
    </row>
    <row r="2704" spans="1:1">
      <c r="A2704"/>
    </row>
    <row r="2705" spans="1:1">
      <c r="A2705"/>
    </row>
    <row r="2706" spans="1:1">
      <c r="A2706"/>
    </row>
    <row r="2707" spans="1:1">
      <c r="A2707"/>
    </row>
    <row r="2708" spans="1:1">
      <c r="A2708"/>
    </row>
    <row r="2709" spans="1:1">
      <c r="A2709"/>
    </row>
    <row r="2710" spans="1:1">
      <c r="A2710"/>
    </row>
    <row r="2711" spans="1:1">
      <c r="A2711"/>
    </row>
    <row r="2712" spans="1:1">
      <c r="A2712"/>
    </row>
    <row r="2713" spans="1:1">
      <c r="A2713"/>
    </row>
    <row r="2714" spans="1:1">
      <c r="A2714"/>
    </row>
    <row r="2715" spans="1:1">
      <c r="A2715"/>
    </row>
    <row r="2716" spans="1:1">
      <c r="A2716"/>
    </row>
    <row r="2717" spans="1:1">
      <c r="A2717"/>
    </row>
    <row r="2718" spans="1:1">
      <c r="A2718"/>
    </row>
    <row r="2719" spans="1:1">
      <c r="A2719"/>
    </row>
    <row r="2720" spans="1:1">
      <c r="A2720"/>
    </row>
    <row r="2721" spans="1:1">
      <c r="A2721"/>
    </row>
    <row r="2722" spans="1:1">
      <c r="A2722"/>
    </row>
    <row r="2723" spans="1:1">
      <c r="A2723"/>
    </row>
    <row r="2724" spans="1:1">
      <c r="A2724"/>
    </row>
    <row r="2725" spans="1:1">
      <c r="A2725"/>
    </row>
    <row r="2726" spans="1:1">
      <c r="A2726"/>
    </row>
    <row r="2727" spans="1:1">
      <c r="A2727"/>
    </row>
    <row r="2728" spans="1:1">
      <c r="A2728"/>
    </row>
    <row r="2729" spans="1:1">
      <c r="A2729"/>
    </row>
    <row r="2730" spans="1:1">
      <c r="A2730"/>
    </row>
    <row r="2731" spans="1:1">
      <c r="A2731"/>
    </row>
    <row r="2732" spans="1:1">
      <c r="A2732"/>
    </row>
    <row r="2733" spans="1:1">
      <c r="A2733"/>
    </row>
    <row r="2734" spans="1:1">
      <c r="A2734"/>
    </row>
    <row r="2735" spans="1:1">
      <c r="A2735"/>
    </row>
    <row r="2736" spans="1:1">
      <c r="A2736"/>
    </row>
    <row r="2737" spans="1:1">
      <c r="A2737"/>
    </row>
    <row r="2738" spans="1:1">
      <c r="A2738"/>
    </row>
    <row r="2739" spans="1:1">
      <c r="A2739"/>
    </row>
    <row r="2740" spans="1:1">
      <c r="A2740"/>
    </row>
    <row r="2741" spans="1:1">
      <c r="A2741"/>
    </row>
    <row r="2742" spans="1:1">
      <c r="A2742"/>
    </row>
    <row r="2743" spans="1:1">
      <c r="A2743"/>
    </row>
    <row r="2744" spans="1:1">
      <c r="A2744"/>
    </row>
    <row r="2745" spans="1:1">
      <c r="A2745"/>
    </row>
    <row r="2746" spans="1:1">
      <c r="A2746"/>
    </row>
    <row r="2747" spans="1:1">
      <c r="A2747"/>
    </row>
    <row r="2748" spans="1:1">
      <c r="A2748"/>
    </row>
    <row r="2749" spans="1:1">
      <c r="A2749"/>
    </row>
    <row r="2750" spans="1:1">
      <c r="A2750"/>
    </row>
    <row r="2751" spans="1:1">
      <c r="A2751"/>
    </row>
    <row r="2752" spans="1:1">
      <c r="A2752"/>
    </row>
    <row r="2753" spans="1:1">
      <c r="A2753"/>
    </row>
    <row r="2754" spans="1:1">
      <c r="A2754"/>
    </row>
    <row r="2755" spans="1:1">
      <c r="A2755"/>
    </row>
    <row r="2756" spans="1:1">
      <c r="A2756"/>
    </row>
    <row r="2757" spans="1:1">
      <c r="A2757"/>
    </row>
    <row r="2758" spans="1:1">
      <c r="A2758"/>
    </row>
    <row r="2759" spans="1:1">
      <c r="A2759"/>
    </row>
    <row r="2760" spans="1:1">
      <c r="A2760"/>
    </row>
    <row r="2761" spans="1:1">
      <c r="A2761"/>
    </row>
    <row r="2762" spans="1:1">
      <c r="A2762"/>
    </row>
    <row r="2763" spans="1:1">
      <c r="A2763"/>
    </row>
    <row r="2764" spans="1:1">
      <c r="A2764"/>
    </row>
    <row r="2765" spans="1:1">
      <c r="A2765"/>
    </row>
    <row r="2766" spans="1:1">
      <c r="A2766"/>
    </row>
    <row r="2767" spans="1:1">
      <c r="A2767"/>
    </row>
    <row r="2768" spans="1:1">
      <c r="A2768"/>
    </row>
    <row r="2769" spans="1:1">
      <c r="A2769"/>
    </row>
    <row r="2770" spans="1:1">
      <c r="A2770"/>
    </row>
    <row r="2771" spans="1:1">
      <c r="A2771"/>
    </row>
    <row r="2772" spans="1:1">
      <c r="A2772"/>
    </row>
    <row r="2773" spans="1:1">
      <c r="A2773"/>
    </row>
    <row r="2774" spans="1:1">
      <c r="A2774"/>
    </row>
    <row r="2775" spans="1:1">
      <c r="A2775"/>
    </row>
    <row r="2776" spans="1:1">
      <c r="A2776"/>
    </row>
    <row r="2777" spans="1:1">
      <c r="A2777"/>
    </row>
    <row r="2778" spans="1:1">
      <c r="A2778"/>
    </row>
    <row r="2779" spans="1:1">
      <c r="A2779"/>
    </row>
    <row r="2780" spans="1:1">
      <c r="A2780"/>
    </row>
    <row r="2781" spans="1:1">
      <c r="A2781"/>
    </row>
    <row r="2782" spans="1:1">
      <c r="A2782"/>
    </row>
    <row r="2783" spans="1:1">
      <c r="A2783"/>
    </row>
    <row r="2784" spans="1:1">
      <c r="A2784"/>
    </row>
  </sheetData>
  <autoFilter ref="A1" xr:uid="{2C8623D1-642B-4BF8-A88D-428B36C77E6B}">
    <sortState xmlns:xlrd2="http://schemas.microsoft.com/office/spreadsheetml/2017/richdata2" ref="A2:A7">
      <sortCondition ref="A1"/>
    </sortState>
  </autoFilter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43EDE-66B0-4579-BDF1-7FC05064DB9A}">
  <dimension ref="A1:A25"/>
  <sheetViews>
    <sheetView workbookViewId="0">
      <selection activeCell="A2" sqref="A2:A25"/>
    </sheetView>
  </sheetViews>
  <sheetFormatPr defaultRowHeight="15.6"/>
  <cols>
    <col min="1" max="1" width="39.25" bestFit="1" customWidth="1"/>
  </cols>
  <sheetData>
    <row r="1" spans="1:1">
      <c r="A1" t="s">
        <v>0</v>
      </c>
    </row>
    <row r="2" spans="1:1">
      <c r="A2" t="s">
        <v>38</v>
      </c>
    </row>
    <row r="3" spans="1:1">
      <c r="A3" t="s">
        <v>39</v>
      </c>
    </row>
    <row r="4" spans="1:1">
      <c r="A4" t="s">
        <v>40</v>
      </c>
    </row>
    <row r="5" spans="1:1">
      <c r="A5" t="s">
        <v>41</v>
      </c>
    </row>
    <row r="6" spans="1:1">
      <c r="A6" t="s">
        <v>42</v>
      </c>
    </row>
    <row r="7" spans="1:1">
      <c r="A7" t="s">
        <v>43</v>
      </c>
    </row>
    <row r="8" spans="1:1">
      <c r="A8" t="s">
        <v>44</v>
      </c>
    </row>
    <row r="9" spans="1:1">
      <c r="A9" t="s">
        <v>45</v>
      </c>
    </row>
    <row r="10" spans="1:1">
      <c r="A10" t="s">
        <v>46</v>
      </c>
    </row>
    <row r="11" spans="1:1">
      <c r="A11" t="s">
        <v>47</v>
      </c>
    </row>
    <row r="12" spans="1:1">
      <c r="A12" t="s">
        <v>48</v>
      </c>
    </row>
    <row r="13" spans="1:1">
      <c r="A13" t="s">
        <v>49</v>
      </c>
    </row>
    <row r="14" spans="1:1">
      <c r="A14" t="s">
        <v>50</v>
      </c>
    </row>
    <row r="15" spans="1:1">
      <c r="A15" t="s">
        <v>51</v>
      </c>
    </row>
    <row r="16" spans="1:1">
      <c r="A16" t="s">
        <v>52</v>
      </c>
    </row>
    <row r="17" spans="1:1">
      <c r="A17" t="s">
        <v>53</v>
      </c>
    </row>
    <row r="18" spans="1:1">
      <c r="A18" t="s">
        <v>54</v>
      </c>
    </row>
    <row r="19" spans="1:1">
      <c r="A19" t="s">
        <v>55</v>
      </c>
    </row>
    <row r="20" spans="1:1">
      <c r="A20" t="s">
        <v>56</v>
      </c>
    </row>
    <row r="21" spans="1:1">
      <c r="A21" t="s">
        <v>57</v>
      </c>
    </row>
    <row r="22" spans="1:1">
      <c r="A22" t="s">
        <v>58</v>
      </c>
    </row>
    <row r="23" spans="1:1">
      <c r="A23" t="s">
        <v>59</v>
      </c>
    </row>
    <row r="24" spans="1:1">
      <c r="A24" t="s">
        <v>60</v>
      </c>
    </row>
    <row r="25" spans="1:1">
      <c r="A25" t="s">
        <v>61</v>
      </c>
    </row>
  </sheetData>
  <autoFilter ref="A1:A2" xr:uid="{06F43EDE-66B0-4579-BDF1-7FC05064DB9A}">
    <sortState xmlns:xlrd2="http://schemas.microsoft.com/office/spreadsheetml/2017/richdata2" ref="A2:A32">
      <sortCondition ref="A1:A2"/>
    </sortState>
  </autoFilter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53311-3C58-49A1-8DB1-5996A03DFF0D}">
  <dimension ref="A1:G2772"/>
  <sheetViews>
    <sheetView tabSelected="1" topLeftCell="B13" workbookViewId="0">
      <selection activeCell="D23" sqref="D23"/>
    </sheetView>
  </sheetViews>
  <sheetFormatPr defaultRowHeight="21.6" customHeight="1"/>
  <cols>
    <col min="1" max="1" width="30.58203125" style="137" bestFit="1" customWidth="1"/>
    <col min="2" max="2" width="30.58203125" style="137" customWidth="1"/>
    <col min="3" max="3" width="39.33203125" style="148" bestFit="1" customWidth="1"/>
    <col min="4" max="4" width="18.08203125" customWidth="1"/>
    <col min="5" max="5" width="13.4140625" bestFit="1" customWidth="1"/>
    <col min="6" max="6" width="29.25" bestFit="1" customWidth="1"/>
    <col min="7" max="7" width="8.1640625" style="137" bestFit="1" customWidth="1"/>
  </cols>
  <sheetData>
    <row r="1" spans="1:7" ht="21.6" customHeight="1">
      <c r="A1" s="154" t="s">
        <v>1761</v>
      </c>
      <c r="B1" s="154" t="s">
        <v>1762</v>
      </c>
      <c r="C1" s="155" t="s">
        <v>1760</v>
      </c>
      <c r="D1" s="156"/>
      <c r="E1" s="156" t="s">
        <v>1757</v>
      </c>
      <c r="F1" s="156" t="s">
        <v>1758</v>
      </c>
      <c r="G1" s="157" t="s">
        <v>1759</v>
      </c>
    </row>
    <row r="2" spans="1:7" ht="21.6" customHeight="1">
      <c r="A2" s="154">
        <v>2505</v>
      </c>
      <c r="B2" s="154" t="str" cm="1">
        <f t="array" ref="B2">_xlfn.XLOOKUP(TRUE, ISNUMBER(SEARCH(工作表5!$A$1:$A$23, C2)), 工作表5!$B$1:$B$23, "其他")</f>
        <v>滾筒組</v>
      </c>
      <c r="C2" s="143" t="s">
        <v>71</v>
      </c>
      <c r="D2" s="156" t="s">
        <v>1764</v>
      </c>
      <c r="E2" s="156" t="s">
        <v>1324</v>
      </c>
      <c r="F2" s="156" t="s">
        <v>70</v>
      </c>
      <c r="G2" s="154">
        <v>55000</v>
      </c>
    </row>
    <row r="3" spans="1:7" ht="21.6" customHeight="1">
      <c r="A3" s="154">
        <v>2505</v>
      </c>
      <c r="B3" s="154" t="str" cm="1">
        <f t="array" ref="B3">_xlfn.XLOOKUP(TRUE, ISNUMBER(SEARCH(工作表5!$A$1:$A$23, C3)), 工作表5!$B$1:$B$23, "其他")</f>
        <v>顯像組</v>
      </c>
      <c r="C3" s="144" t="s">
        <v>75</v>
      </c>
      <c r="D3" s="156" t="s">
        <v>1765</v>
      </c>
      <c r="E3" s="156" t="s">
        <v>1325</v>
      </c>
      <c r="F3" s="156" t="s">
        <v>74</v>
      </c>
      <c r="G3" s="154">
        <v>55000</v>
      </c>
    </row>
    <row r="4" spans="1:7" ht="21.6" customHeight="1">
      <c r="A4" s="154">
        <v>2505</v>
      </c>
      <c r="B4" s="154" t="str" cm="1">
        <f t="array" ref="B4">_xlfn.XLOOKUP(TRUE, ISNUMBER(SEARCH(工作表5!$A$1:$A$23, C4)), 工作表5!$B$1:$B$23, "其他")</f>
        <v>滾筒組</v>
      </c>
      <c r="C4" s="144" t="s">
        <v>78</v>
      </c>
      <c r="D4" s="156" t="s">
        <v>1764</v>
      </c>
      <c r="E4" s="156" t="s">
        <v>1326</v>
      </c>
      <c r="F4" s="156" t="s">
        <v>77</v>
      </c>
      <c r="G4" s="154">
        <v>55000</v>
      </c>
    </row>
    <row r="5" spans="1:7" ht="21.6" customHeight="1">
      <c r="A5" s="154">
        <v>2505</v>
      </c>
      <c r="B5" s="154" t="str" cm="1">
        <f t="array" ref="B5">_xlfn.XLOOKUP(TRUE, ISNUMBER(SEARCH(工作表5!$A$1:$A$23, C5)), 工作表5!$B$1:$B$23, "其他")</f>
        <v>轉寫組</v>
      </c>
      <c r="C5" s="144" t="s">
        <v>81</v>
      </c>
      <c r="D5" s="156" t="s">
        <v>1766</v>
      </c>
      <c r="E5" s="156" t="s">
        <v>1327</v>
      </c>
      <c r="F5" s="156" t="s">
        <v>80</v>
      </c>
      <c r="G5" s="154">
        <v>55000</v>
      </c>
    </row>
    <row r="6" spans="1:7" ht="21.6" customHeight="1">
      <c r="A6" s="154">
        <v>2505</v>
      </c>
      <c r="B6" s="154" t="str" cm="1">
        <f t="array" ref="B6">_xlfn.XLOOKUP(TRUE, ISNUMBER(SEARCH(工作表5!$A$1:$A$23, C6)), 工作表5!$B$1:$B$23, "其他")</f>
        <v>定著組</v>
      </c>
      <c r="C6" s="145" t="s">
        <v>1775</v>
      </c>
      <c r="D6" s="156" t="s">
        <v>1767</v>
      </c>
      <c r="E6" s="156" t="s">
        <v>1328</v>
      </c>
      <c r="F6" s="156" t="s">
        <v>83</v>
      </c>
      <c r="G6" s="154">
        <v>165000</v>
      </c>
    </row>
    <row r="7" spans="1:7" ht="21.6" customHeight="1">
      <c r="A7" s="154">
        <v>2505</v>
      </c>
      <c r="B7" s="154" t="str" cm="1">
        <f t="array" ref="B7">_xlfn.XLOOKUP(TRUE, ISNUMBER(SEARCH(工作表5!$A$1:$A$23, C7)), 工作表5!$B$1:$B$23, "其他")</f>
        <v>定著組</v>
      </c>
      <c r="C7" s="144" t="s">
        <v>87</v>
      </c>
      <c r="D7" s="156" t="s">
        <v>1767</v>
      </c>
      <c r="E7" s="156" t="s">
        <v>1329</v>
      </c>
      <c r="F7" s="156" t="s">
        <v>86</v>
      </c>
      <c r="G7" s="154">
        <v>165000</v>
      </c>
    </row>
    <row r="8" spans="1:7" ht="21.6" customHeight="1">
      <c r="A8" s="154">
        <v>2505</v>
      </c>
      <c r="B8" s="154" t="str" cm="1">
        <f t="array" ref="B8">_xlfn.XLOOKUP(TRUE, ISNUMBER(SEARCH(工作表5!$A$1:$A$23, C8)), 工作表5!$B$1:$B$23, "其他")</f>
        <v>定著組</v>
      </c>
      <c r="C8" s="144" t="s">
        <v>90</v>
      </c>
      <c r="D8" s="156" t="s">
        <v>1767</v>
      </c>
      <c r="E8" s="156" t="s">
        <v>1330</v>
      </c>
      <c r="F8" s="156" t="s">
        <v>89</v>
      </c>
      <c r="G8" s="154">
        <v>165000</v>
      </c>
    </row>
    <row r="9" spans="1:7" ht="21.6" customHeight="1">
      <c r="A9" s="154">
        <v>2505</v>
      </c>
      <c r="B9" s="154" t="str" cm="1">
        <f t="array" ref="B9">_xlfn.XLOOKUP(TRUE, ISNUMBER(SEARCH(工作表5!$A$1:$A$23, C9)), 工作表5!$B$1:$B$23, "其他")</f>
        <v>定著組</v>
      </c>
      <c r="C9" s="144" t="s">
        <v>1776</v>
      </c>
      <c r="D9" s="156" t="s">
        <v>1767</v>
      </c>
      <c r="E9" s="156" t="s">
        <v>1331</v>
      </c>
      <c r="F9" s="156" t="s">
        <v>92</v>
      </c>
      <c r="G9" s="154">
        <v>165000</v>
      </c>
    </row>
    <row r="10" spans="1:7" ht="21.6" customHeight="1">
      <c r="A10" s="154">
        <v>2505</v>
      </c>
      <c r="B10" s="154" t="str" cm="1">
        <f t="array" ref="B10">_xlfn.XLOOKUP(TRUE, ISNUMBER(SEARCH(工作表5!$A$1:$A$23, C10)), 工作表5!$B$1:$B$23, "其他")</f>
        <v>滾筒組</v>
      </c>
      <c r="C10" s="144" t="s">
        <v>95</v>
      </c>
      <c r="D10" s="156" t="s">
        <v>1764</v>
      </c>
      <c r="E10" s="156" t="s">
        <v>1332</v>
      </c>
      <c r="F10" s="156" t="s">
        <v>94</v>
      </c>
      <c r="G10" s="154">
        <v>165000</v>
      </c>
    </row>
    <row r="11" spans="1:7" ht="21.6" customHeight="1">
      <c r="A11" s="154">
        <v>2505</v>
      </c>
      <c r="B11" s="154" t="str" cm="1">
        <f t="array" ref="B11">_xlfn.XLOOKUP(TRUE, ISNUMBER(SEARCH(工作表5!$A$1:$A$23, C11)), 工作表5!$B$1:$B$23, "其他")</f>
        <v>滾筒組</v>
      </c>
      <c r="C11" s="144" t="s">
        <v>98</v>
      </c>
      <c r="D11" s="156" t="s">
        <v>1764</v>
      </c>
      <c r="E11" s="156" t="s">
        <v>1333</v>
      </c>
      <c r="F11" s="156" t="s">
        <v>97</v>
      </c>
      <c r="G11" s="154">
        <v>165000</v>
      </c>
    </row>
    <row r="12" spans="1:7" ht="21.6" customHeight="1">
      <c r="A12" s="154">
        <v>2505</v>
      </c>
      <c r="B12" s="154" t="str" cm="1">
        <f t="array" ref="B12">_xlfn.XLOOKUP(TRUE, ISNUMBER(SEARCH(工作表5!$A$1:$A$23, C12)), 工作表5!$B$1:$B$23, "其他")</f>
        <v>其他</v>
      </c>
      <c r="C12" s="144" t="s">
        <v>101</v>
      </c>
      <c r="D12" s="156" t="s">
        <v>1768</v>
      </c>
      <c r="E12" s="156" t="s">
        <v>1334</v>
      </c>
      <c r="F12" s="156" t="s">
        <v>100</v>
      </c>
      <c r="G12" s="154">
        <v>165000</v>
      </c>
    </row>
    <row r="13" spans="1:7" ht="21.6" customHeight="1">
      <c r="A13" s="154">
        <v>2505</v>
      </c>
      <c r="B13" s="154" t="str" cm="1">
        <f t="array" ref="B13">_xlfn.XLOOKUP(TRUE, ISNUMBER(SEARCH(工作表5!$A$1:$A$23, C13)), 工作表5!$B$1:$B$23, "其他")</f>
        <v>顯像組</v>
      </c>
      <c r="C13" s="145" t="s">
        <v>104</v>
      </c>
      <c r="D13" s="156" t="s">
        <v>1764</v>
      </c>
      <c r="E13" s="156" t="s">
        <v>1335</v>
      </c>
      <c r="F13" s="156" t="s">
        <v>103</v>
      </c>
      <c r="G13" s="154">
        <v>165000</v>
      </c>
    </row>
    <row r="14" spans="1:7" ht="21.6" customHeight="1">
      <c r="A14" s="154">
        <v>2505</v>
      </c>
      <c r="B14" s="154" t="str" cm="1">
        <f t="array" ref="B14">_xlfn.XLOOKUP(TRUE, ISNUMBER(SEARCH(工作表5!$A$1:$A$23, C14)), 工作表5!$B$1:$B$23, "其他")</f>
        <v>滾筒組</v>
      </c>
      <c r="C14" s="144" t="s">
        <v>107</v>
      </c>
      <c r="D14" s="156" t="s">
        <v>1764</v>
      </c>
      <c r="E14" s="156" t="s">
        <v>1336</v>
      </c>
      <c r="F14" s="156" t="s">
        <v>106</v>
      </c>
      <c r="G14" s="154">
        <v>55000</v>
      </c>
    </row>
    <row r="15" spans="1:7" ht="21.6" customHeight="1">
      <c r="A15" s="154">
        <v>2505</v>
      </c>
      <c r="B15" s="154" t="str" cm="1">
        <f t="array" ref="B15">_xlfn.XLOOKUP(TRUE, ISNUMBER(SEARCH(工作表5!$A$1:$A$23, C15)), 工作表5!$B$1:$B$23, "其他")</f>
        <v>取紙組</v>
      </c>
      <c r="C15" s="144" t="s">
        <v>110</v>
      </c>
      <c r="D15" s="156" t="s">
        <v>1769</v>
      </c>
      <c r="E15" s="156" t="s">
        <v>1337</v>
      </c>
      <c r="F15" s="156" t="s">
        <v>109</v>
      </c>
      <c r="G15" s="154">
        <v>80000</v>
      </c>
    </row>
    <row r="16" spans="1:7" ht="21.6" customHeight="1">
      <c r="A16" s="154">
        <v>2505</v>
      </c>
      <c r="B16" s="154" t="str" cm="1">
        <f t="array" ref="B16">_xlfn.XLOOKUP(TRUE, ISNUMBER(SEARCH(工作表5!$A$1:$A$23, C16)), 工作表5!$B$1:$B$23, "其他")</f>
        <v>手送台</v>
      </c>
      <c r="C16" s="144" t="s">
        <v>114</v>
      </c>
      <c r="D16" s="156" t="s">
        <v>1771</v>
      </c>
      <c r="E16" s="156" t="s">
        <v>1338</v>
      </c>
      <c r="F16" s="156" t="s">
        <v>113</v>
      </c>
      <c r="G16" s="154">
        <v>80000</v>
      </c>
    </row>
    <row r="17" spans="1:7" ht="21.6" customHeight="1">
      <c r="A17" s="154">
        <v>2505</v>
      </c>
      <c r="B17" s="154" t="str" cm="1">
        <f t="array" ref="B17">_xlfn.XLOOKUP(TRUE, ISNUMBER(SEARCH(工作表5!$A$1:$A$23, C17)), 工作表5!$B$1:$B$23, "其他")</f>
        <v>手送台</v>
      </c>
      <c r="C17" s="144" t="s">
        <v>115</v>
      </c>
      <c r="D17" s="156" t="s">
        <v>1771</v>
      </c>
      <c r="E17" s="156" t="s">
        <v>1337</v>
      </c>
      <c r="F17" s="156" t="s">
        <v>109</v>
      </c>
      <c r="G17" s="154">
        <v>80000</v>
      </c>
    </row>
    <row r="18" spans="1:7" ht="21.6" customHeight="1">
      <c r="A18" s="154">
        <v>2505</v>
      </c>
      <c r="B18" s="154" t="str" cm="1">
        <f t="array" ref="B18">_xlfn.XLOOKUP(TRUE, ISNUMBER(SEARCH(工作表5!$A$1:$A$23, C18)), 工作表5!$B$1:$B$23, "其他")</f>
        <v>手送台</v>
      </c>
      <c r="C18" s="144" t="s">
        <v>119</v>
      </c>
      <c r="D18" s="156" t="s">
        <v>1771</v>
      </c>
      <c r="E18" s="156" t="s">
        <v>1339</v>
      </c>
      <c r="F18" s="156" t="s">
        <v>118</v>
      </c>
      <c r="G18" s="154">
        <v>80000</v>
      </c>
    </row>
    <row r="19" spans="1:7" ht="21.6" customHeight="1">
      <c r="A19" s="154">
        <v>2505</v>
      </c>
      <c r="B19" s="154" t="str" cm="1">
        <f t="array" ref="B19">_xlfn.XLOOKUP(TRUE, ISNUMBER(SEARCH(工作表5!$A$1:$A$23, C19)), 工作表5!$B$1:$B$23, "其他")</f>
        <v>顯像組</v>
      </c>
      <c r="C19" s="144" t="s">
        <v>122</v>
      </c>
      <c r="D19" s="156" t="s">
        <v>1765</v>
      </c>
      <c r="E19" s="156" t="s">
        <v>1340</v>
      </c>
      <c r="F19" s="156" t="s">
        <v>121</v>
      </c>
      <c r="G19" s="154">
        <v>55000</v>
      </c>
    </row>
    <row r="20" spans="1:7" ht="21.6" customHeight="1">
      <c r="A20" s="154">
        <v>2505</v>
      </c>
      <c r="B20" s="154" t="str" cm="1">
        <f t="array" ref="B20">_xlfn.XLOOKUP(TRUE, ISNUMBER(SEARCH(工作表5!$A$1:$A$23, C20)), 工作表5!$B$1:$B$23, "其他")</f>
        <v>其他</v>
      </c>
      <c r="C20" s="144" t="s">
        <v>126</v>
      </c>
      <c r="D20" s="156" t="s">
        <v>1768</v>
      </c>
      <c r="E20" s="156" t="s">
        <v>1341</v>
      </c>
      <c r="F20" s="156" t="s">
        <v>125</v>
      </c>
      <c r="G20" s="154">
        <v>165000</v>
      </c>
    </row>
    <row r="21" spans="1:7" ht="21.6" customHeight="1">
      <c r="A21" s="154">
        <v>2505</v>
      </c>
      <c r="B21" s="154" t="str" cm="1">
        <f t="array" ref="B21">_xlfn.XLOOKUP(TRUE, ISNUMBER(SEARCH(工作表5!$A$1:$A$23, C21)), 工作表5!$B$1:$B$23, "其他")</f>
        <v>顯像組</v>
      </c>
      <c r="C21" s="144" t="s">
        <v>129</v>
      </c>
      <c r="D21" s="156" t="s">
        <v>1765</v>
      </c>
      <c r="E21" s="156" t="s">
        <v>1342</v>
      </c>
      <c r="F21" s="156" t="s">
        <v>128</v>
      </c>
      <c r="G21" s="154" t="e">
        <v>#VALUE!</v>
      </c>
    </row>
    <row r="22" spans="1:7" ht="21.6" customHeight="1">
      <c r="A22" s="154">
        <v>2505</v>
      </c>
      <c r="B22" s="154" t="str" cm="1">
        <f t="array" ref="B22">_xlfn.XLOOKUP(TRUE, ISNUMBER(SEARCH(工作表5!$A$1:$A$23, C22)), 工作表5!$B$1:$B$23, "其他")</f>
        <v>滾筒組</v>
      </c>
      <c r="C22" s="146" t="s">
        <v>132</v>
      </c>
      <c r="D22" s="156" t="s">
        <v>1764</v>
      </c>
      <c r="E22" s="156" t="s">
        <v>1343</v>
      </c>
      <c r="F22" s="156" t="s">
        <v>131</v>
      </c>
      <c r="G22" s="154" t="e">
        <v>#VALUE!</v>
      </c>
    </row>
    <row r="23" spans="1:7" ht="21.6" customHeight="1">
      <c r="A23" s="154">
        <v>2505</v>
      </c>
      <c r="B23" s="154" t="str" cm="1">
        <f t="array" ref="B23">_xlfn.XLOOKUP(TRUE, ISNUMBER(SEARCH(工作表5!$A$1:$A$23, C23)), 工作表5!$B$1:$B$23, "其他")</f>
        <v>顯像組</v>
      </c>
      <c r="C23" s="144" t="s">
        <v>135</v>
      </c>
      <c r="D23" s="156" t="s">
        <v>1765</v>
      </c>
      <c r="E23" s="156" t="s">
        <v>1344</v>
      </c>
      <c r="F23" s="156" t="s">
        <v>134</v>
      </c>
      <c r="G23" s="154" t="e">
        <v>#VALUE!</v>
      </c>
    </row>
    <row r="24" spans="1:7" ht="21.6" customHeight="1">
      <c r="A24" s="154">
        <v>2505</v>
      </c>
      <c r="B24" s="154" t="str" cm="1">
        <f t="array" ref="B24">_xlfn.XLOOKUP(TRUE, ISNUMBER(SEARCH(工作表5!$A$1:$A$23, C24)), 工作表5!$B$1:$B$23, "其他")</f>
        <v>定著組</v>
      </c>
      <c r="C24" s="147" t="s">
        <v>138</v>
      </c>
      <c r="D24" s="156" t="s">
        <v>1767</v>
      </c>
      <c r="E24" s="156" t="s">
        <v>1345</v>
      </c>
      <c r="F24" s="156" t="s">
        <v>137</v>
      </c>
      <c r="G24" s="154" t="e">
        <v>#VALUE!</v>
      </c>
    </row>
    <row r="25" spans="1:7" ht="21.6" customHeight="1">
      <c r="A25" s="154" t="s">
        <v>1296</v>
      </c>
      <c r="B25" s="154" t="str" cm="1">
        <f t="array" ref="B25">_xlfn.XLOOKUP(TRUE, ISNUMBER(SEARCH(工作表5!$A$1:$A$23, C25)), 工作表5!$B$1:$B$23, "其他")</f>
        <v>滾筒組</v>
      </c>
      <c r="C25" s="143" t="s">
        <v>71</v>
      </c>
      <c r="D25" s="156"/>
      <c r="E25" s="156" t="s">
        <v>1324</v>
      </c>
      <c r="F25" s="156" t="s">
        <v>70</v>
      </c>
      <c r="G25" s="154">
        <v>64000</v>
      </c>
    </row>
    <row r="26" spans="1:7" ht="21.6" customHeight="1">
      <c r="A26" s="154" t="s">
        <v>1296</v>
      </c>
      <c r="B26" s="154" t="str" cm="1">
        <f t="array" ref="B26">_xlfn.XLOOKUP(TRUE, ISNUMBER(SEARCH(工作表5!$A$1:$A$23, C26)), 工作表5!$B$1:$B$23, "其他")</f>
        <v>顯像組</v>
      </c>
      <c r="C26" s="144" t="s">
        <v>75</v>
      </c>
      <c r="D26" s="156"/>
      <c r="E26" s="156" t="s">
        <v>1325</v>
      </c>
      <c r="F26" s="156" t="s">
        <v>74</v>
      </c>
      <c r="G26" s="154">
        <v>64000</v>
      </c>
    </row>
    <row r="27" spans="1:7" ht="21.6" customHeight="1">
      <c r="A27" s="154" t="s">
        <v>1296</v>
      </c>
      <c r="B27" s="154" t="str" cm="1">
        <f t="array" ref="B27">_xlfn.XLOOKUP(TRUE, ISNUMBER(SEARCH(工作表5!$A$1:$A$23, C27)), 工作表5!$B$1:$B$23, "其他")</f>
        <v>顯像組</v>
      </c>
      <c r="C27" s="148" t="s">
        <v>141</v>
      </c>
      <c r="D27" s="156" t="s">
        <v>1768</v>
      </c>
      <c r="E27" s="156" t="s">
        <v>1346</v>
      </c>
      <c r="F27" s="156" t="s">
        <v>140</v>
      </c>
      <c r="G27" s="154">
        <v>64000</v>
      </c>
    </row>
    <row r="28" spans="1:7" ht="21.6" customHeight="1">
      <c r="A28" s="154" t="s">
        <v>1296</v>
      </c>
      <c r="B28" s="154" t="str" cm="1">
        <f t="array" ref="B28">_xlfn.XLOOKUP(TRUE, ISNUMBER(SEARCH(工作表5!$A$1:$A$23, C28)), 工作表5!$B$1:$B$23, "其他")</f>
        <v>滾筒組</v>
      </c>
      <c r="C28" s="144" t="s">
        <v>78</v>
      </c>
      <c r="D28" s="156"/>
      <c r="E28" s="156" t="s">
        <v>1326</v>
      </c>
      <c r="F28" s="156" t="s">
        <v>77</v>
      </c>
      <c r="G28" s="154">
        <v>64000</v>
      </c>
    </row>
    <row r="29" spans="1:7" ht="21.6" customHeight="1">
      <c r="A29" s="154" t="s">
        <v>1296</v>
      </c>
      <c r="B29" s="154" t="str" cm="1">
        <f t="array" ref="B29">_xlfn.XLOOKUP(TRUE, ISNUMBER(SEARCH(工作表5!$A$1:$A$23, C29)), 工作表5!$B$1:$B$23, "其他")</f>
        <v>轉寫組</v>
      </c>
      <c r="C29" s="144" t="s">
        <v>81</v>
      </c>
      <c r="D29" s="156"/>
      <c r="E29" s="156" t="s">
        <v>1327</v>
      </c>
      <c r="F29" s="156" t="s">
        <v>80</v>
      </c>
      <c r="G29" s="154">
        <v>64000</v>
      </c>
    </row>
    <row r="30" spans="1:7" ht="21.6" customHeight="1">
      <c r="A30" s="154" t="s">
        <v>1296</v>
      </c>
      <c r="B30" s="154" t="str" cm="1">
        <f t="array" ref="B30">_xlfn.XLOOKUP(TRUE, ISNUMBER(SEARCH(工作表5!$A$1:$A$23, C30)), 工作表5!$B$1:$B$23, "其他")</f>
        <v>定著組</v>
      </c>
      <c r="C30" s="145" t="s">
        <v>1775</v>
      </c>
      <c r="D30" s="156"/>
      <c r="E30" s="156" t="s">
        <v>1328</v>
      </c>
      <c r="F30" s="156" t="s">
        <v>83</v>
      </c>
      <c r="G30" s="154">
        <v>192000</v>
      </c>
    </row>
    <row r="31" spans="1:7" ht="21.6" customHeight="1">
      <c r="A31" s="154" t="s">
        <v>1296</v>
      </c>
      <c r="B31" s="154" t="str" cm="1">
        <f t="array" ref="B31">_xlfn.XLOOKUP(TRUE, ISNUMBER(SEARCH(工作表5!$A$1:$A$23, C31)), 工作表5!$B$1:$B$23, "其他")</f>
        <v>定著組</v>
      </c>
      <c r="C31" s="144" t="s">
        <v>87</v>
      </c>
      <c r="D31" s="156"/>
      <c r="E31" s="156" t="s">
        <v>1347</v>
      </c>
      <c r="F31" s="156" t="s">
        <v>144</v>
      </c>
      <c r="G31" s="154">
        <v>192000</v>
      </c>
    </row>
    <row r="32" spans="1:7" ht="21.6" customHeight="1">
      <c r="A32" s="154" t="s">
        <v>1296</v>
      </c>
      <c r="B32" s="154" t="str" cm="1">
        <f t="array" ref="B32">_xlfn.XLOOKUP(TRUE, ISNUMBER(SEARCH(工作表5!$A$1:$A$23, C32)), 工作表5!$B$1:$B$23, "其他")</f>
        <v>定著組</v>
      </c>
      <c r="C32" s="144" t="s">
        <v>90</v>
      </c>
      <c r="D32" s="156"/>
      <c r="E32" s="156" t="s">
        <v>1330</v>
      </c>
      <c r="F32" s="156" t="s">
        <v>89</v>
      </c>
      <c r="G32" s="154">
        <v>192000</v>
      </c>
    </row>
    <row r="33" spans="1:7" ht="21.6" customHeight="1">
      <c r="A33" s="154" t="s">
        <v>1296</v>
      </c>
      <c r="B33" s="154" t="str" cm="1">
        <f t="array" ref="B33">_xlfn.XLOOKUP(TRUE, ISNUMBER(SEARCH(工作表5!$A$1:$A$23, C33)), 工作表5!$B$1:$B$23, "其他")</f>
        <v>定著組</v>
      </c>
      <c r="C33" s="144" t="s">
        <v>1776</v>
      </c>
      <c r="D33" s="156"/>
      <c r="E33" s="156" t="s">
        <v>1331</v>
      </c>
      <c r="F33" s="156" t="s">
        <v>92</v>
      </c>
      <c r="G33" s="154">
        <v>192000</v>
      </c>
    </row>
    <row r="34" spans="1:7" ht="21.6" customHeight="1">
      <c r="A34" s="154" t="s">
        <v>1296</v>
      </c>
      <c r="B34" s="154" t="str" cm="1">
        <f t="array" ref="B34">_xlfn.XLOOKUP(TRUE, ISNUMBER(SEARCH(工作表5!$A$1:$A$23, C34)), 工作表5!$B$1:$B$23, "其他")</f>
        <v>滾筒組</v>
      </c>
      <c r="C34" s="144" t="s">
        <v>95</v>
      </c>
      <c r="D34" s="156"/>
      <c r="E34" s="156" t="s">
        <v>1332</v>
      </c>
      <c r="F34" s="156" t="s">
        <v>94</v>
      </c>
      <c r="G34" s="154">
        <v>192000</v>
      </c>
    </row>
    <row r="35" spans="1:7" ht="21.6" customHeight="1">
      <c r="A35" s="154" t="s">
        <v>1296</v>
      </c>
      <c r="B35" s="154" t="str" cm="1">
        <f t="array" ref="B35">_xlfn.XLOOKUP(TRUE, ISNUMBER(SEARCH(工作表5!$A$1:$A$23, C35)), 工作表5!$B$1:$B$23, "其他")</f>
        <v>滾筒組</v>
      </c>
      <c r="C35" s="144" t="s">
        <v>98</v>
      </c>
      <c r="D35" s="156"/>
      <c r="E35" s="156" t="s">
        <v>1333</v>
      </c>
      <c r="F35" s="156" t="s">
        <v>97</v>
      </c>
      <c r="G35" s="154">
        <v>192000</v>
      </c>
    </row>
    <row r="36" spans="1:7" ht="21.6" customHeight="1">
      <c r="A36" s="154" t="s">
        <v>1296</v>
      </c>
      <c r="B36" s="154" t="str" cm="1">
        <f t="array" ref="B36">_xlfn.XLOOKUP(TRUE, ISNUMBER(SEARCH(工作表5!$A$1:$A$23, C36)), 工作表5!$B$1:$B$23, "其他")</f>
        <v>其他</v>
      </c>
      <c r="C36" s="144" t="s">
        <v>101</v>
      </c>
      <c r="D36" s="156"/>
      <c r="E36" s="156" t="s">
        <v>1334</v>
      </c>
      <c r="F36" s="156" t="s">
        <v>100</v>
      </c>
      <c r="G36" s="154">
        <v>192000</v>
      </c>
    </row>
    <row r="37" spans="1:7" ht="21.6" customHeight="1">
      <c r="A37" s="154" t="s">
        <v>1296</v>
      </c>
      <c r="B37" s="154" t="str" cm="1">
        <f t="array" ref="B37">_xlfn.XLOOKUP(TRUE, ISNUMBER(SEARCH(工作表5!$A$1:$A$23, C37)), 工作表5!$B$1:$B$23, "其他")</f>
        <v>顯像組</v>
      </c>
      <c r="C37" s="145" t="s">
        <v>104</v>
      </c>
      <c r="D37" s="156"/>
      <c r="E37" s="156" t="s">
        <v>1335</v>
      </c>
      <c r="F37" s="156" t="s">
        <v>103</v>
      </c>
      <c r="G37" s="154">
        <v>192000</v>
      </c>
    </row>
    <row r="38" spans="1:7" ht="21.6" customHeight="1">
      <c r="A38" s="154" t="s">
        <v>1296</v>
      </c>
      <c r="B38" s="154" t="str" cm="1">
        <f t="array" ref="B38">_xlfn.XLOOKUP(TRUE, ISNUMBER(SEARCH(工作表5!$A$1:$A$23, C38)), 工作表5!$B$1:$B$23, "其他")</f>
        <v>滾筒組</v>
      </c>
      <c r="C38" s="144" t="s">
        <v>107</v>
      </c>
      <c r="D38" s="156"/>
      <c r="E38" s="156" t="s">
        <v>1336</v>
      </c>
      <c r="F38" s="156" t="s">
        <v>106</v>
      </c>
      <c r="G38" s="154">
        <v>64000</v>
      </c>
    </row>
    <row r="39" spans="1:7" ht="21.6" customHeight="1">
      <c r="A39" s="154" t="s">
        <v>1296</v>
      </c>
      <c r="B39" s="154" t="str" cm="1">
        <f t="array" ref="B39">_xlfn.XLOOKUP(TRUE, ISNUMBER(SEARCH(工作表5!$A$1:$A$23, C39)), 工作表5!$B$1:$B$23, "其他")</f>
        <v>取紙組</v>
      </c>
      <c r="C39" s="144" t="s">
        <v>110</v>
      </c>
      <c r="D39" s="156"/>
      <c r="E39" s="156" t="s">
        <v>1337</v>
      </c>
      <c r="F39" s="156" t="s">
        <v>109</v>
      </c>
      <c r="G39" s="154">
        <v>80000</v>
      </c>
    </row>
    <row r="40" spans="1:7" ht="21.6" customHeight="1">
      <c r="A40" s="154" t="s">
        <v>1296</v>
      </c>
      <c r="B40" s="154" t="str" cm="1">
        <f t="array" ref="B40">_xlfn.XLOOKUP(TRUE, ISNUMBER(SEARCH(工作表5!$A$1:$A$23, C40)), 工作表5!$B$1:$B$23, "其他")</f>
        <v>手送台</v>
      </c>
      <c r="C40" s="144" t="s">
        <v>114</v>
      </c>
      <c r="D40" s="156"/>
      <c r="E40" s="156" t="s">
        <v>1338</v>
      </c>
      <c r="F40" s="156" t="s">
        <v>113</v>
      </c>
      <c r="G40" s="154">
        <v>80000</v>
      </c>
    </row>
    <row r="41" spans="1:7" ht="21.6" customHeight="1">
      <c r="A41" s="154" t="s">
        <v>1296</v>
      </c>
      <c r="B41" s="154" t="str" cm="1">
        <f t="array" ref="B41">_xlfn.XLOOKUP(TRUE, ISNUMBER(SEARCH(工作表5!$A$1:$A$23, C41)), 工作表5!$B$1:$B$23, "其他")</f>
        <v>手送台</v>
      </c>
      <c r="C41" s="144" t="s">
        <v>115</v>
      </c>
      <c r="D41" s="156"/>
      <c r="E41" s="156" t="s">
        <v>1348</v>
      </c>
      <c r="F41" s="156" t="s">
        <v>149</v>
      </c>
      <c r="G41" s="154">
        <v>80000</v>
      </c>
    </row>
    <row r="42" spans="1:7" ht="21.6" customHeight="1">
      <c r="A42" s="154" t="s">
        <v>1296</v>
      </c>
      <c r="B42" s="154" t="str" cm="1">
        <f t="array" ref="B42">_xlfn.XLOOKUP(TRUE, ISNUMBER(SEARCH(工作表5!$A$1:$A$23, C42)), 工作表5!$B$1:$B$23, "其他")</f>
        <v>手送台</v>
      </c>
      <c r="C42" s="144" t="s">
        <v>119</v>
      </c>
      <c r="D42" s="156"/>
      <c r="E42" s="156" t="s">
        <v>1349</v>
      </c>
      <c r="F42" s="156" t="s">
        <v>152</v>
      </c>
      <c r="G42" s="154">
        <v>80000</v>
      </c>
    </row>
    <row r="43" spans="1:7" ht="21.6" customHeight="1">
      <c r="A43" s="154" t="s">
        <v>1296</v>
      </c>
      <c r="B43" s="154" t="str" cm="1">
        <f t="array" ref="B43">_xlfn.XLOOKUP(TRUE, ISNUMBER(SEARCH(工作表5!$A$1:$A$23, C43)), 工作表5!$B$1:$B$23, "其他")</f>
        <v>手送台</v>
      </c>
      <c r="C43" s="144" t="s">
        <v>119</v>
      </c>
      <c r="D43" s="156"/>
      <c r="E43" s="156" t="s">
        <v>1350</v>
      </c>
      <c r="F43" s="156" t="s">
        <v>155</v>
      </c>
      <c r="G43" s="154">
        <v>80000</v>
      </c>
    </row>
    <row r="44" spans="1:7" ht="21.6" customHeight="1">
      <c r="A44" s="154" t="s">
        <v>1296</v>
      </c>
      <c r="B44" s="154" t="str" cm="1">
        <f t="array" ref="B44">_xlfn.XLOOKUP(TRUE, ISNUMBER(SEARCH(工作表5!$A$1:$A$23, C44)), 工作表5!$B$1:$B$23, "其他")</f>
        <v>顯像組</v>
      </c>
      <c r="C44" s="144" t="s">
        <v>122</v>
      </c>
      <c r="D44" s="156"/>
      <c r="E44" s="156" t="s">
        <v>1340</v>
      </c>
      <c r="F44" s="156" t="s">
        <v>121</v>
      </c>
      <c r="G44" s="154">
        <v>64000</v>
      </c>
    </row>
    <row r="45" spans="1:7" ht="21.6" customHeight="1">
      <c r="A45" s="154" t="s">
        <v>1296</v>
      </c>
      <c r="B45" s="154" t="str" cm="1">
        <f t="array" ref="B45">_xlfn.XLOOKUP(TRUE, ISNUMBER(SEARCH(工作表5!$A$1:$A$23, C45)), 工作表5!$B$1:$B$23, "其他")</f>
        <v>其他</v>
      </c>
      <c r="C45" s="144" t="s">
        <v>126</v>
      </c>
      <c r="D45" s="156"/>
      <c r="E45" s="156" t="s">
        <v>1351</v>
      </c>
      <c r="F45" s="156" t="s">
        <v>158</v>
      </c>
      <c r="G45" s="154">
        <v>192000</v>
      </c>
    </row>
    <row r="46" spans="1:7" ht="21.6" customHeight="1">
      <c r="A46" s="154" t="s">
        <v>1296</v>
      </c>
      <c r="B46" s="154" t="str" cm="1">
        <f t="array" ref="B46">_xlfn.XLOOKUP(TRUE, ISNUMBER(SEARCH(工作表5!$A$1:$A$23, C46)), 工作表5!$B$1:$B$23, "其他")</f>
        <v>顯像組</v>
      </c>
      <c r="C46" s="144" t="s">
        <v>129</v>
      </c>
      <c r="D46" s="156"/>
      <c r="E46" s="156" t="s">
        <v>1352</v>
      </c>
      <c r="F46" s="156" t="s">
        <v>161</v>
      </c>
      <c r="G46" s="154" t="e">
        <v>#VALUE!</v>
      </c>
    </row>
    <row r="47" spans="1:7" ht="21.6" customHeight="1">
      <c r="A47" s="154" t="s">
        <v>1296</v>
      </c>
      <c r="B47" s="154" t="str" cm="1">
        <f t="array" ref="B47">_xlfn.XLOOKUP(TRUE, ISNUMBER(SEARCH(工作表5!$A$1:$A$23, C47)), 工作表5!$B$1:$B$23, "其他")</f>
        <v>滾筒組</v>
      </c>
      <c r="C47" s="146" t="s">
        <v>132</v>
      </c>
      <c r="D47" s="156"/>
      <c r="E47" s="156" t="s">
        <v>1343</v>
      </c>
      <c r="F47" s="156" t="s">
        <v>131</v>
      </c>
      <c r="G47" s="154" t="e">
        <v>#VALUE!</v>
      </c>
    </row>
    <row r="48" spans="1:7" ht="21.6" customHeight="1">
      <c r="A48" s="154" t="s">
        <v>1296</v>
      </c>
      <c r="B48" s="154" t="str" cm="1">
        <f t="array" ref="B48">_xlfn.XLOOKUP(TRUE, ISNUMBER(SEARCH(工作表5!$A$1:$A$23, C48)), 工作表5!$B$1:$B$23, "其他")</f>
        <v>顯像組</v>
      </c>
      <c r="C48" s="144" t="s">
        <v>135</v>
      </c>
      <c r="D48" s="156"/>
      <c r="E48" s="156" t="s">
        <v>1344</v>
      </c>
      <c r="F48" s="156" t="s">
        <v>134</v>
      </c>
      <c r="G48" s="154" t="e">
        <v>#VALUE!</v>
      </c>
    </row>
    <row r="49" spans="1:7" ht="21.6" customHeight="1">
      <c r="A49" s="154" t="s">
        <v>1296</v>
      </c>
      <c r="B49" s="154" t="str" cm="1">
        <f t="array" ref="B49">_xlfn.XLOOKUP(TRUE, ISNUMBER(SEARCH(工作表5!$A$1:$A$23, C49)), 工作表5!$B$1:$B$23, "其他")</f>
        <v>定著組</v>
      </c>
      <c r="C49" s="147" t="s">
        <v>138</v>
      </c>
      <c r="D49" s="156"/>
      <c r="E49" s="156" t="s">
        <v>1353</v>
      </c>
      <c r="F49" s="156" t="s">
        <v>164</v>
      </c>
      <c r="G49" s="154" t="e">
        <v>#VALUE!</v>
      </c>
    </row>
    <row r="50" spans="1:7" ht="21.6" customHeight="1">
      <c r="A50" s="154" t="s">
        <v>1297</v>
      </c>
      <c r="B50" s="154" t="str" cm="1">
        <f t="array" ref="B50">_xlfn.XLOOKUP(TRUE, ISNUMBER(SEARCH(工作表5!$A$1:$A$23, C50)), 工作表5!$B$1:$B$23, "其他")</f>
        <v>滾筒組</v>
      </c>
      <c r="C50" s="143" t="s">
        <v>71</v>
      </c>
      <c r="D50" s="156"/>
      <c r="E50" s="156" t="s">
        <v>1324</v>
      </c>
      <c r="F50" s="156" t="s">
        <v>70</v>
      </c>
      <c r="G50" s="154">
        <v>55000</v>
      </c>
    </row>
    <row r="51" spans="1:7" ht="21.6" customHeight="1">
      <c r="A51" s="154" t="s">
        <v>1297</v>
      </c>
      <c r="B51" s="154" t="str" cm="1">
        <f t="array" ref="B51">_xlfn.XLOOKUP(TRUE, ISNUMBER(SEARCH(工作表5!$A$1:$A$23, C51)), 工作表5!$B$1:$B$23, "其他")</f>
        <v>顯像組</v>
      </c>
      <c r="C51" s="144" t="s">
        <v>75</v>
      </c>
      <c r="D51" s="156"/>
      <c r="E51" s="156" t="s">
        <v>1325</v>
      </c>
      <c r="F51" s="156" t="s">
        <v>74</v>
      </c>
      <c r="G51" s="154">
        <v>55000</v>
      </c>
    </row>
    <row r="52" spans="1:7" ht="21.6" customHeight="1">
      <c r="A52" s="154" t="s">
        <v>1297</v>
      </c>
      <c r="B52" s="154" t="str" cm="1">
        <f t="array" ref="B52">_xlfn.XLOOKUP(TRUE, ISNUMBER(SEARCH(工作表5!$A$1:$A$23, C52)), 工作表5!$B$1:$B$23, "其他")</f>
        <v>滾筒組</v>
      </c>
      <c r="C52" s="144" t="s">
        <v>78</v>
      </c>
      <c r="D52" s="156"/>
      <c r="E52" s="156" t="s">
        <v>1326</v>
      </c>
      <c r="F52" s="156" t="s">
        <v>77</v>
      </c>
      <c r="G52" s="154">
        <v>55000</v>
      </c>
    </row>
    <row r="53" spans="1:7" ht="21.6" customHeight="1">
      <c r="A53" s="154" t="s">
        <v>1297</v>
      </c>
      <c r="B53" s="154" t="str" cm="1">
        <f t="array" ref="B53">_xlfn.XLOOKUP(TRUE, ISNUMBER(SEARCH(工作表5!$A$1:$A$23, C53)), 工作表5!$B$1:$B$23, "其他")</f>
        <v>轉寫組</v>
      </c>
      <c r="C53" s="144" t="s">
        <v>81</v>
      </c>
      <c r="D53" s="156"/>
      <c r="E53" s="156" t="s">
        <v>1327</v>
      </c>
      <c r="F53" s="156" t="s">
        <v>80</v>
      </c>
      <c r="G53" s="154">
        <v>55000</v>
      </c>
    </row>
    <row r="54" spans="1:7" ht="21.6" customHeight="1">
      <c r="A54" s="154" t="s">
        <v>1297</v>
      </c>
      <c r="B54" s="154" t="str" cm="1">
        <f t="array" ref="B54">_xlfn.XLOOKUP(TRUE, ISNUMBER(SEARCH(工作表5!$A$1:$A$23, C54)), 工作表5!$B$1:$B$23, "其他")</f>
        <v>定著組</v>
      </c>
      <c r="C54" s="145" t="s">
        <v>1775</v>
      </c>
      <c r="D54" s="156"/>
      <c r="E54" s="156" t="s">
        <v>1328</v>
      </c>
      <c r="F54" s="156" t="s">
        <v>83</v>
      </c>
      <c r="G54" s="154">
        <v>165000</v>
      </c>
    </row>
    <row r="55" spans="1:7" ht="21.6" customHeight="1">
      <c r="A55" s="154" t="s">
        <v>1297</v>
      </c>
      <c r="B55" s="154" t="str" cm="1">
        <f t="array" ref="B55">_xlfn.XLOOKUP(TRUE, ISNUMBER(SEARCH(工作表5!$A$1:$A$23, C55)), 工作表5!$B$1:$B$23, "其他")</f>
        <v>定著組</v>
      </c>
      <c r="C55" s="144" t="s">
        <v>87</v>
      </c>
      <c r="D55" s="156"/>
      <c r="E55" s="156" t="s">
        <v>1329</v>
      </c>
      <c r="F55" s="156" t="s">
        <v>86</v>
      </c>
      <c r="G55" s="154">
        <v>165000</v>
      </c>
    </row>
    <row r="56" spans="1:7" ht="21.6" customHeight="1">
      <c r="A56" s="154" t="s">
        <v>1297</v>
      </c>
      <c r="B56" s="154" t="str" cm="1">
        <f t="array" ref="B56">_xlfn.XLOOKUP(TRUE, ISNUMBER(SEARCH(工作表5!$A$1:$A$23, C56)), 工作表5!$B$1:$B$23, "其他")</f>
        <v>定著組</v>
      </c>
      <c r="C56" s="144" t="s">
        <v>90</v>
      </c>
      <c r="D56" s="156"/>
      <c r="E56" s="156" t="s">
        <v>1330</v>
      </c>
      <c r="F56" s="156" t="s">
        <v>89</v>
      </c>
      <c r="G56" s="154">
        <v>165000</v>
      </c>
    </row>
    <row r="57" spans="1:7" ht="21.6" customHeight="1">
      <c r="A57" s="154" t="s">
        <v>1297</v>
      </c>
      <c r="B57" s="154" t="str" cm="1">
        <f t="array" ref="B57">_xlfn.XLOOKUP(TRUE, ISNUMBER(SEARCH(工作表5!$A$1:$A$23, C57)), 工作表5!$B$1:$B$23, "其他")</f>
        <v>定著組</v>
      </c>
      <c r="C57" s="144" t="s">
        <v>1776</v>
      </c>
      <c r="D57" s="156"/>
      <c r="E57" s="156" t="s">
        <v>1331</v>
      </c>
      <c r="F57" s="156" t="s">
        <v>92</v>
      </c>
      <c r="G57" s="154">
        <v>165000</v>
      </c>
    </row>
    <row r="58" spans="1:7" ht="21.6" customHeight="1">
      <c r="A58" s="154" t="s">
        <v>1297</v>
      </c>
      <c r="B58" s="154" t="str" cm="1">
        <f t="array" ref="B58">_xlfn.XLOOKUP(TRUE, ISNUMBER(SEARCH(工作表5!$A$1:$A$23, C58)), 工作表5!$B$1:$B$23, "其他")</f>
        <v>滾筒組</v>
      </c>
      <c r="C58" s="144" t="s">
        <v>95</v>
      </c>
      <c r="D58" s="156"/>
      <c r="E58" s="156" t="s">
        <v>1332</v>
      </c>
      <c r="F58" s="156" t="s">
        <v>94</v>
      </c>
      <c r="G58" s="154">
        <v>165000</v>
      </c>
    </row>
    <row r="59" spans="1:7" ht="21.6" customHeight="1">
      <c r="A59" s="154" t="s">
        <v>1297</v>
      </c>
      <c r="B59" s="154" t="str" cm="1">
        <f t="array" ref="B59">_xlfn.XLOOKUP(TRUE, ISNUMBER(SEARCH(工作表5!$A$1:$A$23, C59)), 工作表5!$B$1:$B$23, "其他")</f>
        <v>滾筒組</v>
      </c>
      <c r="C59" s="144" t="s">
        <v>98</v>
      </c>
      <c r="D59" s="156"/>
      <c r="E59" s="156" t="s">
        <v>1333</v>
      </c>
      <c r="F59" s="156" t="s">
        <v>97</v>
      </c>
      <c r="G59" s="154">
        <v>165000</v>
      </c>
    </row>
    <row r="60" spans="1:7" ht="21.6" customHeight="1">
      <c r="A60" s="154" t="s">
        <v>1297</v>
      </c>
      <c r="B60" s="154" t="str" cm="1">
        <f t="array" ref="B60">_xlfn.XLOOKUP(TRUE, ISNUMBER(SEARCH(工作表5!$A$1:$A$23, C60)), 工作表5!$B$1:$B$23, "其他")</f>
        <v>其他</v>
      </c>
      <c r="C60" s="144" t="s">
        <v>101</v>
      </c>
      <c r="D60" s="156"/>
      <c r="E60" s="156" t="s">
        <v>1334</v>
      </c>
      <c r="F60" s="156" t="s">
        <v>100</v>
      </c>
      <c r="G60" s="154">
        <v>165000</v>
      </c>
    </row>
    <row r="61" spans="1:7" ht="21.6" customHeight="1">
      <c r="A61" s="154" t="s">
        <v>1297</v>
      </c>
      <c r="B61" s="154" t="str" cm="1">
        <f t="array" ref="B61">_xlfn.XLOOKUP(TRUE, ISNUMBER(SEARCH(工作表5!$A$1:$A$23, C61)), 工作表5!$B$1:$B$23, "其他")</f>
        <v>顯像組</v>
      </c>
      <c r="C61" s="145" t="s">
        <v>104</v>
      </c>
      <c r="D61" s="156"/>
      <c r="E61" s="156" t="s">
        <v>1335</v>
      </c>
      <c r="F61" s="156" t="s">
        <v>103</v>
      </c>
      <c r="G61" s="154">
        <v>165000</v>
      </c>
    </row>
    <row r="62" spans="1:7" ht="21.6" customHeight="1">
      <c r="A62" s="154" t="s">
        <v>1297</v>
      </c>
      <c r="B62" s="154" t="str" cm="1">
        <f t="array" ref="B62">_xlfn.XLOOKUP(TRUE, ISNUMBER(SEARCH(工作表5!$A$1:$A$23, C62)), 工作表5!$B$1:$B$23, "其他")</f>
        <v>滾筒組</v>
      </c>
      <c r="C62" s="144" t="s">
        <v>107</v>
      </c>
      <c r="D62" s="156"/>
      <c r="E62" s="156" t="s">
        <v>1336</v>
      </c>
      <c r="F62" s="156" t="s">
        <v>106</v>
      </c>
      <c r="G62" s="154">
        <v>55000</v>
      </c>
    </row>
    <row r="63" spans="1:7" ht="21.6" customHeight="1">
      <c r="A63" s="154" t="s">
        <v>1297</v>
      </c>
      <c r="B63" s="154" t="str" cm="1">
        <f t="array" ref="B63">_xlfn.XLOOKUP(TRUE, ISNUMBER(SEARCH(工作表5!$A$1:$A$23, C63)), 工作表5!$B$1:$B$23, "其他")</f>
        <v>取紙組</v>
      </c>
      <c r="C63" s="144" t="s">
        <v>110</v>
      </c>
      <c r="D63" s="156"/>
      <c r="E63" s="156" t="s">
        <v>1354</v>
      </c>
      <c r="F63" s="156" t="s">
        <v>167</v>
      </c>
      <c r="G63" s="154">
        <v>80000</v>
      </c>
    </row>
    <row r="64" spans="1:7" ht="21.6" customHeight="1">
      <c r="A64" s="154" t="s">
        <v>1297</v>
      </c>
      <c r="B64" s="154" t="str" cm="1">
        <f t="array" ref="B64">_xlfn.XLOOKUP(TRUE, ISNUMBER(SEARCH(工作表5!$A$1:$A$23, C64)), 工作表5!$B$1:$B$23, "其他")</f>
        <v>手送台</v>
      </c>
      <c r="C64" s="144" t="s">
        <v>114</v>
      </c>
      <c r="D64" s="156"/>
      <c r="E64" s="156" t="s">
        <v>1355</v>
      </c>
      <c r="F64" s="156" t="s">
        <v>169</v>
      </c>
      <c r="G64" s="154">
        <v>80000</v>
      </c>
    </row>
    <row r="65" spans="1:7" ht="21.6" customHeight="1">
      <c r="A65" s="154" t="s">
        <v>1297</v>
      </c>
      <c r="B65" s="154" t="str" cm="1">
        <f t="array" ref="B65">_xlfn.XLOOKUP(TRUE, ISNUMBER(SEARCH(工作表5!$A$1:$A$23, C65)), 工作表5!$B$1:$B$23, "其他")</f>
        <v>手送台</v>
      </c>
      <c r="C65" s="144" t="s">
        <v>115</v>
      </c>
      <c r="D65" s="156"/>
      <c r="E65" s="156" t="s">
        <v>1356</v>
      </c>
      <c r="F65" s="156" t="s">
        <v>171</v>
      </c>
      <c r="G65" s="154">
        <v>80000</v>
      </c>
    </row>
    <row r="66" spans="1:7" ht="21.6" customHeight="1">
      <c r="A66" s="154" t="s">
        <v>1297</v>
      </c>
      <c r="B66" s="154" t="str" cm="1">
        <f t="array" ref="B66">_xlfn.XLOOKUP(TRUE, ISNUMBER(SEARCH(工作表5!$A$1:$A$23, C66)), 工作表5!$B$1:$B$23, "其他")</f>
        <v>手送台</v>
      </c>
      <c r="C66" s="144" t="s">
        <v>119</v>
      </c>
      <c r="D66" s="156"/>
      <c r="E66" s="156" t="s">
        <v>1357</v>
      </c>
      <c r="F66" s="156" t="s">
        <v>173</v>
      </c>
      <c r="G66" s="154">
        <v>80000</v>
      </c>
    </row>
    <row r="67" spans="1:7" ht="21.6" customHeight="1">
      <c r="A67" s="154" t="s">
        <v>1297</v>
      </c>
      <c r="B67" s="154" t="str" cm="1">
        <f t="array" ref="B67">_xlfn.XLOOKUP(TRUE, ISNUMBER(SEARCH(工作表5!$A$1:$A$23, C67)), 工作表5!$B$1:$B$23, "其他")</f>
        <v>顯像組</v>
      </c>
      <c r="C67" s="144" t="s">
        <v>122</v>
      </c>
      <c r="D67" s="156"/>
      <c r="E67" s="156" t="s">
        <v>1340</v>
      </c>
      <c r="F67" s="156" t="s">
        <v>121</v>
      </c>
      <c r="G67" s="154">
        <v>55000</v>
      </c>
    </row>
    <row r="68" spans="1:7" ht="21.6" customHeight="1">
      <c r="A68" s="154" t="s">
        <v>1297</v>
      </c>
      <c r="B68" s="154" t="str" cm="1">
        <f t="array" ref="B68">_xlfn.XLOOKUP(TRUE, ISNUMBER(SEARCH(工作表5!$A$1:$A$23, C68)), 工作表5!$B$1:$B$23, "其他")</f>
        <v>其他</v>
      </c>
      <c r="C68" s="144" t="s">
        <v>126</v>
      </c>
      <c r="D68" s="156"/>
      <c r="E68" s="156" t="s">
        <v>1341</v>
      </c>
      <c r="F68" s="156" t="s">
        <v>125</v>
      </c>
      <c r="G68" s="154">
        <v>165000</v>
      </c>
    </row>
    <row r="69" spans="1:7" ht="21.6" customHeight="1">
      <c r="A69" s="154" t="s">
        <v>1297</v>
      </c>
      <c r="B69" s="154" t="str" cm="1">
        <f t="array" ref="B69">_xlfn.XLOOKUP(TRUE, ISNUMBER(SEARCH(工作表5!$A$1:$A$23, C69)), 工作表5!$B$1:$B$23, "其他")</f>
        <v>顯像組</v>
      </c>
      <c r="C69" s="144" t="s">
        <v>129</v>
      </c>
      <c r="D69" s="156"/>
      <c r="E69" s="156" t="s">
        <v>1342</v>
      </c>
      <c r="F69" s="156" t="s">
        <v>128</v>
      </c>
      <c r="G69" s="154" t="e">
        <v>#VALUE!</v>
      </c>
    </row>
    <row r="70" spans="1:7" ht="21.6" customHeight="1">
      <c r="A70" s="154" t="s">
        <v>1297</v>
      </c>
      <c r="B70" s="154" t="str" cm="1">
        <f t="array" ref="B70">_xlfn.XLOOKUP(TRUE, ISNUMBER(SEARCH(工作表5!$A$1:$A$23, C70)), 工作表5!$B$1:$B$23, "其他")</f>
        <v>滾筒組</v>
      </c>
      <c r="C70" s="146" t="s">
        <v>132</v>
      </c>
      <c r="D70" s="156"/>
      <c r="E70" s="156" t="s">
        <v>1343</v>
      </c>
      <c r="F70" s="156" t="s">
        <v>131</v>
      </c>
      <c r="G70" s="154" t="e">
        <v>#VALUE!</v>
      </c>
    </row>
    <row r="71" spans="1:7" ht="21.6" customHeight="1">
      <c r="A71" s="154" t="s">
        <v>1297</v>
      </c>
      <c r="B71" s="154" t="str" cm="1">
        <f t="array" ref="B71">_xlfn.XLOOKUP(TRUE, ISNUMBER(SEARCH(工作表5!$A$1:$A$23, C71)), 工作表5!$B$1:$B$23, "其他")</f>
        <v>顯像組</v>
      </c>
      <c r="C71" s="144" t="s">
        <v>135</v>
      </c>
      <c r="D71" s="156"/>
      <c r="E71" s="156" t="s">
        <v>1344</v>
      </c>
      <c r="F71" s="156" t="s">
        <v>134</v>
      </c>
      <c r="G71" s="154" t="e">
        <v>#VALUE!</v>
      </c>
    </row>
    <row r="72" spans="1:7" ht="21.6" customHeight="1">
      <c r="A72" s="154" t="s">
        <v>1297</v>
      </c>
      <c r="B72" s="154" t="str" cm="1">
        <f t="array" ref="B72">_xlfn.XLOOKUP(TRUE, ISNUMBER(SEARCH(工作表5!$A$1:$A$23, C72)), 工作表5!$B$1:$B$23, "其他")</f>
        <v>定著組</v>
      </c>
      <c r="C72" s="147" t="s">
        <v>138</v>
      </c>
      <c r="D72" s="156"/>
      <c r="E72" s="156" t="s">
        <v>1358</v>
      </c>
      <c r="F72" s="156" t="s">
        <v>175</v>
      </c>
      <c r="G72" s="154" t="e">
        <v>#VALUE!</v>
      </c>
    </row>
    <row r="73" spans="1:7" ht="21.6" customHeight="1">
      <c r="A73" s="154" t="s">
        <v>1298</v>
      </c>
      <c r="B73" s="154" t="str" cm="1">
        <f t="array" ref="B73">_xlfn.XLOOKUP(TRUE, ISNUMBER(SEARCH(工作表5!$A$1:$A$23, C73)), 工作表5!$B$1:$B$23, "其他")</f>
        <v>滾筒組</v>
      </c>
      <c r="C73" s="143" t="s">
        <v>71</v>
      </c>
      <c r="D73" s="156"/>
      <c r="E73" s="156" t="s">
        <v>1324</v>
      </c>
      <c r="F73" s="156" t="s">
        <v>70</v>
      </c>
      <c r="G73" s="154">
        <v>59000</v>
      </c>
    </row>
    <row r="74" spans="1:7" ht="21.6" customHeight="1">
      <c r="A74" s="154" t="s">
        <v>1298</v>
      </c>
      <c r="B74" s="154" t="str" cm="1">
        <f t="array" ref="B74">_xlfn.XLOOKUP(TRUE, ISNUMBER(SEARCH(工作表5!$A$1:$A$23, C74)), 工作表5!$B$1:$B$23, "其他")</f>
        <v>顯像組</v>
      </c>
      <c r="C74" s="144" t="s">
        <v>75</v>
      </c>
      <c r="D74" s="156"/>
      <c r="E74" s="156" t="s">
        <v>1325</v>
      </c>
      <c r="F74" s="156" t="s">
        <v>74</v>
      </c>
      <c r="G74" s="154">
        <v>59000</v>
      </c>
    </row>
    <row r="75" spans="1:7" ht="21.6" customHeight="1">
      <c r="A75" s="154" t="s">
        <v>1298</v>
      </c>
      <c r="B75" s="154" t="str" cm="1">
        <f t="array" ref="B75">_xlfn.XLOOKUP(TRUE, ISNUMBER(SEARCH(工作表5!$A$1:$A$23, C75)), 工作表5!$B$1:$B$23, "其他")</f>
        <v>顯像組</v>
      </c>
      <c r="C75" s="148" t="s">
        <v>141</v>
      </c>
      <c r="D75" s="156"/>
      <c r="E75" s="156" t="s">
        <v>1346</v>
      </c>
      <c r="F75" s="156" t="s">
        <v>140</v>
      </c>
      <c r="G75" s="154">
        <v>59000</v>
      </c>
    </row>
    <row r="76" spans="1:7" ht="21.6" customHeight="1">
      <c r="A76" s="154" t="s">
        <v>1298</v>
      </c>
      <c r="B76" s="154" t="str" cm="1">
        <f t="array" ref="B76">_xlfn.XLOOKUP(TRUE, ISNUMBER(SEARCH(工作表5!$A$1:$A$23, C76)), 工作表5!$B$1:$B$23, "其他")</f>
        <v>滾筒組</v>
      </c>
      <c r="C76" s="144" t="s">
        <v>78</v>
      </c>
      <c r="D76" s="156"/>
      <c r="E76" s="156" t="s">
        <v>1326</v>
      </c>
      <c r="F76" s="156" t="s">
        <v>77</v>
      </c>
      <c r="G76" s="154">
        <v>59000</v>
      </c>
    </row>
    <row r="77" spans="1:7" ht="21.6" customHeight="1">
      <c r="A77" s="154" t="s">
        <v>1298</v>
      </c>
      <c r="B77" s="154" t="str" cm="1">
        <f t="array" ref="B77">_xlfn.XLOOKUP(TRUE, ISNUMBER(SEARCH(工作表5!$A$1:$A$23, C77)), 工作表5!$B$1:$B$23, "其他")</f>
        <v>轉寫組</v>
      </c>
      <c r="C77" s="144" t="s">
        <v>81</v>
      </c>
      <c r="D77" s="156"/>
      <c r="E77" s="156" t="s">
        <v>1327</v>
      </c>
      <c r="F77" s="156" t="s">
        <v>80</v>
      </c>
      <c r="G77" s="154">
        <v>59000</v>
      </c>
    </row>
    <row r="78" spans="1:7" ht="21.6" customHeight="1">
      <c r="A78" s="154" t="s">
        <v>1298</v>
      </c>
      <c r="B78" s="154" t="str" cm="1">
        <f t="array" ref="B78">_xlfn.XLOOKUP(TRUE, ISNUMBER(SEARCH(工作表5!$A$1:$A$23, C78)), 工作表5!$B$1:$B$23, "其他")</f>
        <v>定著組</v>
      </c>
      <c r="C78" s="145" t="s">
        <v>1775</v>
      </c>
      <c r="D78" s="156"/>
      <c r="E78" s="156" t="s">
        <v>1328</v>
      </c>
      <c r="F78" s="156" t="s">
        <v>83</v>
      </c>
      <c r="G78" s="154">
        <v>177000</v>
      </c>
    </row>
    <row r="79" spans="1:7" ht="21.6" customHeight="1">
      <c r="A79" s="154" t="s">
        <v>1298</v>
      </c>
      <c r="B79" s="154" t="str" cm="1">
        <f t="array" ref="B79">_xlfn.XLOOKUP(TRUE, ISNUMBER(SEARCH(工作表5!$A$1:$A$23, C79)), 工作表5!$B$1:$B$23, "其他")</f>
        <v>定著組</v>
      </c>
      <c r="C79" s="144" t="s">
        <v>87</v>
      </c>
      <c r="D79" s="156"/>
      <c r="E79" s="156" t="s">
        <v>1347</v>
      </c>
      <c r="F79" s="156" t="s">
        <v>144</v>
      </c>
      <c r="G79" s="154">
        <v>177000</v>
      </c>
    </row>
    <row r="80" spans="1:7" ht="21.6" customHeight="1">
      <c r="A80" s="154" t="s">
        <v>1298</v>
      </c>
      <c r="B80" s="154" t="str" cm="1">
        <f t="array" ref="B80">_xlfn.XLOOKUP(TRUE, ISNUMBER(SEARCH(工作表5!$A$1:$A$23, C80)), 工作表5!$B$1:$B$23, "其他")</f>
        <v>定著組</v>
      </c>
      <c r="C80" s="144" t="s">
        <v>90</v>
      </c>
      <c r="D80" s="156"/>
      <c r="E80" s="156" t="s">
        <v>1330</v>
      </c>
      <c r="F80" s="156" t="s">
        <v>89</v>
      </c>
      <c r="G80" s="154">
        <v>177000</v>
      </c>
    </row>
    <row r="81" spans="1:7" ht="21.6" customHeight="1">
      <c r="A81" s="154" t="s">
        <v>1298</v>
      </c>
      <c r="B81" s="154" t="str" cm="1">
        <f t="array" ref="B81">_xlfn.XLOOKUP(TRUE, ISNUMBER(SEARCH(工作表5!$A$1:$A$23, C81)), 工作表5!$B$1:$B$23, "其他")</f>
        <v>定著組</v>
      </c>
      <c r="C81" s="144" t="s">
        <v>1776</v>
      </c>
      <c r="D81" s="156"/>
      <c r="E81" s="156" t="s">
        <v>1331</v>
      </c>
      <c r="F81" s="156" t="s">
        <v>92</v>
      </c>
      <c r="G81" s="154">
        <v>177000</v>
      </c>
    </row>
    <row r="82" spans="1:7" ht="21.6" customHeight="1">
      <c r="A82" s="154" t="s">
        <v>1298</v>
      </c>
      <c r="B82" s="154" t="str" cm="1">
        <f t="array" ref="B82">_xlfn.XLOOKUP(TRUE, ISNUMBER(SEARCH(工作表5!$A$1:$A$23, C82)), 工作表5!$B$1:$B$23, "其他")</f>
        <v>滾筒組</v>
      </c>
      <c r="C82" s="144" t="s">
        <v>95</v>
      </c>
      <c r="D82" s="156"/>
      <c r="E82" s="156" t="s">
        <v>1332</v>
      </c>
      <c r="F82" s="156" t="s">
        <v>94</v>
      </c>
      <c r="G82" s="154">
        <v>177000</v>
      </c>
    </row>
    <row r="83" spans="1:7" ht="21.6" customHeight="1">
      <c r="A83" s="154" t="s">
        <v>1298</v>
      </c>
      <c r="B83" s="154" t="str" cm="1">
        <f t="array" ref="B83">_xlfn.XLOOKUP(TRUE, ISNUMBER(SEARCH(工作表5!$A$1:$A$23, C83)), 工作表5!$B$1:$B$23, "其他")</f>
        <v>滾筒組</v>
      </c>
      <c r="C83" s="144" t="s">
        <v>98</v>
      </c>
      <c r="D83" s="156"/>
      <c r="E83" s="156" t="s">
        <v>1333</v>
      </c>
      <c r="F83" s="156" t="s">
        <v>97</v>
      </c>
      <c r="G83" s="154">
        <v>177000</v>
      </c>
    </row>
    <row r="84" spans="1:7" ht="21.6" customHeight="1">
      <c r="A84" s="154" t="s">
        <v>1298</v>
      </c>
      <c r="B84" s="154" t="str" cm="1">
        <f t="array" ref="B84">_xlfn.XLOOKUP(TRUE, ISNUMBER(SEARCH(工作表5!$A$1:$A$23, C84)), 工作表5!$B$1:$B$23, "其他")</f>
        <v>其他</v>
      </c>
      <c r="C84" s="144" t="s">
        <v>101</v>
      </c>
      <c r="D84" s="156"/>
      <c r="E84" s="156" t="s">
        <v>1334</v>
      </c>
      <c r="F84" s="156" t="s">
        <v>100</v>
      </c>
      <c r="G84" s="154">
        <v>177000</v>
      </c>
    </row>
    <row r="85" spans="1:7" ht="21.6" customHeight="1">
      <c r="A85" s="154" t="s">
        <v>1298</v>
      </c>
      <c r="B85" s="154" t="str" cm="1">
        <f t="array" ref="B85">_xlfn.XLOOKUP(TRUE, ISNUMBER(SEARCH(工作表5!$A$1:$A$23, C85)), 工作表5!$B$1:$B$23, "其他")</f>
        <v>顯像組</v>
      </c>
      <c r="C85" s="145" t="s">
        <v>104</v>
      </c>
      <c r="D85" s="156"/>
      <c r="E85" s="156" t="s">
        <v>1335</v>
      </c>
      <c r="F85" s="156" t="s">
        <v>103</v>
      </c>
      <c r="G85" s="154">
        <v>177000</v>
      </c>
    </row>
    <row r="86" spans="1:7" ht="21.6" customHeight="1">
      <c r="A86" s="154" t="s">
        <v>1298</v>
      </c>
      <c r="B86" s="154" t="str" cm="1">
        <f t="array" ref="B86">_xlfn.XLOOKUP(TRUE, ISNUMBER(SEARCH(工作表5!$A$1:$A$23, C86)), 工作表5!$B$1:$B$23, "其他")</f>
        <v>滾筒組</v>
      </c>
      <c r="C86" s="144" t="s">
        <v>107</v>
      </c>
      <c r="D86" s="156"/>
      <c r="E86" s="156" t="s">
        <v>1336</v>
      </c>
      <c r="F86" s="156" t="s">
        <v>106</v>
      </c>
      <c r="G86" s="154">
        <v>59000</v>
      </c>
    </row>
    <row r="87" spans="1:7" ht="21.6" customHeight="1">
      <c r="A87" s="154" t="s">
        <v>1298</v>
      </c>
      <c r="B87" s="154" t="str" cm="1">
        <f t="array" ref="B87">_xlfn.XLOOKUP(TRUE, ISNUMBER(SEARCH(工作表5!$A$1:$A$23, C87)), 工作表5!$B$1:$B$23, "其他")</f>
        <v>取紙組</v>
      </c>
      <c r="C87" s="144" t="s">
        <v>110</v>
      </c>
      <c r="D87" s="156"/>
      <c r="E87" s="156" t="s">
        <v>1354</v>
      </c>
      <c r="F87" s="156" t="s">
        <v>167</v>
      </c>
      <c r="G87" s="154">
        <v>80000</v>
      </c>
    </row>
    <row r="88" spans="1:7" ht="21.6" customHeight="1">
      <c r="A88" s="154" t="s">
        <v>1298</v>
      </c>
      <c r="B88" s="154" t="str" cm="1">
        <f t="array" ref="B88">_xlfn.XLOOKUP(TRUE, ISNUMBER(SEARCH(工作表5!$A$1:$A$23, C88)), 工作表5!$B$1:$B$23, "其他")</f>
        <v>手送台</v>
      </c>
      <c r="C88" s="144" t="s">
        <v>114</v>
      </c>
      <c r="D88" s="156"/>
      <c r="E88" s="156" t="s">
        <v>1355</v>
      </c>
      <c r="F88" s="156" t="s">
        <v>169</v>
      </c>
      <c r="G88" s="154">
        <v>80000</v>
      </c>
    </row>
    <row r="89" spans="1:7" ht="21.6" customHeight="1">
      <c r="A89" s="154" t="s">
        <v>1298</v>
      </c>
      <c r="B89" s="154" t="str" cm="1">
        <f t="array" ref="B89">_xlfn.XLOOKUP(TRUE, ISNUMBER(SEARCH(工作表5!$A$1:$A$23, C89)), 工作表5!$B$1:$B$23, "其他")</f>
        <v>手送台</v>
      </c>
      <c r="C89" s="144" t="s">
        <v>115</v>
      </c>
      <c r="D89" s="156"/>
      <c r="E89" s="156" t="s">
        <v>1356</v>
      </c>
      <c r="F89" s="156" t="s">
        <v>171</v>
      </c>
      <c r="G89" s="154">
        <v>80000</v>
      </c>
    </row>
    <row r="90" spans="1:7" ht="21.6" customHeight="1">
      <c r="A90" s="154" t="s">
        <v>1298</v>
      </c>
      <c r="B90" s="154" t="str" cm="1">
        <f t="array" ref="B90">_xlfn.XLOOKUP(TRUE, ISNUMBER(SEARCH(工作表5!$A$1:$A$23, C90)), 工作表5!$B$1:$B$23, "其他")</f>
        <v>手送台</v>
      </c>
      <c r="C90" s="144" t="s">
        <v>119</v>
      </c>
      <c r="D90" s="156"/>
      <c r="E90" s="156" t="s">
        <v>1359</v>
      </c>
      <c r="F90" s="156" t="s">
        <v>180</v>
      </c>
      <c r="G90" s="154">
        <v>80000</v>
      </c>
    </row>
    <row r="91" spans="1:7" ht="21.6" customHeight="1">
      <c r="A91" s="154" t="s">
        <v>1298</v>
      </c>
      <c r="B91" s="154" t="str" cm="1">
        <f t="array" ref="B91">_xlfn.XLOOKUP(TRUE, ISNUMBER(SEARCH(工作表5!$A$1:$A$23, C91)), 工作表5!$B$1:$B$23, "其他")</f>
        <v>手送台</v>
      </c>
      <c r="C91" s="144" t="s">
        <v>119</v>
      </c>
      <c r="D91" s="156"/>
      <c r="E91" s="156" t="s">
        <v>1360</v>
      </c>
      <c r="F91" s="156" t="s">
        <v>183</v>
      </c>
      <c r="G91" s="154">
        <v>80000</v>
      </c>
    </row>
    <row r="92" spans="1:7" ht="21.6" customHeight="1">
      <c r="A92" s="154" t="s">
        <v>1298</v>
      </c>
      <c r="B92" s="154" t="str" cm="1">
        <f t="array" ref="B92">_xlfn.XLOOKUP(TRUE, ISNUMBER(SEARCH(工作表5!$A$1:$A$23, C92)), 工作表5!$B$1:$B$23, "其他")</f>
        <v>顯像組</v>
      </c>
      <c r="C92" s="144" t="s">
        <v>122</v>
      </c>
      <c r="D92" s="156"/>
      <c r="E92" s="156" t="s">
        <v>1340</v>
      </c>
      <c r="F92" s="156" t="s">
        <v>121</v>
      </c>
      <c r="G92" s="154">
        <v>59000</v>
      </c>
    </row>
    <row r="93" spans="1:7" ht="21.6" customHeight="1">
      <c r="A93" s="154" t="s">
        <v>1298</v>
      </c>
      <c r="B93" s="154" t="str" cm="1">
        <f t="array" ref="B93">_xlfn.XLOOKUP(TRUE, ISNUMBER(SEARCH(工作表5!$A$1:$A$23, C93)), 工作表5!$B$1:$B$23, "其他")</f>
        <v>其他</v>
      </c>
      <c r="C93" s="144" t="s">
        <v>126</v>
      </c>
      <c r="D93" s="156"/>
      <c r="E93" s="156" t="s">
        <v>1351</v>
      </c>
      <c r="F93" s="156" t="s">
        <v>158</v>
      </c>
      <c r="G93" s="154">
        <v>177000</v>
      </c>
    </row>
    <row r="94" spans="1:7" ht="21.6" customHeight="1">
      <c r="A94" s="154" t="s">
        <v>1298</v>
      </c>
      <c r="B94" s="154" t="str" cm="1">
        <f t="array" ref="B94">_xlfn.XLOOKUP(TRUE, ISNUMBER(SEARCH(工作表5!$A$1:$A$23, C94)), 工作表5!$B$1:$B$23, "其他")</f>
        <v>顯像組</v>
      </c>
      <c r="C94" s="144" t="s">
        <v>129</v>
      </c>
      <c r="D94" s="156"/>
      <c r="E94" s="156" t="s">
        <v>1352</v>
      </c>
      <c r="F94" s="156" t="s">
        <v>161</v>
      </c>
      <c r="G94" s="154" t="e">
        <v>#VALUE!</v>
      </c>
    </row>
    <row r="95" spans="1:7" ht="21.6" customHeight="1">
      <c r="A95" s="154" t="s">
        <v>1298</v>
      </c>
      <c r="B95" s="154" t="str" cm="1">
        <f t="array" ref="B95">_xlfn.XLOOKUP(TRUE, ISNUMBER(SEARCH(工作表5!$A$1:$A$23, C95)), 工作表5!$B$1:$B$23, "其他")</f>
        <v>滾筒組</v>
      </c>
      <c r="C95" s="146" t="s">
        <v>132</v>
      </c>
      <c r="D95" s="156"/>
      <c r="E95" s="156" t="s">
        <v>1343</v>
      </c>
      <c r="F95" s="156" t="s">
        <v>131</v>
      </c>
      <c r="G95" s="154" t="e">
        <v>#VALUE!</v>
      </c>
    </row>
    <row r="96" spans="1:7" ht="21.6" customHeight="1">
      <c r="A96" s="154" t="s">
        <v>1298</v>
      </c>
      <c r="B96" s="154" t="str" cm="1">
        <f t="array" ref="B96">_xlfn.XLOOKUP(TRUE, ISNUMBER(SEARCH(工作表5!$A$1:$A$23, C96)), 工作表5!$B$1:$B$23, "其他")</f>
        <v>顯像組</v>
      </c>
      <c r="C96" s="144" t="s">
        <v>135</v>
      </c>
      <c r="D96" s="156"/>
      <c r="E96" s="156" t="s">
        <v>1344</v>
      </c>
      <c r="F96" s="156" t="s">
        <v>134</v>
      </c>
      <c r="G96" s="154" t="e">
        <v>#VALUE!</v>
      </c>
    </row>
    <row r="97" spans="1:7" ht="21.6" customHeight="1">
      <c r="A97" s="154" t="s">
        <v>1298</v>
      </c>
      <c r="B97" s="154" t="str" cm="1">
        <f t="array" ref="B97">_xlfn.XLOOKUP(TRUE, ISNUMBER(SEARCH(工作表5!$A$1:$A$23, C97)), 工作表5!$B$1:$B$23, "其他")</f>
        <v>定著組</v>
      </c>
      <c r="C97" s="147" t="s">
        <v>138</v>
      </c>
      <c r="D97" s="156"/>
      <c r="E97" s="156" t="s">
        <v>1353</v>
      </c>
      <c r="F97" s="156" t="s">
        <v>164</v>
      </c>
      <c r="G97" s="154" t="e">
        <v>#VALUE!</v>
      </c>
    </row>
    <row r="98" spans="1:7" ht="21.6" customHeight="1">
      <c r="A98" s="154" t="s">
        <v>1299</v>
      </c>
      <c r="B98" s="154" t="str" cm="1">
        <f t="array" ref="B98">_xlfn.XLOOKUP(TRUE, ISNUMBER(SEARCH(工作表5!$A$1:$A$23, C98)), 工作表5!$B$1:$B$23, "其他")</f>
        <v>滾筒組</v>
      </c>
      <c r="C98" s="143" t="s">
        <v>71</v>
      </c>
      <c r="D98" s="156"/>
      <c r="E98" s="156" t="s">
        <v>1324</v>
      </c>
      <c r="F98" s="156" t="s">
        <v>70</v>
      </c>
      <c r="G98" s="154">
        <v>61000</v>
      </c>
    </row>
    <row r="99" spans="1:7" ht="21.6" customHeight="1">
      <c r="A99" s="154" t="s">
        <v>1299</v>
      </c>
      <c r="B99" s="154" t="str" cm="1">
        <f t="array" ref="B99">_xlfn.XLOOKUP(TRUE, ISNUMBER(SEARCH(工作表5!$A$1:$A$23, C99)), 工作表5!$B$1:$B$23, "其他")</f>
        <v>顯像組</v>
      </c>
      <c r="C99" s="144" t="s">
        <v>75</v>
      </c>
      <c r="D99" s="156"/>
      <c r="E99" s="156" t="s">
        <v>1325</v>
      </c>
      <c r="F99" s="156" t="s">
        <v>74</v>
      </c>
      <c r="G99" s="154">
        <v>61000</v>
      </c>
    </row>
    <row r="100" spans="1:7" ht="21.6" customHeight="1">
      <c r="A100" s="154" t="s">
        <v>1299</v>
      </c>
      <c r="B100" s="154" t="str" cm="1">
        <f t="array" ref="B100">_xlfn.XLOOKUP(TRUE, ISNUMBER(SEARCH(工作表5!$A$1:$A$23, C100)), 工作表5!$B$1:$B$23, "其他")</f>
        <v>顯像組</v>
      </c>
      <c r="C100" s="148" t="s">
        <v>141</v>
      </c>
      <c r="D100" s="156"/>
      <c r="E100" s="156" t="s">
        <v>1346</v>
      </c>
      <c r="F100" s="156" t="s">
        <v>140</v>
      </c>
      <c r="G100" s="154">
        <v>61000</v>
      </c>
    </row>
    <row r="101" spans="1:7" ht="21.6" customHeight="1">
      <c r="A101" s="154" t="s">
        <v>1299</v>
      </c>
      <c r="B101" s="154" t="str" cm="1">
        <f t="array" ref="B101">_xlfn.XLOOKUP(TRUE, ISNUMBER(SEARCH(工作表5!$A$1:$A$23, C101)), 工作表5!$B$1:$B$23, "其他")</f>
        <v>滾筒組</v>
      </c>
      <c r="C101" s="144" t="s">
        <v>78</v>
      </c>
      <c r="D101" s="156"/>
      <c r="E101" s="156" t="s">
        <v>1326</v>
      </c>
      <c r="F101" s="156" t="s">
        <v>77</v>
      </c>
      <c r="G101" s="154">
        <v>61000</v>
      </c>
    </row>
    <row r="102" spans="1:7" ht="21.6" customHeight="1">
      <c r="A102" s="154" t="s">
        <v>1299</v>
      </c>
      <c r="B102" s="154" t="str" cm="1">
        <f t="array" ref="B102">_xlfn.XLOOKUP(TRUE, ISNUMBER(SEARCH(工作表5!$A$1:$A$23, C102)), 工作表5!$B$1:$B$23, "其他")</f>
        <v>轉寫組</v>
      </c>
      <c r="C102" s="144" t="s">
        <v>81</v>
      </c>
      <c r="D102" s="156"/>
      <c r="E102" s="156" t="s">
        <v>1327</v>
      </c>
      <c r="F102" s="156" t="s">
        <v>80</v>
      </c>
      <c r="G102" s="154">
        <v>61000</v>
      </c>
    </row>
    <row r="103" spans="1:7" ht="21.6" customHeight="1">
      <c r="A103" s="154" t="s">
        <v>1299</v>
      </c>
      <c r="B103" s="154" t="str" cm="1">
        <f t="array" ref="B103">_xlfn.XLOOKUP(TRUE, ISNUMBER(SEARCH(工作表5!$A$1:$A$23, C103)), 工作表5!$B$1:$B$23, "其他")</f>
        <v>定著組</v>
      </c>
      <c r="C103" s="145" t="s">
        <v>1775</v>
      </c>
      <c r="D103" s="156"/>
      <c r="E103" s="156" t="s">
        <v>1328</v>
      </c>
      <c r="F103" s="156" t="s">
        <v>83</v>
      </c>
      <c r="G103" s="154">
        <v>183000</v>
      </c>
    </row>
    <row r="104" spans="1:7" ht="21.6" customHeight="1">
      <c r="A104" s="154" t="s">
        <v>1299</v>
      </c>
      <c r="B104" s="154" t="str" cm="1">
        <f t="array" ref="B104">_xlfn.XLOOKUP(TRUE, ISNUMBER(SEARCH(工作表5!$A$1:$A$23, C104)), 工作表5!$B$1:$B$23, "其他")</f>
        <v>定著組</v>
      </c>
      <c r="C104" s="144" t="s">
        <v>87</v>
      </c>
      <c r="D104" s="156"/>
      <c r="E104" s="156" t="s">
        <v>1347</v>
      </c>
      <c r="F104" s="156" t="s">
        <v>144</v>
      </c>
      <c r="G104" s="154">
        <v>183000</v>
      </c>
    </row>
    <row r="105" spans="1:7" ht="21.6" customHeight="1">
      <c r="A105" s="154" t="s">
        <v>1299</v>
      </c>
      <c r="B105" s="154" t="str" cm="1">
        <f t="array" ref="B105">_xlfn.XLOOKUP(TRUE, ISNUMBER(SEARCH(工作表5!$A$1:$A$23, C105)), 工作表5!$B$1:$B$23, "其他")</f>
        <v>定著組</v>
      </c>
      <c r="C105" s="144" t="s">
        <v>90</v>
      </c>
      <c r="D105" s="156"/>
      <c r="E105" s="156" t="s">
        <v>1330</v>
      </c>
      <c r="F105" s="156" t="s">
        <v>89</v>
      </c>
      <c r="G105" s="154">
        <v>183000</v>
      </c>
    </row>
    <row r="106" spans="1:7" ht="21.6" customHeight="1">
      <c r="A106" s="154" t="s">
        <v>1299</v>
      </c>
      <c r="B106" s="154" t="str" cm="1">
        <f t="array" ref="B106">_xlfn.XLOOKUP(TRUE, ISNUMBER(SEARCH(工作表5!$A$1:$A$23, C106)), 工作表5!$B$1:$B$23, "其他")</f>
        <v>定著組</v>
      </c>
      <c r="C106" s="144" t="s">
        <v>1776</v>
      </c>
      <c r="D106" s="156"/>
      <c r="E106" s="156" t="s">
        <v>1331</v>
      </c>
      <c r="F106" s="156" t="s">
        <v>92</v>
      </c>
      <c r="G106" s="154">
        <v>183000</v>
      </c>
    </row>
    <row r="107" spans="1:7" ht="21.6" customHeight="1">
      <c r="A107" s="154" t="s">
        <v>1299</v>
      </c>
      <c r="B107" s="154" t="str" cm="1">
        <f t="array" ref="B107">_xlfn.XLOOKUP(TRUE, ISNUMBER(SEARCH(工作表5!$A$1:$A$23, C107)), 工作表5!$B$1:$B$23, "其他")</f>
        <v>滾筒組</v>
      </c>
      <c r="C107" s="144" t="s">
        <v>95</v>
      </c>
      <c r="D107" s="156"/>
      <c r="E107" s="156" t="s">
        <v>1332</v>
      </c>
      <c r="F107" s="156" t="s">
        <v>94</v>
      </c>
      <c r="G107" s="154">
        <v>183000</v>
      </c>
    </row>
    <row r="108" spans="1:7" ht="21.6" customHeight="1">
      <c r="A108" s="154" t="s">
        <v>1299</v>
      </c>
      <c r="B108" s="154" t="str" cm="1">
        <f t="array" ref="B108">_xlfn.XLOOKUP(TRUE, ISNUMBER(SEARCH(工作表5!$A$1:$A$23, C108)), 工作表5!$B$1:$B$23, "其他")</f>
        <v>滾筒組</v>
      </c>
      <c r="C108" s="144" t="s">
        <v>98</v>
      </c>
      <c r="D108" s="156"/>
      <c r="E108" s="156" t="s">
        <v>1333</v>
      </c>
      <c r="F108" s="156" t="s">
        <v>97</v>
      </c>
      <c r="G108" s="154">
        <v>183000</v>
      </c>
    </row>
    <row r="109" spans="1:7" ht="21.6" customHeight="1">
      <c r="A109" s="154" t="s">
        <v>1299</v>
      </c>
      <c r="B109" s="154" t="str" cm="1">
        <f t="array" ref="B109">_xlfn.XLOOKUP(TRUE, ISNUMBER(SEARCH(工作表5!$A$1:$A$23, C109)), 工作表5!$B$1:$B$23, "其他")</f>
        <v>其他</v>
      </c>
      <c r="C109" s="144" t="s">
        <v>101</v>
      </c>
      <c r="D109" s="156"/>
      <c r="E109" s="156" t="s">
        <v>1334</v>
      </c>
      <c r="F109" s="156" t="s">
        <v>100</v>
      </c>
      <c r="G109" s="154">
        <v>183000</v>
      </c>
    </row>
    <row r="110" spans="1:7" ht="21.6" customHeight="1">
      <c r="A110" s="154" t="s">
        <v>1299</v>
      </c>
      <c r="B110" s="154" t="str" cm="1">
        <f t="array" ref="B110">_xlfn.XLOOKUP(TRUE, ISNUMBER(SEARCH(工作表5!$A$1:$A$23, C110)), 工作表5!$B$1:$B$23, "其他")</f>
        <v>顯像組</v>
      </c>
      <c r="C110" s="145" t="s">
        <v>104</v>
      </c>
      <c r="D110" s="156"/>
      <c r="E110" s="156" t="s">
        <v>1335</v>
      </c>
      <c r="F110" s="156" t="s">
        <v>103</v>
      </c>
      <c r="G110" s="154">
        <v>183000</v>
      </c>
    </row>
    <row r="111" spans="1:7" ht="21.6" customHeight="1">
      <c r="A111" s="154" t="s">
        <v>1299</v>
      </c>
      <c r="B111" s="154" t="str" cm="1">
        <f t="array" ref="B111">_xlfn.XLOOKUP(TRUE, ISNUMBER(SEARCH(工作表5!$A$1:$A$23, C111)), 工作表5!$B$1:$B$23, "其他")</f>
        <v>滾筒組</v>
      </c>
      <c r="C111" s="144" t="s">
        <v>107</v>
      </c>
      <c r="D111" s="156"/>
      <c r="E111" s="156" t="s">
        <v>1336</v>
      </c>
      <c r="F111" s="156" t="s">
        <v>106</v>
      </c>
      <c r="G111" s="154">
        <v>61000</v>
      </c>
    </row>
    <row r="112" spans="1:7" ht="21.6" customHeight="1">
      <c r="A112" s="154" t="s">
        <v>1299</v>
      </c>
      <c r="B112" s="154" t="str" cm="1">
        <f t="array" ref="B112">_xlfn.XLOOKUP(TRUE, ISNUMBER(SEARCH(工作表5!$A$1:$A$23, C112)), 工作表5!$B$1:$B$23, "其他")</f>
        <v>取紙組</v>
      </c>
      <c r="C112" s="144" t="s">
        <v>110</v>
      </c>
      <c r="D112" s="156"/>
      <c r="E112" s="156" t="s">
        <v>1354</v>
      </c>
      <c r="F112" s="156" t="s">
        <v>167</v>
      </c>
      <c r="G112" s="154">
        <v>80000</v>
      </c>
    </row>
    <row r="113" spans="1:7" ht="21.6" customHeight="1">
      <c r="A113" s="154" t="s">
        <v>1299</v>
      </c>
      <c r="B113" s="154" t="str" cm="1">
        <f t="array" ref="B113">_xlfn.XLOOKUP(TRUE, ISNUMBER(SEARCH(工作表5!$A$1:$A$23, C113)), 工作表5!$B$1:$B$23, "其他")</f>
        <v>手送台</v>
      </c>
      <c r="C113" s="144" t="s">
        <v>114</v>
      </c>
      <c r="D113" s="156"/>
      <c r="E113" s="156" t="s">
        <v>1355</v>
      </c>
      <c r="F113" s="156" t="s">
        <v>169</v>
      </c>
      <c r="G113" s="154">
        <v>80000</v>
      </c>
    </row>
    <row r="114" spans="1:7" ht="21.6" customHeight="1">
      <c r="A114" s="154" t="s">
        <v>1299</v>
      </c>
      <c r="B114" s="154" t="str" cm="1">
        <f t="array" ref="B114">_xlfn.XLOOKUP(TRUE, ISNUMBER(SEARCH(工作表5!$A$1:$A$23, C114)), 工作表5!$B$1:$B$23, "其他")</f>
        <v>手送台</v>
      </c>
      <c r="C114" s="144" t="s">
        <v>115</v>
      </c>
      <c r="D114" s="156"/>
      <c r="E114" s="156" t="s">
        <v>1356</v>
      </c>
      <c r="F114" s="156" t="s">
        <v>171</v>
      </c>
      <c r="G114" s="154">
        <v>80000</v>
      </c>
    </row>
    <row r="115" spans="1:7" ht="21.6" customHeight="1">
      <c r="A115" s="154" t="s">
        <v>1299</v>
      </c>
      <c r="B115" s="154" t="str" cm="1">
        <f t="array" ref="B115">_xlfn.XLOOKUP(TRUE, ISNUMBER(SEARCH(工作表5!$A$1:$A$23, C115)), 工作表5!$B$1:$B$23, "其他")</f>
        <v>手送台</v>
      </c>
      <c r="C115" s="144" t="s">
        <v>119</v>
      </c>
      <c r="D115" s="156"/>
      <c r="E115" s="156" t="s">
        <v>1359</v>
      </c>
      <c r="F115" s="156" t="s">
        <v>180</v>
      </c>
      <c r="G115" s="154">
        <v>80000</v>
      </c>
    </row>
    <row r="116" spans="1:7" ht="21.6" customHeight="1">
      <c r="A116" s="154" t="s">
        <v>1299</v>
      </c>
      <c r="B116" s="154" t="str" cm="1">
        <f t="array" ref="B116">_xlfn.XLOOKUP(TRUE, ISNUMBER(SEARCH(工作表5!$A$1:$A$23, C116)), 工作表5!$B$1:$B$23, "其他")</f>
        <v>手送台</v>
      </c>
      <c r="C116" s="144" t="s">
        <v>119</v>
      </c>
      <c r="D116" s="156"/>
      <c r="E116" s="156" t="s">
        <v>1360</v>
      </c>
      <c r="F116" s="156" t="s">
        <v>183</v>
      </c>
      <c r="G116" s="154">
        <v>80000</v>
      </c>
    </row>
    <row r="117" spans="1:7" ht="21.6" customHeight="1">
      <c r="A117" s="154" t="s">
        <v>1299</v>
      </c>
      <c r="B117" s="154" t="str" cm="1">
        <f t="array" ref="B117">_xlfn.XLOOKUP(TRUE, ISNUMBER(SEARCH(工作表5!$A$1:$A$23, C117)), 工作表5!$B$1:$B$23, "其他")</f>
        <v>顯像組</v>
      </c>
      <c r="C117" s="144" t="s">
        <v>122</v>
      </c>
      <c r="D117" s="156"/>
      <c r="E117" s="156" t="s">
        <v>1340</v>
      </c>
      <c r="F117" s="156" t="s">
        <v>121</v>
      </c>
      <c r="G117" s="154">
        <v>61000</v>
      </c>
    </row>
    <row r="118" spans="1:7" ht="21.6" customHeight="1">
      <c r="A118" s="154" t="s">
        <v>1299</v>
      </c>
      <c r="B118" s="154" t="str" cm="1">
        <f t="array" ref="B118">_xlfn.XLOOKUP(TRUE, ISNUMBER(SEARCH(工作表5!$A$1:$A$23, C118)), 工作表5!$B$1:$B$23, "其他")</f>
        <v>其他</v>
      </c>
      <c r="C118" s="144" t="s">
        <v>126</v>
      </c>
      <c r="D118" s="156"/>
      <c r="E118" s="156" t="s">
        <v>1351</v>
      </c>
      <c r="F118" s="156" t="s">
        <v>158</v>
      </c>
      <c r="G118" s="154">
        <v>183000</v>
      </c>
    </row>
    <row r="119" spans="1:7" ht="21.6" customHeight="1">
      <c r="A119" s="154" t="s">
        <v>1299</v>
      </c>
      <c r="B119" s="154" t="str" cm="1">
        <f t="array" ref="B119">_xlfn.XLOOKUP(TRUE, ISNUMBER(SEARCH(工作表5!$A$1:$A$23, C119)), 工作表5!$B$1:$B$23, "其他")</f>
        <v>顯像組</v>
      </c>
      <c r="C119" s="144" t="s">
        <v>129</v>
      </c>
      <c r="D119" s="156"/>
      <c r="E119" s="156" t="s">
        <v>1352</v>
      </c>
      <c r="F119" s="156" t="s">
        <v>161</v>
      </c>
      <c r="G119" s="154" t="e">
        <v>#VALUE!</v>
      </c>
    </row>
    <row r="120" spans="1:7" ht="21.6" customHeight="1">
      <c r="A120" s="154" t="s">
        <v>1299</v>
      </c>
      <c r="B120" s="154" t="str" cm="1">
        <f t="array" ref="B120">_xlfn.XLOOKUP(TRUE, ISNUMBER(SEARCH(工作表5!$A$1:$A$23, C120)), 工作表5!$B$1:$B$23, "其他")</f>
        <v>滾筒組</v>
      </c>
      <c r="C120" s="146" t="s">
        <v>132</v>
      </c>
      <c r="D120" s="156"/>
      <c r="E120" s="156" t="s">
        <v>1343</v>
      </c>
      <c r="F120" s="156" t="s">
        <v>131</v>
      </c>
      <c r="G120" s="154" t="e">
        <v>#VALUE!</v>
      </c>
    </row>
    <row r="121" spans="1:7" ht="21.6" customHeight="1">
      <c r="A121" s="154" t="s">
        <v>1299</v>
      </c>
      <c r="B121" s="154" t="str" cm="1">
        <f t="array" ref="B121">_xlfn.XLOOKUP(TRUE, ISNUMBER(SEARCH(工作表5!$A$1:$A$23, C121)), 工作表5!$B$1:$B$23, "其他")</f>
        <v>顯像組</v>
      </c>
      <c r="C121" s="144" t="s">
        <v>135</v>
      </c>
      <c r="D121" s="156"/>
      <c r="E121" s="156" t="s">
        <v>1344</v>
      </c>
      <c r="F121" s="156" t="s">
        <v>134</v>
      </c>
      <c r="G121" s="154" t="e">
        <v>#VALUE!</v>
      </c>
    </row>
    <row r="122" spans="1:7" ht="21.6" customHeight="1">
      <c r="A122" s="154" t="s">
        <v>1299</v>
      </c>
      <c r="B122" s="154" t="str" cm="1">
        <f t="array" ref="B122">_xlfn.XLOOKUP(TRUE, ISNUMBER(SEARCH(工作表5!$A$1:$A$23, C122)), 工作表5!$B$1:$B$23, "其他")</f>
        <v>定著組</v>
      </c>
      <c r="C122" s="147" t="s">
        <v>138</v>
      </c>
      <c r="D122" s="156"/>
      <c r="E122" s="156" t="s">
        <v>1353</v>
      </c>
      <c r="F122" s="156" t="s">
        <v>164</v>
      </c>
      <c r="G122" s="154" t="e">
        <v>#VALUE!</v>
      </c>
    </row>
    <row r="123" spans="1:7" ht="21.6" customHeight="1">
      <c r="A123" s="154" t="s">
        <v>42</v>
      </c>
      <c r="B123" s="154" t="str" cm="1">
        <f t="array" ref="B123">_xlfn.XLOOKUP(TRUE, ISNUMBER(SEARCH(工作表5!$A$1:$A$23, C123)), 工作表5!$B$1:$B$23, "其他")</f>
        <v>滾筒組</v>
      </c>
      <c r="C123" s="143" t="s">
        <v>71</v>
      </c>
      <c r="D123" s="156"/>
      <c r="E123" s="156" t="s">
        <v>1324</v>
      </c>
      <c r="F123" s="156" t="s">
        <v>70</v>
      </c>
      <c r="G123" s="154">
        <v>64000</v>
      </c>
    </row>
    <row r="124" spans="1:7" ht="21.6" customHeight="1">
      <c r="A124" s="154" t="s">
        <v>42</v>
      </c>
      <c r="B124" s="154" t="str" cm="1">
        <f t="array" ref="B124">_xlfn.XLOOKUP(TRUE, ISNUMBER(SEARCH(工作表5!$A$1:$A$23, C124)), 工作表5!$B$1:$B$23, "其他")</f>
        <v>顯像組</v>
      </c>
      <c r="C124" s="144" t="s">
        <v>75</v>
      </c>
      <c r="D124" s="156"/>
      <c r="E124" s="156" t="s">
        <v>1325</v>
      </c>
      <c r="F124" s="156" t="s">
        <v>74</v>
      </c>
      <c r="G124" s="154">
        <v>64000</v>
      </c>
    </row>
    <row r="125" spans="1:7" ht="21.6" customHeight="1">
      <c r="A125" s="154" t="s">
        <v>42</v>
      </c>
      <c r="B125" s="154" t="str" cm="1">
        <f t="array" ref="B125">_xlfn.XLOOKUP(TRUE, ISNUMBER(SEARCH(工作表5!$A$1:$A$23, C125)), 工作表5!$B$1:$B$23, "其他")</f>
        <v>顯像組</v>
      </c>
      <c r="C125" s="148" t="s">
        <v>141</v>
      </c>
      <c r="D125" s="156"/>
      <c r="E125" s="156" t="s">
        <v>1346</v>
      </c>
      <c r="F125" s="156" t="s">
        <v>140</v>
      </c>
      <c r="G125" s="154">
        <v>64000</v>
      </c>
    </row>
    <row r="126" spans="1:7" ht="21.6" customHeight="1">
      <c r="A126" s="154" t="s">
        <v>42</v>
      </c>
      <c r="B126" s="154" t="str" cm="1">
        <f t="array" ref="B126">_xlfn.XLOOKUP(TRUE, ISNUMBER(SEARCH(工作表5!$A$1:$A$23, C126)), 工作表5!$B$1:$B$23, "其他")</f>
        <v>滾筒組</v>
      </c>
      <c r="C126" s="144" t="s">
        <v>78</v>
      </c>
      <c r="D126" s="156"/>
      <c r="E126" s="156" t="s">
        <v>1326</v>
      </c>
      <c r="F126" s="156" t="s">
        <v>77</v>
      </c>
      <c r="G126" s="154">
        <v>64000</v>
      </c>
    </row>
    <row r="127" spans="1:7" ht="21.6" customHeight="1">
      <c r="A127" s="154" t="s">
        <v>42</v>
      </c>
      <c r="B127" s="154" t="str" cm="1">
        <f t="array" ref="B127">_xlfn.XLOOKUP(TRUE, ISNUMBER(SEARCH(工作表5!$A$1:$A$23, C127)), 工作表5!$B$1:$B$23, "其他")</f>
        <v>轉寫組</v>
      </c>
      <c r="C127" s="144" t="s">
        <v>81</v>
      </c>
      <c r="D127" s="156"/>
      <c r="E127" s="156" t="s">
        <v>1327</v>
      </c>
      <c r="F127" s="156" t="s">
        <v>80</v>
      </c>
      <c r="G127" s="154">
        <v>64000</v>
      </c>
    </row>
    <row r="128" spans="1:7" ht="21.6" customHeight="1">
      <c r="A128" s="154" t="s">
        <v>42</v>
      </c>
      <c r="B128" s="154" t="str" cm="1">
        <f t="array" ref="B128">_xlfn.XLOOKUP(TRUE, ISNUMBER(SEARCH(工作表5!$A$1:$A$23, C128)), 工作表5!$B$1:$B$23, "其他")</f>
        <v>定著組</v>
      </c>
      <c r="C128" s="145" t="s">
        <v>1775</v>
      </c>
      <c r="D128" s="156"/>
      <c r="E128" s="156" t="s">
        <v>1328</v>
      </c>
      <c r="F128" s="156" t="s">
        <v>83</v>
      </c>
      <c r="G128" s="154">
        <v>192000</v>
      </c>
    </row>
    <row r="129" spans="1:7" ht="21.6" customHeight="1">
      <c r="A129" s="154" t="s">
        <v>42</v>
      </c>
      <c r="B129" s="154" t="str" cm="1">
        <f t="array" ref="B129">_xlfn.XLOOKUP(TRUE, ISNUMBER(SEARCH(工作表5!$A$1:$A$23, C129)), 工作表5!$B$1:$B$23, "其他")</f>
        <v>定著組</v>
      </c>
      <c r="C129" s="144" t="s">
        <v>87</v>
      </c>
      <c r="D129" s="156"/>
      <c r="E129" s="156" t="s">
        <v>1347</v>
      </c>
      <c r="F129" s="156" t="s">
        <v>144</v>
      </c>
      <c r="G129" s="154">
        <v>192000</v>
      </c>
    </row>
    <row r="130" spans="1:7" ht="21.6" customHeight="1">
      <c r="A130" s="154" t="s">
        <v>42</v>
      </c>
      <c r="B130" s="154" t="str" cm="1">
        <f t="array" ref="B130">_xlfn.XLOOKUP(TRUE, ISNUMBER(SEARCH(工作表5!$A$1:$A$23, C130)), 工作表5!$B$1:$B$23, "其他")</f>
        <v>定著組</v>
      </c>
      <c r="C130" s="144" t="s">
        <v>90</v>
      </c>
      <c r="D130" s="156"/>
      <c r="E130" s="156" t="s">
        <v>1330</v>
      </c>
      <c r="F130" s="156" t="s">
        <v>89</v>
      </c>
      <c r="G130" s="154">
        <v>192000</v>
      </c>
    </row>
    <row r="131" spans="1:7" ht="21.6" customHeight="1">
      <c r="A131" s="154" t="s">
        <v>42</v>
      </c>
      <c r="B131" s="154" t="str" cm="1">
        <f t="array" ref="B131">_xlfn.XLOOKUP(TRUE, ISNUMBER(SEARCH(工作表5!$A$1:$A$23, C131)), 工作表5!$B$1:$B$23, "其他")</f>
        <v>定著組</v>
      </c>
      <c r="C131" s="144" t="s">
        <v>1776</v>
      </c>
      <c r="D131" s="156"/>
      <c r="E131" s="156" t="s">
        <v>1331</v>
      </c>
      <c r="F131" s="156" t="s">
        <v>92</v>
      </c>
      <c r="G131" s="154">
        <v>192000</v>
      </c>
    </row>
    <row r="132" spans="1:7" ht="21.6" customHeight="1">
      <c r="A132" s="154" t="s">
        <v>42</v>
      </c>
      <c r="B132" s="154" t="str" cm="1">
        <f t="array" ref="B132">_xlfn.XLOOKUP(TRUE, ISNUMBER(SEARCH(工作表5!$A$1:$A$23, C132)), 工作表5!$B$1:$B$23, "其他")</f>
        <v>滾筒組</v>
      </c>
      <c r="C132" s="144" t="s">
        <v>95</v>
      </c>
      <c r="D132" s="156"/>
      <c r="E132" s="156" t="s">
        <v>1332</v>
      </c>
      <c r="F132" s="156" t="s">
        <v>94</v>
      </c>
      <c r="G132" s="154">
        <v>192000</v>
      </c>
    </row>
    <row r="133" spans="1:7" ht="21.6" customHeight="1">
      <c r="A133" s="154" t="s">
        <v>42</v>
      </c>
      <c r="B133" s="154" t="str" cm="1">
        <f t="array" ref="B133">_xlfn.XLOOKUP(TRUE, ISNUMBER(SEARCH(工作表5!$A$1:$A$23, C133)), 工作表5!$B$1:$B$23, "其他")</f>
        <v>滾筒組</v>
      </c>
      <c r="C133" s="144" t="s">
        <v>98</v>
      </c>
      <c r="D133" s="156"/>
      <c r="E133" s="156" t="s">
        <v>1333</v>
      </c>
      <c r="F133" s="156" t="s">
        <v>97</v>
      </c>
      <c r="G133" s="154">
        <v>192000</v>
      </c>
    </row>
    <row r="134" spans="1:7" ht="21.6" customHeight="1">
      <c r="A134" s="154" t="s">
        <v>42</v>
      </c>
      <c r="B134" s="154" t="str" cm="1">
        <f t="array" ref="B134">_xlfn.XLOOKUP(TRUE, ISNUMBER(SEARCH(工作表5!$A$1:$A$23, C134)), 工作表5!$B$1:$B$23, "其他")</f>
        <v>其他</v>
      </c>
      <c r="C134" s="144" t="s">
        <v>101</v>
      </c>
      <c r="D134" s="156"/>
      <c r="E134" s="156" t="s">
        <v>1334</v>
      </c>
      <c r="F134" s="156" t="s">
        <v>100</v>
      </c>
      <c r="G134" s="154">
        <v>192000</v>
      </c>
    </row>
    <row r="135" spans="1:7" ht="21.6" customHeight="1">
      <c r="A135" s="154" t="s">
        <v>42</v>
      </c>
      <c r="B135" s="154" t="str" cm="1">
        <f t="array" ref="B135">_xlfn.XLOOKUP(TRUE, ISNUMBER(SEARCH(工作表5!$A$1:$A$23, C135)), 工作表5!$B$1:$B$23, "其他")</f>
        <v>顯像組</v>
      </c>
      <c r="C135" s="145" t="s">
        <v>104</v>
      </c>
      <c r="D135" s="156"/>
      <c r="E135" s="156" t="s">
        <v>1335</v>
      </c>
      <c r="F135" s="156" t="s">
        <v>103</v>
      </c>
      <c r="G135" s="154">
        <v>192000</v>
      </c>
    </row>
    <row r="136" spans="1:7" ht="21.6" customHeight="1">
      <c r="A136" s="154" t="s">
        <v>42</v>
      </c>
      <c r="B136" s="154" t="str" cm="1">
        <f t="array" ref="B136">_xlfn.XLOOKUP(TRUE, ISNUMBER(SEARCH(工作表5!$A$1:$A$23, C136)), 工作表5!$B$1:$B$23, "其他")</f>
        <v>滾筒組</v>
      </c>
      <c r="C136" s="144" t="s">
        <v>107</v>
      </c>
      <c r="D136" s="156"/>
      <c r="E136" s="156" t="s">
        <v>1336</v>
      </c>
      <c r="F136" s="156" t="s">
        <v>106</v>
      </c>
      <c r="G136" s="154">
        <v>64000</v>
      </c>
    </row>
    <row r="137" spans="1:7" ht="21.6" customHeight="1">
      <c r="A137" s="154" t="s">
        <v>42</v>
      </c>
      <c r="B137" s="154" t="str" cm="1">
        <f t="array" ref="B137">_xlfn.XLOOKUP(TRUE, ISNUMBER(SEARCH(工作表5!$A$1:$A$23, C137)), 工作表5!$B$1:$B$23, "其他")</f>
        <v>取紙組</v>
      </c>
      <c r="C137" s="144" t="s">
        <v>110</v>
      </c>
      <c r="D137" s="156"/>
      <c r="E137" s="156" t="s">
        <v>1354</v>
      </c>
      <c r="F137" s="156" t="s">
        <v>167</v>
      </c>
      <c r="G137" s="154">
        <v>80000</v>
      </c>
    </row>
    <row r="138" spans="1:7" ht="21.6" customHeight="1">
      <c r="A138" s="154" t="s">
        <v>42</v>
      </c>
      <c r="B138" s="154" t="str" cm="1">
        <f t="array" ref="B138">_xlfn.XLOOKUP(TRUE, ISNUMBER(SEARCH(工作表5!$A$1:$A$23, C138)), 工作表5!$B$1:$B$23, "其他")</f>
        <v>手送台</v>
      </c>
      <c r="C138" s="144" t="s">
        <v>114</v>
      </c>
      <c r="D138" s="156"/>
      <c r="E138" s="156" t="s">
        <v>1355</v>
      </c>
      <c r="F138" s="156" t="s">
        <v>169</v>
      </c>
      <c r="G138" s="154">
        <v>80000</v>
      </c>
    </row>
    <row r="139" spans="1:7" ht="21.6" customHeight="1">
      <c r="A139" s="154" t="s">
        <v>42</v>
      </c>
      <c r="B139" s="154" t="str" cm="1">
        <f t="array" ref="B139">_xlfn.XLOOKUP(TRUE, ISNUMBER(SEARCH(工作表5!$A$1:$A$23, C139)), 工作表5!$B$1:$B$23, "其他")</f>
        <v>手送台</v>
      </c>
      <c r="C139" s="144" t="s">
        <v>115</v>
      </c>
      <c r="D139" s="156"/>
      <c r="E139" s="156" t="s">
        <v>1356</v>
      </c>
      <c r="F139" s="156" t="s">
        <v>171</v>
      </c>
      <c r="G139" s="154">
        <v>80000</v>
      </c>
    </row>
    <row r="140" spans="1:7" ht="21.6" customHeight="1">
      <c r="A140" s="154" t="s">
        <v>42</v>
      </c>
      <c r="B140" s="154" t="str" cm="1">
        <f t="array" ref="B140">_xlfn.XLOOKUP(TRUE, ISNUMBER(SEARCH(工作表5!$A$1:$A$23, C140)), 工作表5!$B$1:$B$23, "其他")</f>
        <v>手送台</v>
      </c>
      <c r="C140" s="144" t="s">
        <v>119</v>
      </c>
      <c r="D140" s="156"/>
      <c r="E140" s="156" t="s">
        <v>1359</v>
      </c>
      <c r="F140" s="156" t="s">
        <v>180</v>
      </c>
      <c r="G140" s="154">
        <v>80000</v>
      </c>
    </row>
    <row r="141" spans="1:7" ht="21.6" customHeight="1">
      <c r="A141" s="154" t="s">
        <v>42</v>
      </c>
      <c r="B141" s="154" t="str" cm="1">
        <f t="array" ref="B141">_xlfn.XLOOKUP(TRUE, ISNUMBER(SEARCH(工作表5!$A$1:$A$23, C141)), 工作表5!$B$1:$B$23, "其他")</f>
        <v>手送台</v>
      </c>
      <c r="C141" s="144" t="s">
        <v>119</v>
      </c>
      <c r="D141" s="156"/>
      <c r="E141" s="156" t="s">
        <v>1360</v>
      </c>
      <c r="F141" s="156" t="s">
        <v>183</v>
      </c>
      <c r="G141" s="154">
        <v>80000</v>
      </c>
    </row>
    <row r="142" spans="1:7" ht="21.6" customHeight="1">
      <c r="A142" s="154" t="s">
        <v>42</v>
      </c>
      <c r="B142" s="154" t="str" cm="1">
        <f t="array" ref="B142">_xlfn.XLOOKUP(TRUE, ISNUMBER(SEARCH(工作表5!$A$1:$A$23, C142)), 工作表5!$B$1:$B$23, "其他")</f>
        <v>顯像組</v>
      </c>
      <c r="C142" s="144" t="s">
        <v>122</v>
      </c>
      <c r="D142" s="156"/>
      <c r="E142" s="156" t="s">
        <v>1340</v>
      </c>
      <c r="F142" s="156" t="s">
        <v>121</v>
      </c>
      <c r="G142" s="154">
        <v>64000</v>
      </c>
    </row>
    <row r="143" spans="1:7" ht="21.6" customHeight="1">
      <c r="A143" s="154" t="s">
        <v>42</v>
      </c>
      <c r="B143" s="154" t="str" cm="1">
        <f t="array" ref="B143">_xlfn.XLOOKUP(TRUE, ISNUMBER(SEARCH(工作表5!$A$1:$A$23, C143)), 工作表5!$B$1:$B$23, "其他")</f>
        <v>其他</v>
      </c>
      <c r="C143" s="144" t="s">
        <v>126</v>
      </c>
      <c r="D143" s="156"/>
      <c r="E143" s="156" t="s">
        <v>1351</v>
      </c>
      <c r="F143" s="156" t="s">
        <v>158</v>
      </c>
      <c r="G143" s="154">
        <v>192000</v>
      </c>
    </row>
    <row r="144" spans="1:7" ht="21.6" customHeight="1">
      <c r="A144" s="154" t="s">
        <v>42</v>
      </c>
      <c r="B144" s="154" t="str" cm="1">
        <f t="array" ref="B144">_xlfn.XLOOKUP(TRUE, ISNUMBER(SEARCH(工作表5!$A$1:$A$23, C144)), 工作表5!$B$1:$B$23, "其他")</f>
        <v>顯像組</v>
      </c>
      <c r="C144" s="144" t="s">
        <v>129</v>
      </c>
      <c r="D144" s="156"/>
      <c r="E144" s="156" t="s">
        <v>1352</v>
      </c>
      <c r="F144" s="156" t="s">
        <v>161</v>
      </c>
      <c r="G144" s="154" t="e">
        <v>#VALUE!</v>
      </c>
    </row>
    <row r="145" spans="1:7" ht="21.6" customHeight="1">
      <c r="A145" s="154" t="s">
        <v>42</v>
      </c>
      <c r="B145" s="154" t="str" cm="1">
        <f t="array" ref="B145">_xlfn.XLOOKUP(TRUE, ISNUMBER(SEARCH(工作表5!$A$1:$A$23, C145)), 工作表5!$B$1:$B$23, "其他")</f>
        <v>滾筒組</v>
      </c>
      <c r="C145" s="146" t="s">
        <v>132</v>
      </c>
      <c r="D145" s="156"/>
      <c r="E145" s="156" t="s">
        <v>1343</v>
      </c>
      <c r="F145" s="156" t="s">
        <v>131</v>
      </c>
      <c r="G145" s="154" t="e">
        <v>#VALUE!</v>
      </c>
    </row>
    <row r="146" spans="1:7" ht="21.6" customHeight="1">
      <c r="A146" s="154" t="s">
        <v>42</v>
      </c>
      <c r="B146" s="154" t="str" cm="1">
        <f t="array" ref="B146">_xlfn.XLOOKUP(TRUE, ISNUMBER(SEARCH(工作表5!$A$1:$A$23, C146)), 工作表5!$B$1:$B$23, "其他")</f>
        <v>顯像組</v>
      </c>
      <c r="C146" s="144" t="s">
        <v>135</v>
      </c>
      <c r="D146" s="156"/>
      <c r="E146" s="156" t="s">
        <v>1344</v>
      </c>
      <c r="F146" s="156" t="s">
        <v>134</v>
      </c>
      <c r="G146" s="154" t="e">
        <v>#VALUE!</v>
      </c>
    </row>
    <row r="147" spans="1:7" ht="21.6" customHeight="1">
      <c r="A147" s="154" t="s">
        <v>42</v>
      </c>
      <c r="B147" s="154" t="str" cm="1">
        <f t="array" ref="B147">_xlfn.XLOOKUP(TRUE, ISNUMBER(SEARCH(工作表5!$A$1:$A$23, C147)), 工作表5!$B$1:$B$23, "其他")</f>
        <v>定著組</v>
      </c>
      <c r="C147" s="147" t="s">
        <v>138</v>
      </c>
      <c r="D147" s="156"/>
      <c r="E147" s="156" t="s">
        <v>1353</v>
      </c>
      <c r="F147" s="156" t="s">
        <v>164</v>
      </c>
      <c r="G147" s="154" t="e">
        <v>#VALUE!</v>
      </c>
    </row>
    <row r="148" spans="1:7" ht="21.6" customHeight="1">
      <c r="A148" s="154">
        <v>257</v>
      </c>
      <c r="B148" s="154" t="str" cm="1">
        <f t="array" ref="B148">_xlfn.XLOOKUP(TRUE, ISNUMBER(SEARCH(工作表5!$A$1:$A$23, C148)), 工作表5!$B$1:$B$23, "其他")</f>
        <v>滾筒組</v>
      </c>
      <c r="C148" s="143" t="s">
        <v>193</v>
      </c>
      <c r="D148" s="156"/>
      <c r="E148" s="156" t="s">
        <v>1361</v>
      </c>
      <c r="F148" s="156" t="s">
        <v>192</v>
      </c>
      <c r="G148" s="154">
        <v>100000</v>
      </c>
    </row>
    <row r="149" spans="1:7" ht="21.6" customHeight="1">
      <c r="A149" s="154">
        <v>257</v>
      </c>
      <c r="B149" s="154" t="str" cm="1">
        <f t="array" ref="B149">_xlfn.XLOOKUP(TRUE, ISNUMBER(SEARCH(工作表5!$A$1:$A$23, C149)), 工作表5!$B$1:$B$23, "其他")</f>
        <v>顯像組</v>
      </c>
      <c r="C149" s="144" t="s">
        <v>75</v>
      </c>
      <c r="D149" s="156"/>
      <c r="E149" s="156" t="s">
        <v>1362</v>
      </c>
      <c r="F149" s="156" t="s">
        <v>196</v>
      </c>
      <c r="G149" s="154">
        <v>100000</v>
      </c>
    </row>
    <row r="150" spans="1:7" ht="21.6" customHeight="1">
      <c r="A150" s="154">
        <v>257</v>
      </c>
      <c r="B150" s="154" t="str" cm="1">
        <f t="array" ref="B150">_xlfn.XLOOKUP(TRUE, ISNUMBER(SEARCH(工作表5!$A$1:$A$23, C150)), 工作表5!$B$1:$B$23, "其他")</f>
        <v>滾筒組</v>
      </c>
      <c r="C150" s="144" t="s">
        <v>78</v>
      </c>
      <c r="D150" s="156"/>
      <c r="E150" s="156" t="s">
        <v>1326</v>
      </c>
      <c r="F150" s="156" t="s">
        <v>77</v>
      </c>
      <c r="G150" s="154">
        <v>100000</v>
      </c>
    </row>
    <row r="151" spans="1:7" ht="21.6" customHeight="1">
      <c r="A151" s="154">
        <v>257</v>
      </c>
      <c r="B151" s="154" t="str" cm="1">
        <f t="array" ref="B151">_xlfn.XLOOKUP(TRUE, ISNUMBER(SEARCH(工作表5!$A$1:$A$23, C151)), 工作表5!$B$1:$B$23, "其他")</f>
        <v>定著組</v>
      </c>
      <c r="C151" s="145" t="s">
        <v>1775</v>
      </c>
      <c r="D151" s="156"/>
      <c r="E151" s="156" t="s">
        <v>1363</v>
      </c>
      <c r="F151" s="156" t="s">
        <v>198</v>
      </c>
      <c r="G151" s="154">
        <v>200000</v>
      </c>
    </row>
    <row r="152" spans="1:7" ht="21.6" customHeight="1">
      <c r="A152" s="154">
        <v>257</v>
      </c>
      <c r="B152" s="154" t="str" cm="1">
        <f t="array" ref="B152">_xlfn.XLOOKUP(TRUE, ISNUMBER(SEARCH(工作表5!$A$1:$A$23, C152)), 工作表5!$B$1:$B$23, "其他")</f>
        <v>定著組</v>
      </c>
      <c r="C152" s="144" t="s">
        <v>87</v>
      </c>
      <c r="D152" s="156"/>
      <c r="E152" s="156" t="s">
        <v>1364</v>
      </c>
      <c r="F152" s="156" t="s">
        <v>200</v>
      </c>
      <c r="G152" s="154">
        <v>200000</v>
      </c>
    </row>
    <row r="153" spans="1:7" ht="21.6" customHeight="1">
      <c r="A153" s="154">
        <v>257</v>
      </c>
      <c r="B153" s="154" t="str" cm="1">
        <f t="array" ref="B153">_xlfn.XLOOKUP(TRUE, ISNUMBER(SEARCH(工作表5!$A$1:$A$23, C153)), 工作表5!$B$1:$B$23, "其他")</f>
        <v>轉寫組</v>
      </c>
      <c r="C153" s="144" t="s">
        <v>81</v>
      </c>
      <c r="D153" s="156"/>
      <c r="E153" s="156" t="s">
        <v>1365</v>
      </c>
      <c r="F153" s="156" t="s">
        <v>202</v>
      </c>
      <c r="G153" s="154">
        <v>100000</v>
      </c>
    </row>
    <row r="154" spans="1:7" ht="21.6" customHeight="1">
      <c r="A154" s="154">
        <v>257</v>
      </c>
      <c r="B154" s="154" t="str" cm="1">
        <f t="array" ref="B154">_xlfn.XLOOKUP(TRUE, ISNUMBER(SEARCH(工作表5!$A$1:$A$23, C154)), 工作表5!$B$1:$B$23, "其他")</f>
        <v>滾筒組</v>
      </c>
      <c r="C154" s="144" t="s">
        <v>95</v>
      </c>
      <c r="D154" s="156"/>
      <c r="E154" s="156" t="s">
        <v>1332</v>
      </c>
      <c r="F154" s="156" t="s">
        <v>94</v>
      </c>
      <c r="G154" s="154">
        <v>100000</v>
      </c>
    </row>
    <row r="155" spans="1:7" ht="21.6" customHeight="1">
      <c r="A155" s="154">
        <v>257</v>
      </c>
      <c r="B155" s="154" t="str" cm="1">
        <f t="array" ref="B155">_xlfn.XLOOKUP(TRUE, ISNUMBER(SEARCH(工作表5!$A$1:$A$23, C155)), 工作表5!$B$1:$B$23, "其他")</f>
        <v>滾筒組</v>
      </c>
      <c r="C155" s="144" t="s">
        <v>98</v>
      </c>
      <c r="D155" s="156"/>
      <c r="E155" s="156" t="s">
        <v>1366</v>
      </c>
      <c r="F155" s="156" t="s">
        <v>204</v>
      </c>
      <c r="G155" s="154">
        <v>100000</v>
      </c>
    </row>
    <row r="156" spans="1:7" ht="21.6" customHeight="1">
      <c r="A156" s="154">
        <v>257</v>
      </c>
      <c r="B156" s="154" t="str" cm="1">
        <f t="array" ref="B156">_xlfn.XLOOKUP(TRUE, ISNUMBER(SEARCH(工作表5!$A$1:$A$23, C156)), 工作表5!$B$1:$B$23, "其他")</f>
        <v>滾筒組</v>
      </c>
      <c r="C156" s="144" t="s">
        <v>107</v>
      </c>
      <c r="D156" s="156"/>
      <c r="E156" s="156" t="s">
        <v>1367</v>
      </c>
      <c r="F156" s="156" t="s">
        <v>206</v>
      </c>
      <c r="G156" s="154">
        <v>100000</v>
      </c>
    </row>
    <row r="157" spans="1:7" ht="21.6" customHeight="1">
      <c r="A157" s="154">
        <v>257</v>
      </c>
      <c r="B157" s="154" t="str" cm="1">
        <f t="array" ref="B157">_xlfn.XLOOKUP(TRUE, ISNUMBER(SEARCH(工作表5!$A$1:$A$23, C157)), 工作表5!$B$1:$B$23, "其他")</f>
        <v>顯像組</v>
      </c>
      <c r="C157" s="145" t="s">
        <v>104</v>
      </c>
      <c r="D157" s="156"/>
      <c r="E157" s="156" t="s">
        <v>1368</v>
      </c>
      <c r="F157" s="156" t="s">
        <v>208</v>
      </c>
      <c r="G157" s="154">
        <v>100000</v>
      </c>
    </row>
    <row r="158" spans="1:7" ht="21.6" customHeight="1">
      <c r="A158" s="154">
        <v>257</v>
      </c>
      <c r="B158" s="154" t="str" cm="1">
        <f t="array" ref="B158">_xlfn.XLOOKUP(TRUE, ISNUMBER(SEARCH(工作表5!$A$1:$A$23, C158)), 工作表5!$B$1:$B$23, "其他")</f>
        <v>定著組</v>
      </c>
      <c r="C158" s="144" t="s">
        <v>90</v>
      </c>
      <c r="D158" s="156"/>
      <c r="E158" s="156" t="s">
        <v>1369</v>
      </c>
      <c r="F158" s="156" t="s">
        <v>210</v>
      </c>
      <c r="G158" s="154">
        <v>200000</v>
      </c>
    </row>
    <row r="159" spans="1:7" ht="21.6" customHeight="1">
      <c r="A159" s="154">
        <v>257</v>
      </c>
      <c r="B159" s="154" t="str" cm="1">
        <f t="array" ref="B159">_xlfn.XLOOKUP(TRUE, ISNUMBER(SEARCH(工作表5!$A$1:$A$23, C159)), 工作表5!$B$1:$B$23, "其他")</f>
        <v>其他</v>
      </c>
      <c r="C159" s="144" t="s">
        <v>101</v>
      </c>
      <c r="D159" s="156"/>
      <c r="E159" s="156" t="s">
        <v>1370</v>
      </c>
      <c r="F159" s="156" t="s">
        <v>212</v>
      </c>
      <c r="G159" s="154">
        <v>200000</v>
      </c>
    </row>
    <row r="160" spans="1:7" ht="21.6" customHeight="1">
      <c r="A160" s="154">
        <v>257</v>
      </c>
      <c r="B160" s="154" t="str" cm="1">
        <f t="array" ref="B160">_xlfn.XLOOKUP(TRUE, ISNUMBER(SEARCH(工作表5!$A$1:$A$23, C160)), 工作表5!$B$1:$B$23, "其他")</f>
        <v>取紙組</v>
      </c>
      <c r="C160" s="144" t="s">
        <v>1777</v>
      </c>
      <c r="D160" s="156"/>
      <c r="E160" s="156" t="s">
        <v>1371</v>
      </c>
      <c r="F160" s="156" t="s">
        <v>214</v>
      </c>
      <c r="G160" s="154">
        <v>80000</v>
      </c>
    </row>
    <row r="161" spans="1:7" ht="21.6" customHeight="1">
      <c r="A161" s="154">
        <v>257</v>
      </c>
      <c r="B161" s="154" t="str" cm="1">
        <f t="array" ref="B161">_xlfn.XLOOKUP(TRUE, ISNUMBER(SEARCH(工作表5!$A$1:$A$23, C161)), 工作表5!$B$1:$B$23, "其他")</f>
        <v>取紙組</v>
      </c>
      <c r="C161" s="144" t="s">
        <v>219</v>
      </c>
      <c r="D161" s="156"/>
      <c r="E161" s="156" t="s">
        <v>1372</v>
      </c>
      <c r="F161" s="156" t="s">
        <v>218</v>
      </c>
      <c r="G161" s="154">
        <v>80000</v>
      </c>
    </row>
    <row r="162" spans="1:7" ht="21.6" customHeight="1">
      <c r="A162" s="154">
        <v>257</v>
      </c>
      <c r="B162" s="154" t="str" cm="1">
        <f t="array" ref="B162">_xlfn.XLOOKUP(TRUE, ISNUMBER(SEARCH(工作表5!$A$1:$A$23, C162)), 工作表5!$B$1:$B$23, "其他")</f>
        <v>取紙組</v>
      </c>
      <c r="C162" s="144" t="s">
        <v>215</v>
      </c>
      <c r="D162" s="156" t="s">
        <v>1769</v>
      </c>
      <c r="E162" s="156" t="s">
        <v>1373</v>
      </c>
      <c r="F162" s="156" t="s">
        <v>221</v>
      </c>
      <c r="G162" s="154">
        <v>80000</v>
      </c>
    </row>
    <row r="163" spans="1:7" ht="21.6" customHeight="1">
      <c r="A163" s="154">
        <v>257</v>
      </c>
      <c r="B163" s="154" t="str" cm="1">
        <f t="array" ref="B163">_xlfn.XLOOKUP(TRUE, ISNUMBER(SEARCH(工作表5!$A$1:$A$23, C163)), 工作表5!$B$1:$B$23, "其他")</f>
        <v>手送台</v>
      </c>
      <c r="C163" s="144" t="s">
        <v>115</v>
      </c>
      <c r="D163" s="156"/>
      <c r="E163" s="156" t="s">
        <v>1356</v>
      </c>
      <c r="F163" s="156" t="s">
        <v>171</v>
      </c>
      <c r="G163" s="154">
        <v>80000</v>
      </c>
    </row>
    <row r="164" spans="1:7" ht="21.6" customHeight="1">
      <c r="A164" s="154">
        <v>257</v>
      </c>
      <c r="B164" s="154" t="str" cm="1">
        <f t="array" ref="B164">_xlfn.XLOOKUP(TRUE, ISNUMBER(SEARCH(工作表5!$A$1:$A$23, C164)), 工作表5!$B$1:$B$23, "其他")</f>
        <v>手送台</v>
      </c>
      <c r="C164" s="144" t="s">
        <v>224</v>
      </c>
      <c r="D164" s="156" t="s">
        <v>1771</v>
      </c>
      <c r="E164" s="156" t="s">
        <v>1374</v>
      </c>
      <c r="F164" s="156" t="s">
        <v>223</v>
      </c>
      <c r="G164" s="154">
        <v>80000</v>
      </c>
    </row>
    <row r="165" spans="1:7" ht="21.6" customHeight="1">
      <c r="A165" s="154">
        <v>257</v>
      </c>
      <c r="B165" s="154" t="str" cm="1">
        <f t="array" ref="B165">_xlfn.XLOOKUP(TRUE, ISNUMBER(SEARCH(工作表5!$A$1:$A$23, C165)), 工作表5!$B$1:$B$23, "其他")</f>
        <v>送稿機</v>
      </c>
      <c r="C165" s="144" t="s">
        <v>1778</v>
      </c>
      <c r="D165" s="156" t="s">
        <v>1773</v>
      </c>
      <c r="E165" s="156" t="s">
        <v>1375</v>
      </c>
      <c r="F165" s="156" t="s">
        <v>226</v>
      </c>
      <c r="G165" s="154">
        <v>120000</v>
      </c>
    </row>
    <row r="166" spans="1:7" ht="21.6" customHeight="1">
      <c r="A166" s="154">
        <v>257</v>
      </c>
      <c r="B166" s="154" t="str" cm="1">
        <f t="array" ref="B166">_xlfn.XLOOKUP(TRUE, ISNUMBER(SEARCH(工作表5!$A$1:$A$23, C166)), 工作表5!$B$1:$B$23, "其他")</f>
        <v>送稿機</v>
      </c>
      <c r="C166" s="144" t="s">
        <v>227</v>
      </c>
      <c r="D166" s="156" t="s">
        <v>1773</v>
      </c>
      <c r="E166" s="156" t="s">
        <v>1376</v>
      </c>
      <c r="F166" s="156" t="s">
        <v>230</v>
      </c>
      <c r="G166" s="154">
        <v>120000</v>
      </c>
    </row>
    <row r="167" spans="1:7" ht="21.6" customHeight="1">
      <c r="A167" s="154">
        <v>257</v>
      </c>
      <c r="B167" s="154" t="str" cm="1">
        <f t="array" ref="B167">_xlfn.XLOOKUP(TRUE, ISNUMBER(SEARCH(工作表5!$A$1:$A$23, C167)), 工作表5!$B$1:$B$23, "其他")</f>
        <v>取紙組</v>
      </c>
      <c r="C167" s="144" t="s">
        <v>1779</v>
      </c>
      <c r="D167" s="156" t="s">
        <v>1860</v>
      </c>
      <c r="E167" s="156" t="s">
        <v>1377</v>
      </c>
      <c r="F167" s="156" t="s">
        <v>232</v>
      </c>
      <c r="G167" s="154">
        <v>160000</v>
      </c>
    </row>
    <row r="168" spans="1:7" ht="21.6" customHeight="1">
      <c r="A168" s="154">
        <v>257</v>
      </c>
      <c r="B168" s="154" t="str" cm="1">
        <f t="array" ref="B168">_xlfn.XLOOKUP(TRUE, ISNUMBER(SEARCH(工作表5!$A$1:$A$23, C168)), 工作表5!$B$1:$B$23, "其他")</f>
        <v>大容量取紙組</v>
      </c>
      <c r="C168" s="144" t="s">
        <v>237</v>
      </c>
      <c r="D168" s="156" t="s">
        <v>1860</v>
      </c>
      <c r="E168" s="156" t="s">
        <v>1378</v>
      </c>
      <c r="F168" s="156" t="s">
        <v>236</v>
      </c>
      <c r="G168" s="154">
        <v>160000</v>
      </c>
    </row>
    <row r="169" spans="1:7" ht="21.6" customHeight="1">
      <c r="A169" s="154">
        <v>257</v>
      </c>
      <c r="B169" s="154" t="str" cm="1">
        <f t="array" ref="B169">_xlfn.XLOOKUP(TRUE, ISNUMBER(SEARCH(工作表5!$A$1:$A$23, C169)), 工作表5!$B$1:$B$23, "其他")</f>
        <v>取紙組</v>
      </c>
      <c r="C169" s="144" t="s">
        <v>233</v>
      </c>
      <c r="D169" s="156" t="s">
        <v>1860</v>
      </c>
      <c r="E169" s="156" t="s">
        <v>1379</v>
      </c>
      <c r="F169" s="156" t="s">
        <v>239</v>
      </c>
      <c r="G169" s="154">
        <v>160000</v>
      </c>
    </row>
    <row r="170" spans="1:7" ht="21.6" customHeight="1">
      <c r="A170" s="154">
        <v>257</v>
      </c>
      <c r="B170" s="154" t="str" cm="1">
        <f t="array" ref="B170">_xlfn.XLOOKUP(TRUE, ISNUMBER(SEARCH(工作表5!$A$1:$A$23, C170)), 工作表5!$B$1:$B$23, "其他")</f>
        <v>顯像組</v>
      </c>
      <c r="C170" s="144" t="s">
        <v>122</v>
      </c>
      <c r="D170" s="156"/>
      <c r="E170" s="156" t="s">
        <v>1380</v>
      </c>
      <c r="F170" s="156" t="s">
        <v>241</v>
      </c>
      <c r="G170" s="154">
        <v>100000</v>
      </c>
    </row>
    <row r="171" spans="1:7" ht="21.6" customHeight="1">
      <c r="A171" s="154">
        <v>257</v>
      </c>
      <c r="B171" s="154" t="str" cm="1">
        <f t="array" ref="B171">_xlfn.XLOOKUP(TRUE, ISNUMBER(SEARCH(工作表5!$A$1:$A$23, C171)), 工作表5!$B$1:$B$23, "其他")</f>
        <v>定著組</v>
      </c>
      <c r="C171" s="145" t="s">
        <v>244</v>
      </c>
      <c r="D171" s="156" t="s">
        <v>1767</v>
      </c>
      <c r="E171" s="156" t="s">
        <v>1381</v>
      </c>
      <c r="F171" s="156" t="s">
        <v>243</v>
      </c>
      <c r="G171" s="154">
        <v>200000</v>
      </c>
    </row>
    <row r="172" spans="1:7" ht="21.6" customHeight="1">
      <c r="A172" s="154">
        <v>257</v>
      </c>
      <c r="B172" s="154" t="str" cm="1">
        <f t="array" ref="B172">_xlfn.XLOOKUP(TRUE, ISNUMBER(SEARCH(工作表5!$A$1:$A$23, C172)), 工作表5!$B$1:$B$23, "其他")</f>
        <v>取紙組</v>
      </c>
      <c r="C172" s="144" t="s">
        <v>247</v>
      </c>
      <c r="D172" s="156" t="s">
        <v>1769</v>
      </c>
      <c r="E172" s="156" t="s">
        <v>1382</v>
      </c>
      <c r="F172" s="156" t="s">
        <v>246</v>
      </c>
      <c r="G172" s="154">
        <v>80000</v>
      </c>
    </row>
    <row r="173" spans="1:7" ht="21.6" customHeight="1">
      <c r="A173" s="154">
        <v>257</v>
      </c>
      <c r="B173" s="154" t="str" cm="1">
        <f t="array" ref="B173">_xlfn.XLOOKUP(TRUE, ISNUMBER(SEARCH(工作表5!$A$1:$A$23, C173)), 工作表5!$B$1:$B$23, "其他")</f>
        <v>送稿機</v>
      </c>
      <c r="C173" s="144" t="s">
        <v>250</v>
      </c>
      <c r="D173" s="156" t="s">
        <v>1773</v>
      </c>
      <c r="E173" s="156" t="s">
        <v>1383</v>
      </c>
      <c r="F173" s="156" t="s">
        <v>249</v>
      </c>
      <c r="G173" s="154">
        <v>120000</v>
      </c>
    </row>
    <row r="174" spans="1:7" ht="21.6" customHeight="1">
      <c r="A174" s="154">
        <v>257</v>
      </c>
      <c r="B174" s="154" t="str" cm="1">
        <f t="array" ref="B174">_xlfn.XLOOKUP(TRUE, ISNUMBER(SEARCH(工作表5!$A$1:$A$23, C174)), 工作表5!$B$1:$B$23, "其他")</f>
        <v>取紙組</v>
      </c>
      <c r="C174" s="144" t="s">
        <v>253</v>
      </c>
      <c r="D174" s="156" t="s">
        <v>1769</v>
      </c>
      <c r="E174" s="156" t="s">
        <v>1384</v>
      </c>
      <c r="F174" s="156" t="s">
        <v>252</v>
      </c>
      <c r="G174" s="154">
        <v>160000</v>
      </c>
    </row>
    <row r="175" spans="1:7" ht="21.6" customHeight="1">
      <c r="A175" s="154">
        <v>257</v>
      </c>
      <c r="B175" s="154" t="str" cm="1">
        <f t="array" ref="B175">_xlfn.XLOOKUP(TRUE, ISNUMBER(SEARCH(工作表5!$A$1:$A$23, C175)), 工作表5!$B$1:$B$23, "其他")</f>
        <v>顯像組</v>
      </c>
      <c r="C175" s="146" t="s">
        <v>129</v>
      </c>
      <c r="D175" s="156"/>
      <c r="E175" s="156" t="s">
        <v>1385</v>
      </c>
      <c r="F175" s="156" t="s">
        <v>255</v>
      </c>
      <c r="G175" s="154" t="e">
        <v>#VALUE!</v>
      </c>
    </row>
    <row r="176" spans="1:7" ht="21.6" customHeight="1">
      <c r="A176" s="154">
        <v>257</v>
      </c>
      <c r="B176" s="154" t="str" cm="1">
        <f t="array" ref="B176">_xlfn.XLOOKUP(TRUE, ISNUMBER(SEARCH(工作表5!$A$1:$A$23, C176)), 工作表5!$B$1:$B$23, "其他")</f>
        <v>定著組</v>
      </c>
      <c r="C176" s="144" t="s">
        <v>258</v>
      </c>
      <c r="D176" s="156" t="s">
        <v>1767</v>
      </c>
      <c r="E176" s="156" t="s">
        <v>1386</v>
      </c>
      <c r="F176" s="156" t="s">
        <v>257</v>
      </c>
      <c r="G176" s="154" t="e">
        <v>#VALUE!</v>
      </c>
    </row>
    <row r="177" spans="1:7" ht="21.6" customHeight="1">
      <c r="A177" s="154" t="s">
        <v>40</v>
      </c>
      <c r="B177" s="154" t="str" cm="1">
        <f t="array" ref="B177">_xlfn.XLOOKUP(TRUE, ISNUMBER(SEARCH(工作表5!$A$1:$A$23, C177)), 工作表5!$B$1:$B$23, "其他")</f>
        <v>滾筒組</v>
      </c>
      <c r="C177" s="143" t="s">
        <v>193</v>
      </c>
      <c r="D177" s="156"/>
      <c r="E177" s="156" t="s">
        <v>1361</v>
      </c>
      <c r="F177" s="156" t="s">
        <v>192</v>
      </c>
      <c r="G177" s="154">
        <v>100000</v>
      </c>
    </row>
    <row r="178" spans="1:7" ht="21.6" customHeight="1">
      <c r="A178" s="154" t="s">
        <v>40</v>
      </c>
      <c r="B178" s="154" t="str" cm="1">
        <f t="array" ref="B178">_xlfn.XLOOKUP(TRUE, ISNUMBER(SEARCH(工作表5!$A$1:$A$23, C178)), 工作表5!$B$1:$B$23, "其他")</f>
        <v>顯像組</v>
      </c>
      <c r="C178" s="144" t="s">
        <v>75</v>
      </c>
      <c r="D178" s="156"/>
      <c r="E178" s="156" t="s">
        <v>1362</v>
      </c>
      <c r="F178" s="156" t="s">
        <v>196</v>
      </c>
      <c r="G178" s="154">
        <v>100000</v>
      </c>
    </row>
    <row r="179" spans="1:7" ht="21.6" customHeight="1">
      <c r="A179" s="154" t="s">
        <v>40</v>
      </c>
      <c r="B179" s="154" t="str" cm="1">
        <f t="array" ref="B179">_xlfn.XLOOKUP(TRUE, ISNUMBER(SEARCH(工作表5!$A$1:$A$23, C179)), 工作表5!$B$1:$B$23, "其他")</f>
        <v>滾筒組</v>
      </c>
      <c r="C179" s="144" t="s">
        <v>78</v>
      </c>
      <c r="D179" s="156"/>
      <c r="E179" s="156" t="s">
        <v>1326</v>
      </c>
      <c r="F179" s="156" t="s">
        <v>77</v>
      </c>
      <c r="G179" s="154">
        <v>100000</v>
      </c>
    </row>
    <row r="180" spans="1:7" ht="21.6" customHeight="1">
      <c r="A180" s="154" t="s">
        <v>40</v>
      </c>
      <c r="B180" s="154" t="str" cm="1">
        <f t="array" ref="B180">_xlfn.XLOOKUP(TRUE, ISNUMBER(SEARCH(工作表5!$A$1:$A$23, C180)), 工作表5!$B$1:$B$23, "其他")</f>
        <v>定著組</v>
      </c>
      <c r="C180" s="145" t="s">
        <v>1775</v>
      </c>
      <c r="D180" s="156"/>
      <c r="E180" s="156" t="s">
        <v>1387</v>
      </c>
      <c r="F180" s="156" t="s">
        <v>260</v>
      </c>
      <c r="G180" s="154">
        <v>200000</v>
      </c>
    </row>
    <row r="181" spans="1:7" ht="21.6" customHeight="1">
      <c r="A181" s="154" t="s">
        <v>40</v>
      </c>
      <c r="B181" s="154" t="str" cm="1">
        <f t="array" ref="B181">_xlfn.XLOOKUP(TRUE, ISNUMBER(SEARCH(工作表5!$A$1:$A$23, C181)), 工作表5!$B$1:$B$23, "其他")</f>
        <v>定著組</v>
      </c>
      <c r="C181" s="144" t="s">
        <v>87</v>
      </c>
      <c r="D181" s="156"/>
      <c r="E181" s="156" t="s">
        <v>1388</v>
      </c>
      <c r="F181" s="156" t="s">
        <v>262</v>
      </c>
      <c r="G181" s="154">
        <v>200000</v>
      </c>
    </row>
    <row r="182" spans="1:7" ht="21.6" customHeight="1">
      <c r="A182" s="154" t="s">
        <v>40</v>
      </c>
      <c r="B182" s="154" t="str" cm="1">
        <f t="array" ref="B182">_xlfn.XLOOKUP(TRUE, ISNUMBER(SEARCH(工作表5!$A$1:$A$23, C182)), 工作表5!$B$1:$B$23, "其他")</f>
        <v>轉寫組</v>
      </c>
      <c r="C182" s="144" t="s">
        <v>81</v>
      </c>
      <c r="D182" s="156"/>
      <c r="E182" s="156" t="s">
        <v>1365</v>
      </c>
      <c r="F182" s="156" t="s">
        <v>202</v>
      </c>
      <c r="G182" s="154">
        <v>100000</v>
      </c>
    </row>
    <row r="183" spans="1:7" ht="21.6" customHeight="1">
      <c r="A183" s="154" t="s">
        <v>40</v>
      </c>
      <c r="B183" s="154" t="str" cm="1">
        <f t="array" ref="B183">_xlfn.XLOOKUP(TRUE, ISNUMBER(SEARCH(工作表5!$A$1:$A$23, C183)), 工作表5!$B$1:$B$23, "其他")</f>
        <v>滾筒組</v>
      </c>
      <c r="C183" s="144" t="s">
        <v>95</v>
      </c>
      <c r="D183" s="156"/>
      <c r="E183" s="156" t="s">
        <v>1332</v>
      </c>
      <c r="F183" s="156" t="s">
        <v>94</v>
      </c>
      <c r="G183" s="154">
        <v>100000</v>
      </c>
    </row>
    <row r="184" spans="1:7" ht="21.6" customHeight="1">
      <c r="A184" s="154" t="s">
        <v>40</v>
      </c>
      <c r="B184" s="154" t="str" cm="1">
        <f t="array" ref="B184">_xlfn.XLOOKUP(TRUE, ISNUMBER(SEARCH(工作表5!$A$1:$A$23, C184)), 工作表5!$B$1:$B$23, "其他")</f>
        <v>滾筒組</v>
      </c>
      <c r="C184" s="144" t="s">
        <v>98</v>
      </c>
      <c r="D184" s="156"/>
      <c r="E184" s="156" t="s">
        <v>1366</v>
      </c>
      <c r="F184" s="156" t="s">
        <v>204</v>
      </c>
      <c r="G184" s="154">
        <v>100000</v>
      </c>
    </row>
    <row r="185" spans="1:7" ht="21.6" customHeight="1">
      <c r="A185" s="154" t="s">
        <v>40</v>
      </c>
      <c r="B185" s="154" t="str" cm="1">
        <f t="array" ref="B185">_xlfn.XLOOKUP(TRUE, ISNUMBER(SEARCH(工作表5!$A$1:$A$23, C185)), 工作表5!$B$1:$B$23, "其他")</f>
        <v>滾筒組</v>
      </c>
      <c r="C185" s="144" t="s">
        <v>107</v>
      </c>
      <c r="D185" s="156"/>
      <c r="E185" s="156" t="s">
        <v>1367</v>
      </c>
      <c r="F185" s="156" t="s">
        <v>206</v>
      </c>
      <c r="G185" s="154">
        <v>100000</v>
      </c>
    </row>
    <row r="186" spans="1:7" ht="21.6" customHeight="1">
      <c r="A186" s="154" t="s">
        <v>40</v>
      </c>
      <c r="B186" s="154" t="str" cm="1">
        <f t="array" ref="B186">_xlfn.XLOOKUP(TRUE, ISNUMBER(SEARCH(工作表5!$A$1:$A$23, C186)), 工作表5!$B$1:$B$23, "其他")</f>
        <v>顯像組</v>
      </c>
      <c r="C186" s="145" t="s">
        <v>104</v>
      </c>
      <c r="D186" s="156"/>
      <c r="E186" s="156" t="s">
        <v>1368</v>
      </c>
      <c r="F186" s="156" t="s">
        <v>208</v>
      </c>
      <c r="G186" s="154">
        <v>100000</v>
      </c>
    </row>
    <row r="187" spans="1:7" ht="21.6" customHeight="1">
      <c r="A187" s="154" t="s">
        <v>40</v>
      </c>
      <c r="B187" s="154" t="str" cm="1">
        <f t="array" ref="B187">_xlfn.XLOOKUP(TRUE, ISNUMBER(SEARCH(工作表5!$A$1:$A$23, C187)), 工作表5!$B$1:$B$23, "其他")</f>
        <v>定著組</v>
      </c>
      <c r="C187" s="144" t="s">
        <v>90</v>
      </c>
      <c r="D187" s="156"/>
      <c r="E187" s="156" t="s">
        <v>1330</v>
      </c>
      <c r="F187" s="156" t="s">
        <v>89</v>
      </c>
      <c r="G187" s="154">
        <v>200000</v>
      </c>
    </row>
    <row r="188" spans="1:7" ht="21.6" customHeight="1">
      <c r="A188" s="154" t="s">
        <v>40</v>
      </c>
      <c r="B188" s="154" t="str" cm="1">
        <f t="array" ref="B188">_xlfn.XLOOKUP(TRUE, ISNUMBER(SEARCH(工作表5!$A$1:$A$23, C188)), 工作表5!$B$1:$B$23, "其他")</f>
        <v>其他</v>
      </c>
      <c r="C188" s="144" t="s">
        <v>263</v>
      </c>
      <c r="D188" s="156"/>
      <c r="E188" s="156" t="s">
        <v>1370</v>
      </c>
      <c r="F188" s="156" t="s">
        <v>212</v>
      </c>
      <c r="G188" s="154">
        <v>200000</v>
      </c>
    </row>
    <row r="189" spans="1:7" ht="21.6" customHeight="1">
      <c r="A189" s="154" t="s">
        <v>40</v>
      </c>
      <c r="B189" s="154" t="str" cm="1">
        <f t="array" ref="B189">_xlfn.XLOOKUP(TRUE, ISNUMBER(SEARCH(工作表5!$A$1:$A$23, C189)), 工作表5!$B$1:$B$23, "其他")</f>
        <v>取紙組</v>
      </c>
      <c r="C189" s="144" t="s">
        <v>1780</v>
      </c>
      <c r="D189" s="156" t="s">
        <v>1769</v>
      </c>
      <c r="E189" s="156" t="s">
        <v>1389</v>
      </c>
      <c r="F189" s="156" t="s">
        <v>265</v>
      </c>
      <c r="G189" s="154">
        <v>80000</v>
      </c>
    </row>
    <row r="190" spans="1:7" ht="21.6" customHeight="1">
      <c r="A190" s="154" t="s">
        <v>40</v>
      </c>
      <c r="B190" s="154" t="str" cm="1">
        <f t="array" ref="B190">_xlfn.XLOOKUP(TRUE, ISNUMBER(SEARCH(工作表5!$A$1:$A$23, C190)), 工作表5!$B$1:$B$23, "其他")</f>
        <v>取紙組</v>
      </c>
      <c r="C190" s="144" t="s">
        <v>270</v>
      </c>
      <c r="D190" s="156"/>
      <c r="E190" s="156" t="s">
        <v>1390</v>
      </c>
      <c r="F190" s="156" t="s">
        <v>269</v>
      </c>
      <c r="G190" s="154">
        <v>80000</v>
      </c>
    </row>
    <row r="191" spans="1:7" ht="21.6" customHeight="1">
      <c r="A191" s="154" t="s">
        <v>40</v>
      </c>
      <c r="B191" s="154" t="str" cm="1">
        <f t="array" ref="B191">_xlfn.XLOOKUP(TRUE, ISNUMBER(SEARCH(工作表5!$A$1:$A$23, C191)), 工作表5!$B$1:$B$23, "其他")</f>
        <v>取紙組</v>
      </c>
      <c r="C191" s="144" t="s">
        <v>266</v>
      </c>
      <c r="D191" s="156" t="s">
        <v>1769</v>
      </c>
      <c r="E191" s="156" t="s">
        <v>1391</v>
      </c>
      <c r="F191" s="156" t="s">
        <v>272</v>
      </c>
      <c r="G191" s="154">
        <v>80000</v>
      </c>
    </row>
    <row r="192" spans="1:7" ht="21.6" customHeight="1">
      <c r="A192" s="154" t="s">
        <v>40</v>
      </c>
      <c r="B192" s="154" t="str" cm="1">
        <f t="array" ref="B192">_xlfn.XLOOKUP(TRUE, ISNUMBER(SEARCH(工作表5!$A$1:$A$23, C192)), 工作表5!$B$1:$B$23, "其他")</f>
        <v>手送台</v>
      </c>
      <c r="C192" s="144" t="s">
        <v>1861</v>
      </c>
      <c r="D192" s="156"/>
      <c r="E192" s="156" t="s">
        <v>1392</v>
      </c>
      <c r="F192" s="156" t="s">
        <v>274</v>
      </c>
      <c r="G192" s="154">
        <v>80000</v>
      </c>
    </row>
    <row r="193" spans="1:7" ht="21.6" customHeight="1">
      <c r="A193" s="154" t="s">
        <v>40</v>
      </c>
      <c r="B193" s="154" t="str" cm="1">
        <f t="array" ref="B193">_xlfn.XLOOKUP(TRUE, ISNUMBER(SEARCH(工作表5!$A$1:$A$23, C193)), 工作表5!$B$1:$B$23, "其他")</f>
        <v>手送台</v>
      </c>
      <c r="C193" s="144" t="s">
        <v>224</v>
      </c>
      <c r="D193" s="156"/>
      <c r="E193" s="156" t="s">
        <v>1393</v>
      </c>
      <c r="F193" s="156" t="s">
        <v>277</v>
      </c>
      <c r="G193" s="154">
        <v>80000</v>
      </c>
    </row>
    <row r="194" spans="1:7" ht="21.6" customHeight="1">
      <c r="A194" s="154" t="s">
        <v>40</v>
      </c>
      <c r="B194" s="154" t="str" cm="1">
        <f t="array" ref="B194">_xlfn.XLOOKUP(TRUE, ISNUMBER(SEARCH(工作表5!$A$1:$A$23, C194)), 工作表5!$B$1:$B$23, "其他")</f>
        <v>送稿機</v>
      </c>
      <c r="C194" s="144" t="s">
        <v>1781</v>
      </c>
      <c r="D194" s="156"/>
      <c r="E194" s="156" t="s">
        <v>1375</v>
      </c>
      <c r="F194" s="156" t="s">
        <v>226</v>
      </c>
      <c r="G194" s="154">
        <v>120000</v>
      </c>
    </row>
    <row r="195" spans="1:7" ht="21.6" customHeight="1">
      <c r="A195" s="154" t="s">
        <v>40</v>
      </c>
      <c r="B195" s="154" t="str" cm="1">
        <f t="array" ref="B195">_xlfn.XLOOKUP(TRUE, ISNUMBER(SEARCH(工作表5!$A$1:$A$23, C195)), 工作表5!$B$1:$B$23, "其他")</f>
        <v>送稿機</v>
      </c>
      <c r="C195" s="144" t="s">
        <v>278</v>
      </c>
      <c r="D195" s="156"/>
      <c r="E195" s="156" t="s">
        <v>1376</v>
      </c>
      <c r="F195" s="156" t="s">
        <v>230</v>
      </c>
      <c r="G195" s="154">
        <v>120000</v>
      </c>
    </row>
    <row r="196" spans="1:7" ht="21.6" customHeight="1">
      <c r="A196" s="154" t="s">
        <v>40</v>
      </c>
      <c r="B196" s="154" t="str" cm="1">
        <f t="array" ref="B196">_xlfn.XLOOKUP(TRUE, ISNUMBER(SEARCH(工作表5!$A$1:$A$23, C196)), 工作表5!$B$1:$B$23, "其他")</f>
        <v>送稿機</v>
      </c>
      <c r="C196" s="144" t="s">
        <v>1782</v>
      </c>
      <c r="D196" s="156"/>
      <c r="E196" s="156" t="s">
        <v>1394</v>
      </c>
      <c r="F196" s="156" t="s">
        <v>281</v>
      </c>
      <c r="G196" s="154">
        <v>120000</v>
      </c>
    </row>
    <row r="197" spans="1:7" ht="21.6" customHeight="1">
      <c r="A197" s="154" t="s">
        <v>40</v>
      </c>
      <c r="B197" s="154" t="str" cm="1">
        <f t="array" ref="B197">_xlfn.XLOOKUP(TRUE, ISNUMBER(SEARCH(工作表5!$A$1:$A$23, C197)), 工作表5!$B$1:$B$23, "其他")</f>
        <v>送稿機</v>
      </c>
      <c r="C197" s="144" t="s">
        <v>285</v>
      </c>
      <c r="D197" s="156"/>
      <c r="E197" s="156" t="s">
        <v>1395</v>
      </c>
      <c r="F197" s="156" t="s">
        <v>226</v>
      </c>
      <c r="G197" s="154">
        <v>120000</v>
      </c>
    </row>
    <row r="198" spans="1:7" ht="21.6" customHeight="1">
      <c r="A198" s="154" t="s">
        <v>40</v>
      </c>
      <c r="B198" s="154" t="str" cm="1">
        <f t="array" ref="B198">_xlfn.XLOOKUP(TRUE, ISNUMBER(SEARCH(工作表5!$A$1:$A$23, C198)), 工作表5!$B$1:$B$23, "其他")</f>
        <v>送稿機</v>
      </c>
      <c r="C198" s="144" t="s">
        <v>282</v>
      </c>
      <c r="D198" s="156"/>
      <c r="E198" s="156" t="s">
        <v>1396</v>
      </c>
      <c r="F198" s="156" t="s">
        <v>288</v>
      </c>
      <c r="G198" s="154">
        <v>120000</v>
      </c>
    </row>
    <row r="199" spans="1:7" ht="21.6" customHeight="1">
      <c r="A199" s="154" t="s">
        <v>40</v>
      </c>
      <c r="B199" s="154" t="str" cm="1">
        <f t="array" ref="B199">_xlfn.XLOOKUP(TRUE, ISNUMBER(SEARCH(工作表5!$A$1:$A$23, C199)), 工作表5!$B$1:$B$23, "其他")</f>
        <v>大容量取紙組</v>
      </c>
      <c r="C199" s="144" t="s">
        <v>1783</v>
      </c>
      <c r="D199" s="156"/>
      <c r="E199" s="156" t="s">
        <v>1377</v>
      </c>
      <c r="F199" s="156" t="s">
        <v>232</v>
      </c>
      <c r="G199" s="154">
        <v>160000</v>
      </c>
    </row>
    <row r="200" spans="1:7" ht="21.6" customHeight="1">
      <c r="A200" s="154" t="s">
        <v>40</v>
      </c>
      <c r="B200" s="154" t="str" cm="1">
        <f t="array" ref="B200">_xlfn.XLOOKUP(TRUE, ISNUMBER(SEARCH(工作表5!$A$1:$A$23, C200)), 工作表5!$B$1:$B$23, "其他")</f>
        <v>大容量取紙組</v>
      </c>
      <c r="C200" s="144" t="s">
        <v>237</v>
      </c>
      <c r="D200" s="156"/>
      <c r="E200" s="156" t="s">
        <v>1378</v>
      </c>
      <c r="F200" s="156" t="s">
        <v>236</v>
      </c>
      <c r="G200" s="154">
        <v>160000</v>
      </c>
    </row>
    <row r="201" spans="1:7" ht="21.6" customHeight="1">
      <c r="A201" s="154" t="s">
        <v>40</v>
      </c>
      <c r="B201" s="154" t="str" cm="1">
        <f t="array" ref="B201">_xlfn.XLOOKUP(TRUE, ISNUMBER(SEARCH(工作表5!$A$1:$A$23, C201)), 工作表5!$B$1:$B$23, "其他")</f>
        <v>大容量取紙組</v>
      </c>
      <c r="C201" s="144" t="s">
        <v>289</v>
      </c>
      <c r="D201" s="156"/>
      <c r="E201" s="156" t="s">
        <v>1379</v>
      </c>
      <c r="F201" s="156" t="s">
        <v>239</v>
      </c>
      <c r="G201" s="154">
        <v>160000</v>
      </c>
    </row>
    <row r="202" spans="1:7" ht="21.6" customHeight="1">
      <c r="A202" s="154" t="s">
        <v>40</v>
      </c>
      <c r="B202" s="154" t="str" cm="1">
        <f t="array" ref="B202">_xlfn.XLOOKUP(TRUE, ISNUMBER(SEARCH(工作表5!$A$1:$A$23, C202)), 工作表5!$B$1:$B$23, "其他")</f>
        <v>顯像組</v>
      </c>
      <c r="C202" s="144" t="s">
        <v>122</v>
      </c>
      <c r="D202" s="156"/>
      <c r="E202" s="156" t="s">
        <v>1397</v>
      </c>
      <c r="F202" s="156" t="s">
        <v>292</v>
      </c>
      <c r="G202" s="154">
        <v>100000</v>
      </c>
    </row>
    <row r="203" spans="1:7" ht="21.6" customHeight="1">
      <c r="A203" s="154" t="s">
        <v>40</v>
      </c>
      <c r="B203" s="154" t="str" cm="1">
        <f t="array" ref="B203">_xlfn.XLOOKUP(TRUE, ISNUMBER(SEARCH(工作表5!$A$1:$A$23, C203)), 工作表5!$B$1:$B$23, "其他")</f>
        <v>定著組</v>
      </c>
      <c r="C203" s="145" t="s">
        <v>244</v>
      </c>
      <c r="D203" s="156"/>
      <c r="E203" s="156" t="s">
        <v>1398</v>
      </c>
      <c r="F203" s="156" t="s">
        <v>294</v>
      </c>
      <c r="G203" s="154">
        <v>200000</v>
      </c>
    </row>
    <row r="204" spans="1:7" ht="21.6" customHeight="1">
      <c r="A204" s="154" t="s">
        <v>40</v>
      </c>
      <c r="B204" s="154" t="str" cm="1">
        <f t="array" ref="B204">_xlfn.XLOOKUP(TRUE, ISNUMBER(SEARCH(工作表5!$A$1:$A$23, C204)), 工作表5!$B$1:$B$23, "其他")</f>
        <v>取紙組</v>
      </c>
      <c r="C204" s="144" t="s">
        <v>247</v>
      </c>
      <c r="D204" s="156"/>
      <c r="E204" s="156" t="s">
        <v>1399</v>
      </c>
      <c r="F204" s="156" t="s">
        <v>296</v>
      </c>
      <c r="G204" s="154">
        <v>80000</v>
      </c>
    </row>
    <row r="205" spans="1:7" ht="21.6" customHeight="1">
      <c r="A205" s="154" t="s">
        <v>40</v>
      </c>
      <c r="B205" s="154" t="str" cm="1">
        <f t="array" ref="B205">_xlfn.XLOOKUP(TRUE, ISNUMBER(SEARCH(工作表5!$A$1:$A$23, C205)), 工作表5!$B$1:$B$23, "其他")</f>
        <v>送稿機</v>
      </c>
      <c r="C205" s="144" t="s">
        <v>300</v>
      </c>
      <c r="D205" s="156"/>
      <c r="E205" s="156" t="s">
        <v>1400</v>
      </c>
      <c r="F205" s="156" t="s">
        <v>299</v>
      </c>
      <c r="G205" s="154">
        <v>120000</v>
      </c>
    </row>
    <row r="206" spans="1:7" ht="21.6" customHeight="1">
      <c r="A206" s="154" t="s">
        <v>40</v>
      </c>
      <c r="B206" s="154" t="str" cm="1">
        <f t="array" ref="B206">_xlfn.XLOOKUP(TRUE, ISNUMBER(SEARCH(工作表5!$A$1:$A$23, C206)), 工作表5!$B$1:$B$23, "其他")</f>
        <v>送稿機</v>
      </c>
      <c r="C206" s="144" t="s">
        <v>303</v>
      </c>
      <c r="D206" s="156"/>
      <c r="E206" s="156" t="s">
        <v>1401</v>
      </c>
      <c r="F206" s="156" t="s">
        <v>302</v>
      </c>
      <c r="G206" s="154">
        <v>120000</v>
      </c>
    </row>
    <row r="207" spans="1:7" ht="21.6" customHeight="1">
      <c r="A207" s="154" t="s">
        <v>40</v>
      </c>
      <c r="B207" s="154" t="str" cm="1">
        <f t="array" ref="B207">_xlfn.XLOOKUP(TRUE, ISNUMBER(SEARCH(工作表5!$A$1:$A$23, C207)), 工作表5!$B$1:$B$23, "其他")</f>
        <v>大容量取紙組</v>
      </c>
      <c r="C207" s="144" t="s">
        <v>304</v>
      </c>
      <c r="D207" s="156"/>
      <c r="E207" s="156" t="s">
        <v>1384</v>
      </c>
      <c r="F207" s="156" t="s">
        <v>252</v>
      </c>
      <c r="G207" s="154">
        <v>160000</v>
      </c>
    </row>
    <row r="208" spans="1:7" ht="21.6" customHeight="1">
      <c r="A208" s="154" t="s">
        <v>40</v>
      </c>
      <c r="B208" s="154" t="str" cm="1">
        <f t="array" ref="B208">_xlfn.XLOOKUP(TRUE, ISNUMBER(SEARCH(工作表5!$A$1:$A$23, C208)), 工作表5!$B$1:$B$23, "其他")</f>
        <v>顯像組</v>
      </c>
      <c r="C208" s="146" t="s">
        <v>129</v>
      </c>
      <c r="D208" s="156"/>
      <c r="E208" s="156" t="s">
        <v>1402</v>
      </c>
      <c r="F208" s="156" t="s">
        <v>306</v>
      </c>
      <c r="G208" s="154" t="e">
        <v>#VALUE!</v>
      </c>
    </row>
    <row r="209" spans="1:7" ht="21.6" customHeight="1">
      <c r="A209" s="154" t="s">
        <v>40</v>
      </c>
      <c r="B209" s="154" t="str" cm="1">
        <f t="array" ref="B209">_xlfn.XLOOKUP(TRUE, ISNUMBER(SEARCH(工作表5!$A$1:$A$23, C209)), 工作表5!$B$1:$B$23, "其他")</f>
        <v>顯像組</v>
      </c>
      <c r="C209" s="146" t="s">
        <v>129</v>
      </c>
      <c r="D209" s="156"/>
      <c r="E209" s="156" t="s">
        <v>1403</v>
      </c>
      <c r="F209" s="156" t="s">
        <v>309</v>
      </c>
      <c r="G209" s="154" t="e">
        <v>#VALUE!</v>
      </c>
    </row>
    <row r="210" spans="1:7" ht="21.6" customHeight="1">
      <c r="A210" s="154" t="s">
        <v>40</v>
      </c>
      <c r="B210" s="154" t="str" cm="1">
        <f t="array" ref="B210">_xlfn.XLOOKUP(TRUE, ISNUMBER(SEARCH(工作表5!$A$1:$A$23, C210)), 工作表5!$B$1:$B$23, "其他")</f>
        <v>定著組</v>
      </c>
      <c r="C210" s="147" t="s">
        <v>313</v>
      </c>
      <c r="D210" s="156"/>
      <c r="E210" s="156" t="s">
        <v>1404</v>
      </c>
      <c r="F210" s="156" t="s">
        <v>312</v>
      </c>
      <c r="G210" s="154" t="e">
        <v>#VALUE!</v>
      </c>
    </row>
    <row r="211" spans="1:7" ht="21.6" customHeight="1">
      <c r="A211" s="154" t="s">
        <v>1300</v>
      </c>
      <c r="B211" s="154" t="str" cm="1">
        <f t="array" ref="B211">_xlfn.XLOOKUP(TRUE, ISNUMBER(SEARCH(工作表5!$A$1:$A$23, C211)), 工作表5!$B$1:$B$23, "其他")</f>
        <v>滾筒組</v>
      </c>
      <c r="C211" s="143" t="s">
        <v>193</v>
      </c>
      <c r="D211" s="156"/>
      <c r="E211" s="156" t="s">
        <v>1405</v>
      </c>
      <c r="F211" s="156" t="s">
        <v>315</v>
      </c>
      <c r="G211" s="154">
        <v>100000</v>
      </c>
    </row>
    <row r="212" spans="1:7" ht="21.6" customHeight="1">
      <c r="A212" s="154" t="s">
        <v>1300</v>
      </c>
      <c r="B212" s="154" t="str" cm="1">
        <f t="array" ref="B212">_xlfn.XLOOKUP(TRUE, ISNUMBER(SEARCH(工作表5!$A$1:$A$23, C212)), 工作表5!$B$1:$B$23, "其他")</f>
        <v>顯像組</v>
      </c>
      <c r="C212" s="144" t="s">
        <v>75</v>
      </c>
      <c r="D212" s="156"/>
      <c r="E212" s="156" t="s">
        <v>1406</v>
      </c>
      <c r="F212" s="156" t="s">
        <v>317</v>
      </c>
      <c r="G212" s="154">
        <v>100000</v>
      </c>
    </row>
    <row r="213" spans="1:7" ht="21.6" customHeight="1">
      <c r="A213" s="154" t="s">
        <v>1300</v>
      </c>
      <c r="B213" s="154" t="str" cm="1">
        <f t="array" ref="B213">_xlfn.XLOOKUP(TRUE, ISNUMBER(SEARCH(工作表5!$A$1:$A$23, C213)), 工作表5!$B$1:$B$23, "其他")</f>
        <v>滾筒組</v>
      </c>
      <c r="C213" s="144" t="s">
        <v>78</v>
      </c>
      <c r="D213" s="156"/>
      <c r="E213" s="156" t="s">
        <v>1326</v>
      </c>
      <c r="F213" s="156" t="s">
        <v>77</v>
      </c>
      <c r="G213" s="154">
        <v>100000</v>
      </c>
    </row>
    <row r="214" spans="1:7" ht="21.6" customHeight="1">
      <c r="A214" s="154" t="s">
        <v>1300</v>
      </c>
      <c r="B214" s="154" t="str" cm="1">
        <f t="array" ref="B214">_xlfn.XLOOKUP(TRUE, ISNUMBER(SEARCH(工作表5!$A$1:$A$23, C214)), 工作表5!$B$1:$B$23, "其他")</f>
        <v>定著組</v>
      </c>
      <c r="C214" s="145" t="s">
        <v>1775</v>
      </c>
      <c r="D214" s="156"/>
      <c r="E214" s="156" t="s">
        <v>1387</v>
      </c>
      <c r="F214" s="156" t="s">
        <v>260</v>
      </c>
      <c r="G214" s="154">
        <v>200000</v>
      </c>
    </row>
    <row r="215" spans="1:7" ht="21.6" customHeight="1">
      <c r="A215" s="154" t="s">
        <v>1300</v>
      </c>
      <c r="B215" s="154" t="str" cm="1">
        <f t="array" ref="B215">_xlfn.XLOOKUP(TRUE, ISNUMBER(SEARCH(工作表5!$A$1:$A$23, C215)), 工作表5!$B$1:$B$23, "其他")</f>
        <v>定著組</v>
      </c>
      <c r="C215" s="144" t="s">
        <v>87</v>
      </c>
      <c r="D215" s="156"/>
      <c r="E215" s="156" t="s">
        <v>1388</v>
      </c>
      <c r="F215" s="156" t="s">
        <v>262</v>
      </c>
      <c r="G215" s="154">
        <v>200000</v>
      </c>
    </row>
    <row r="216" spans="1:7" ht="21.6" customHeight="1">
      <c r="A216" s="154" t="s">
        <v>1300</v>
      </c>
      <c r="B216" s="154" t="str" cm="1">
        <f t="array" ref="B216">_xlfn.XLOOKUP(TRUE, ISNUMBER(SEARCH(工作表5!$A$1:$A$23, C216)), 工作表5!$B$1:$B$23, "其他")</f>
        <v>轉寫組</v>
      </c>
      <c r="C216" s="144" t="s">
        <v>81</v>
      </c>
      <c r="D216" s="156"/>
      <c r="E216" s="156" t="s">
        <v>1365</v>
      </c>
      <c r="F216" s="156" t="s">
        <v>202</v>
      </c>
      <c r="G216" s="154">
        <v>100000</v>
      </c>
    </row>
    <row r="217" spans="1:7" ht="21.6" customHeight="1">
      <c r="A217" s="154" t="s">
        <v>1300</v>
      </c>
      <c r="B217" s="154" t="str" cm="1">
        <f t="array" ref="B217">_xlfn.XLOOKUP(TRUE, ISNUMBER(SEARCH(工作表5!$A$1:$A$23, C217)), 工作表5!$B$1:$B$23, "其他")</f>
        <v>滾筒組</v>
      </c>
      <c r="C217" s="144" t="s">
        <v>95</v>
      </c>
      <c r="D217" s="156"/>
      <c r="E217" s="156" t="s">
        <v>1332</v>
      </c>
      <c r="F217" s="156" t="s">
        <v>94</v>
      </c>
      <c r="G217" s="154">
        <v>100000</v>
      </c>
    </row>
    <row r="218" spans="1:7" ht="21.6" customHeight="1">
      <c r="A218" s="154" t="s">
        <v>1300</v>
      </c>
      <c r="B218" s="154" t="str" cm="1">
        <f t="array" ref="B218">_xlfn.XLOOKUP(TRUE, ISNUMBER(SEARCH(工作表5!$A$1:$A$23, C218)), 工作表5!$B$1:$B$23, "其他")</f>
        <v>滾筒組</v>
      </c>
      <c r="C218" s="144" t="s">
        <v>98</v>
      </c>
      <c r="D218" s="156"/>
      <c r="E218" s="156" t="s">
        <v>1366</v>
      </c>
      <c r="F218" s="156" t="s">
        <v>204</v>
      </c>
      <c r="G218" s="154">
        <v>100000</v>
      </c>
    </row>
    <row r="219" spans="1:7" ht="21.6" customHeight="1">
      <c r="A219" s="154" t="s">
        <v>1300</v>
      </c>
      <c r="B219" s="154" t="str" cm="1">
        <f t="array" ref="B219">_xlfn.XLOOKUP(TRUE, ISNUMBER(SEARCH(工作表5!$A$1:$A$23, C219)), 工作表5!$B$1:$B$23, "其他")</f>
        <v>滾筒組</v>
      </c>
      <c r="C219" s="144" t="s">
        <v>107</v>
      </c>
      <c r="D219" s="156"/>
      <c r="E219" s="156" t="s">
        <v>1367</v>
      </c>
      <c r="F219" s="156" t="s">
        <v>206</v>
      </c>
      <c r="G219" s="154">
        <v>100000</v>
      </c>
    </row>
    <row r="220" spans="1:7" ht="21.6" customHeight="1">
      <c r="A220" s="154" t="s">
        <v>1300</v>
      </c>
      <c r="B220" s="154" t="str" cm="1">
        <f t="array" ref="B220">_xlfn.XLOOKUP(TRUE, ISNUMBER(SEARCH(工作表5!$A$1:$A$23, C220)), 工作表5!$B$1:$B$23, "其他")</f>
        <v>顯像組</v>
      </c>
      <c r="C220" s="145" t="s">
        <v>104</v>
      </c>
      <c r="D220" s="156"/>
      <c r="E220" s="156" t="s">
        <v>1368</v>
      </c>
      <c r="F220" s="156" t="s">
        <v>208</v>
      </c>
      <c r="G220" s="154">
        <v>100000</v>
      </c>
    </row>
    <row r="221" spans="1:7" ht="21.6" customHeight="1">
      <c r="A221" s="154" t="s">
        <v>1300</v>
      </c>
      <c r="B221" s="154" t="str" cm="1">
        <f t="array" ref="B221">_xlfn.XLOOKUP(TRUE, ISNUMBER(SEARCH(工作表5!$A$1:$A$23, C221)), 工作表5!$B$1:$B$23, "其他")</f>
        <v>定著組</v>
      </c>
      <c r="C221" s="144" t="s">
        <v>90</v>
      </c>
      <c r="D221" s="156"/>
      <c r="E221" s="156" t="s">
        <v>1330</v>
      </c>
      <c r="F221" s="156" t="s">
        <v>89</v>
      </c>
      <c r="G221" s="154">
        <v>200000</v>
      </c>
    </row>
    <row r="222" spans="1:7" ht="21.6" customHeight="1">
      <c r="A222" s="154" t="s">
        <v>1300</v>
      </c>
      <c r="B222" s="154" t="str" cm="1">
        <f t="array" ref="B222">_xlfn.XLOOKUP(TRUE, ISNUMBER(SEARCH(工作表5!$A$1:$A$23, C222)), 工作表5!$B$1:$B$23, "其他")</f>
        <v>其他</v>
      </c>
      <c r="C222" s="144" t="s">
        <v>263</v>
      </c>
      <c r="D222" s="156"/>
      <c r="E222" s="156" t="s">
        <v>1370</v>
      </c>
      <c r="F222" s="156" t="s">
        <v>212</v>
      </c>
      <c r="G222" s="154">
        <v>200000</v>
      </c>
    </row>
    <row r="223" spans="1:7" ht="21.6" customHeight="1">
      <c r="A223" s="154" t="s">
        <v>1300</v>
      </c>
      <c r="B223" s="154" t="str" cm="1">
        <f t="array" ref="B223">_xlfn.XLOOKUP(TRUE, ISNUMBER(SEARCH(工作表5!$A$1:$A$23, C223)), 工作表5!$B$1:$B$23, "其他")</f>
        <v>取紙組</v>
      </c>
      <c r="C223" s="144" t="s">
        <v>1780</v>
      </c>
      <c r="D223" s="156"/>
      <c r="E223" s="156" t="s">
        <v>1389</v>
      </c>
      <c r="F223" s="156" t="s">
        <v>265</v>
      </c>
      <c r="G223" s="154">
        <v>80000</v>
      </c>
    </row>
    <row r="224" spans="1:7" ht="21.6" customHeight="1">
      <c r="A224" s="154" t="s">
        <v>1300</v>
      </c>
      <c r="B224" s="154" t="str" cm="1">
        <f t="array" ref="B224">_xlfn.XLOOKUP(TRUE, ISNUMBER(SEARCH(工作表5!$A$1:$A$23, C224)), 工作表5!$B$1:$B$23, "其他")</f>
        <v>取紙組</v>
      </c>
      <c r="C224" s="144" t="s">
        <v>270</v>
      </c>
      <c r="D224" s="156"/>
      <c r="E224" s="156" t="s">
        <v>1390</v>
      </c>
      <c r="F224" s="156" t="s">
        <v>269</v>
      </c>
      <c r="G224" s="154">
        <v>80000</v>
      </c>
    </row>
    <row r="225" spans="1:7" ht="21.6" customHeight="1">
      <c r="A225" s="154" t="s">
        <v>1300</v>
      </c>
      <c r="B225" s="154" t="str" cm="1">
        <f t="array" ref="B225">_xlfn.XLOOKUP(TRUE, ISNUMBER(SEARCH(工作表5!$A$1:$A$23, C225)), 工作表5!$B$1:$B$23, "其他")</f>
        <v>取紙組</v>
      </c>
      <c r="C225" s="144" t="s">
        <v>266</v>
      </c>
      <c r="D225" s="156"/>
      <c r="E225" s="156" t="s">
        <v>1391</v>
      </c>
      <c r="F225" s="156" t="s">
        <v>272</v>
      </c>
      <c r="G225" s="154">
        <v>80000</v>
      </c>
    </row>
    <row r="226" spans="1:7" ht="21.6" customHeight="1">
      <c r="A226" s="154" t="s">
        <v>1300</v>
      </c>
      <c r="B226" s="154" t="str" cm="1">
        <f t="array" ref="B226">_xlfn.XLOOKUP(TRUE, ISNUMBER(SEARCH(工作表5!$A$1:$A$23, C226)), 工作表5!$B$1:$B$23, "其他")</f>
        <v>手送台</v>
      </c>
      <c r="C226" s="144" t="s">
        <v>1861</v>
      </c>
      <c r="D226" s="156"/>
      <c r="E226" s="156" t="s">
        <v>1392</v>
      </c>
      <c r="F226" s="156" t="s">
        <v>274</v>
      </c>
      <c r="G226" s="154">
        <v>80000</v>
      </c>
    </row>
    <row r="227" spans="1:7" ht="21.6" customHeight="1">
      <c r="A227" s="154" t="s">
        <v>1300</v>
      </c>
      <c r="B227" s="154" t="str" cm="1">
        <f t="array" ref="B227">_xlfn.XLOOKUP(TRUE, ISNUMBER(SEARCH(工作表5!$A$1:$A$23, C227)), 工作表5!$B$1:$B$23, "其他")</f>
        <v>手送台</v>
      </c>
      <c r="C227" s="144" t="s">
        <v>224</v>
      </c>
      <c r="D227" s="156"/>
      <c r="E227" s="156" t="s">
        <v>1393</v>
      </c>
      <c r="F227" s="156" t="s">
        <v>277</v>
      </c>
      <c r="G227" s="154">
        <v>80000</v>
      </c>
    </row>
    <row r="228" spans="1:7" ht="21.6" customHeight="1">
      <c r="A228" s="154" t="s">
        <v>1300</v>
      </c>
      <c r="B228" s="154" t="str" cm="1">
        <f t="array" ref="B228">_xlfn.XLOOKUP(TRUE, ISNUMBER(SEARCH(工作表5!$A$1:$A$23, C228)), 工作表5!$B$1:$B$23, "其他")</f>
        <v>送稿機</v>
      </c>
      <c r="C228" s="144" t="s">
        <v>320</v>
      </c>
      <c r="D228" s="156"/>
      <c r="E228" s="156" t="s">
        <v>1375</v>
      </c>
      <c r="F228" s="156" t="s">
        <v>226</v>
      </c>
      <c r="G228" s="154">
        <v>120000</v>
      </c>
    </row>
    <row r="229" spans="1:7" ht="21.6" customHeight="1">
      <c r="A229" s="154" t="s">
        <v>1300</v>
      </c>
      <c r="B229" s="154" t="str" cm="1">
        <f t="array" ref="B229">_xlfn.XLOOKUP(TRUE, ISNUMBER(SEARCH(工作表5!$A$1:$A$23, C229)), 工作表5!$B$1:$B$23, "其他")</f>
        <v>送稿機</v>
      </c>
      <c r="C229" s="144" t="s">
        <v>278</v>
      </c>
      <c r="D229" s="156"/>
      <c r="E229" s="156" t="s">
        <v>1376</v>
      </c>
      <c r="F229" s="156" t="s">
        <v>230</v>
      </c>
      <c r="G229" s="154">
        <v>120000</v>
      </c>
    </row>
    <row r="230" spans="1:7" ht="21.6" customHeight="1">
      <c r="A230" s="154" t="s">
        <v>1300</v>
      </c>
      <c r="B230" s="154" t="str" cm="1">
        <f t="array" ref="B230">_xlfn.XLOOKUP(TRUE, ISNUMBER(SEARCH(工作表5!$A$1:$A$23, C230)), 工作表5!$B$1:$B$23, "其他")</f>
        <v>送稿機</v>
      </c>
      <c r="C230" s="144" t="s">
        <v>1782</v>
      </c>
      <c r="D230" s="156"/>
      <c r="E230" s="156" t="s">
        <v>1407</v>
      </c>
      <c r="F230" s="156" t="s">
        <v>324</v>
      </c>
      <c r="G230" s="154">
        <v>120000</v>
      </c>
    </row>
    <row r="231" spans="1:7" ht="21.6" customHeight="1">
      <c r="A231" s="154" t="s">
        <v>1300</v>
      </c>
      <c r="B231" s="154" t="str" cm="1">
        <f t="array" ref="B231">_xlfn.XLOOKUP(TRUE, ISNUMBER(SEARCH(工作表5!$A$1:$A$23, C231)), 工作表5!$B$1:$B$23, "其他")</f>
        <v>送稿機</v>
      </c>
      <c r="C231" s="144" t="s">
        <v>285</v>
      </c>
      <c r="D231" s="156"/>
      <c r="E231" s="156" t="s">
        <v>1395</v>
      </c>
      <c r="F231" s="156" t="s">
        <v>226</v>
      </c>
      <c r="G231" s="154">
        <v>120000</v>
      </c>
    </row>
    <row r="232" spans="1:7" ht="21.6" customHeight="1">
      <c r="A232" s="154" t="s">
        <v>1300</v>
      </c>
      <c r="B232" s="154" t="str" cm="1">
        <f t="array" ref="B232">_xlfn.XLOOKUP(TRUE, ISNUMBER(SEARCH(工作表5!$A$1:$A$23, C232)), 工作表5!$B$1:$B$23, "其他")</f>
        <v>送稿機</v>
      </c>
      <c r="C232" s="144" t="s">
        <v>282</v>
      </c>
      <c r="D232" s="156"/>
      <c r="E232" s="156" t="s">
        <v>1396</v>
      </c>
      <c r="F232" s="156" t="s">
        <v>288</v>
      </c>
      <c r="G232" s="154">
        <v>120000</v>
      </c>
    </row>
    <row r="233" spans="1:7" ht="21.6" customHeight="1">
      <c r="A233" s="154" t="s">
        <v>1300</v>
      </c>
      <c r="B233" s="154" t="str" cm="1">
        <f t="array" ref="B233">_xlfn.XLOOKUP(TRUE, ISNUMBER(SEARCH(工作表5!$A$1:$A$23, C233)), 工作表5!$B$1:$B$23, "其他")</f>
        <v>大容量取紙組</v>
      </c>
      <c r="C233" s="144" t="s">
        <v>1783</v>
      </c>
      <c r="D233" s="156"/>
      <c r="E233" s="156" t="s">
        <v>1408</v>
      </c>
      <c r="F233" s="156" t="s">
        <v>327</v>
      </c>
      <c r="G233" s="154">
        <v>320000</v>
      </c>
    </row>
    <row r="234" spans="1:7" ht="21.6" customHeight="1">
      <c r="A234" s="154" t="s">
        <v>1300</v>
      </c>
      <c r="B234" s="154" t="str" cm="1">
        <f t="array" ref="B234">_xlfn.XLOOKUP(TRUE, ISNUMBER(SEARCH(工作表5!$A$1:$A$23, C234)), 工作表5!$B$1:$B$23, "其他")</f>
        <v>大容量取紙組</v>
      </c>
      <c r="C234" s="144" t="s">
        <v>289</v>
      </c>
      <c r="D234" s="156"/>
      <c r="E234" s="156" t="s">
        <v>1409</v>
      </c>
      <c r="F234" s="156" t="s">
        <v>330</v>
      </c>
      <c r="G234" s="154">
        <v>320000</v>
      </c>
    </row>
    <row r="235" spans="1:7" ht="21.6" customHeight="1">
      <c r="A235" s="154" t="s">
        <v>1300</v>
      </c>
      <c r="B235" s="154" t="str" cm="1">
        <f t="array" ref="B235">_xlfn.XLOOKUP(TRUE, ISNUMBER(SEARCH(工作表5!$A$1:$A$23, C235)), 工作表5!$B$1:$B$23, "其他")</f>
        <v>其他</v>
      </c>
      <c r="C235" s="144" t="s">
        <v>1784</v>
      </c>
      <c r="D235" s="156"/>
      <c r="E235" s="156" t="s">
        <v>1410</v>
      </c>
      <c r="F235" s="156" t="s">
        <v>333</v>
      </c>
      <c r="G235" s="154">
        <v>500000</v>
      </c>
    </row>
    <row r="236" spans="1:7" ht="21.6" customHeight="1">
      <c r="A236" s="154" t="s">
        <v>1300</v>
      </c>
      <c r="B236" s="154" t="str" cm="1">
        <f t="array" ref="B236">_xlfn.XLOOKUP(TRUE, ISNUMBER(SEARCH(工作表5!$A$1:$A$23, C236)), 工作表5!$B$1:$B$23, "其他")</f>
        <v>送稿機</v>
      </c>
      <c r="C236" s="144" t="s">
        <v>337</v>
      </c>
      <c r="D236" s="156"/>
      <c r="E236" s="156" t="s">
        <v>1411</v>
      </c>
      <c r="F236" s="156" t="s">
        <v>336</v>
      </c>
      <c r="G236" s="154">
        <v>500000</v>
      </c>
    </row>
    <row r="237" spans="1:7" ht="21.6" customHeight="1">
      <c r="A237" s="154" t="s">
        <v>1300</v>
      </c>
      <c r="B237" s="154" t="str" cm="1">
        <f t="array" ref="B237">_xlfn.XLOOKUP(TRUE, ISNUMBER(SEARCH(工作表5!$A$1:$A$23, C237)), 工作表5!$B$1:$B$23, "其他")</f>
        <v>送稿機</v>
      </c>
      <c r="C237" s="145" t="s">
        <v>341</v>
      </c>
      <c r="D237" s="156"/>
      <c r="E237" s="156" t="s">
        <v>1412</v>
      </c>
      <c r="F237" s="156" t="s">
        <v>340</v>
      </c>
      <c r="G237" s="154">
        <v>500000</v>
      </c>
    </row>
    <row r="238" spans="1:7" ht="21.6" customHeight="1">
      <c r="A238" s="154" t="s">
        <v>1300</v>
      </c>
      <c r="B238" s="154" t="str" cm="1">
        <f t="array" ref="B238">_xlfn.XLOOKUP(TRUE, ISNUMBER(SEARCH(工作表5!$A$1:$A$23, C238)), 工作表5!$B$1:$B$23, "其他")</f>
        <v>顯像組</v>
      </c>
      <c r="C238" s="144" t="s">
        <v>122</v>
      </c>
      <c r="D238" s="156"/>
      <c r="E238" s="156" t="s">
        <v>1413</v>
      </c>
      <c r="F238" s="156" t="s">
        <v>343</v>
      </c>
      <c r="G238" s="154">
        <v>100000</v>
      </c>
    </row>
    <row r="239" spans="1:7" ht="21.6" customHeight="1">
      <c r="A239" s="154" t="s">
        <v>1300</v>
      </c>
      <c r="B239" s="154" t="str" cm="1">
        <f t="array" ref="B239">_xlfn.XLOOKUP(TRUE, ISNUMBER(SEARCH(工作表5!$A$1:$A$23, C239)), 工作表5!$B$1:$B$23, "其他")</f>
        <v>定著組</v>
      </c>
      <c r="C239" s="145" t="s">
        <v>244</v>
      </c>
      <c r="D239" s="156"/>
      <c r="E239" s="156" t="s">
        <v>1398</v>
      </c>
      <c r="F239" s="156" t="s">
        <v>294</v>
      </c>
      <c r="G239" s="154">
        <v>200000</v>
      </c>
    </row>
    <row r="240" spans="1:7" ht="21.6" customHeight="1">
      <c r="A240" s="154" t="s">
        <v>1300</v>
      </c>
      <c r="B240" s="154" t="str" cm="1">
        <f t="array" ref="B240">_xlfn.XLOOKUP(TRUE, ISNUMBER(SEARCH(工作表5!$A$1:$A$23, C240)), 工作表5!$B$1:$B$23, "其他")</f>
        <v>取紙組</v>
      </c>
      <c r="C240" s="144" t="s">
        <v>247</v>
      </c>
      <c r="D240" s="156"/>
      <c r="E240" s="156" t="s">
        <v>1399</v>
      </c>
      <c r="F240" s="156" t="s">
        <v>296</v>
      </c>
      <c r="G240" s="154">
        <v>80000</v>
      </c>
    </row>
    <row r="241" spans="1:7" ht="21.6" customHeight="1">
      <c r="A241" s="154" t="s">
        <v>1300</v>
      </c>
      <c r="B241" s="154" t="str" cm="1">
        <f t="array" ref="B241">_xlfn.XLOOKUP(TRUE, ISNUMBER(SEARCH(工作表5!$A$1:$A$23, C241)), 工作表5!$B$1:$B$23, "其他")</f>
        <v>送稿機</v>
      </c>
      <c r="C241" s="144" t="s">
        <v>300</v>
      </c>
      <c r="D241" s="156"/>
      <c r="E241" s="156" t="s">
        <v>1400</v>
      </c>
      <c r="F241" s="156" t="s">
        <v>299</v>
      </c>
      <c r="G241" s="154">
        <v>120000</v>
      </c>
    </row>
    <row r="242" spans="1:7" ht="21.6" customHeight="1">
      <c r="A242" s="154" t="s">
        <v>1300</v>
      </c>
      <c r="B242" s="154" t="str" cm="1">
        <f t="array" ref="B242">_xlfn.XLOOKUP(TRUE, ISNUMBER(SEARCH(工作表5!$A$1:$A$23, C242)), 工作表5!$B$1:$B$23, "其他")</f>
        <v>送稿機</v>
      </c>
      <c r="C242" s="144" t="s">
        <v>303</v>
      </c>
      <c r="D242" s="156"/>
      <c r="E242" s="156" t="s">
        <v>1414</v>
      </c>
      <c r="F242" s="156" t="s">
        <v>346</v>
      </c>
      <c r="G242" s="154">
        <v>120000</v>
      </c>
    </row>
    <row r="243" spans="1:7" ht="21.6" customHeight="1">
      <c r="A243" s="154" t="s">
        <v>1300</v>
      </c>
      <c r="B243" s="154" t="str" cm="1">
        <f t="array" ref="B243">_xlfn.XLOOKUP(TRUE, ISNUMBER(SEARCH(工作表5!$A$1:$A$23, C243)), 工作表5!$B$1:$B$23, "其他")</f>
        <v>其他</v>
      </c>
      <c r="C243" s="144" t="s">
        <v>349</v>
      </c>
      <c r="D243" s="156"/>
      <c r="E243" s="156" t="s">
        <v>1415</v>
      </c>
      <c r="F243" s="156" t="s">
        <v>348</v>
      </c>
      <c r="G243" s="154">
        <v>500000</v>
      </c>
    </row>
    <row r="244" spans="1:7" ht="21.6" customHeight="1">
      <c r="A244" s="154" t="s">
        <v>1300</v>
      </c>
      <c r="B244" s="154" t="str" cm="1">
        <f t="array" ref="B244">_xlfn.XLOOKUP(TRUE, ISNUMBER(SEARCH(工作表5!$A$1:$A$23, C244)), 工作表5!$B$1:$B$23, "其他")</f>
        <v>顯像組</v>
      </c>
      <c r="C244" s="146" t="s">
        <v>129</v>
      </c>
      <c r="D244" s="156"/>
      <c r="E244" s="156" t="s">
        <v>1416</v>
      </c>
      <c r="F244" s="156" t="s">
        <v>351</v>
      </c>
      <c r="G244" s="154" t="e">
        <v>#VALUE!</v>
      </c>
    </row>
    <row r="245" spans="1:7" ht="21.6" customHeight="1">
      <c r="A245" s="154" t="s">
        <v>1300</v>
      </c>
      <c r="B245" s="154" t="str" cm="1">
        <f t="array" ref="B245">_xlfn.XLOOKUP(TRUE, ISNUMBER(SEARCH(工作表5!$A$1:$A$23, C245)), 工作表5!$B$1:$B$23, "其他")</f>
        <v>定著組</v>
      </c>
      <c r="C245" s="147" t="s">
        <v>313</v>
      </c>
      <c r="D245" s="156"/>
      <c r="E245" s="156" t="s">
        <v>1417</v>
      </c>
      <c r="F245" s="156" t="s">
        <v>353</v>
      </c>
      <c r="G245" s="154" t="e">
        <v>#VALUE!</v>
      </c>
    </row>
    <row r="246" spans="1:7" ht="21.6" customHeight="1">
      <c r="A246" s="154">
        <v>307</v>
      </c>
      <c r="B246" s="154" t="str" cm="1">
        <f t="array" ref="B246">_xlfn.XLOOKUP(TRUE, ISNUMBER(SEARCH(工作表5!$A$1:$A$23, C246)), 工作表5!$B$1:$B$23, "其他")</f>
        <v>滾筒組</v>
      </c>
      <c r="C246" s="143" t="s">
        <v>193</v>
      </c>
      <c r="D246" s="156"/>
      <c r="E246" s="156" t="s">
        <v>1361</v>
      </c>
      <c r="F246" s="156" t="s">
        <v>192</v>
      </c>
      <c r="G246" s="154">
        <v>120000</v>
      </c>
    </row>
    <row r="247" spans="1:7" ht="21.6" customHeight="1">
      <c r="A247" s="154">
        <v>307</v>
      </c>
      <c r="B247" s="154" t="str" cm="1">
        <f t="array" ref="B247">_xlfn.XLOOKUP(TRUE, ISNUMBER(SEARCH(工作表5!$A$1:$A$23, C247)), 工作表5!$B$1:$B$23, "其他")</f>
        <v>顯像組</v>
      </c>
      <c r="C247" s="144" t="s">
        <v>75</v>
      </c>
      <c r="D247" s="156"/>
      <c r="E247" s="156" t="s">
        <v>1362</v>
      </c>
      <c r="F247" s="156" t="s">
        <v>196</v>
      </c>
      <c r="G247" s="154">
        <v>120000</v>
      </c>
    </row>
    <row r="248" spans="1:7" ht="21.6" customHeight="1">
      <c r="A248" s="154">
        <v>307</v>
      </c>
      <c r="B248" s="154" t="str" cm="1">
        <f t="array" ref="B248">_xlfn.XLOOKUP(TRUE, ISNUMBER(SEARCH(工作表5!$A$1:$A$23, C248)), 工作表5!$B$1:$B$23, "其他")</f>
        <v>滾筒組</v>
      </c>
      <c r="C248" s="144" t="s">
        <v>78</v>
      </c>
      <c r="D248" s="156"/>
      <c r="E248" s="156" t="s">
        <v>1326</v>
      </c>
      <c r="F248" s="156" t="s">
        <v>77</v>
      </c>
      <c r="G248" s="154">
        <v>120000</v>
      </c>
    </row>
    <row r="249" spans="1:7" ht="21.6" customHeight="1">
      <c r="A249" s="154">
        <v>307</v>
      </c>
      <c r="B249" s="154" t="str" cm="1">
        <f t="array" ref="B249">_xlfn.XLOOKUP(TRUE, ISNUMBER(SEARCH(工作表5!$A$1:$A$23, C249)), 工作表5!$B$1:$B$23, "其他")</f>
        <v>定著組</v>
      </c>
      <c r="C249" s="145" t="s">
        <v>1775</v>
      </c>
      <c r="D249" s="156"/>
      <c r="E249" s="156" t="s">
        <v>1363</v>
      </c>
      <c r="F249" s="156" t="s">
        <v>198</v>
      </c>
      <c r="G249" s="154">
        <v>240000</v>
      </c>
    </row>
    <row r="250" spans="1:7" ht="21.6" customHeight="1">
      <c r="A250" s="154">
        <v>307</v>
      </c>
      <c r="B250" s="154" t="str" cm="1">
        <f t="array" ref="B250">_xlfn.XLOOKUP(TRUE, ISNUMBER(SEARCH(工作表5!$A$1:$A$23, C250)), 工作表5!$B$1:$B$23, "其他")</f>
        <v>定著組</v>
      </c>
      <c r="C250" s="144" t="s">
        <v>87</v>
      </c>
      <c r="D250" s="156"/>
      <c r="E250" s="156" t="s">
        <v>1364</v>
      </c>
      <c r="F250" s="156" t="s">
        <v>200</v>
      </c>
      <c r="G250" s="154">
        <v>240000</v>
      </c>
    </row>
    <row r="251" spans="1:7" ht="21.6" customHeight="1">
      <c r="A251" s="154">
        <v>307</v>
      </c>
      <c r="B251" s="154" t="str" cm="1">
        <f t="array" ref="B251">_xlfn.XLOOKUP(TRUE, ISNUMBER(SEARCH(工作表5!$A$1:$A$23, C251)), 工作表5!$B$1:$B$23, "其他")</f>
        <v>轉寫組</v>
      </c>
      <c r="C251" s="144" t="s">
        <v>81</v>
      </c>
      <c r="D251" s="156"/>
      <c r="E251" s="156" t="s">
        <v>1365</v>
      </c>
      <c r="F251" s="156" t="s">
        <v>202</v>
      </c>
      <c r="G251" s="154">
        <v>120000</v>
      </c>
    </row>
    <row r="252" spans="1:7" ht="21.6" customHeight="1">
      <c r="A252" s="154">
        <v>307</v>
      </c>
      <c r="B252" s="154" t="str" cm="1">
        <f t="array" ref="B252">_xlfn.XLOOKUP(TRUE, ISNUMBER(SEARCH(工作表5!$A$1:$A$23, C252)), 工作表5!$B$1:$B$23, "其他")</f>
        <v>滾筒組</v>
      </c>
      <c r="C252" s="144" t="s">
        <v>95</v>
      </c>
      <c r="D252" s="156"/>
      <c r="E252" s="156" t="s">
        <v>1332</v>
      </c>
      <c r="F252" s="156" t="s">
        <v>94</v>
      </c>
      <c r="G252" s="154">
        <v>120000</v>
      </c>
    </row>
    <row r="253" spans="1:7" ht="21.6" customHeight="1">
      <c r="A253" s="154">
        <v>307</v>
      </c>
      <c r="B253" s="154" t="str" cm="1">
        <f t="array" ref="B253">_xlfn.XLOOKUP(TRUE, ISNUMBER(SEARCH(工作表5!$A$1:$A$23, C253)), 工作表5!$B$1:$B$23, "其他")</f>
        <v>滾筒組</v>
      </c>
      <c r="C253" s="144" t="s">
        <v>98</v>
      </c>
      <c r="D253" s="156"/>
      <c r="E253" s="156" t="s">
        <v>1366</v>
      </c>
      <c r="F253" s="156" t="s">
        <v>204</v>
      </c>
      <c r="G253" s="154">
        <v>120000</v>
      </c>
    </row>
    <row r="254" spans="1:7" ht="21.6" customHeight="1">
      <c r="A254" s="154">
        <v>307</v>
      </c>
      <c r="B254" s="154" t="str" cm="1">
        <f t="array" ref="B254">_xlfn.XLOOKUP(TRUE, ISNUMBER(SEARCH(工作表5!$A$1:$A$23, C254)), 工作表5!$B$1:$B$23, "其他")</f>
        <v>滾筒組</v>
      </c>
      <c r="C254" s="144" t="s">
        <v>107</v>
      </c>
      <c r="D254" s="156"/>
      <c r="E254" s="156" t="s">
        <v>1367</v>
      </c>
      <c r="F254" s="156" t="s">
        <v>206</v>
      </c>
      <c r="G254" s="154">
        <v>120000</v>
      </c>
    </row>
    <row r="255" spans="1:7" ht="21.6" customHeight="1">
      <c r="A255" s="154">
        <v>307</v>
      </c>
      <c r="B255" s="154" t="str" cm="1">
        <f t="array" ref="B255">_xlfn.XLOOKUP(TRUE, ISNUMBER(SEARCH(工作表5!$A$1:$A$23, C255)), 工作表5!$B$1:$B$23, "其他")</f>
        <v>顯像組</v>
      </c>
      <c r="C255" s="145" t="s">
        <v>104</v>
      </c>
      <c r="D255" s="156"/>
      <c r="E255" s="156" t="s">
        <v>1368</v>
      </c>
      <c r="F255" s="156" t="s">
        <v>208</v>
      </c>
      <c r="G255" s="154">
        <v>120000</v>
      </c>
    </row>
    <row r="256" spans="1:7" ht="21.6" customHeight="1">
      <c r="A256" s="154">
        <v>307</v>
      </c>
      <c r="B256" s="154" t="str" cm="1">
        <f t="array" ref="B256">_xlfn.XLOOKUP(TRUE, ISNUMBER(SEARCH(工作表5!$A$1:$A$23, C256)), 工作表5!$B$1:$B$23, "其他")</f>
        <v>定著組</v>
      </c>
      <c r="C256" s="144" t="s">
        <v>90</v>
      </c>
      <c r="D256" s="156"/>
      <c r="E256" s="156" t="s">
        <v>1369</v>
      </c>
      <c r="F256" s="156" t="s">
        <v>210</v>
      </c>
      <c r="G256" s="154">
        <v>240000</v>
      </c>
    </row>
    <row r="257" spans="1:7" ht="21.6" customHeight="1">
      <c r="A257" s="154">
        <v>307</v>
      </c>
      <c r="B257" s="154" t="str" cm="1">
        <f t="array" ref="B257">_xlfn.XLOOKUP(TRUE, ISNUMBER(SEARCH(工作表5!$A$1:$A$23, C257)), 工作表5!$B$1:$B$23, "其他")</f>
        <v>其他</v>
      </c>
      <c r="C257" s="144" t="s">
        <v>101</v>
      </c>
      <c r="D257" s="156"/>
      <c r="E257" s="156" t="s">
        <v>1370</v>
      </c>
      <c r="F257" s="156" t="s">
        <v>212</v>
      </c>
      <c r="G257" s="154">
        <v>240000</v>
      </c>
    </row>
    <row r="258" spans="1:7" ht="21.6" customHeight="1">
      <c r="A258" s="154">
        <v>307</v>
      </c>
      <c r="B258" s="154" t="str" cm="1">
        <f t="array" ref="B258">_xlfn.XLOOKUP(TRUE, ISNUMBER(SEARCH(工作表5!$A$1:$A$23, C258)), 工作表5!$B$1:$B$23, "其他")</f>
        <v>取紙組</v>
      </c>
      <c r="C258" s="144" t="s">
        <v>1777</v>
      </c>
      <c r="D258" s="156"/>
      <c r="E258" s="156" t="s">
        <v>1371</v>
      </c>
      <c r="F258" s="156" t="s">
        <v>214</v>
      </c>
      <c r="G258" s="154">
        <v>80000</v>
      </c>
    </row>
    <row r="259" spans="1:7" ht="21.6" customHeight="1">
      <c r="A259" s="154">
        <v>307</v>
      </c>
      <c r="B259" s="154" t="str" cm="1">
        <f t="array" ref="B259">_xlfn.XLOOKUP(TRUE, ISNUMBER(SEARCH(工作表5!$A$1:$A$23, C259)), 工作表5!$B$1:$B$23, "其他")</f>
        <v>取紙組</v>
      </c>
      <c r="C259" s="144" t="s">
        <v>219</v>
      </c>
      <c r="D259" s="156"/>
      <c r="E259" s="156" t="s">
        <v>1372</v>
      </c>
      <c r="F259" s="156" t="s">
        <v>218</v>
      </c>
      <c r="G259" s="154">
        <v>80000</v>
      </c>
    </row>
    <row r="260" spans="1:7" ht="21.6" customHeight="1">
      <c r="A260" s="154">
        <v>307</v>
      </c>
      <c r="B260" s="154" t="str" cm="1">
        <f t="array" ref="B260">_xlfn.XLOOKUP(TRUE, ISNUMBER(SEARCH(工作表5!$A$1:$A$23, C260)), 工作表5!$B$1:$B$23, "其他")</f>
        <v>取紙組</v>
      </c>
      <c r="C260" s="144" t="s">
        <v>215</v>
      </c>
      <c r="D260" s="156"/>
      <c r="E260" s="156" t="s">
        <v>1373</v>
      </c>
      <c r="F260" s="156" t="s">
        <v>221</v>
      </c>
      <c r="G260" s="154">
        <v>80000</v>
      </c>
    </row>
    <row r="261" spans="1:7" ht="21.6" customHeight="1">
      <c r="A261" s="154">
        <v>307</v>
      </c>
      <c r="B261" s="154" t="str" cm="1">
        <f t="array" ref="B261">_xlfn.XLOOKUP(TRUE, ISNUMBER(SEARCH(工作表5!$A$1:$A$23, C261)), 工作表5!$B$1:$B$23, "其他")</f>
        <v>手送台</v>
      </c>
      <c r="C261" s="144" t="s">
        <v>631</v>
      </c>
      <c r="D261" s="156"/>
      <c r="E261" s="156" t="s">
        <v>1356</v>
      </c>
      <c r="F261" s="156" t="s">
        <v>171</v>
      </c>
      <c r="G261" s="154">
        <v>80000</v>
      </c>
    </row>
    <row r="262" spans="1:7" ht="21.6" customHeight="1">
      <c r="A262" s="154">
        <v>307</v>
      </c>
      <c r="B262" s="154" t="str" cm="1">
        <f t="array" ref="B262">_xlfn.XLOOKUP(TRUE, ISNUMBER(SEARCH(工作表5!$A$1:$A$23, C262)), 工作表5!$B$1:$B$23, "其他")</f>
        <v>手送台</v>
      </c>
      <c r="C262" s="144" t="s">
        <v>224</v>
      </c>
      <c r="D262" s="156"/>
      <c r="E262" s="156" t="s">
        <v>1374</v>
      </c>
      <c r="F262" s="156" t="s">
        <v>223</v>
      </c>
      <c r="G262" s="154">
        <v>80000</v>
      </c>
    </row>
    <row r="263" spans="1:7" ht="21.6" customHeight="1">
      <c r="A263" s="154">
        <v>307</v>
      </c>
      <c r="B263" s="154" t="str" cm="1">
        <f t="array" ref="B263">_xlfn.XLOOKUP(TRUE, ISNUMBER(SEARCH(工作表5!$A$1:$A$23, C263)), 工作表5!$B$1:$B$23, "其他")</f>
        <v>送稿機</v>
      </c>
      <c r="C263" s="145" t="s">
        <v>1778</v>
      </c>
      <c r="D263" s="156"/>
      <c r="E263" s="156" t="s">
        <v>1375</v>
      </c>
      <c r="F263" s="156" t="s">
        <v>226</v>
      </c>
      <c r="G263" s="154">
        <v>120000</v>
      </c>
    </row>
    <row r="264" spans="1:7" ht="21.6" customHeight="1">
      <c r="A264" s="154">
        <v>307</v>
      </c>
      <c r="B264" s="154" t="str" cm="1">
        <f t="array" ref="B264">_xlfn.XLOOKUP(TRUE, ISNUMBER(SEARCH(工作表5!$A$1:$A$23, C264)), 工作表5!$B$1:$B$23, "其他")</f>
        <v>送稿機</v>
      </c>
      <c r="C264" s="145" t="s">
        <v>227</v>
      </c>
      <c r="D264" s="156"/>
      <c r="E264" s="156" t="s">
        <v>1376</v>
      </c>
      <c r="F264" s="156" t="s">
        <v>230</v>
      </c>
      <c r="G264" s="154">
        <v>120000</v>
      </c>
    </row>
    <row r="265" spans="1:7" ht="21.6" customHeight="1">
      <c r="A265" s="154">
        <v>307</v>
      </c>
      <c r="B265" s="154" t="str" cm="1">
        <f t="array" ref="B265">_xlfn.XLOOKUP(TRUE, ISNUMBER(SEARCH(工作表5!$A$1:$A$23, C265)), 工作表5!$B$1:$B$23, "其他")</f>
        <v>取紙組</v>
      </c>
      <c r="C265" s="144" t="s">
        <v>1785</v>
      </c>
      <c r="D265" s="156"/>
      <c r="E265" s="156" t="s">
        <v>1377</v>
      </c>
      <c r="F265" s="156" t="s">
        <v>232</v>
      </c>
      <c r="G265" s="154">
        <v>160000</v>
      </c>
    </row>
    <row r="266" spans="1:7" ht="21.6" customHeight="1">
      <c r="A266" s="154">
        <v>307</v>
      </c>
      <c r="B266" s="154" t="str" cm="1">
        <f t="array" ref="B266">_xlfn.XLOOKUP(TRUE, ISNUMBER(SEARCH(工作表5!$A$1:$A$23, C266)), 工作表5!$B$1:$B$23, "其他")</f>
        <v>取紙組</v>
      </c>
      <c r="C266" s="144" t="s">
        <v>360</v>
      </c>
      <c r="D266" s="156"/>
      <c r="E266" s="156" t="s">
        <v>1378</v>
      </c>
      <c r="F266" s="156" t="s">
        <v>236</v>
      </c>
      <c r="G266" s="154">
        <v>160000</v>
      </c>
    </row>
    <row r="267" spans="1:7" ht="21.6" customHeight="1">
      <c r="A267" s="154">
        <v>307</v>
      </c>
      <c r="B267" s="154" t="str" cm="1">
        <f t="array" ref="B267">_xlfn.XLOOKUP(TRUE, ISNUMBER(SEARCH(工作表5!$A$1:$A$23, C267)), 工作表5!$B$1:$B$23, "其他")</f>
        <v>取紙組</v>
      </c>
      <c r="C267" s="144" t="s">
        <v>358</v>
      </c>
      <c r="D267" s="156"/>
      <c r="E267" s="156" t="s">
        <v>1379</v>
      </c>
      <c r="F267" s="156" t="s">
        <v>239</v>
      </c>
      <c r="G267" s="154">
        <v>160000</v>
      </c>
    </row>
    <row r="268" spans="1:7" ht="21.6" customHeight="1">
      <c r="A268" s="154">
        <v>307</v>
      </c>
      <c r="B268" s="154" t="str" cm="1">
        <f t="array" ref="B268">_xlfn.XLOOKUP(TRUE, ISNUMBER(SEARCH(工作表5!$A$1:$A$23, C268)), 工作表5!$B$1:$B$23, "其他")</f>
        <v>顯像組</v>
      </c>
      <c r="C268" s="144" t="s">
        <v>122</v>
      </c>
      <c r="D268" s="156"/>
      <c r="E268" s="156" t="s">
        <v>1380</v>
      </c>
      <c r="F268" s="156" t="s">
        <v>241</v>
      </c>
      <c r="G268" s="154">
        <v>120000</v>
      </c>
    </row>
    <row r="269" spans="1:7" ht="21.6" customHeight="1">
      <c r="A269" s="154">
        <v>307</v>
      </c>
      <c r="B269" s="154" t="str" cm="1">
        <f t="array" ref="B269">_xlfn.XLOOKUP(TRUE, ISNUMBER(SEARCH(工作表5!$A$1:$A$23, C269)), 工作表5!$B$1:$B$23, "其他")</f>
        <v>定著組</v>
      </c>
      <c r="C269" s="145" t="s">
        <v>244</v>
      </c>
      <c r="D269" s="156"/>
      <c r="E269" s="156" t="s">
        <v>1381</v>
      </c>
      <c r="F269" s="156" t="s">
        <v>243</v>
      </c>
      <c r="G269" s="154">
        <v>240000</v>
      </c>
    </row>
    <row r="270" spans="1:7" ht="21.6" customHeight="1">
      <c r="A270" s="154">
        <v>307</v>
      </c>
      <c r="B270" s="154" t="str" cm="1">
        <f t="array" ref="B270">_xlfn.XLOOKUP(TRUE, ISNUMBER(SEARCH(工作表5!$A$1:$A$23, C270)), 工作表5!$B$1:$B$23, "其他")</f>
        <v>取紙組</v>
      </c>
      <c r="C270" s="144" t="s">
        <v>247</v>
      </c>
      <c r="D270" s="156"/>
      <c r="E270" s="156" t="s">
        <v>1382</v>
      </c>
      <c r="F270" s="156" t="s">
        <v>246</v>
      </c>
      <c r="G270" s="154">
        <v>80000</v>
      </c>
    </row>
    <row r="271" spans="1:7" ht="21.6" customHeight="1">
      <c r="A271" s="154">
        <v>307</v>
      </c>
      <c r="B271" s="154" t="str" cm="1">
        <f t="array" ref="B271">_xlfn.XLOOKUP(TRUE, ISNUMBER(SEARCH(工作表5!$A$1:$A$23, C271)), 工作表5!$B$1:$B$23, "其他")</f>
        <v>送稿機</v>
      </c>
      <c r="C271" s="144" t="s">
        <v>250</v>
      </c>
      <c r="D271" s="156"/>
      <c r="E271" s="156" t="s">
        <v>1383</v>
      </c>
      <c r="F271" s="156" t="s">
        <v>249</v>
      </c>
      <c r="G271" s="154">
        <v>120000</v>
      </c>
    </row>
    <row r="272" spans="1:7" ht="21.6" customHeight="1">
      <c r="A272" s="154">
        <v>307</v>
      </c>
      <c r="B272" s="154" t="str" cm="1">
        <f t="array" ref="B272">_xlfn.XLOOKUP(TRUE, ISNUMBER(SEARCH(工作表5!$A$1:$A$23, C272)), 工作表5!$B$1:$B$23, "其他")</f>
        <v>取紙組</v>
      </c>
      <c r="C272" s="144" t="s">
        <v>253</v>
      </c>
      <c r="D272" s="156"/>
      <c r="E272" s="156" t="s">
        <v>1384</v>
      </c>
      <c r="F272" s="156" t="s">
        <v>252</v>
      </c>
      <c r="G272" s="154">
        <v>160000</v>
      </c>
    </row>
    <row r="273" spans="1:7" ht="21.6" customHeight="1">
      <c r="A273" s="154">
        <v>307</v>
      </c>
      <c r="B273" s="154" t="str" cm="1">
        <f t="array" ref="B273">_xlfn.XLOOKUP(TRUE, ISNUMBER(SEARCH(工作表5!$A$1:$A$23, C273)), 工作表5!$B$1:$B$23, "其他")</f>
        <v>顯像組</v>
      </c>
      <c r="C273" s="146" t="s">
        <v>129</v>
      </c>
      <c r="D273" s="156"/>
      <c r="E273" s="156" t="s">
        <v>1385</v>
      </c>
      <c r="F273" s="156" t="s">
        <v>255</v>
      </c>
      <c r="G273" s="154" t="e">
        <v>#VALUE!</v>
      </c>
    </row>
    <row r="274" spans="1:7" ht="21.6" customHeight="1">
      <c r="A274" s="154">
        <v>307</v>
      </c>
      <c r="B274" s="154" t="str" cm="1">
        <f t="array" ref="B274">_xlfn.XLOOKUP(TRUE, ISNUMBER(SEARCH(工作表5!$A$1:$A$23, C274)), 工作表5!$B$1:$B$23, "其他")</f>
        <v>定著組</v>
      </c>
      <c r="C274" s="144" t="s">
        <v>258</v>
      </c>
      <c r="D274" s="156"/>
      <c r="E274" s="156" t="s">
        <v>1386</v>
      </c>
      <c r="F274" s="156" t="s">
        <v>257</v>
      </c>
      <c r="G274" s="154" t="e">
        <v>#VALUE!</v>
      </c>
    </row>
    <row r="275" spans="1:7" ht="21.6" customHeight="1">
      <c r="A275" s="154" t="s">
        <v>43</v>
      </c>
      <c r="B275" s="154" t="str" cm="1">
        <f t="array" ref="B275">_xlfn.XLOOKUP(TRUE, ISNUMBER(SEARCH(工作表5!$A$1:$A$23, C275)), 工作表5!$B$1:$B$23, "其他")</f>
        <v>滾筒組</v>
      </c>
      <c r="C275" s="143" t="s">
        <v>193</v>
      </c>
      <c r="D275" s="156"/>
      <c r="E275" s="156" t="s">
        <v>1361</v>
      </c>
      <c r="F275" s="156" t="s">
        <v>192</v>
      </c>
      <c r="G275" s="154">
        <v>120000</v>
      </c>
    </row>
    <row r="276" spans="1:7" ht="21.6" customHeight="1">
      <c r="A276" s="154" t="s">
        <v>43</v>
      </c>
      <c r="B276" s="154" t="str" cm="1">
        <f t="array" ref="B276">_xlfn.XLOOKUP(TRUE, ISNUMBER(SEARCH(工作表5!$A$1:$A$23, C276)), 工作表5!$B$1:$B$23, "其他")</f>
        <v>顯像組</v>
      </c>
      <c r="C276" s="144" t="s">
        <v>75</v>
      </c>
      <c r="D276" s="156"/>
      <c r="E276" s="156" t="s">
        <v>1362</v>
      </c>
      <c r="F276" s="156" t="s">
        <v>196</v>
      </c>
      <c r="G276" s="154">
        <v>120000</v>
      </c>
    </row>
    <row r="277" spans="1:7" ht="21.6" customHeight="1">
      <c r="A277" s="154" t="s">
        <v>43</v>
      </c>
      <c r="B277" s="154" t="str" cm="1">
        <f t="array" ref="B277">_xlfn.XLOOKUP(TRUE, ISNUMBER(SEARCH(工作表5!$A$1:$A$23, C277)), 工作表5!$B$1:$B$23, "其他")</f>
        <v>滾筒組</v>
      </c>
      <c r="C277" s="144" t="s">
        <v>78</v>
      </c>
      <c r="D277" s="156"/>
      <c r="E277" s="156" t="s">
        <v>1326</v>
      </c>
      <c r="F277" s="156" t="s">
        <v>77</v>
      </c>
      <c r="G277" s="154">
        <v>120000</v>
      </c>
    </row>
    <row r="278" spans="1:7" ht="21.6" customHeight="1">
      <c r="A278" s="154" t="s">
        <v>43</v>
      </c>
      <c r="B278" s="154" t="str" cm="1">
        <f t="array" ref="B278">_xlfn.XLOOKUP(TRUE, ISNUMBER(SEARCH(工作表5!$A$1:$A$23, C278)), 工作表5!$B$1:$B$23, "其他")</f>
        <v>定著組</v>
      </c>
      <c r="C278" s="145" t="s">
        <v>1775</v>
      </c>
      <c r="D278" s="156"/>
      <c r="E278" s="156" t="s">
        <v>1387</v>
      </c>
      <c r="F278" s="156" t="s">
        <v>260</v>
      </c>
      <c r="G278" s="154">
        <v>240000</v>
      </c>
    </row>
    <row r="279" spans="1:7" ht="21.6" customHeight="1">
      <c r="A279" s="154" t="s">
        <v>43</v>
      </c>
      <c r="B279" s="154" t="str" cm="1">
        <f t="array" ref="B279">_xlfn.XLOOKUP(TRUE, ISNUMBER(SEARCH(工作表5!$A$1:$A$23, C279)), 工作表5!$B$1:$B$23, "其他")</f>
        <v>定著組</v>
      </c>
      <c r="C279" s="144" t="s">
        <v>87</v>
      </c>
      <c r="D279" s="156"/>
      <c r="E279" s="156" t="s">
        <v>1388</v>
      </c>
      <c r="F279" s="156" t="s">
        <v>262</v>
      </c>
      <c r="G279" s="154">
        <v>240000</v>
      </c>
    </row>
    <row r="280" spans="1:7" ht="21.6" customHeight="1">
      <c r="A280" s="154" t="s">
        <v>43</v>
      </c>
      <c r="B280" s="154" t="str" cm="1">
        <f t="array" ref="B280">_xlfn.XLOOKUP(TRUE, ISNUMBER(SEARCH(工作表5!$A$1:$A$23, C280)), 工作表5!$B$1:$B$23, "其他")</f>
        <v>轉寫組</v>
      </c>
      <c r="C280" s="144" t="s">
        <v>81</v>
      </c>
      <c r="D280" s="156"/>
      <c r="E280" s="156" t="s">
        <v>1365</v>
      </c>
      <c r="F280" s="156" t="s">
        <v>202</v>
      </c>
      <c r="G280" s="154">
        <v>120000</v>
      </c>
    </row>
    <row r="281" spans="1:7" ht="21.6" customHeight="1">
      <c r="A281" s="154" t="s">
        <v>43</v>
      </c>
      <c r="B281" s="154" t="str" cm="1">
        <f t="array" ref="B281">_xlfn.XLOOKUP(TRUE, ISNUMBER(SEARCH(工作表5!$A$1:$A$23, C281)), 工作表5!$B$1:$B$23, "其他")</f>
        <v>滾筒組</v>
      </c>
      <c r="C281" s="144" t="s">
        <v>95</v>
      </c>
      <c r="D281" s="156"/>
      <c r="E281" s="156" t="s">
        <v>1332</v>
      </c>
      <c r="F281" s="156" t="s">
        <v>94</v>
      </c>
      <c r="G281" s="154">
        <v>120000</v>
      </c>
    </row>
    <row r="282" spans="1:7" ht="21.6" customHeight="1">
      <c r="A282" s="154" t="s">
        <v>43</v>
      </c>
      <c r="B282" s="154" t="str" cm="1">
        <f t="array" ref="B282">_xlfn.XLOOKUP(TRUE, ISNUMBER(SEARCH(工作表5!$A$1:$A$23, C282)), 工作表5!$B$1:$B$23, "其他")</f>
        <v>滾筒組</v>
      </c>
      <c r="C282" s="144" t="s">
        <v>98</v>
      </c>
      <c r="D282" s="156"/>
      <c r="E282" s="156" t="s">
        <v>1366</v>
      </c>
      <c r="F282" s="156" t="s">
        <v>204</v>
      </c>
      <c r="G282" s="154">
        <v>120000</v>
      </c>
    </row>
    <row r="283" spans="1:7" ht="21.6" customHeight="1">
      <c r="A283" s="154" t="s">
        <v>43</v>
      </c>
      <c r="B283" s="154" t="str" cm="1">
        <f t="array" ref="B283">_xlfn.XLOOKUP(TRUE, ISNUMBER(SEARCH(工作表5!$A$1:$A$23, C283)), 工作表5!$B$1:$B$23, "其他")</f>
        <v>滾筒組</v>
      </c>
      <c r="C283" s="144" t="s">
        <v>107</v>
      </c>
      <c r="D283" s="156"/>
      <c r="E283" s="156" t="s">
        <v>1367</v>
      </c>
      <c r="F283" s="156" t="s">
        <v>206</v>
      </c>
      <c r="G283" s="154">
        <v>120000</v>
      </c>
    </row>
    <row r="284" spans="1:7" ht="21.6" customHeight="1">
      <c r="A284" s="154" t="s">
        <v>43</v>
      </c>
      <c r="B284" s="154" t="str" cm="1">
        <f t="array" ref="B284">_xlfn.XLOOKUP(TRUE, ISNUMBER(SEARCH(工作表5!$A$1:$A$23, C284)), 工作表5!$B$1:$B$23, "其他")</f>
        <v>顯像組</v>
      </c>
      <c r="C284" s="145" t="s">
        <v>104</v>
      </c>
      <c r="D284" s="156"/>
      <c r="E284" s="156" t="s">
        <v>1368</v>
      </c>
      <c r="F284" s="156" t="s">
        <v>208</v>
      </c>
      <c r="G284" s="154">
        <v>120000</v>
      </c>
    </row>
    <row r="285" spans="1:7" ht="21.6" customHeight="1">
      <c r="A285" s="154" t="s">
        <v>43</v>
      </c>
      <c r="B285" s="154" t="str" cm="1">
        <f t="array" ref="B285">_xlfn.XLOOKUP(TRUE, ISNUMBER(SEARCH(工作表5!$A$1:$A$23, C285)), 工作表5!$B$1:$B$23, "其他")</f>
        <v>定著組</v>
      </c>
      <c r="C285" s="144" t="s">
        <v>90</v>
      </c>
      <c r="D285" s="156"/>
      <c r="E285" s="156" t="s">
        <v>1330</v>
      </c>
      <c r="F285" s="156" t="s">
        <v>89</v>
      </c>
      <c r="G285" s="154">
        <v>240000</v>
      </c>
    </row>
    <row r="286" spans="1:7" ht="21.6" customHeight="1">
      <c r="A286" s="154" t="s">
        <v>43</v>
      </c>
      <c r="B286" s="154" t="str" cm="1">
        <f t="array" ref="B286">_xlfn.XLOOKUP(TRUE, ISNUMBER(SEARCH(工作表5!$A$1:$A$23, C286)), 工作表5!$B$1:$B$23, "其他")</f>
        <v>其他</v>
      </c>
      <c r="C286" s="144" t="s">
        <v>263</v>
      </c>
      <c r="D286" s="156"/>
      <c r="E286" s="156" t="s">
        <v>1370</v>
      </c>
      <c r="F286" s="156" t="s">
        <v>212</v>
      </c>
      <c r="G286" s="154">
        <v>240000</v>
      </c>
    </row>
    <row r="287" spans="1:7" ht="21.6" customHeight="1">
      <c r="A287" s="154" t="s">
        <v>43</v>
      </c>
      <c r="B287" s="154" t="str" cm="1">
        <f t="array" ref="B287">_xlfn.XLOOKUP(TRUE, ISNUMBER(SEARCH(工作表5!$A$1:$A$23, C287)), 工作表5!$B$1:$B$23, "其他")</f>
        <v>取紙組</v>
      </c>
      <c r="C287" s="144" t="s">
        <v>1780</v>
      </c>
      <c r="D287" s="156"/>
      <c r="E287" s="156" t="s">
        <v>1389</v>
      </c>
      <c r="F287" s="156" t="s">
        <v>265</v>
      </c>
      <c r="G287" s="154">
        <v>80000</v>
      </c>
    </row>
    <row r="288" spans="1:7" ht="21.6" customHeight="1">
      <c r="A288" s="154" t="s">
        <v>43</v>
      </c>
      <c r="B288" s="154" t="str" cm="1">
        <f t="array" ref="B288">_xlfn.XLOOKUP(TRUE, ISNUMBER(SEARCH(工作表5!$A$1:$A$23, C288)), 工作表5!$B$1:$B$23, "其他")</f>
        <v>取紙組</v>
      </c>
      <c r="C288" s="144" t="s">
        <v>270</v>
      </c>
      <c r="D288" s="156"/>
      <c r="E288" s="156" t="s">
        <v>1390</v>
      </c>
      <c r="F288" s="156" t="s">
        <v>269</v>
      </c>
      <c r="G288" s="154">
        <v>80000</v>
      </c>
    </row>
    <row r="289" spans="1:7" ht="21.6" customHeight="1">
      <c r="A289" s="154" t="s">
        <v>43</v>
      </c>
      <c r="B289" s="154" t="str" cm="1">
        <f t="array" ref="B289">_xlfn.XLOOKUP(TRUE, ISNUMBER(SEARCH(工作表5!$A$1:$A$23, C289)), 工作表5!$B$1:$B$23, "其他")</f>
        <v>取紙組</v>
      </c>
      <c r="C289" s="144" t="s">
        <v>266</v>
      </c>
      <c r="D289" s="156"/>
      <c r="E289" s="156" t="s">
        <v>1391</v>
      </c>
      <c r="F289" s="156" t="s">
        <v>272</v>
      </c>
      <c r="G289" s="154">
        <v>80000</v>
      </c>
    </row>
    <row r="290" spans="1:7" ht="21.6" customHeight="1">
      <c r="A290" s="154" t="s">
        <v>43</v>
      </c>
      <c r="B290" s="154" t="str" cm="1">
        <f t="array" ref="B290">_xlfn.XLOOKUP(TRUE, ISNUMBER(SEARCH(工作表5!$A$1:$A$23, C290)), 工作表5!$B$1:$B$23, "其他")</f>
        <v>手送台</v>
      </c>
      <c r="C290" s="144" t="s">
        <v>1861</v>
      </c>
      <c r="D290" s="156"/>
      <c r="E290" s="156" t="s">
        <v>1392</v>
      </c>
      <c r="F290" s="156" t="s">
        <v>274</v>
      </c>
      <c r="G290" s="154">
        <v>80000</v>
      </c>
    </row>
    <row r="291" spans="1:7" ht="21.6" customHeight="1">
      <c r="A291" s="154" t="s">
        <v>43</v>
      </c>
      <c r="B291" s="154" t="str" cm="1">
        <f t="array" ref="B291">_xlfn.XLOOKUP(TRUE, ISNUMBER(SEARCH(工作表5!$A$1:$A$23, C291)), 工作表5!$B$1:$B$23, "其他")</f>
        <v>手送台</v>
      </c>
      <c r="C291" s="144" t="s">
        <v>224</v>
      </c>
      <c r="D291" s="156"/>
      <c r="E291" s="156" t="s">
        <v>1393</v>
      </c>
      <c r="F291" s="156" t="s">
        <v>277</v>
      </c>
      <c r="G291" s="154">
        <v>80000</v>
      </c>
    </row>
    <row r="292" spans="1:7" ht="21.6" customHeight="1">
      <c r="A292" s="154" t="s">
        <v>43</v>
      </c>
      <c r="B292" s="154" t="str" cm="1">
        <f t="array" ref="B292">_xlfn.XLOOKUP(TRUE, ISNUMBER(SEARCH(工作表5!$A$1:$A$23, C292)), 工作表5!$B$1:$B$23, "其他")</f>
        <v>送稿機</v>
      </c>
      <c r="C292" s="144" t="s">
        <v>1781</v>
      </c>
      <c r="D292" s="156"/>
      <c r="E292" s="156" t="s">
        <v>1375</v>
      </c>
      <c r="F292" s="156" t="s">
        <v>226</v>
      </c>
      <c r="G292" s="154">
        <v>120000</v>
      </c>
    </row>
    <row r="293" spans="1:7" ht="21.6" customHeight="1">
      <c r="A293" s="154" t="s">
        <v>43</v>
      </c>
      <c r="B293" s="154" t="str" cm="1">
        <f t="array" ref="B293">_xlfn.XLOOKUP(TRUE, ISNUMBER(SEARCH(工作表5!$A$1:$A$23, C293)), 工作表5!$B$1:$B$23, "其他")</f>
        <v>送稿機</v>
      </c>
      <c r="C293" s="144" t="s">
        <v>278</v>
      </c>
      <c r="D293" s="156"/>
      <c r="E293" s="156" t="s">
        <v>1376</v>
      </c>
      <c r="F293" s="156" t="s">
        <v>230</v>
      </c>
      <c r="G293" s="154">
        <v>120000</v>
      </c>
    </row>
    <row r="294" spans="1:7" ht="21.6" customHeight="1">
      <c r="A294" s="154" t="s">
        <v>43</v>
      </c>
      <c r="B294" s="154" t="str" cm="1">
        <f t="array" ref="B294">_xlfn.XLOOKUP(TRUE, ISNUMBER(SEARCH(工作表5!$A$1:$A$23, C294)), 工作表5!$B$1:$B$23, "其他")</f>
        <v>送稿機</v>
      </c>
      <c r="C294" s="144" t="s">
        <v>1782</v>
      </c>
      <c r="D294" s="156"/>
      <c r="E294" s="156" t="s">
        <v>1394</v>
      </c>
      <c r="F294" s="156" t="s">
        <v>281</v>
      </c>
      <c r="G294" s="154">
        <v>120000</v>
      </c>
    </row>
    <row r="295" spans="1:7" ht="21.6" customHeight="1">
      <c r="A295" s="154" t="s">
        <v>43</v>
      </c>
      <c r="B295" s="154" t="str" cm="1">
        <f t="array" ref="B295">_xlfn.XLOOKUP(TRUE, ISNUMBER(SEARCH(工作表5!$A$1:$A$23, C295)), 工作表5!$B$1:$B$23, "其他")</f>
        <v>送稿機</v>
      </c>
      <c r="C295" s="144" t="s">
        <v>285</v>
      </c>
      <c r="D295" s="156"/>
      <c r="E295" s="156" t="s">
        <v>1395</v>
      </c>
      <c r="F295" s="156" t="s">
        <v>226</v>
      </c>
      <c r="G295" s="154">
        <v>120000</v>
      </c>
    </row>
    <row r="296" spans="1:7" ht="21.6" customHeight="1">
      <c r="A296" s="154" t="s">
        <v>43</v>
      </c>
      <c r="B296" s="154" t="str" cm="1">
        <f t="array" ref="B296">_xlfn.XLOOKUP(TRUE, ISNUMBER(SEARCH(工作表5!$A$1:$A$23, C296)), 工作表5!$B$1:$B$23, "其他")</f>
        <v>送稿機</v>
      </c>
      <c r="C296" s="144" t="s">
        <v>282</v>
      </c>
      <c r="D296" s="156"/>
      <c r="E296" s="156" t="s">
        <v>1396</v>
      </c>
      <c r="F296" s="156" t="s">
        <v>288</v>
      </c>
      <c r="G296" s="154">
        <v>120000</v>
      </c>
    </row>
    <row r="297" spans="1:7" ht="21.6" customHeight="1">
      <c r="A297" s="154" t="s">
        <v>43</v>
      </c>
      <c r="B297" s="154" t="str" cm="1">
        <f t="array" ref="B297">_xlfn.XLOOKUP(TRUE, ISNUMBER(SEARCH(工作表5!$A$1:$A$23, C297)), 工作表5!$B$1:$B$23, "其他")</f>
        <v>大容量取紙組</v>
      </c>
      <c r="C297" s="144" t="s">
        <v>1783</v>
      </c>
      <c r="D297" s="156"/>
      <c r="E297" s="156" t="s">
        <v>1377</v>
      </c>
      <c r="F297" s="156" t="s">
        <v>232</v>
      </c>
      <c r="G297" s="154">
        <v>160000</v>
      </c>
    </row>
    <row r="298" spans="1:7" ht="21.6" customHeight="1">
      <c r="A298" s="154" t="s">
        <v>43</v>
      </c>
      <c r="B298" s="154" t="str" cm="1">
        <f t="array" ref="B298">_xlfn.XLOOKUP(TRUE, ISNUMBER(SEARCH(工作表5!$A$1:$A$23, C298)), 工作表5!$B$1:$B$23, "其他")</f>
        <v>大容量取紙組</v>
      </c>
      <c r="C298" s="144" t="s">
        <v>237</v>
      </c>
      <c r="D298" s="156"/>
      <c r="E298" s="156" t="s">
        <v>1378</v>
      </c>
      <c r="F298" s="156" t="s">
        <v>236</v>
      </c>
      <c r="G298" s="154">
        <v>160000</v>
      </c>
    </row>
    <row r="299" spans="1:7" ht="21.6" customHeight="1">
      <c r="A299" s="154" t="s">
        <v>43</v>
      </c>
      <c r="B299" s="154" t="str" cm="1">
        <f t="array" ref="B299">_xlfn.XLOOKUP(TRUE, ISNUMBER(SEARCH(工作表5!$A$1:$A$23, C299)), 工作表5!$B$1:$B$23, "其他")</f>
        <v>大容量取紙組</v>
      </c>
      <c r="C299" s="144" t="s">
        <v>289</v>
      </c>
      <c r="D299" s="156"/>
      <c r="E299" s="156" t="s">
        <v>1379</v>
      </c>
      <c r="F299" s="156" t="s">
        <v>239</v>
      </c>
      <c r="G299" s="154">
        <v>160000</v>
      </c>
    </row>
    <row r="300" spans="1:7" ht="21.6" customHeight="1">
      <c r="A300" s="154" t="s">
        <v>43</v>
      </c>
      <c r="B300" s="154" t="str" cm="1">
        <f t="array" ref="B300">_xlfn.XLOOKUP(TRUE, ISNUMBER(SEARCH(工作表5!$A$1:$A$23, C300)), 工作表5!$B$1:$B$23, "其他")</f>
        <v>顯像組</v>
      </c>
      <c r="C300" s="144" t="s">
        <v>122</v>
      </c>
      <c r="D300" s="156"/>
      <c r="E300" s="156" t="s">
        <v>1397</v>
      </c>
      <c r="F300" s="156" t="s">
        <v>292</v>
      </c>
      <c r="G300" s="154">
        <v>120000</v>
      </c>
    </row>
    <row r="301" spans="1:7" ht="21.6" customHeight="1">
      <c r="A301" s="154" t="s">
        <v>43</v>
      </c>
      <c r="B301" s="154" t="str" cm="1">
        <f t="array" ref="B301">_xlfn.XLOOKUP(TRUE, ISNUMBER(SEARCH(工作表5!$A$1:$A$23, C301)), 工作表5!$B$1:$B$23, "其他")</f>
        <v>定著組</v>
      </c>
      <c r="C301" s="145" t="s">
        <v>244</v>
      </c>
      <c r="D301" s="156"/>
      <c r="E301" s="156" t="s">
        <v>1398</v>
      </c>
      <c r="F301" s="156" t="s">
        <v>294</v>
      </c>
      <c r="G301" s="154">
        <v>240000</v>
      </c>
    </row>
    <row r="302" spans="1:7" ht="21.6" customHeight="1">
      <c r="A302" s="154" t="s">
        <v>43</v>
      </c>
      <c r="B302" s="154" t="str" cm="1">
        <f t="array" ref="B302">_xlfn.XLOOKUP(TRUE, ISNUMBER(SEARCH(工作表5!$A$1:$A$23, C302)), 工作表5!$B$1:$B$23, "其他")</f>
        <v>取紙組</v>
      </c>
      <c r="C302" s="144" t="s">
        <v>247</v>
      </c>
      <c r="D302" s="156"/>
      <c r="E302" s="156" t="s">
        <v>1399</v>
      </c>
      <c r="F302" s="156" t="s">
        <v>296</v>
      </c>
      <c r="G302" s="154">
        <v>80000</v>
      </c>
    </row>
    <row r="303" spans="1:7" ht="21.6" customHeight="1">
      <c r="A303" s="154" t="s">
        <v>43</v>
      </c>
      <c r="B303" s="154" t="str" cm="1">
        <f t="array" ref="B303">_xlfn.XLOOKUP(TRUE, ISNUMBER(SEARCH(工作表5!$A$1:$A$23, C303)), 工作表5!$B$1:$B$23, "其他")</f>
        <v>送稿機</v>
      </c>
      <c r="C303" s="144" t="s">
        <v>300</v>
      </c>
      <c r="D303" s="156"/>
      <c r="E303" s="156" t="s">
        <v>1400</v>
      </c>
      <c r="F303" s="156" t="s">
        <v>299</v>
      </c>
      <c r="G303" s="154">
        <v>120000</v>
      </c>
    </row>
    <row r="304" spans="1:7" ht="21.6" customHeight="1">
      <c r="A304" s="154" t="s">
        <v>43</v>
      </c>
      <c r="B304" s="154" t="str" cm="1">
        <f t="array" ref="B304">_xlfn.XLOOKUP(TRUE, ISNUMBER(SEARCH(工作表5!$A$1:$A$23, C304)), 工作表5!$B$1:$B$23, "其他")</f>
        <v>送稿機</v>
      </c>
      <c r="C304" s="144" t="s">
        <v>303</v>
      </c>
      <c r="D304" s="156"/>
      <c r="E304" s="156" t="s">
        <v>1401</v>
      </c>
      <c r="F304" s="156" t="s">
        <v>302</v>
      </c>
      <c r="G304" s="154">
        <v>120000</v>
      </c>
    </row>
    <row r="305" spans="1:7" ht="21.6" customHeight="1">
      <c r="A305" s="154" t="s">
        <v>43</v>
      </c>
      <c r="B305" s="154" t="str" cm="1">
        <f t="array" ref="B305">_xlfn.XLOOKUP(TRUE, ISNUMBER(SEARCH(工作表5!$A$1:$A$23, C305)), 工作表5!$B$1:$B$23, "其他")</f>
        <v>大容量取紙組</v>
      </c>
      <c r="C305" s="144" t="s">
        <v>304</v>
      </c>
      <c r="D305" s="156"/>
      <c r="E305" s="156" t="s">
        <v>1384</v>
      </c>
      <c r="F305" s="156" t="s">
        <v>252</v>
      </c>
      <c r="G305" s="154">
        <v>160000</v>
      </c>
    </row>
    <row r="306" spans="1:7" ht="21.6" customHeight="1">
      <c r="A306" s="154" t="s">
        <v>43</v>
      </c>
      <c r="B306" s="154" t="str" cm="1">
        <f t="array" ref="B306">_xlfn.XLOOKUP(TRUE, ISNUMBER(SEARCH(工作表5!$A$1:$A$23, C306)), 工作表5!$B$1:$B$23, "其他")</f>
        <v>顯像組</v>
      </c>
      <c r="C306" s="146" t="s">
        <v>129</v>
      </c>
      <c r="D306" s="156"/>
      <c r="E306" s="156" t="s">
        <v>1402</v>
      </c>
      <c r="F306" s="156" t="s">
        <v>306</v>
      </c>
      <c r="G306" s="154" t="e">
        <v>#VALUE!</v>
      </c>
    </row>
    <row r="307" spans="1:7" ht="21.6" customHeight="1">
      <c r="A307" s="154" t="s">
        <v>43</v>
      </c>
      <c r="B307" s="154" t="str" cm="1">
        <f t="array" ref="B307">_xlfn.XLOOKUP(TRUE, ISNUMBER(SEARCH(工作表5!$A$1:$A$23, C307)), 工作表5!$B$1:$B$23, "其他")</f>
        <v>顯像組</v>
      </c>
      <c r="C307" s="146" t="s">
        <v>129</v>
      </c>
      <c r="D307" s="156"/>
      <c r="E307" s="156" t="s">
        <v>1403</v>
      </c>
      <c r="F307" s="156" t="s">
        <v>309</v>
      </c>
      <c r="G307" s="154" t="e">
        <v>#VALUE!</v>
      </c>
    </row>
    <row r="308" spans="1:7" ht="21.6" customHeight="1">
      <c r="A308" s="154" t="s">
        <v>43</v>
      </c>
      <c r="B308" s="154" t="str" cm="1">
        <f t="array" ref="B308">_xlfn.XLOOKUP(TRUE, ISNUMBER(SEARCH(工作表5!$A$1:$A$23, C308)), 工作表5!$B$1:$B$23, "其他")</f>
        <v>定著組</v>
      </c>
      <c r="C308" s="147" t="s">
        <v>313</v>
      </c>
      <c r="D308" s="156"/>
      <c r="E308" s="156" t="s">
        <v>1404</v>
      </c>
      <c r="F308" s="156" t="s">
        <v>312</v>
      </c>
      <c r="G308" s="154" t="e">
        <v>#VALUE!</v>
      </c>
    </row>
    <row r="309" spans="1:7" ht="21.6" customHeight="1">
      <c r="A309" s="154" t="s">
        <v>45</v>
      </c>
      <c r="B309" s="154" t="str" cm="1">
        <f t="array" ref="B309">_xlfn.XLOOKUP(TRUE, ISNUMBER(SEARCH(工作表5!$A$1:$A$23, C309)), 工作表5!$B$1:$B$23, "其他")</f>
        <v>滾筒組</v>
      </c>
      <c r="C309" s="143" t="s">
        <v>193</v>
      </c>
      <c r="D309" s="156"/>
      <c r="E309" s="156" t="s">
        <v>1405</v>
      </c>
      <c r="F309" s="156" t="s">
        <v>315</v>
      </c>
      <c r="G309" s="154">
        <v>120000</v>
      </c>
    </row>
    <row r="310" spans="1:7" ht="21.6" customHeight="1">
      <c r="A310" s="154" t="s">
        <v>45</v>
      </c>
      <c r="B310" s="154" t="str" cm="1">
        <f t="array" ref="B310">_xlfn.XLOOKUP(TRUE, ISNUMBER(SEARCH(工作表5!$A$1:$A$23, C310)), 工作表5!$B$1:$B$23, "其他")</f>
        <v>顯像組</v>
      </c>
      <c r="C310" s="144" t="s">
        <v>75</v>
      </c>
      <c r="D310" s="156"/>
      <c r="E310" s="156" t="s">
        <v>1406</v>
      </c>
      <c r="F310" s="156" t="s">
        <v>317</v>
      </c>
      <c r="G310" s="154">
        <v>120000</v>
      </c>
    </row>
    <row r="311" spans="1:7" ht="21.6" customHeight="1">
      <c r="A311" s="154" t="s">
        <v>45</v>
      </c>
      <c r="B311" s="154" t="str" cm="1">
        <f t="array" ref="B311">_xlfn.XLOOKUP(TRUE, ISNUMBER(SEARCH(工作表5!$A$1:$A$23, C311)), 工作表5!$B$1:$B$23, "其他")</f>
        <v>滾筒組</v>
      </c>
      <c r="C311" s="144" t="s">
        <v>78</v>
      </c>
      <c r="D311" s="156"/>
      <c r="E311" s="156" t="s">
        <v>1326</v>
      </c>
      <c r="F311" s="156" t="s">
        <v>77</v>
      </c>
      <c r="G311" s="154">
        <v>120000</v>
      </c>
    </row>
    <row r="312" spans="1:7" ht="21.6" customHeight="1">
      <c r="A312" s="154" t="s">
        <v>45</v>
      </c>
      <c r="B312" s="154" t="str" cm="1">
        <f t="array" ref="B312">_xlfn.XLOOKUP(TRUE, ISNUMBER(SEARCH(工作表5!$A$1:$A$23, C312)), 工作表5!$B$1:$B$23, "其他")</f>
        <v>定著組</v>
      </c>
      <c r="C312" s="145" t="s">
        <v>1775</v>
      </c>
      <c r="D312" s="156"/>
      <c r="E312" s="156" t="s">
        <v>1387</v>
      </c>
      <c r="F312" s="156" t="s">
        <v>260</v>
      </c>
      <c r="G312" s="154">
        <v>240000</v>
      </c>
    </row>
    <row r="313" spans="1:7" ht="21.6" customHeight="1">
      <c r="A313" s="154" t="s">
        <v>45</v>
      </c>
      <c r="B313" s="154" t="str" cm="1">
        <f t="array" ref="B313">_xlfn.XLOOKUP(TRUE, ISNUMBER(SEARCH(工作表5!$A$1:$A$23, C313)), 工作表5!$B$1:$B$23, "其他")</f>
        <v>定著組</v>
      </c>
      <c r="C313" s="144" t="s">
        <v>87</v>
      </c>
      <c r="D313" s="156"/>
      <c r="E313" s="156" t="s">
        <v>1388</v>
      </c>
      <c r="F313" s="156" t="s">
        <v>262</v>
      </c>
      <c r="G313" s="154">
        <v>240000</v>
      </c>
    </row>
    <row r="314" spans="1:7" ht="21.6" customHeight="1">
      <c r="A314" s="154" t="s">
        <v>45</v>
      </c>
      <c r="B314" s="154" t="str" cm="1">
        <f t="array" ref="B314">_xlfn.XLOOKUP(TRUE, ISNUMBER(SEARCH(工作表5!$A$1:$A$23, C314)), 工作表5!$B$1:$B$23, "其他")</f>
        <v>轉寫組</v>
      </c>
      <c r="C314" s="144" t="s">
        <v>81</v>
      </c>
      <c r="D314" s="156"/>
      <c r="E314" s="156" t="s">
        <v>1365</v>
      </c>
      <c r="F314" s="156" t="s">
        <v>202</v>
      </c>
      <c r="G314" s="154">
        <v>120000</v>
      </c>
    </row>
    <row r="315" spans="1:7" ht="21.6" customHeight="1">
      <c r="A315" s="154" t="s">
        <v>45</v>
      </c>
      <c r="B315" s="154" t="str" cm="1">
        <f t="array" ref="B315">_xlfn.XLOOKUP(TRUE, ISNUMBER(SEARCH(工作表5!$A$1:$A$23, C315)), 工作表5!$B$1:$B$23, "其他")</f>
        <v>滾筒組</v>
      </c>
      <c r="C315" s="144" t="s">
        <v>95</v>
      </c>
      <c r="D315" s="156"/>
      <c r="E315" s="156" t="s">
        <v>1332</v>
      </c>
      <c r="F315" s="156" t="s">
        <v>94</v>
      </c>
      <c r="G315" s="154">
        <v>120000</v>
      </c>
    </row>
    <row r="316" spans="1:7" ht="21.6" customHeight="1">
      <c r="A316" s="154" t="s">
        <v>45</v>
      </c>
      <c r="B316" s="154" t="str" cm="1">
        <f t="array" ref="B316">_xlfn.XLOOKUP(TRUE, ISNUMBER(SEARCH(工作表5!$A$1:$A$23, C316)), 工作表5!$B$1:$B$23, "其他")</f>
        <v>滾筒組</v>
      </c>
      <c r="C316" s="144" t="s">
        <v>98</v>
      </c>
      <c r="D316" s="156"/>
      <c r="E316" s="156" t="s">
        <v>1366</v>
      </c>
      <c r="F316" s="156" t="s">
        <v>204</v>
      </c>
      <c r="G316" s="154">
        <v>120000</v>
      </c>
    </row>
    <row r="317" spans="1:7" ht="21.6" customHeight="1">
      <c r="A317" s="154" t="s">
        <v>45</v>
      </c>
      <c r="B317" s="154" t="str" cm="1">
        <f t="array" ref="B317">_xlfn.XLOOKUP(TRUE, ISNUMBER(SEARCH(工作表5!$A$1:$A$23, C317)), 工作表5!$B$1:$B$23, "其他")</f>
        <v>滾筒組</v>
      </c>
      <c r="C317" s="144" t="s">
        <v>107</v>
      </c>
      <c r="D317" s="156"/>
      <c r="E317" s="156" t="s">
        <v>1367</v>
      </c>
      <c r="F317" s="156" t="s">
        <v>206</v>
      </c>
      <c r="G317" s="154">
        <v>120000</v>
      </c>
    </row>
    <row r="318" spans="1:7" ht="21.6" customHeight="1">
      <c r="A318" s="154" t="s">
        <v>45</v>
      </c>
      <c r="B318" s="154" t="str" cm="1">
        <f t="array" ref="B318">_xlfn.XLOOKUP(TRUE, ISNUMBER(SEARCH(工作表5!$A$1:$A$23, C318)), 工作表5!$B$1:$B$23, "其他")</f>
        <v>顯像組</v>
      </c>
      <c r="C318" s="145" t="s">
        <v>104</v>
      </c>
      <c r="D318" s="156"/>
      <c r="E318" s="156" t="s">
        <v>1368</v>
      </c>
      <c r="F318" s="156" t="s">
        <v>208</v>
      </c>
      <c r="G318" s="154">
        <v>100000</v>
      </c>
    </row>
    <row r="319" spans="1:7" ht="21.6" customHeight="1">
      <c r="A319" s="154" t="s">
        <v>45</v>
      </c>
      <c r="B319" s="154" t="str" cm="1">
        <f t="array" ref="B319">_xlfn.XLOOKUP(TRUE, ISNUMBER(SEARCH(工作表5!$A$1:$A$23, C319)), 工作表5!$B$1:$B$23, "其他")</f>
        <v>定著組</v>
      </c>
      <c r="C319" s="144" t="s">
        <v>90</v>
      </c>
      <c r="D319" s="156"/>
      <c r="E319" s="156" t="s">
        <v>1330</v>
      </c>
      <c r="F319" s="156" t="s">
        <v>89</v>
      </c>
      <c r="G319" s="154">
        <v>240000</v>
      </c>
    </row>
    <row r="320" spans="1:7" ht="21.6" customHeight="1">
      <c r="A320" s="154" t="s">
        <v>45</v>
      </c>
      <c r="B320" s="154" t="str" cm="1">
        <f t="array" ref="B320">_xlfn.XLOOKUP(TRUE, ISNUMBER(SEARCH(工作表5!$A$1:$A$23, C320)), 工作表5!$B$1:$B$23, "其他")</f>
        <v>其他</v>
      </c>
      <c r="C320" s="144" t="s">
        <v>263</v>
      </c>
      <c r="D320" s="156"/>
      <c r="E320" s="156" t="s">
        <v>1370</v>
      </c>
      <c r="F320" s="156" t="s">
        <v>212</v>
      </c>
      <c r="G320" s="154">
        <v>240000</v>
      </c>
    </row>
    <row r="321" spans="1:7" ht="21.6" customHeight="1">
      <c r="A321" s="154" t="s">
        <v>45</v>
      </c>
      <c r="B321" s="154" t="str" cm="1">
        <f t="array" ref="B321">_xlfn.XLOOKUP(TRUE, ISNUMBER(SEARCH(工作表5!$A$1:$A$23, C321)), 工作表5!$B$1:$B$23, "其他")</f>
        <v>取紙組</v>
      </c>
      <c r="C321" s="144" t="s">
        <v>1780</v>
      </c>
      <c r="D321" s="156"/>
      <c r="E321" s="156" t="s">
        <v>1389</v>
      </c>
      <c r="F321" s="156" t="s">
        <v>265</v>
      </c>
      <c r="G321" s="154">
        <v>80000</v>
      </c>
    </row>
    <row r="322" spans="1:7" ht="21.6" customHeight="1">
      <c r="A322" s="154" t="s">
        <v>45</v>
      </c>
      <c r="B322" s="154" t="str" cm="1">
        <f t="array" ref="B322">_xlfn.XLOOKUP(TRUE, ISNUMBER(SEARCH(工作表5!$A$1:$A$23, C322)), 工作表5!$B$1:$B$23, "其他")</f>
        <v>取紙組</v>
      </c>
      <c r="C322" s="144" t="s">
        <v>270</v>
      </c>
      <c r="D322" s="156"/>
      <c r="E322" s="156" t="s">
        <v>1390</v>
      </c>
      <c r="F322" s="156" t="s">
        <v>269</v>
      </c>
      <c r="G322" s="154">
        <v>80000</v>
      </c>
    </row>
    <row r="323" spans="1:7" ht="21.6" customHeight="1">
      <c r="A323" s="154" t="s">
        <v>45</v>
      </c>
      <c r="B323" s="154" t="str" cm="1">
        <f t="array" ref="B323">_xlfn.XLOOKUP(TRUE, ISNUMBER(SEARCH(工作表5!$A$1:$A$23, C323)), 工作表5!$B$1:$B$23, "其他")</f>
        <v>取紙組</v>
      </c>
      <c r="C323" s="144" t="s">
        <v>266</v>
      </c>
      <c r="D323" s="156"/>
      <c r="E323" s="156" t="s">
        <v>1391</v>
      </c>
      <c r="F323" s="156" t="s">
        <v>272</v>
      </c>
      <c r="G323" s="154">
        <v>80000</v>
      </c>
    </row>
    <row r="324" spans="1:7" ht="21.6" customHeight="1">
      <c r="A324" s="154" t="s">
        <v>45</v>
      </c>
      <c r="B324" s="154" t="str" cm="1">
        <f t="array" ref="B324">_xlfn.XLOOKUP(TRUE, ISNUMBER(SEARCH(工作表5!$A$1:$A$23, C324)), 工作表5!$B$1:$B$23, "其他")</f>
        <v>手送台</v>
      </c>
      <c r="C324" s="144" t="s">
        <v>1861</v>
      </c>
      <c r="D324" s="156"/>
      <c r="E324" s="156" t="s">
        <v>1392</v>
      </c>
      <c r="F324" s="156" t="s">
        <v>274</v>
      </c>
      <c r="G324" s="154">
        <v>80000</v>
      </c>
    </row>
    <row r="325" spans="1:7" ht="21.6" customHeight="1">
      <c r="A325" s="154" t="s">
        <v>45</v>
      </c>
      <c r="B325" s="154" t="str" cm="1">
        <f t="array" ref="B325">_xlfn.XLOOKUP(TRUE, ISNUMBER(SEARCH(工作表5!$A$1:$A$23, C325)), 工作表5!$B$1:$B$23, "其他")</f>
        <v>手送台</v>
      </c>
      <c r="C325" s="144" t="s">
        <v>224</v>
      </c>
      <c r="D325" s="156"/>
      <c r="E325" s="156" t="s">
        <v>1393</v>
      </c>
      <c r="F325" s="156" t="s">
        <v>277</v>
      </c>
      <c r="G325" s="154">
        <v>80000</v>
      </c>
    </row>
    <row r="326" spans="1:7" ht="21.6" customHeight="1">
      <c r="A326" s="154" t="s">
        <v>45</v>
      </c>
      <c r="B326" s="154" t="str" cm="1">
        <f t="array" ref="B326">_xlfn.XLOOKUP(TRUE, ISNUMBER(SEARCH(工作表5!$A$1:$A$23, C326)), 工作表5!$B$1:$B$23, "其他")</f>
        <v>送稿機</v>
      </c>
      <c r="C326" s="144" t="s">
        <v>320</v>
      </c>
      <c r="D326" s="156"/>
      <c r="E326" s="156" t="s">
        <v>1375</v>
      </c>
      <c r="F326" s="156" t="s">
        <v>226</v>
      </c>
      <c r="G326" s="154">
        <v>120000</v>
      </c>
    </row>
    <row r="327" spans="1:7" ht="21.6" customHeight="1">
      <c r="A327" s="154" t="s">
        <v>45</v>
      </c>
      <c r="B327" s="154" t="str" cm="1">
        <f t="array" ref="B327">_xlfn.XLOOKUP(TRUE, ISNUMBER(SEARCH(工作表5!$A$1:$A$23, C327)), 工作表5!$B$1:$B$23, "其他")</f>
        <v>送稿機</v>
      </c>
      <c r="C327" s="144" t="s">
        <v>278</v>
      </c>
      <c r="D327" s="156"/>
      <c r="E327" s="156" t="s">
        <v>1376</v>
      </c>
      <c r="F327" s="156" t="s">
        <v>230</v>
      </c>
      <c r="G327" s="154">
        <v>120000</v>
      </c>
    </row>
    <row r="328" spans="1:7" ht="21.6" customHeight="1">
      <c r="A328" s="154" t="s">
        <v>45</v>
      </c>
      <c r="B328" s="154" t="str" cm="1">
        <f t="array" ref="B328">_xlfn.XLOOKUP(TRUE, ISNUMBER(SEARCH(工作表5!$A$1:$A$23, C328)), 工作表5!$B$1:$B$23, "其他")</f>
        <v>送稿機</v>
      </c>
      <c r="C328" s="144" t="s">
        <v>1782</v>
      </c>
      <c r="D328" s="156"/>
      <c r="E328" s="156" t="s">
        <v>1407</v>
      </c>
      <c r="F328" s="156" t="s">
        <v>324</v>
      </c>
      <c r="G328" s="154">
        <v>120000</v>
      </c>
    </row>
    <row r="329" spans="1:7" ht="21.6" customHeight="1">
      <c r="A329" s="154" t="s">
        <v>45</v>
      </c>
      <c r="B329" s="154" t="str" cm="1">
        <f t="array" ref="B329">_xlfn.XLOOKUP(TRUE, ISNUMBER(SEARCH(工作表5!$A$1:$A$23, C329)), 工作表5!$B$1:$B$23, "其他")</f>
        <v>送稿機</v>
      </c>
      <c r="C329" s="144" t="s">
        <v>285</v>
      </c>
      <c r="D329" s="156"/>
      <c r="E329" s="156" t="s">
        <v>1395</v>
      </c>
      <c r="F329" s="156" t="s">
        <v>226</v>
      </c>
      <c r="G329" s="154">
        <v>120000</v>
      </c>
    </row>
    <row r="330" spans="1:7" ht="21.6" customHeight="1">
      <c r="A330" s="154" t="s">
        <v>45</v>
      </c>
      <c r="B330" s="154" t="str" cm="1">
        <f t="array" ref="B330">_xlfn.XLOOKUP(TRUE, ISNUMBER(SEARCH(工作表5!$A$1:$A$23, C330)), 工作表5!$B$1:$B$23, "其他")</f>
        <v>送稿機</v>
      </c>
      <c r="C330" s="144" t="s">
        <v>282</v>
      </c>
      <c r="D330" s="156"/>
      <c r="E330" s="156" t="s">
        <v>1396</v>
      </c>
      <c r="F330" s="156" t="s">
        <v>288</v>
      </c>
      <c r="G330" s="154">
        <v>120000</v>
      </c>
    </row>
    <row r="331" spans="1:7" ht="21.6" customHeight="1">
      <c r="A331" s="154" t="s">
        <v>45</v>
      </c>
      <c r="B331" s="154" t="str" cm="1">
        <f t="array" ref="B331">_xlfn.XLOOKUP(TRUE, ISNUMBER(SEARCH(工作表5!$A$1:$A$23, C331)), 工作表5!$B$1:$B$23, "其他")</f>
        <v>大容量取紙組</v>
      </c>
      <c r="C331" s="144" t="s">
        <v>237</v>
      </c>
      <c r="D331" s="156"/>
      <c r="E331" s="156" t="s">
        <v>1408</v>
      </c>
      <c r="F331" s="156" t="s">
        <v>327</v>
      </c>
      <c r="G331" s="154">
        <v>320000</v>
      </c>
    </row>
    <row r="332" spans="1:7" ht="21.6" customHeight="1">
      <c r="A332" s="154" t="s">
        <v>45</v>
      </c>
      <c r="B332" s="154" t="str" cm="1">
        <f t="array" ref="B332">_xlfn.XLOOKUP(TRUE, ISNUMBER(SEARCH(工作表5!$A$1:$A$23, C332)), 工作表5!$B$1:$B$23, "其他")</f>
        <v>大容量取紙組</v>
      </c>
      <c r="C332" s="144" t="s">
        <v>289</v>
      </c>
      <c r="D332" s="156"/>
      <c r="E332" s="156" t="s">
        <v>1409</v>
      </c>
      <c r="F332" s="156" t="s">
        <v>330</v>
      </c>
      <c r="G332" s="154">
        <v>320000</v>
      </c>
    </row>
    <row r="333" spans="1:7" ht="21.6" customHeight="1">
      <c r="A333" s="154" t="s">
        <v>45</v>
      </c>
      <c r="B333" s="154" t="str" cm="1">
        <f t="array" ref="B333">_xlfn.XLOOKUP(TRUE, ISNUMBER(SEARCH(工作表5!$A$1:$A$23, C333)), 工作表5!$B$1:$B$23, "其他")</f>
        <v>其他</v>
      </c>
      <c r="C333" s="144" t="s">
        <v>1784</v>
      </c>
      <c r="D333" s="156"/>
      <c r="E333" s="156" t="s">
        <v>1410</v>
      </c>
      <c r="F333" s="156" t="s">
        <v>333</v>
      </c>
      <c r="G333" s="154">
        <v>500000</v>
      </c>
    </row>
    <row r="334" spans="1:7" ht="21.6" customHeight="1">
      <c r="A334" s="154" t="s">
        <v>45</v>
      </c>
      <c r="B334" s="154" t="str" cm="1">
        <f t="array" ref="B334">_xlfn.XLOOKUP(TRUE, ISNUMBER(SEARCH(工作表5!$A$1:$A$23, C334)), 工作表5!$B$1:$B$23, "其他")</f>
        <v>送稿機</v>
      </c>
      <c r="C334" s="144" t="s">
        <v>337</v>
      </c>
      <c r="D334" s="156"/>
      <c r="E334" s="156" t="s">
        <v>1411</v>
      </c>
      <c r="F334" s="156" t="s">
        <v>336</v>
      </c>
      <c r="G334" s="154">
        <v>500000</v>
      </c>
    </row>
    <row r="335" spans="1:7" ht="21.6" customHeight="1">
      <c r="A335" s="154" t="s">
        <v>45</v>
      </c>
      <c r="B335" s="154" t="str" cm="1">
        <f t="array" ref="B335">_xlfn.XLOOKUP(TRUE, ISNUMBER(SEARCH(工作表5!$A$1:$A$23, C335)), 工作表5!$B$1:$B$23, "其他")</f>
        <v>送稿機</v>
      </c>
      <c r="C335" s="145" t="s">
        <v>341</v>
      </c>
      <c r="D335" s="156"/>
      <c r="E335" s="156" t="s">
        <v>1412</v>
      </c>
      <c r="F335" s="156" t="s">
        <v>340</v>
      </c>
      <c r="G335" s="154">
        <v>500000</v>
      </c>
    </row>
    <row r="336" spans="1:7" ht="21.6" customHeight="1">
      <c r="A336" s="154" t="s">
        <v>45</v>
      </c>
      <c r="B336" s="154" t="str" cm="1">
        <f t="array" ref="B336">_xlfn.XLOOKUP(TRUE, ISNUMBER(SEARCH(工作表5!$A$1:$A$23, C336)), 工作表5!$B$1:$B$23, "其他")</f>
        <v>顯像組</v>
      </c>
      <c r="C336" s="144" t="s">
        <v>122</v>
      </c>
      <c r="D336" s="156"/>
      <c r="E336" s="156" t="s">
        <v>1413</v>
      </c>
      <c r="F336" s="156" t="s">
        <v>343</v>
      </c>
      <c r="G336" s="154">
        <v>120000</v>
      </c>
    </row>
    <row r="337" spans="1:7" ht="21.6" customHeight="1">
      <c r="A337" s="154" t="s">
        <v>45</v>
      </c>
      <c r="B337" s="154" t="str" cm="1">
        <f t="array" ref="B337">_xlfn.XLOOKUP(TRUE, ISNUMBER(SEARCH(工作表5!$A$1:$A$23, C337)), 工作表5!$B$1:$B$23, "其他")</f>
        <v>定著組</v>
      </c>
      <c r="C337" s="145" t="s">
        <v>244</v>
      </c>
      <c r="D337" s="156"/>
      <c r="E337" s="156" t="s">
        <v>1398</v>
      </c>
      <c r="F337" s="156" t="s">
        <v>294</v>
      </c>
      <c r="G337" s="154">
        <v>240000</v>
      </c>
    </row>
    <row r="338" spans="1:7" ht="21.6" customHeight="1">
      <c r="A338" s="154" t="s">
        <v>45</v>
      </c>
      <c r="B338" s="154" t="str" cm="1">
        <f t="array" ref="B338">_xlfn.XLOOKUP(TRUE, ISNUMBER(SEARCH(工作表5!$A$1:$A$23, C338)), 工作表5!$B$1:$B$23, "其他")</f>
        <v>取紙組</v>
      </c>
      <c r="C338" s="144" t="s">
        <v>247</v>
      </c>
      <c r="D338" s="156"/>
      <c r="E338" s="156" t="s">
        <v>1399</v>
      </c>
      <c r="F338" s="156" t="s">
        <v>296</v>
      </c>
      <c r="G338" s="154">
        <v>80000</v>
      </c>
    </row>
    <row r="339" spans="1:7" ht="21.6" customHeight="1">
      <c r="A339" s="154" t="s">
        <v>45</v>
      </c>
      <c r="B339" s="154" t="str" cm="1">
        <f t="array" ref="B339">_xlfn.XLOOKUP(TRUE, ISNUMBER(SEARCH(工作表5!$A$1:$A$23, C339)), 工作表5!$B$1:$B$23, "其他")</f>
        <v>送稿機</v>
      </c>
      <c r="C339" s="144" t="s">
        <v>300</v>
      </c>
      <c r="D339" s="156"/>
      <c r="E339" s="156" t="s">
        <v>1400</v>
      </c>
      <c r="F339" s="156" t="s">
        <v>299</v>
      </c>
      <c r="G339" s="154">
        <v>120000</v>
      </c>
    </row>
    <row r="340" spans="1:7" ht="21.6" customHeight="1">
      <c r="A340" s="154" t="s">
        <v>45</v>
      </c>
      <c r="B340" s="154" t="str" cm="1">
        <f t="array" ref="B340">_xlfn.XLOOKUP(TRUE, ISNUMBER(SEARCH(工作表5!$A$1:$A$23, C340)), 工作表5!$B$1:$B$23, "其他")</f>
        <v>送稿機</v>
      </c>
      <c r="C340" s="144" t="s">
        <v>303</v>
      </c>
      <c r="D340" s="156"/>
      <c r="E340" s="156" t="s">
        <v>1414</v>
      </c>
      <c r="F340" s="156" t="s">
        <v>346</v>
      </c>
      <c r="G340" s="154">
        <v>120000</v>
      </c>
    </row>
    <row r="341" spans="1:7" ht="21.6" customHeight="1">
      <c r="A341" s="154" t="s">
        <v>45</v>
      </c>
      <c r="B341" s="154" t="str" cm="1">
        <f t="array" ref="B341">_xlfn.XLOOKUP(TRUE, ISNUMBER(SEARCH(工作表5!$A$1:$A$23, C341)), 工作表5!$B$1:$B$23, "其他")</f>
        <v>其他</v>
      </c>
      <c r="C341" s="144" t="s">
        <v>349</v>
      </c>
      <c r="D341" s="156"/>
      <c r="E341" s="156" t="s">
        <v>1415</v>
      </c>
      <c r="F341" s="156" t="s">
        <v>348</v>
      </c>
      <c r="G341" s="154">
        <v>500000</v>
      </c>
    </row>
    <row r="342" spans="1:7" ht="21.6" customHeight="1">
      <c r="A342" s="154" t="s">
        <v>45</v>
      </c>
      <c r="B342" s="154" t="str" cm="1">
        <f t="array" ref="B342">_xlfn.XLOOKUP(TRUE, ISNUMBER(SEARCH(工作表5!$A$1:$A$23, C342)), 工作表5!$B$1:$B$23, "其他")</f>
        <v>顯像組</v>
      </c>
      <c r="C342" s="146" t="s">
        <v>129</v>
      </c>
      <c r="D342" s="156"/>
      <c r="E342" s="156" t="s">
        <v>1416</v>
      </c>
      <c r="F342" s="156" t="s">
        <v>351</v>
      </c>
      <c r="G342" s="154" t="e">
        <v>#VALUE!</v>
      </c>
    </row>
    <row r="343" spans="1:7" ht="21.6" customHeight="1">
      <c r="A343" s="154" t="s">
        <v>45</v>
      </c>
      <c r="B343" s="154" t="str" cm="1">
        <f t="array" ref="B343">_xlfn.XLOOKUP(TRUE, ISNUMBER(SEARCH(工作表5!$A$1:$A$23, C343)), 工作表5!$B$1:$B$23, "其他")</f>
        <v>定著組</v>
      </c>
      <c r="C343" s="147" t="s">
        <v>313</v>
      </c>
      <c r="D343" s="156"/>
      <c r="E343" s="156" t="s">
        <v>1417</v>
      </c>
      <c r="F343" s="156" t="s">
        <v>353</v>
      </c>
      <c r="G343" s="154" t="e">
        <v>#VALUE!</v>
      </c>
    </row>
    <row r="344" spans="1:7" ht="21.6" customHeight="1">
      <c r="A344" s="154">
        <v>357</v>
      </c>
      <c r="B344" s="154" t="str" cm="1">
        <f t="array" ref="B344">_xlfn.XLOOKUP(TRUE, ISNUMBER(SEARCH(工作表5!$A$1:$A$23, C344)), 工作表5!$B$1:$B$23, "其他")</f>
        <v>滾筒組</v>
      </c>
      <c r="C344" s="143" t="s">
        <v>193</v>
      </c>
      <c r="D344" s="156"/>
      <c r="E344" s="156" t="s">
        <v>1361</v>
      </c>
      <c r="F344" s="156" t="s">
        <v>192</v>
      </c>
      <c r="G344" s="154">
        <v>125000</v>
      </c>
    </row>
    <row r="345" spans="1:7" ht="21.6" customHeight="1">
      <c r="A345" s="154">
        <v>357</v>
      </c>
      <c r="B345" s="154" t="str" cm="1">
        <f t="array" ref="B345">_xlfn.XLOOKUP(TRUE, ISNUMBER(SEARCH(工作表5!$A$1:$A$23, C345)), 工作表5!$B$1:$B$23, "其他")</f>
        <v>顯像組</v>
      </c>
      <c r="C345" s="144" t="s">
        <v>75</v>
      </c>
      <c r="D345" s="156"/>
      <c r="E345" s="156" t="s">
        <v>1362</v>
      </c>
      <c r="F345" s="156" t="s">
        <v>196</v>
      </c>
      <c r="G345" s="154">
        <v>125000</v>
      </c>
    </row>
    <row r="346" spans="1:7" ht="21.6" customHeight="1">
      <c r="A346" s="154">
        <v>357</v>
      </c>
      <c r="B346" s="154" t="str" cm="1">
        <f t="array" ref="B346">_xlfn.XLOOKUP(TRUE, ISNUMBER(SEARCH(工作表5!$A$1:$A$23, C346)), 工作表5!$B$1:$B$23, "其他")</f>
        <v>滾筒組</v>
      </c>
      <c r="C346" s="144" t="s">
        <v>78</v>
      </c>
      <c r="D346" s="156"/>
      <c r="E346" s="156" t="s">
        <v>1326</v>
      </c>
      <c r="F346" s="156" t="s">
        <v>77</v>
      </c>
      <c r="G346" s="154">
        <v>125000</v>
      </c>
    </row>
    <row r="347" spans="1:7" ht="21.6" customHeight="1">
      <c r="A347" s="154">
        <v>357</v>
      </c>
      <c r="B347" s="154" t="str" cm="1">
        <f t="array" ref="B347">_xlfn.XLOOKUP(TRUE, ISNUMBER(SEARCH(工作表5!$A$1:$A$23, C347)), 工作表5!$B$1:$B$23, "其他")</f>
        <v>定著組</v>
      </c>
      <c r="C347" s="145" t="s">
        <v>1775</v>
      </c>
      <c r="D347" s="156"/>
      <c r="E347" s="156" t="s">
        <v>1363</v>
      </c>
      <c r="F347" s="156" t="s">
        <v>198</v>
      </c>
      <c r="G347" s="154">
        <v>250000</v>
      </c>
    </row>
    <row r="348" spans="1:7" ht="21.6" customHeight="1">
      <c r="A348" s="154">
        <v>357</v>
      </c>
      <c r="B348" s="154" t="str" cm="1">
        <f t="array" ref="B348">_xlfn.XLOOKUP(TRUE, ISNUMBER(SEARCH(工作表5!$A$1:$A$23, C348)), 工作表5!$B$1:$B$23, "其他")</f>
        <v>定著組</v>
      </c>
      <c r="C348" s="144" t="s">
        <v>87</v>
      </c>
      <c r="D348" s="156"/>
      <c r="E348" s="156" t="s">
        <v>1418</v>
      </c>
      <c r="F348" s="156" t="s">
        <v>366</v>
      </c>
      <c r="G348" s="154">
        <v>250000</v>
      </c>
    </row>
    <row r="349" spans="1:7" ht="21.6" customHeight="1">
      <c r="A349" s="154">
        <v>357</v>
      </c>
      <c r="B349" s="154" t="str" cm="1">
        <f t="array" ref="B349">_xlfn.XLOOKUP(TRUE, ISNUMBER(SEARCH(工作表5!$A$1:$A$23, C349)), 工作表5!$B$1:$B$23, "其他")</f>
        <v>轉寫組</v>
      </c>
      <c r="C349" s="144" t="s">
        <v>81</v>
      </c>
      <c r="D349" s="156"/>
      <c r="E349" s="156" t="s">
        <v>1365</v>
      </c>
      <c r="F349" s="156" t="s">
        <v>202</v>
      </c>
      <c r="G349" s="154">
        <v>125000</v>
      </c>
    </row>
    <row r="350" spans="1:7" ht="21.6" customHeight="1">
      <c r="A350" s="154">
        <v>357</v>
      </c>
      <c r="B350" s="154" t="str" cm="1">
        <f t="array" ref="B350">_xlfn.XLOOKUP(TRUE, ISNUMBER(SEARCH(工作表5!$A$1:$A$23, C350)), 工作表5!$B$1:$B$23, "其他")</f>
        <v>滾筒組</v>
      </c>
      <c r="C350" s="144" t="s">
        <v>95</v>
      </c>
      <c r="D350" s="156"/>
      <c r="E350" s="156" t="s">
        <v>1332</v>
      </c>
      <c r="F350" s="156" t="s">
        <v>94</v>
      </c>
      <c r="G350" s="154">
        <v>125000</v>
      </c>
    </row>
    <row r="351" spans="1:7" ht="21.6" customHeight="1">
      <c r="A351" s="154">
        <v>357</v>
      </c>
      <c r="B351" s="154" t="str" cm="1">
        <f t="array" ref="B351">_xlfn.XLOOKUP(TRUE, ISNUMBER(SEARCH(工作表5!$A$1:$A$23, C351)), 工作表5!$B$1:$B$23, "其他")</f>
        <v>滾筒組</v>
      </c>
      <c r="C351" s="144" t="s">
        <v>98</v>
      </c>
      <c r="D351" s="156"/>
      <c r="E351" s="156" t="s">
        <v>1366</v>
      </c>
      <c r="F351" s="156" t="s">
        <v>204</v>
      </c>
      <c r="G351" s="154">
        <v>125000</v>
      </c>
    </row>
    <row r="352" spans="1:7" ht="21.6" customHeight="1">
      <c r="A352" s="154">
        <v>357</v>
      </c>
      <c r="B352" s="154" t="str" cm="1">
        <f t="array" ref="B352">_xlfn.XLOOKUP(TRUE, ISNUMBER(SEARCH(工作表5!$A$1:$A$23, C352)), 工作表5!$B$1:$B$23, "其他")</f>
        <v>滾筒組</v>
      </c>
      <c r="C352" s="144" t="s">
        <v>107</v>
      </c>
      <c r="D352" s="156"/>
      <c r="E352" s="156" t="s">
        <v>1367</v>
      </c>
      <c r="F352" s="156" t="s">
        <v>206</v>
      </c>
      <c r="G352" s="154">
        <v>125000</v>
      </c>
    </row>
    <row r="353" spans="1:7" ht="21.6" customHeight="1">
      <c r="A353" s="154">
        <v>357</v>
      </c>
      <c r="B353" s="154" t="str" cm="1">
        <f t="array" ref="B353">_xlfn.XLOOKUP(TRUE, ISNUMBER(SEARCH(工作表5!$A$1:$A$23, C353)), 工作表5!$B$1:$B$23, "其他")</f>
        <v>顯像組</v>
      </c>
      <c r="C353" s="145" t="s">
        <v>104</v>
      </c>
      <c r="D353" s="156"/>
      <c r="E353" s="156" t="s">
        <v>1419</v>
      </c>
      <c r="F353" s="156" t="s">
        <v>368</v>
      </c>
      <c r="G353" s="154">
        <v>125000</v>
      </c>
    </row>
    <row r="354" spans="1:7" ht="21.6" customHeight="1">
      <c r="A354" s="154">
        <v>357</v>
      </c>
      <c r="B354" s="154" t="str" cm="1">
        <f t="array" ref="B354">_xlfn.XLOOKUP(TRUE, ISNUMBER(SEARCH(工作表5!$A$1:$A$23, C354)), 工作表5!$B$1:$B$23, "其他")</f>
        <v>定著組</v>
      </c>
      <c r="C354" s="144" t="s">
        <v>90</v>
      </c>
      <c r="D354" s="156"/>
      <c r="E354" s="156" t="s">
        <v>1369</v>
      </c>
      <c r="F354" s="156" t="s">
        <v>210</v>
      </c>
      <c r="G354" s="154">
        <v>125000</v>
      </c>
    </row>
    <row r="355" spans="1:7" ht="21.6" customHeight="1">
      <c r="A355" s="154">
        <v>357</v>
      </c>
      <c r="B355" s="154" t="str" cm="1">
        <f t="array" ref="B355">_xlfn.XLOOKUP(TRUE, ISNUMBER(SEARCH(工作表5!$A$1:$A$23, C355)), 工作表5!$B$1:$B$23, "其他")</f>
        <v>其他</v>
      </c>
      <c r="C355" s="144" t="s">
        <v>101</v>
      </c>
      <c r="D355" s="156"/>
      <c r="E355" s="156" t="s">
        <v>1370</v>
      </c>
      <c r="F355" s="156" t="s">
        <v>212</v>
      </c>
      <c r="G355" s="154">
        <v>250000</v>
      </c>
    </row>
    <row r="356" spans="1:7" ht="21.6" customHeight="1">
      <c r="A356" s="154">
        <v>357</v>
      </c>
      <c r="B356" s="154" t="str" cm="1">
        <f t="array" ref="B356">_xlfn.XLOOKUP(TRUE, ISNUMBER(SEARCH(工作表5!$A$1:$A$23, C356)), 工作表5!$B$1:$B$23, "其他")</f>
        <v>取紙組</v>
      </c>
      <c r="C356" s="144" t="s">
        <v>1777</v>
      </c>
      <c r="D356" s="156"/>
      <c r="E356" s="156" t="s">
        <v>1371</v>
      </c>
      <c r="F356" s="156" t="s">
        <v>214</v>
      </c>
      <c r="G356" s="154">
        <v>80000</v>
      </c>
    </row>
    <row r="357" spans="1:7" ht="21.6" customHeight="1">
      <c r="A357" s="154">
        <v>357</v>
      </c>
      <c r="B357" s="154" t="str" cm="1">
        <f t="array" ref="B357">_xlfn.XLOOKUP(TRUE, ISNUMBER(SEARCH(工作表5!$A$1:$A$23, C357)), 工作表5!$B$1:$B$23, "其他")</f>
        <v>取紙組</v>
      </c>
      <c r="C357" s="144" t="s">
        <v>219</v>
      </c>
      <c r="D357" s="156"/>
      <c r="E357" s="156" t="s">
        <v>1372</v>
      </c>
      <c r="F357" s="156" t="s">
        <v>218</v>
      </c>
      <c r="G357" s="154">
        <v>80000</v>
      </c>
    </row>
    <row r="358" spans="1:7" ht="21.6" customHeight="1">
      <c r="A358" s="154">
        <v>357</v>
      </c>
      <c r="B358" s="154" t="str" cm="1">
        <f t="array" ref="B358">_xlfn.XLOOKUP(TRUE, ISNUMBER(SEARCH(工作表5!$A$1:$A$23, C358)), 工作表5!$B$1:$B$23, "其他")</f>
        <v>取紙組</v>
      </c>
      <c r="C358" s="144" t="s">
        <v>215</v>
      </c>
      <c r="D358" s="156"/>
      <c r="E358" s="156" t="s">
        <v>1373</v>
      </c>
      <c r="F358" s="156" t="s">
        <v>221</v>
      </c>
      <c r="G358" s="154">
        <v>80000</v>
      </c>
    </row>
    <row r="359" spans="1:7" ht="21.6" customHeight="1">
      <c r="A359" s="154">
        <v>357</v>
      </c>
      <c r="B359" s="154" t="str" cm="1">
        <f t="array" ref="B359">_xlfn.XLOOKUP(TRUE, ISNUMBER(SEARCH(工作表5!$A$1:$A$23, C359)), 工作表5!$B$1:$B$23, "其他")</f>
        <v>手送台</v>
      </c>
      <c r="C359" s="144" t="s">
        <v>115</v>
      </c>
      <c r="D359" s="156"/>
      <c r="E359" s="156" t="s">
        <v>1356</v>
      </c>
      <c r="F359" s="156" t="s">
        <v>171</v>
      </c>
      <c r="G359" s="154">
        <v>80000</v>
      </c>
    </row>
    <row r="360" spans="1:7" ht="21.6" customHeight="1">
      <c r="A360" s="154">
        <v>357</v>
      </c>
      <c r="B360" s="154" t="str" cm="1">
        <f t="array" ref="B360">_xlfn.XLOOKUP(TRUE, ISNUMBER(SEARCH(工作表5!$A$1:$A$23, C360)), 工作表5!$B$1:$B$23, "其他")</f>
        <v>手送台</v>
      </c>
      <c r="C360" s="144" t="s">
        <v>224</v>
      </c>
      <c r="D360" s="156"/>
      <c r="E360" s="156" t="s">
        <v>1374</v>
      </c>
      <c r="F360" s="156" t="s">
        <v>223</v>
      </c>
      <c r="G360" s="154">
        <v>80000</v>
      </c>
    </row>
    <row r="361" spans="1:7" ht="21.6" customHeight="1">
      <c r="A361" s="154">
        <v>357</v>
      </c>
      <c r="B361" s="154" t="str" cm="1">
        <f t="array" ref="B361">_xlfn.XLOOKUP(TRUE, ISNUMBER(SEARCH(工作表5!$A$1:$A$23, C361)), 工作表5!$B$1:$B$23, "其他")</f>
        <v>送稿機</v>
      </c>
      <c r="C361" s="144" t="s">
        <v>1778</v>
      </c>
      <c r="D361" s="156"/>
      <c r="E361" s="156" t="s">
        <v>1375</v>
      </c>
      <c r="F361" s="156" t="s">
        <v>226</v>
      </c>
      <c r="G361" s="154">
        <v>120000</v>
      </c>
    </row>
    <row r="362" spans="1:7" ht="21.6" customHeight="1">
      <c r="A362" s="154">
        <v>357</v>
      </c>
      <c r="B362" s="154" t="str" cm="1">
        <f t="array" ref="B362">_xlfn.XLOOKUP(TRUE, ISNUMBER(SEARCH(工作表5!$A$1:$A$23, C362)), 工作表5!$B$1:$B$23, "其他")</f>
        <v>送稿機</v>
      </c>
      <c r="C362" s="144" t="s">
        <v>227</v>
      </c>
      <c r="D362" s="156"/>
      <c r="E362" s="156" t="s">
        <v>1376</v>
      </c>
      <c r="F362" s="156" t="s">
        <v>230</v>
      </c>
      <c r="G362" s="154">
        <v>120000</v>
      </c>
    </row>
    <row r="363" spans="1:7" ht="21.6" customHeight="1">
      <c r="A363" s="154">
        <v>357</v>
      </c>
      <c r="B363" s="154" t="str" cm="1">
        <f t="array" ref="B363">_xlfn.XLOOKUP(TRUE, ISNUMBER(SEARCH(工作表5!$A$1:$A$23, C363)), 工作表5!$B$1:$B$23, "其他")</f>
        <v>取紙組</v>
      </c>
      <c r="C363" s="144" t="s">
        <v>1785</v>
      </c>
      <c r="D363" s="156"/>
      <c r="E363" s="156" t="s">
        <v>1377</v>
      </c>
      <c r="F363" s="156" t="s">
        <v>232</v>
      </c>
      <c r="G363" s="154">
        <v>160000</v>
      </c>
    </row>
    <row r="364" spans="1:7" ht="21.6" customHeight="1">
      <c r="A364" s="154">
        <v>357</v>
      </c>
      <c r="B364" s="154" t="str" cm="1">
        <f t="array" ref="B364">_xlfn.XLOOKUP(TRUE, ISNUMBER(SEARCH(工作表5!$A$1:$A$23, C364)), 工作表5!$B$1:$B$23, "其他")</f>
        <v>取紙組</v>
      </c>
      <c r="C364" s="144" t="s">
        <v>360</v>
      </c>
      <c r="D364" s="156"/>
      <c r="E364" s="156" t="s">
        <v>1378</v>
      </c>
      <c r="F364" s="156" t="s">
        <v>236</v>
      </c>
      <c r="G364" s="154">
        <v>160000</v>
      </c>
    </row>
    <row r="365" spans="1:7" ht="21.6" customHeight="1">
      <c r="A365" s="154">
        <v>357</v>
      </c>
      <c r="B365" s="154" t="str" cm="1">
        <f t="array" ref="B365">_xlfn.XLOOKUP(TRUE, ISNUMBER(SEARCH(工作表5!$A$1:$A$23, C365)), 工作表5!$B$1:$B$23, "其他")</f>
        <v>取紙組</v>
      </c>
      <c r="C365" s="144" t="s">
        <v>358</v>
      </c>
      <c r="D365" s="156"/>
      <c r="E365" s="156" t="s">
        <v>1379</v>
      </c>
      <c r="F365" s="156" t="s">
        <v>239</v>
      </c>
      <c r="G365" s="154">
        <v>160000</v>
      </c>
    </row>
    <row r="366" spans="1:7" ht="21.6" customHeight="1">
      <c r="A366" s="154">
        <v>357</v>
      </c>
      <c r="B366" s="154" t="str" cm="1">
        <f t="array" ref="B366">_xlfn.XLOOKUP(TRUE, ISNUMBER(SEARCH(工作表5!$A$1:$A$23, C366)), 工作表5!$B$1:$B$23, "其他")</f>
        <v>顯像組</v>
      </c>
      <c r="C366" s="144" t="s">
        <v>122</v>
      </c>
      <c r="D366" s="156"/>
      <c r="E366" s="156" t="s">
        <v>1380</v>
      </c>
      <c r="F366" s="156" t="s">
        <v>241</v>
      </c>
      <c r="G366" s="154">
        <v>125000</v>
      </c>
    </row>
    <row r="367" spans="1:7" ht="21.6" customHeight="1">
      <c r="A367" s="154">
        <v>357</v>
      </c>
      <c r="B367" s="154" t="str" cm="1">
        <f t="array" ref="B367">_xlfn.XLOOKUP(TRUE, ISNUMBER(SEARCH(工作表5!$A$1:$A$23, C367)), 工作表5!$B$1:$B$23, "其他")</f>
        <v>定著組</v>
      </c>
      <c r="C367" s="145" t="s">
        <v>244</v>
      </c>
      <c r="D367" s="156"/>
      <c r="E367" s="156" t="s">
        <v>1420</v>
      </c>
      <c r="F367" s="156" t="s">
        <v>372</v>
      </c>
      <c r="G367" s="154">
        <v>250000</v>
      </c>
    </row>
    <row r="368" spans="1:7" ht="21.6" customHeight="1">
      <c r="A368" s="154">
        <v>357</v>
      </c>
      <c r="B368" s="154" t="str" cm="1">
        <f t="array" ref="B368">_xlfn.XLOOKUP(TRUE, ISNUMBER(SEARCH(工作表5!$A$1:$A$23, C368)), 工作表5!$B$1:$B$23, "其他")</f>
        <v>取紙組</v>
      </c>
      <c r="C368" s="144" t="s">
        <v>247</v>
      </c>
      <c r="D368" s="156"/>
      <c r="E368" s="156" t="s">
        <v>1382</v>
      </c>
      <c r="F368" s="156" t="s">
        <v>246</v>
      </c>
      <c r="G368" s="154">
        <v>80000</v>
      </c>
    </row>
    <row r="369" spans="1:7" ht="21.6" customHeight="1">
      <c r="A369" s="154">
        <v>357</v>
      </c>
      <c r="B369" s="154" t="str" cm="1">
        <f t="array" ref="B369">_xlfn.XLOOKUP(TRUE, ISNUMBER(SEARCH(工作表5!$A$1:$A$23, C369)), 工作表5!$B$1:$B$23, "其他")</f>
        <v>送稿機</v>
      </c>
      <c r="C369" s="144" t="s">
        <v>250</v>
      </c>
      <c r="D369" s="156"/>
      <c r="E369" s="156" t="s">
        <v>1383</v>
      </c>
      <c r="F369" s="156" t="s">
        <v>249</v>
      </c>
      <c r="G369" s="154">
        <v>120000</v>
      </c>
    </row>
    <row r="370" spans="1:7" ht="21.6" customHeight="1">
      <c r="A370" s="154">
        <v>357</v>
      </c>
      <c r="B370" s="154" t="str" cm="1">
        <f t="array" ref="B370">_xlfn.XLOOKUP(TRUE, ISNUMBER(SEARCH(工作表5!$A$1:$A$23, C370)), 工作表5!$B$1:$B$23, "其他")</f>
        <v>取紙組</v>
      </c>
      <c r="C370" s="144" t="s">
        <v>253</v>
      </c>
      <c r="D370" s="156"/>
      <c r="E370" s="156" t="s">
        <v>1384</v>
      </c>
      <c r="F370" s="156" t="s">
        <v>252</v>
      </c>
      <c r="G370" s="154">
        <v>160000</v>
      </c>
    </row>
    <row r="371" spans="1:7" ht="21.6" customHeight="1">
      <c r="A371" s="154">
        <v>357</v>
      </c>
      <c r="B371" s="154" t="str" cm="1">
        <f t="array" ref="B371">_xlfn.XLOOKUP(TRUE, ISNUMBER(SEARCH(工作表5!$A$1:$A$23, C371)), 工作表5!$B$1:$B$23, "其他")</f>
        <v>顯像組</v>
      </c>
      <c r="C371" s="146" t="s">
        <v>129</v>
      </c>
      <c r="D371" s="156"/>
      <c r="E371" s="156" t="s">
        <v>1421</v>
      </c>
      <c r="F371" s="156" t="s">
        <v>374</v>
      </c>
      <c r="G371" s="154" t="e">
        <v>#VALUE!</v>
      </c>
    </row>
    <row r="372" spans="1:7" ht="21.6" customHeight="1">
      <c r="A372" s="154">
        <v>357</v>
      </c>
      <c r="B372" s="154" t="str" cm="1">
        <f t="array" ref="B372">_xlfn.XLOOKUP(TRUE, ISNUMBER(SEARCH(工作表5!$A$1:$A$23, C372)), 工作表5!$B$1:$B$23, "其他")</f>
        <v>定著組</v>
      </c>
      <c r="C372" s="144" t="s">
        <v>258</v>
      </c>
      <c r="D372" s="156"/>
      <c r="E372" s="156" t="s">
        <v>1422</v>
      </c>
      <c r="F372" s="156" t="s">
        <v>376</v>
      </c>
      <c r="G372" s="154" t="e">
        <v>#VALUE!</v>
      </c>
    </row>
    <row r="373" spans="1:7" ht="21.6" customHeight="1">
      <c r="A373" s="154" t="s">
        <v>47</v>
      </c>
      <c r="B373" s="154" t="str" cm="1">
        <f t="array" ref="B373">_xlfn.XLOOKUP(TRUE, ISNUMBER(SEARCH(工作表5!$A$1:$A$23, C373)), 工作表5!$B$1:$B$23, "其他")</f>
        <v>滾筒組</v>
      </c>
      <c r="C373" s="143" t="s">
        <v>193</v>
      </c>
      <c r="D373" s="156"/>
      <c r="E373" s="156" t="s">
        <v>1361</v>
      </c>
      <c r="F373" s="156" t="s">
        <v>192</v>
      </c>
      <c r="G373" s="154">
        <v>125000</v>
      </c>
    </row>
    <row r="374" spans="1:7" ht="21.6" customHeight="1">
      <c r="A374" s="154" t="s">
        <v>47</v>
      </c>
      <c r="B374" s="154" t="str" cm="1">
        <f t="array" ref="B374">_xlfn.XLOOKUP(TRUE, ISNUMBER(SEARCH(工作表5!$A$1:$A$23, C374)), 工作表5!$B$1:$B$23, "其他")</f>
        <v>顯像組</v>
      </c>
      <c r="C374" s="144" t="s">
        <v>75</v>
      </c>
      <c r="D374" s="156"/>
      <c r="E374" s="156" t="s">
        <v>1362</v>
      </c>
      <c r="F374" s="156" t="s">
        <v>196</v>
      </c>
      <c r="G374" s="154">
        <v>125000</v>
      </c>
    </row>
    <row r="375" spans="1:7" ht="21.6" customHeight="1">
      <c r="A375" s="154" t="s">
        <v>47</v>
      </c>
      <c r="B375" s="154" t="str" cm="1">
        <f t="array" ref="B375">_xlfn.XLOOKUP(TRUE, ISNUMBER(SEARCH(工作表5!$A$1:$A$23, C375)), 工作表5!$B$1:$B$23, "其他")</f>
        <v>滾筒組</v>
      </c>
      <c r="C375" s="144" t="s">
        <v>78</v>
      </c>
      <c r="D375" s="156"/>
      <c r="E375" s="156" t="s">
        <v>1326</v>
      </c>
      <c r="F375" s="156" t="s">
        <v>77</v>
      </c>
      <c r="G375" s="154">
        <v>125000</v>
      </c>
    </row>
    <row r="376" spans="1:7" ht="21.6" customHeight="1">
      <c r="A376" s="154" t="s">
        <v>47</v>
      </c>
      <c r="B376" s="154" t="str" cm="1">
        <f t="array" ref="B376">_xlfn.XLOOKUP(TRUE, ISNUMBER(SEARCH(工作表5!$A$1:$A$23, C376)), 工作表5!$B$1:$B$23, "其他")</f>
        <v>定著組</v>
      </c>
      <c r="C376" s="145" t="s">
        <v>1775</v>
      </c>
      <c r="D376" s="156"/>
      <c r="E376" s="156" t="s">
        <v>1387</v>
      </c>
      <c r="F376" s="156" t="s">
        <v>260</v>
      </c>
      <c r="G376" s="154">
        <v>250000</v>
      </c>
    </row>
    <row r="377" spans="1:7" ht="21.6" customHeight="1">
      <c r="A377" s="154" t="s">
        <v>47</v>
      </c>
      <c r="B377" s="154" t="str" cm="1">
        <f t="array" ref="B377">_xlfn.XLOOKUP(TRUE, ISNUMBER(SEARCH(工作表5!$A$1:$A$23, C377)), 工作表5!$B$1:$B$23, "其他")</f>
        <v>定著組</v>
      </c>
      <c r="C377" s="144" t="s">
        <v>87</v>
      </c>
      <c r="D377" s="156"/>
      <c r="E377" s="156" t="s">
        <v>1423</v>
      </c>
      <c r="F377" s="156" t="s">
        <v>378</v>
      </c>
      <c r="G377" s="154">
        <v>250000</v>
      </c>
    </row>
    <row r="378" spans="1:7" ht="21.6" customHeight="1">
      <c r="A378" s="154" t="s">
        <v>47</v>
      </c>
      <c r="B378" s="154" t="str" cm="1">
        <f t="array" ref="B378">_xlfn.XLOOKUP(TRUE, ISNUMBER(SEARCH(工作表5!$A$1:$A$23, C378)), 工作表5!$B$1:$B$23, "其他")</f>
        <v>轉寫組</v>
      </c>
      <c r="C378" s="144" t="s">
        <v>81</v>
      </c>
      <c r="D378" s="156"/>
      <c r="E378" s="156" t="s">
        <v>1365</v>
      </c>
      <c r="F378" s="156" t="s">
        <v>202</v>
      </c>
      <c r="G378" s="154">
        <v>125000</v>
      </c>
    </row>
    <row r="379" spans="1:7" ht="21.6" customHeight="1">
      <c r="A379" s="154" t="s">
        <v>47</v>
      </c>
      <c r="B379" s="154" t="str" cm="1">
        <f t="array" ref="B379">_xlfn.XLOOKUP(TRUE, ISNUMBER(SEARCH(工作表5!$A$1:$A$23, C379)), 工作表5!$B$1:$B$23, "其他")</f>
        <v>滾筒組</v>
      </c>
      <c r="C379" s="144" t="s">
        <v>95</v>
      </c>
      <c r="D379" s="156"/>
      <c r="E379" s="156" t="s">
        <v>1332</v>
      </c>
      <c r="F379" s="156" t="s">
        <v>94</v>
      </c>
      <c r="G379" s="154">
        <v>125000</v>
      </c>
    </row>
    <row r="380" spans="1:7" ht="21.6" customHeight="1">
      <c r="A380" s="154" t="s">
        <v>47</v>
      </c>
      <c r="B380" s="154" t="str" cm="1">
        <f t="array" ref="B380">_xlfn.XLOOKUP(TRUE, ISNUMBER(SEARCH(工作表5!$A$1:$A$23, C380)), 工作表5!$B$1:$B$23, "其他")</f>
        <v>滾筒組</v>
      </c>
      <c r="C380" s="144" t="s">
        <v>98</v>
      </c>
      <c r="D380" s="156"/>
      <c r="E380" s="156" t="s">
        <v>1366</v>
      </c>
      <c r="F380" s="156" t="s">
        <v>204</v>
      </c>
      <c r="G380" s="154">
        <v>125000</v>
      </c>
    </row>
    <row r="381" spans="1:7" ht="21.6" customHeight="1">
      <c r="A381" s="154" t="s">
        <v>47</v>
      </c>
      <c r="B381" s="154" t="str" cm="1">
        <f t="array" ref="B381">_xlfn.XLOOKUP(TRUE, ISNUMBER(SEARCH(工作表5!$A$1:$A$23, C381)), 工作表5!$B$1:$B$23, "其他")</f>
        <v>滾筒組</v>
      </c>
      <c r="C381" s="144" t="s">
        <v>107</v>
      </c>
      <c r="D381" s="156"/>
      <c r="E381" s="156" t="s">
        <v>1367</v>
      </c>
      <c r="F381" s="156" t="s">
        <v>206</v>
      </c>
      <c r="G381" s="154">
        <v>125000</v>
      </c>
    </row>
    <row r="382" spans="1:7" ht="21.6" customHeight="1">
      <c r="A382" s="154" t="s">
        <v>47</v>
      </c>
      <c r="B382" s="154" t="str" cm="1">
        <f t="array" ref="B382">_xlfn.XLOOKUP(TRUE, ISNUMBER(SEARCH(工作表5!$A$1:$A$23, C382)), 工作表5!$B$1:$B$23, "其他")</f>
        <v>顯像組</v>
      </c>
      <c r="C382" s="145" t="s">
        <v>104</v>
      </c>
      <c r="D382" s="156"/>
      <c r="E382" s="156" t="s">
        <v>1419</v>
      </c>
      <c r="F382" s="156" t="s">
        <v>368</v>
      </c>
      <c r="G382" s="154">
        <v>125000</v>
      </c>
    </row>
    <row r="383" spans="1:7" ht="21.6" customHeight="1">
      <c r="A383" s="154" t="s">
        <v>47</v>
      </c>
      <c r="B383" s="154" t="str" cm="1">
        <f t="array" ref="B383">_xlfn.XLOOKUP(TRUE, ISNUMBER(SEARCH(工作表5!$A$1:$A$23, C383)), 工作表5!$B$1:$B$23, "其他")</f>
        <v>定著組</v>
      </c>
      <c r="C383" s="144" t="s">
        <v>90</v>
      </c>
      <c r="D383" s="156"/>
      <c r="E383" s="156" t="s">
        <v>1330</v>
      </c>
      <c r="F383" s="156" t="s">
        <v>89</v>
      </c>
      <c r="G383" s="154">
        <v>250000</v>
      </c>
    </row>
    <row r="384" spans="1:7" ht="21.6" customHeight="1">
      <c r="A384" s="154" t="s">
        <v>47</v>
      </c>
      <c r="B384" s="154" t="str" cm="1">
        <f t="array" ref="B384">_xlfn.XLOOKUP(TRUE, ISNUMBER(SEARCH(工作表5!$A$1:$A$23, C384)), 工作表5!$B$1:$B$23, "其他")</f>
        <v>其他</v>
      </c>
      <c r="C384" s="144" t="s">
        <v>263</v>
      </c>
      <c r="D384" s="156"/>
      <c r="E384" s="156" t="s">
        <v>1370</v>
      </c>
      <c r="F384" s="156" t="s">
        <v>212</v>
      </c>
      <c r="G384" s="154">
        <v>250000</v>
      </c>
    </row>
    <row r="385" spans="1:7" ht="21.6" customHeight="1">
      <c r="A385" s="154" t="s">
        <v>47</v>
      </c>
      <c r="B385" s="154" t="str" cm="1">
        <f t="array" ref="B385">_xlfn.XLOOKUP(TRUE, ISNUMBER(SEARCH(工作表5!$A$1:$A$23, C385)), 工作表5!$B$1:$B$23, "其他")</f>
        <v>取紙組</v>
      </c>
      <c r="C385" s="144" t="s">
        <v>1780</v>
      </c>
      <c r="D385" s="156"/>
      <c r="E385" s="156" t="s">
        <v>1389</v>
      </c>
      <c r="F385" s="156" t="s">
        <v>265</v>
      </c>
      <c r="G385" s="154">
        <v>80000</v>
      </c>
    </row>
    <row r="386" spans="1:7" ht="21.6" customHeight="1">
      <c r="A386" s="154" t="s">
        <v>47</v>
      </c>
      <c r="B386" s="154" t="str" cm="1">
        <f t="array" ref="B386">_xlfn.XLOOKUP(TRUE, ISNUMBER(SEARCH(工作表5!$A$1:$A$23, C386)), 工作表5!$B$1:$B$23, "其他")</f>
        <v>取紙組</v>
      </c>
      <c r="C386" s="144" t="s">
        <v>270</v>
      </c>
      <c r="D386" s="156"/>
      <c r="E386" s="156" t="s">
        <v>1390</v>
      </c>
      <c r="F386" s="156" t="s">
        <v>269</v>
      </c>
      <c r="G386" s="154">
        <v>80000</v>
      </c>
    </row>
    <row r="387" spans="1:7" ht="21.6" customHeight="1">
      <c r="A387" s="154" t="s">
        <v>47</v>
      </c>
      <c r="B387" s="154" t="str" cm="1">
        <f t="array" ref="B387">_xlfn.XLOOKUP(TRUE, ISNUMBER(SEARCH(工作表5!$A$1:$A$23, C387)), 工作表5!$B$1:$B$23, "其他")</f>
        <v>取紙組</v>
      </c>
      <c r="C387" s="144" t="s">
        <v>266</v>
      </c>
      <c r="D387" s="156"/>
      <c r="E387" s="156" t="s">
        <v>1391</v>
      </c>
      <c r="F387" s="156" t="s">
        <v>272</v>
      </c>
      <c r="G387" s="154">
        <v>80000</v>
      </c>
    </row>
    <row r="388" spans="1:7" ht="21.6" customHeight="1">
      <c r="A388" s="154" t="s">
        <v>47</v>
      </c>
      <c r="B388" s="154" t="str" cm="1">
        <f t="array" ref="B388">_xlfn.XLOOKUP(TRUE, ISNUMBER(SEARCH(工作表5!$A$1:$A$23, C388)), 工作表5!$B$1:$B$23, "其他")</f>
        <v>手送台</v>
      </c>
      <c r="C388" s="144" t="s">
        <v>1861</v>
      </c>
      <c r="D388" s="156"/>
      <c r="E388" s="156" t="s">
        <v>1392</v>
      </c>
      <c r="F388" s="156" t="s">
        <v>274</v>
      </c>
      <c r="G388" s="154">
        <v>80000</v>
      </c>
    </row>
    <row r="389" spans="1:7" ht="21.6" customHeight="1">
      <c r="A389" s="154" t="s">
        <v>47</v>
      </c>
      <c r="B389" s="154" t="str" cm="1">
        <f t="array" ref="B389">_xlfn.XLOOKUP(TRUE, ISNUMBER(SEARCH(工作表5!$A$1:$A$23, C389)), 工作表5!$B$1:$B$23, "其他")</f>
        <v>手送台</v>
      </c>
      <c r="C389" s="144" t="s">
        <v>224</v>
      </c>
      <c r="D389" s="156"/>
      <c r="E389" s="156" t="s">
        <v>1393</v>
      </c>
      <c r="F389" s="156" t="s">
        <v>277</v>
      </c>
      <c r="G389" s="154">
        <v>80000</v>
      </c>
    </row>
    <row r="390" spans="1:7" ht="21.6" customHeight="1">
      <c r="A390" s="154" t="s">
        <v>47</v>
      </c>
      <c r="B390" s="154" t="str" cm="1">
        <f t="array" ref="B390">_xlfn.XLOOKUP(TRUE, ISNUMBER(SEARCH(工作表5!$A$1:$A$23, C390)), 工作表5!$B$1:$B$23, "其他")</f>
        <v>送稿機</v>
      </c>
      <c r="C390" s="144" t="s">
        <v>1781</v>
      </c>
      <c r="D390" s="156"/>
      <c r="E390" s="156" t="s">
        <v>1375</v>
      </c>
      <c r="F390" s="156" t="s">
        <v>226</v>
      </c>
      <c r="G390" s="154">
        <v>120000</v>
      </c>
    </row>
    <row r="391" spans="1:7" ht="21.6" customHeight="1">
      <c r="A391" s="154" t="s">
        <v>47</v>
      </c>
      <c r="B391" s="154" t="str" cm="1">
        <f t="array" ref="B391">_xlfn.XLOOKUP(TRUE, ISNUMBER(SEARCH(工作表5!$A$1:$A$23, C391)), 工作表5!$B$1:$B$23, "其他")</f>
        <v>送稿機</v>
      </c>
      <c r="C391" s="144" t="s">
        <v>278</v>
      </c>
      <c r="D391" s="156"/>
      <c r="E391" s="156" t="s">
        <v>1376</v>
      </c>
      <c r="F391" s="156" t="s">
        <v>230</v>
      </c>
      <c r="G391" s="154">
        <v>120000</v>
      </c>
    </row>
    <row r="392" spans="1:7" ht="21.6" customHeight="1">
      <c r="A392" s="154" t="s">
        <v>47</v>
      </c>
      <c r="B392" s="154" t="str" cm="1">
        <f t="array" ref="B392">_xlfn.XLOOKUP(TRUE, ISNUMBER(SEARCH(工作表5!$A$1:$A$23, C392)), 工作表5!$B$1:$B$23, "其他")</f>
        <v>送稿機</v>
      </c>
      <c r="C392" s="144" t="s">
        <v>1782</v>
      </c>
      <c r="D392" s="156"/>
      <c r="E392" s="156" t="s">
        <v>1394</v>
      </c>
      <c r="F392" s="156" t="s">
        <v>281</v>
      </c>
      <c r="G392" s="154">
        <v>120000</v>
      </c>
    </row>
    <row r="393" spans="1:7" ht="21.6" customHeight="1">
      <c r="A393" s="154" t="s">
        <v>47</v>
      </c>
      <c r="B393" s="154" t="str" cm="1">
        <f t="array" ref="B393">_xlfn.XLOOKUP(TRUE, ISNUMBER(SEARCH(工作表5!$A$1:$A$23, C393)), 工作表5!$B$1:$B$23, "其他")</f>
        <v>送稿機</v>
      </c>
      <c r="C393" s="144" t="s">
        <v>285</v>
      </c>
      <c r="D393" s="156"/>
      <c r="E393" s="156" t="s">
        <v>1395</v>
      </c>
      <c r="F393" s="156" t="s">
        <v>226</v>
      </c>
      <c r="G393" s="154">
        <v>120000</v>
      </c>
    </row>
    <row r="394" spans="1:7" ht="21.6" customHeight="1">
      <c r="A394" s="154" t="s">
        <v>47</v>
      </c>
      <c r="B394" s="154" t="str" cm="1">
        <f t="array" ref="B394">_xlfn.XLOOKUP(TRUE, ISNUMBER(SEARCH(工作表5!$A$1:$A$23, C394)), 工作表5!$B$1:$B$23, "其他")</f>
        <v>送稿機</v>
      </c>
      <c r="C394" s="144" t="s">
        <v>282</v>
      </c>
      <c r="D394" s="156"/>
      <c r="E394" s="156" t="s">
        <v>1396</v>
      </c>
      <c r="F394" s="156" t="s">
        <v>288</v>
      </c>
      <c r="G394" s="154">
        <v>120000</v>
      </c>
    </row>
    <row r="395" spans="1:7" ht="21.6" customHeight="1">
      <c r="A395" s="154" t="s">
        <v>47</v>
      </c>
      <c r="B395" s="154" t="str" cm="1">
        <f t="array" ref="B395">_xlfn.XLOOKUP(TRUE, ISNUMBER(SEARCH(工作表5!$A$1:$A$23, C395)), 工作表5!$B$1:$B$23, "其他")</f>
        <v>大容量取紙組</v>
      </c>
      <c r="C395" s="144" t="s">
        <v>1783</v>
      </c>
      <c r="D395" s="156"/>
      <c r="E395" s="156" t="s">
        <v>1377</v>
      </c>
      <c r="F395" s="156" t="s">
        <v>232</v>
      </c>
      <c r="G395" s="154">
        <v>160000</v>
      </c>
    </row>
    <row r="396" spans="1:7" ht="21.6" customHeight="1">
      <c r="A396" s="154" t="s">
        <v>47</v>
      </c>
      <c r="B396" s="154" t="str" cm="1">
        <f t="array" ref="B396">_xlfn.XLOOKUP(TRUE, ISNUMBER(SEARCH(工作表5!$A$1:$A$23, C396)), 工作表5!$B$1:$B$23, "其他")</f>
        <v>大容量取紙組</v>
      </c>
      <c r="C396" s="144" t="s">
        <v>237</v>
      </c>
      <c r="D396" s="156"/>
      <c r="E396" s="156" t="s">
        <v>1378</v>
      </c>
      <c r="F396" s="156" t="s">
        <v>236</v>
      </c>
      <c r="G396" s="154">
        <v>160000</v>
      </c>
    </row>
    <row r="397" spans="1:7" ht="21.6" customHeight="1">
      <c r="A397" s="154" t="s">
        <v>47</v>
      </c>
      <c r="B397" s="154" t="str" cm="1">
        <f t="array" ref="B397">_xlfn.XLOOKUP(TRUE, ISNUMBER(SEARCH(工作表5!$A$1:$A$23, C397)), 工作表5!$B$1:$B$23, "其他")</f>
        <v>大容量取紙組</v>
      </c>
      <c r="C397" s="144" t="s">
        <v>289</v>
      </c>
      <c r="D397" s="156"/>
      <c r="E397" s="156" t="s">
        <v>1379</v>
      </c>
      <c r="F397" s="156" t="s">
        <v>239</v>
      </c>
      <c r="G397" s="154">
        <v>160000</v>
      </c>
    </row>
    <row r="398" spans="1:7" ht="21.6" customHeight="1">
      <c r="A398" s="154" t="s">
        <v>47</v>
      </c>
      <c r="B398" s="154" t="str" cm="1">
        <f t="array" ref="B398">_xlfn.XLOOKUP(TRUE, ISNUMBER(SEARCH(工作表5!$A$1:$A$23, C398)), 工作表5!$B$1:$B$23, "其他")</f>
        <v>顯像組</v>
      </c>
      <c r="C398" s="144" t="s">
        <v>122</v>
      </c>
      <c r="D398" s="156"/>
      <c r="E398" s="156" t="s">
        <v>1397</v>
      </c>
      <c r="F398" s="156" t="s">
        <v>292</v>
      </c>
      <c r="G398" s="154">
        <v>125000</v>
      </c>
    </row>
    <row r="399" spans="1:7" ht="21.6" customHeight="1">
      <c r="A399" s="154" t="s">
        <v>47</v>
      </c>
      <c r="B399" s="154" t="str" cm="1">
        <f t="array" ref="B399">_xlfn.XLOOKUP(TRUE, ISNUMBER(SEARCH(工作表5!$A$1:$A$23, C399)), 工作表5!$B$1:$B$23, "其他")</f>
        <v>定著組</v>
      </c>
      <c r="C399" s="145" t="s">
        <v>244</v>
      </c>
      <c r="D399" s="156"/>
      <c r="E399" s="156" t="s">
        <v>1424</v>
      </c>
      <c r="F399" s="156" t="s">
        <v>380</v>
      </c>
      <c r="G399" s="154">
        <v>250000</v>
      </c>
    </row>
    <row r="400" spans="1:7" ht="21.6" customHeight="1">
      <c r="A400" s="154" t="s">
        <v>47</v>
      </c>
      <c r="B400" s="154" t="str" cm="1">
        <f t="array" ref="B400">_xlfn.XLOOKUP(TRUE, ISNUMBER(SEARCH(工作表5!$A$1:$A$23, C400)), 工作表5!$B$1:$B$23, "其他")</f>
        <v>取紙組</v>
      </c>
      <c r="C400" s="144" t="s">
        <v>247</v>
      </c>
      <c r="D400" s="156"/>
      <c r="E400" s="156" t="s">
        <v>1399</v>
      </c>
      <c r="F400" s="156" t="s">
        <v>296</v>
      </c>
      <c r="G400" s="154">
        <v>80000</v>
      </c>
    </row>
    <row r="401" spans="1:7" ht="21.6" customHeight="1">
      <c r="A401" s="154" t="s">
        <v>47</v>
      </c>
      <c r="B401" s="154" t="str" cm="1">
        <f t="array" ref="B401">_xlfn.XLOOKUP(TRUE, ISNUMBER(SEARCH(工作表5!$A$1:$A$23, C401)), 工作表5!$B$1:$B$23, "其他")</f>
        <v>送稿機</v>
      </c>
      <c r="C401" s="144" t="s">
        <v>300</v>
      </c>
      <c r="D401" s="156"/>
      <c r="E401" s="156" t="s">
        <v>1400</v>
      </c>
      <c r="F401" s="156" t="s">
        <v>299</v>
      </c>
      <c r="G401" s="154">
        <v>120000</v>
      </c>
    </row>
    <row r="402" spans="1:7" ht="21.6" customHeight="1">
      <c r="A402" s="154" t="s">
        <v>47</v>
      </c>
      <c r="B402" s="154" t="str" cm="1">
        <f t="array" ref="B402">_xlfn.XLOOKUP(TRUE, ISNUMBER(SEARCH(工作表5!$A$1:$A$23, C402)), 工作表5!$B$1:$B$23, "其他")</f>
        <v>送稿機</v>
      </c>
      <c r="C402" s="144" t="s">
        <v>303</v>
      </c>
      <c r="D402" s="156"/>
      <c r="E402" s="156" t="s">
        <v>1401</v>
      </c>
      <c r="F402" s="156" t="s">
        <v>302</v>
      </c>
      <c r="G402" s="154">
        <v>120000</v>
      </c>
    </row>
    <row r="403" spans="1:7" ht="21.6" customHeight="1">
      <c r="A403" s="154" t="s">
        <v>47</v>
      </c>
      <c r="B403" s="154" t="str" cm="1">
        <f t="array" ref="B403">_xlfn.XLOOKUP(TRUE, ISNUMBER(SEARCH(工作表5!$A$1:$A$23, C403)), 工作表5!$B$1:$B$23, "其他")</f>
        <v>大容量取紙組</v>
      </c>
      <c r="C403" s="144" t="s">
        <v>304</v>
      </c>
      <c r="D403" s="156"/>
      <c r="E403" s="156" t="s">
        <v>1384</v>
      </c>
      <c r="F403" s="156" t="s">
        <v>252</v>
      </c>
      <c r="G403" s="154">
        <v>160000</v>
      </c>
    </row>
    <row r="404" spans="1:7" ht="21.6" customHeight="1">
      <c r="A404" s="154" t="s">
        <v>47</v>
      </c>
      <c r="B404" s="154" t="str" cm="1">
        <f t="array" ref="B404">_xlfn.XLOOKUP(TRUE, ISNUMBER(SEARCH(工作表5!$A$1:$A$23, C404)), 工作表5!$B$1:$B$23, "其他")</f>
        <v>顯像組</v>
      </c>
      <c r="C404" s="146" t="s">
        <v>129</v>
      </c>
      <c r="D404" s="156"/>
      <c r="E404" s="156" t="s">
        <v>1425</v>
      </c>
      <c r="F404" s="156" t="s">
        <v>382</v>
      </c>
      <c r="G404" s="154" t="e">
        <v>#VALUE!</v>
      </c>
    </row>
    <row r="405" spans="1:7" ht="21.6" customHeight="1">
      <c r="A405" s="154" t="s">
        <v>47</v>
      </c>
      <c r="B405" s="154" t="str" cm="1">
        <f t="array" ref="B405">_xlfn.XLOOKUP(TRUE, ISNUMBER(SEARCH(工作表5!$A$1:$A$23, C405)), 工作表5!$B$1:$B$23, "其他")</f>
        <v>顯像組</v>
      </c>
      <c r="C405" s="146" t="s">
        <v>129</v>
      </c>
      <c r="D405" s="156"/>
      <c r="E405" s="156" t="s">
        <v>1426</v>
      </c>
      <c r="F405" s="156" t="s">
        <v>385</v>
      </c>
      <c r="G405" s="154" t="e">
        <v>#VALUE!</v>
      </c>
    </row>
    <row r="406" spans="1:7" ht="21.6" customHeight="1">
      <c r="A406" s="154" t="s">
        <v>47</v>
      </c>
      <c r="B406" s="154" t="str" cm="1">
        <f t="array" ref="B406">_xlfn.XLOOKUP(TRUE, ISNUMBER(SEARCH(工作表5!$A$1:$A$23, C406)), 工作表5!$B$1:$B$23, "其他")</f>
        <v>定著組</v>
      </c>
      <c r="C406" s="147" t="s">
        <v>313</v>
      </c>
      <c r="D406" s="156"/>
      <c r="E406" s="156" t="s">
        <v>1427</v>
      </c>
      <c r="F406" s="156" t="s">
        <v>388</v>
      </c>
      <c r="G406" s="154" t="e">
        <v>#VALUE!</v>
      </c>
    </row>
    <row r="407" spans="1:7" ht="21.6" customHeight="1">
      <c r="A407" s="154" t="s">
        <v>49</v>
      </c>
      <c r="B407" s="154" t="str" cm="1">
        <f t="array" ref="B407">_xlfn.XLOOKUP(TRUE, ISNUMBER(SEARCH(工作表5!$A$1:$A$23, C407)), 工作表5!$B$1:$B$23, "其他")</f>
        <v>滾筒組</v>
      </c>
      <c r="C407" s="143" t="s">
        <v>193</v>
      </c>
      <c r="D407" s="156"/>
      <c r="E407" s="156" t="s">
        <v>1405</v>
      </c>
      <c r="F407" s="156" t="s">
        <v>315</v>
      </c>
      <c r="G407" s="154">
        <v>125000</v>
      </c>
    </row>
    <row r="408" spans="1:7" ht="21.6" customHeight="1">
      <c r="A408" s="154" t="s">
        <v>49</v>
      </c>
      <c r="B408" s="154" t="str" cm="1">
        <f t="array" ref="B408">_xlfn.XLOOKUP(TRUE, ISNUMBER(SEARCH(工作表5!$A$1:$A$23, C408)), 工作表5!$B$1:$B$23, "其他")</f>
        <v>顯像組</v>
      </c>
      <c r="C408" s="144" t="s">
        <v>75</v>
      </c>
      <c r="D408" s="156"/>
      <c r="E408" s="156" t="s">
        <v>1406</v>
      </c>
      <c r="F408" s="156" t="s">
        <v>317</v>
      </c>
      <c r="G408" s="154">
        <v>125000</v>
      </c>
    </row>
    <row r="409" spans="1:7" ht="21.6" customHeight="1">
      <c r="A409" s="154" t="s">
        <v>49</v>
      </c>
      <c r="B409" s="154" t="str" cm="1">
        <f t="array" ref="B409">_xlfn.XLOOKUP(TRUE, ISNUMBER(SEARCH(工作表5!$A$1:$A$23, C409)), 工作表5!$B$1:$B$23, "其他")</f>
        <v>滾筒組</v>
      </c>
      <c r="C409" s="144" t="s">
        <v>78</v>
      </c>
      <c r="D409" s="156"/>
      <c r="E409" s="156" t="s">
        <v>1326</v>
      </c>
      <c r="F409" s="156" t="s">
        <v>77</v>
      </c>
      <c r="G409" s="154">
        <v>125000</v>
      </c>
    </row>
    <row r="410" spans="1:7" ht="21.6" customHeight="1">
      <c r="A410" s="154" t="s">
        <v>49</v>
      </c>
      <c r="B410" s="154" t="str" cm="1">
        <f t="array" ref="B410">_xlfn.XLOOKUP(TRUE, ISNUMBER(SEARCH(工作表5!$A$1:$A$23, C410)), 工作表5!$B$1:$B$23, "其他")</f>
        <v>定著組</v>
      </c>
      <c r="C410" s="145" t="s">
        <v>1775</v>
      </c>
      <c r="D410" s="156"/>
      <c r="E410" s="156" t="s">
        <v>1387</v>
      </c>
      <c r="F410" s="156" t="s">
        <v>260</v>
      </c>
      <c r="G410" s="154">
        <v>250000</v>
      </c>
    </row>
    <row r="411" spans="1:7" ht="21.6" customHeight="1">
      <c r="A411" s="154" t="s">
        <v>49</v>
      </c>
      <c r="B411" s="154" t="str" cm="1">
        <f t="array" ref="B411">_xlfn.XLOOKUP(TRUE, ISNUMBER(SEARCH(工作表5!$A$1:$A$23, C411)), 工作表5!$B$1:$B$23, "其他")</f>
        <v>定著組</v>
      </c>
      <c r="C411" s="144" t="s">
        <v>87</v>
      </c>
      <c r="D411" s="156"/>
      <c r="E411" s="156" t="s">
        <v>1423</v>
      </c>
      <c r="F411" s="156" t="s">
        <v>378</v>
      </c>
      <c r="G411" s="154">
        <v>250000</v>
      </c>
    </row>
    <row r="412" spans="1:7" ht="21.6" customHeight="1">
      <c r="A412" s="154" t="s">
        <v>49</v>
      </c>
      <c r="B412" s="154" t="str" cm="1">
        <f t="array" ref="B412">_xlfn.XLOOKUP(TRUE, ISNUMBER(SEARCH(工作表5!$A$1:$A$23, C412)), 工作表5!$B$1:$B$23, "其他")</f>
        <v>轉寫組</v>
      </c>
      <c r="C412" s="144" t="s">
        <v>81</v>
      </c>
      <c r="D412" s="156"/>
      <c r="E412" s="156" t="s">
        <v>1365</v>
      </c>
      <c r="F412" s="156" t="s">
        <v>202</v>
      </c>
      <c r="G412" s="154">
        <v>125000</v>
      </c>
    </row>
    <row r="413" spans="1:7" ht="21.6" customHeight="1">
      <c r="A413" s="154" t="s">
        <v>49</v>
      </c>
      <c r="B413" s="154" t="str" cm="1">
        <f t="array" ref="B413">_xlfn.XLOOKUP(TRUE, ISNUMBER(SEARCH(工作表5!$A$1:$A$23, C413)), 工作表5!$B$1:$B$23, "其他")</f>
        <v>滾筒組</v>
      </c>
      <c r="C413" s="144" t="s">
        <v>95</v>
      </c>
      <c r="D413" s="156"/>
      <c r="E413" s="156" t="s">
        <v>1332</v>
      </c>
      <c r="F413" s="156" t="s">
        <v>94</v>
      </c>
      <c r="G413" s="154">
        <v>125000</v>
      </c>
    </row>
    <row r="414" spans="1:7" ht="21.6" customHeight="1">
      <c r="A414" s="154" t="s">
        <v>49</v>
      </c>
      <c r="B414" s="154" t="str" cm="1">
        <f t="array" ref="B414">_xlfn.XLOOKUP(TRUE, ISNUMBER(SEARCH(工作表5!$A$1:$A$23, C414)), 工作表5!$B$1:$B$23, "其他")</f>
        <v>滾筒組</v>
      </c>
      <c r="C414" s="144" t="s">
        <v>98</v>
      </c>
      <c r="D414" s="156"/>
      <c r="E414" s="156" t="s">
        <v>1366</v>
      </c>
      <c r="F414" s="156" t="s">
        <v>204</v>
      </c>
      <c r="G414" s="154">
        <v>125000</v>
      </c>
    </row>
    <row r="415" spans="1:7" ht="21.6" customHeight="1">
      <c r="A415" s="154" t="s">
        <v>49</v>
      </c>
      <c r="B415" s="154" t="str" cm="1">
        <f t="array" ref="B415">_xlfn.XLOOKUP(TRUE, ISNUMBER(SEARCH(工作表5!$A$1:$A$23, C415)), 工作表5!$B$1:$B$23, "其他")</f>
        <v>滾筒組</v>
      </c>
      <c r="C415" s="144" t="s">
        <v>107</v>
      </c>
      <c r="D415" s="156"/>
      <c r="E415" s="156" t="s">
        <v>1367</v>
      </c>
      <c r="F415" s="156" t="s">
        <v>206</v>
      </c>
      <c r="G415" s="154">
        <v>125000</v>
      </c>
    </row>
    <row r="416" spans="1:7" ht="21.6" customHeight="1">
      <c r="A416" s="154" t="s">
        <v>49</v>
      </c>
      <c r="B416" s="154" t="str" cm="1">
        <f t="array" ref="B416">_xlfn.XLOOKUP(TRUE, ISNUMBER(SEARCH(工作表5!$A$1:$A$23, C416)), 工作表5!$B$1:$B$23, "其他")</f>
        <v>顯像組</v>
      </c>
      <c r="C416" s="145" t="s">
        <v>104</v>
      </c>
      <c r="D416" s="156"/>
      <c r="E416" s="156" t="s">
        <v>1428</v>
      </c>
      <c r="F416" s="156" t="s">
        <v>390</v>
      </c>
      <c r="G416" s="154">
        <v>125000</v>
      </c>
    </row>
    <row r="417" spans="1:7" ht="21.6" customHeight="1">
      <c r="A417" s="154" t="s">
        <v>49</v>
      </c>
      <c r="B417" s="154" t="str" cm="1">
        <f t="array" ref="B417">_xlfn.XLOOKUP(TRUE, ISNUMBER(SEARCH(工作表5!$A$1:$A$23, C417)), 工作表5!$B$1:$B$23, "其他")</f>
        <v>定著組</v>
      </c>
      <c r="C417" s="144" t="s">
        <v>90</v>
      </c>
      <c r="D417" s="156"/>
      <c r="E417" s="156" t="s">
        <v>1330</v>
      </c>
      <c r="F417" s="156" t="s">
        <v>89</v>
      </c>
      <c r="G417" s="154">
        <v>250000</v>
      </c>
    </row>
    <row r="418" spans="1:7" ht="21.6" customHeight="1">
      <c r="A418" s="154" t="s">
        <v>49</v>
      </c>
      <c r="B418" s="154" t="str" cm="1">
        <f t="array" ref="B418">_xlfn.XLOOKUP(TRUE, ISNUMBER(SEARCH(工作表5!$A$1:$A$23, C418)), 工作表5!$B$1:$B$23, "其他")</f>
        <v>其他</v>
      </c>
      <c r="C418" s="144" t="s">
        <v>263</v>
      </c>
      <c r="D418" s="156"/>
      <c r="E418" s="156" t="s">
        <v>1370</v>
      </c>
      <c r="F418" s="156" t="s">
        <v>212</v>
      </c>
      <c r="G418" s="154">
        <v>250000</v>
      </c>
    </row>
    <row r="419" spans="1:7" ht="21.6" customHeight="1">
      <c r="A419" s="154" t="s">
        <v>49</v>
      </c>
      <c r="B419" s="154" t="str" cm="1">
        <f t="array" ref="B419">_xlfn.XLOOKUP(TRUE, ISNUMBER(SEARCH(工作表5!$A$1:$A$23, C419)), 工作表5!$B$1:$B$23, "其他")</f>
        <v>取紙組</v>
      </c>
      <c r="C419" s="144" t="s">
        <v>1780</v>
      </c>
      <c r="D419" s="156"/>
      <c r="E419" s="156" t="s">
        <v>1389</v>
      </c>
      <c r="F419" s="156" t="s">
        <v>265</v>
      </c>
      <c r="G419" s="154">
        <v>80000</v>
      </c>
    </row>
    <row r="420" spans="1:7" ht="21.6" customHeight="1">
      <c r="A420" s="154" t="s">
        <v>49</v>
      </c>
      <c r="B420" s="154" t="str" cm="1">
        <f t="array" ref="B420">_xlfn.XLOOKUP(TRUE, ISNUMBER(SEARCH(工作表5!$A$1:$A$23, C420)), 工作表5!$B$1:$B$23, "其他")</f>
        <v>取紙組</v>
      </c>
      <c r="C420" s="144" t="s">
        <v>270</v>
      </c>
      <c r="D420" s="156"/>
      <c r="E420" s="156" t="s">
        <v>1390</v>
      </c>
      <c r="F420" s="156" t="s">
        <v>269</v>
      </c>
      <c r="G420" s="154">
        <v>80000</v>
      </c>
    </row>
    <row r="421" spans="1:7" ht="21.6" customHeight="1">
      <c r="A421" s="154" t="s">
        <v>49</v>
      </c>
      <c r="B421" s="154" t="str" cm="1">
        <f t="array" ref="B421">_xlfn.XLOOKUP(TRUE, ISNUMBER(SEARCH(工作表5!$A$1:$A$23, C421)), 工作表5!$B$1:$B$23, "其他")</f>
        <v>取紙組</v>
      </c>
      <c r="C421" s="144" t="s">
        <v>266</v>
      </c>
      <c r="D421" s="156"/>
      <c r="E421" s="156" t="s">
        <v>1391</v>
      </c>
      <c r="F421" s="156" t="s">
        <v>272</v>
      </c>
      <c r="G421" s="154">
        <v>80000</v>
      </c>
    </row>
    <row r="422" spans="1:7" ht="21.6" customHeight="1">
      <c r="A422" s="154" t="s">
        <v>49</v>
      </c>
      <c r="B422" s="154" t="str" cm="1">
        <f t="array" ref="B422">_xlfn.XLOOKUP(TRUE, ISNUMBER(SEARCH(工作表5!$A$1:$A$23, C422)), 工作表5!$B$1:$B$23, "其他")</f>
        <v>手送台</v>
      </c>
      <c r="C422" s="144" t="s">
        <v>1861</v>
      </c>
      <c r="D422" s="156"/>
      <c r="E422" s="156" t="s">
        <v>1392</v>
      </c>
      <c r="F422" s="156" t="s">
        <v>274</v>
      </c>
      <c r="G422" s="154">
        <v>80000</v>
      </c>
    </row>
    <row r="423" spans="1:7" ht="21.6" customHeight="1">
      <c r="A423" s="154" t="s">
        <v>49</v>
      </c>
      <c r="B423" s="154" t="str" cm="1">
        <f t="array" ref="B423">_xlfn.XLOOKUP(TRUE, ISNUMBER(SEARCH(工作表5!$A$1:$A$23, C423)), 工作表5!$B$1:$B$23, "其他")</f>
        <v>手送台</v>
      </c>
      <c r="C423" s="144" t="s">
        <v>224</v>
      </c>
      <c r="D423" s="156"/>
      <c r="E423" s="156" t="s">
        <v>1393</v>
      </c>
      <c r="F423" s="156" t="s">
        <v>277</v>
      </c>
      <c r="G423" s="154">
        <v>80000</v>
      </c>
    </row>
    <row r="424" spans="1:7" ht="21.6" customHeight="1">
      <c r="A424" s="154" t="s">
        <v>49</v>
      </c>
      <c r="B424" s="154" t="str" cm="1">
        <f t="array" ref="B424">_xlfn.XLOOKUP(TRUE, ISNUMBER(SEARCH(工作表5!$A$1:$A$23, C424)), 工作表5!$B$1:$B$23, "其他")</f>
        <v>送稿機</v>
      </c>
      <c r="C424" s="144" t="s">
        <v>320</v>
      </c>
      <c r="D424" s="156"/>
      <c r="E424" s="156" t="s">
        <v>1375</v>
      </c>
      <c r="F424" s="156" t="s">
        <v>226</v>
      </c>
      <c r="G424" s="154">
        <v>120000</v>
      </c>
    </row>
    <row r="425" spans="1:7" ht="21.6" customHeight="1">
      <c r="A425" s="154" t="s">
        <v>49</v>
      </c>
      <c r="B425" s="154" t="str" cm="1">
        <f t="array" ref="B425">_xlfn.XLOOKUP(TRUE, ISNUMBER(SEARCH(工作表5!$A$1:$A$23, C425)), 工作表5!$B$1:$B$23, "其他")</f>
        <v>送稿機</v>
      </c>
      <c r="C425" s="144" t="s">
        <v>278</v>
      </c>
      <c r="D425" s="156"/>
      <c r="E425" s="156" t="s">
        <v>1376</v>
      </c>
      <c r="F425" s="156" t="s">
        <v>230</v>
      </c>
      <c r="G425" s="154">
        <v>120000</v>
      </c>
    </row>
    <row r="426" spans="1:7" ht="21.6" customHeight="1">
      <c r="A426" s="154" t="s">
        <v>49</v>
      </c>
      <c r="B426" s="154" t="str" cm="1">
        <f t="array" ref="B426">_xlfn.XLOOKUP(TRUE, ISNUMBER(SEARCH(工作表5!$A$1:$A$23, C426)), 工作表5!$B$1:$B$23, "其他")</f>
        <v>送稿機</v>
      </c>
      <c r="C426" s="144" t="s">
        <v>1782</v>
      </c>
      <c r="D426" s="156"/>
      <c r="E426" s="156" t="s">
        <v>1407</v>
      </c>
      <c r="F426" s="156" t="s">
        <v>324</v>
      </c>
      <c r="G426" s="154">
        <v>120000</v>
      </c>
    </row>
    <row r="427" spans="1:7" ht="21.6" customHeight="1">
      <c r="A427" s="154" t="s">
        <v>49</v>
      </c>
      <c r="B427" s="154" t="str" cm="1">
        <f t="array" ref="B427">_xlfn.XLOOKUP(TRUE, ISNUMBER(SEARCH(工作表5!$A$1:$A$23, C427)), 工作表5!$B$1:$B$23, "其他")</f>
        <v>送稿機</v>
      </c>
      <c r="C427" s="144" t="s">
        <v>285</v>
      </c>
      <c r="D427" s="156"/>
      <c r="E427" s="156" t="s">
        <v>1395</v>
      </c>
      <c r="F427" s="156" t="s">
        <v>226</v>
      </c>
      <c r="G427" s="154">
        <v>120000</v>
      </c>
    </row>
    <row r="428" spans="1:7" ht="21.6" customHeight="1">
      <c r="A428" s="154" t="s">
        <v>49</v>
      </c>
      <c r="B428" s="154" t="str" cm="1">
        <f t="array" ref="B428">_xlfn.XLOOKUP(TRUE, ISNUMBER(SEARCH(工作表5!$A$1:$A$23, C428)), 工作表5!$B$1:$B$23, "其他")</f>
        <v>送稿機</v>
      </c>
      <c r="C428" s="144" t="s">
        <v>282</v>
      </c>
      <c r="D428" s="156"/>
      <c r="E428" s="156" t="s">
        <v>1396</v>
      </c>
      <c r="F428" s="156" t="s">
        <v>288</v>
      </c>
      <c r="G428" s="154">
        <v>120000</v>
      </c>
    </row>
    <row r="429" spans="1:7" ht="21.6" customHeight="1">
      <c r="A429" s="154" t="s">
        <v>49</v>
      </c>
      <c r="B429" s="154" t="str" cm="1">
        <f t="array" ref="B429">_xlfn.XLOOKUP(TRUE, ISNUMBER(SEARCH(工作表5!$A$1:$A$23, C429)), 工作表5!$B$1:$B$23, "其他")</f>
        <v>大容量取紙組</v>
      </c>
      <c r="C429" s="144" t="s">
        <v>237</v>
      </c>
      <c r="D429" s="156"/>
      <c r="E429" s="156" t="s">
        <v>1408</v>
      </c>
      <c r="F429" s="156" t="s">
        <v>327</v>
      </c>
      <c r="G429" s="154">
        <v>320000</v>
      </c>
    </row>
    <row r="430" spans="1:7" ht="21.6" customHeight="1">
      <c r="A430" s="154" t="s">
        <v>49</v>
      </c>
      <c r="B430" s="154" t="str" cm="1">
        <f t="array" ref="B430">_xlfn.XLOOKUP(TRUE, ISNUMBER(SEARCH(工作表5!$A$1:$A$23, C430)), 工作表5!$B$1:$B$23, "其他")</f>
        <v>大容量取紙組</v>
      </c>
      <c r="C430" s="144" t="s">
        <v>289</v>
      </c>
      <c r="D430" s="156"/>
      <c r="E430" s="156" t="s">
        <v>1409</v>
      </c>
      <c r="F430" s="156" t="s">
        <v>330</v>
      </c>
      <c r="G430" s="154">
        <v>320000</v>
      </c>
    </row>
    <row r="431" spans="1:7" ht="21.6" customHeight="1">
      <c r="A431" s="154" t="s">
        <v>49</v>
      </c>
      <c r="B431" s="154" t="str" cm="1">
        <f t="array" ref="B431">_xlfn.XLOOKUP(TRUE, ISNUMBER(SEARCH(工作表5!$A$1:$A$23, C431)), 工作表5!$B$1:$B$23, "其他")</f>
        <v>其他</v>
      </c>
      <c r="C431" s="144" t="s">
        <v>1784</v>
      </c>
      <c r="D431" s="156"/>
      <c r="E431" s="156" t="s">
        <v>1410</v>
      </c>
      <c r="F431" s="156" t="s">
        <v>333</v>
      </c>
      <c r="G431" s="154">
        <v>500000</v>
      </c>
    </row>
    <row r="432" spans="1:7" ht="21.6" customHeight="1">
      <c r="A432" s="154" t="s">
        <v>49</v>
      </c>
      <c r="B432" s="154" t="str" cm="1">
        <f t="array" ref="B432">_xlfn.XLOOKUP(TRUE, ISNUMBER(SEARCH(工作表5!$A$1:$A$23, C432)), 工作表5!$B$1:$B$23, "其他")</f>
        <v>送稿機</v>
      </c>
      <c r="C432" s="144" t="s">
        <v>337</v>
      </c>
      <c r="D432" s="156"/>
      <c r="E432" s="156" t="s">
        <v>1411</v>
      </c>
      <c r="F432" s="156" t="s">
        <v>336</v>
      </c>
      <c r="G432" s="154">
        <v>500000</v>
      </c>
    </row>
    <row r="433" spans="1:7" ht="21.6" customHeight="1">
      <c r="A433" s="154" t="s">
        <v>49</v>
      </c>
      <c r="B433" s="154" t="str" cm="1">
        <f t="array" ref="B433">_xlfn.XLOOKUP(TRUE, ISNUMBER(SEARCH(工作表5!$A$1:$A$23, C433)), 工作表5!$B$1:$B$23, "其他")</f>
        <v>送稿機</v>
      </c>
      <c r="C433" s="145" t="s">
        <v>341</v>
      </c>
      <c r="D433" s="156"/>
      <c r="E433" s="156" t="s">
        <v>1412</v>
      </c>
      <c r="F433" s="156" t="s">
        <v>340</v>
      </c>
      <c r="G433" s="154">
        <v>500000</v>
      </c>
    </row>
    <row r="434" spans="1:7" ht="21.6" customHeight="1">
      <c r="A434" s="154" t="s">
        <v>49</v>
      </c>
      <c r="B434" s="154" t="str" cm="1">
        <f t="array" ref="B434">_xlfn.XLOOKUP(TRUE, ISNUMBER(SEARCH(工作表5!$A$1:$A$23, C434)), 工作表5!$B$1:$B$23, "其他")</f>
        <v>顯像組</v>
      </c>
      <c r="C434" s="144" t="s">
        <v>122</v>
      </c>
      <c r="D434" s="156"/>
      <c r="E434" s="156" t="s">
        <v>1413</v>
      </c>
      <c r="F434" s="156" t="s">
        <v>343</v>
      </c>
      <c r="G434" s="154">
        <v>125000</v>
      </c>
    </row>
    <row r="435" spans="1:7" ht="21.6" customHeight="1">
      <c r="A435" s="154" t="s">
        <v>49</v>
      </c>
      <c r="B435" s="154" t="str" cm="1">
        <f t="array" ref="B435">_xlfn.XLOOKUP(TRUE, ISNUMBER(SEARCH(工作表5!$A$1:$A$23, C435)), 工作表5!$B$1:$B$23, "其他")</f>
        <v>定著組</v>
      </c>
      <c r="C435" s="145" t="s">
        <v>244</v>
      </c>
      <c r="D435" s="156"/>
      <c r="E435" s="156" t="s">
        <v>1424</v>
      </c>
      <c r="F435" s="156" t="s">
        <v>380</v>
      </c>
      <c r="G435" s="154">
        <v>250000</v>
      </c>
    </row>
    <row r="436" spans="1:7" ht="21.6" customHeight="1">
      <c r="A436" s="154" t="s">
        <v>49</v>
      </c>
      <c r="B436" s="154" t="str" cm="1">
        <f t="array" ref="B436">_xlfn.XLOOKUP(TRUE, ISNUMBER(SEARCH(工作表5!$A$1:$A$23, C436)), 工作表5!$B$1:$B$23, "其他")</f>
        <v>取紙組</v>
      </c>
      <c r="C436" s="144" t="s">
        <v>247</v>
      </c>
      <c r="D436" s="156"/>
      <c r="E436" s="156" t="s">
        <v>1399</v>
      </c>
      <c r="F436" s="156" t="s">
        <v>296</v>
      </c>
      <c r="G436" s="154">
        <v>80000</v>
      </c>
    </row>
    <row r="437" spans="1:7" ht="21.6" customHeight="1">
      <c r="A437" s="154" t="s">
        <v>49</v>
      </c>
      <c r="B437" s="154" t="str" cm="1">
        <f t="array" ref="B437">_xlfn.XLOOKUP(TRUE, ISNUMBER(SEARCH(工作表5!$A$1:$A$23, C437)), 工作表5!$B$1:$B$23, "其他")</f>
        <v>送稿機</v>
      </c>
      <c r="C437" s="144" t="s">
        <v>300</v>
      </c>
      <c r="D437" s="156"/>
      <c r="E437" s="156" t="s">
        <v>1400</v>
      </c>
      <c r="F437" s="156" t="s">
        <v>299</v>
      </c>
      <c r="G437" s="154">
        <v>120000</v>
      </c>
    </row>
    <row r="438" spans="1:7" ht="21.6" customHeight="1">
      <c r="A438" s="154" t="s">
        <v>49</v>
      </c>
      <c r="B438" s="154" t="str" cm="1">
        <f t="array" ref="B438">_xlfn.XLOOKUP(TRUE, ISNUMBER(SEARCH(工作表5!$A$1:$A$23, C438)), 工作表5!$B$1:$B$23, "其他")</f>
        <v>送稿機</v>
      </c>
      <c r="C438" s="144" t="s">
        <v>303</v>
      </c>
      <c r="D438" s="156"/>
      <c r="E438" s="156" t="s">
        <v>1414</v>
      </c>
      <c r="F438" s="156" t="s">
        <v>346</v>
      </c>
      <c r="G438" s="154">
        <v>120000</v>
      </c>
    </row>
    <row r="439" spans="1:7" ht="21.6" customHeight="1">
      <c r="A439" s="154" t="s">
        <v>49</v>
      </c>
      <c r="B439" s="154" t="str" cm="1">
        <f t="array" ref="B439">_xlfn.XLOOKUP(TRUE, ISNUMBER(SEARCH(工作表5!$A$1:$A$23, C439)), 工作表5!$B$1:$B$23, "其他")</f>
        <v>其他</v>
      </c>
      <c r="C439" s="144" t="s">
        <v>349</v>
      </c>
      <c r="D439" s="156"/>
      <c r="E439" s="156" t="s">
        <v>1415</v>
      </c>
      <c r="F439" s="156" t="s">
        <v>348</v>
      </c>
      <c r="G439" s="154">
        <v>500000</v>
      </c>
    </row>
    <row r="440" spans="1:7" ht="21.6" customHeight="1">
      <c r="A440" s="154" t="s">
        <v>49</v>
      </c>
      <c r="B440" s="154" t="str" cm="1">
        <f t="array" ref="B440">_xlfn.XLOOKUP(TRUE, ISNUMBER(SEARCH(工作表5!$A$1:$A$23, C440)), 工作表5!$B$1:$B$23, "其他")</f>
        <v>顯像組</v>
      </c>
      <c r="C440" s="146" t="s">
        <v>129</v>
      </c>
      <c r="D440" s="156"/>
      <c r="E440" s="156" t="s">
        <v>1429</v>
      </c>
      <c r="F440" s="156" t="s">
        <v>393</v>
      </c>
      <c r="G440" s="154" t="e">
        <v>#VALUE!</v>
      </c>
    </row>
    <row r="441" spans="1:7" ht="21.6" customHeight="1">
      <c r="A441" s="154" t="s">
        <v>49</v>
      </c>
      <c r="B441" s="154" t="str" cm="1">
        <f t="array" ref="B441">_xlfn.XLOOKUP(TRUE, ISNUMBER(SEARCH(工作表5!$A$1:$A$23, C441)), 工作表5!$B$1:$B$23, "其他")</f>
        <v>定著組</v>
      </c>
      <c r="C441" s="147" t="s">
        <v>313</v>
      </c>
      <c r="D441" s="156"/>
      <c r="E441" s="156" t="s">
        <v>1430</v>
      </c>
      <c r="F441" s="156" t="s">
        <v>395</v>
      </c>
      <c r="G441" s="154" t="e">
        <v>#VALUE!</v>
      </c>
    </row>
    <row r="442" spans="1:7" ht="21.6" customHeight="1">
      <c r="A442" s="154">
        <v>457</v>
      </c>
      <c r="B442" s="154" t="str" cm="1">
        <f t="array" ref="B442">_xlfn.XLOOKUP(TRUE, ISNUMBER(SEARCH(工作表5!$A$1:$A$23, C442)), 工作表5!$B$1:$B$23, "其他")</f>
        <v>滾筒組</v>
      </c>
      <c r="C442" s="143" t="s">
        <v>193</v>
      </c>
      <c r="D442" s="156"/>
      <c r="E442" s="156" t="s">
        <v>1361</v>
      </c>
      <c r="F442" s="156" t="s">
        <v>192</v>
      </c>
      <c r="G442" s="154">
        <v>150000</v>
      </c>
    </row>
    <row r="443" spans="1:7" ht="21.6" customHeight="1">
      <c r="A443" s="154">
        <v>457</v>
      </c>
      <c r="B443" s="154" t="str" cm="1">
        <f t="array" ref="B443">_xlfn.XLOOKUP(TRUE, ISNUMBER(SEARCH(工作表5!$A$1:$A$23, C443)), 工作表5!$B$1:$B$23, "其他")</f>
        <v>顯像組</v>
      </c>
      <c r="C443" s="144" t="s">
        <v>75</v>
      </c>
      <c r="D443" s="156"/>
      <c r="E443" s="156" t="s">
        <v>1362</v>
      </c>
      <c r="F443" s="156" t="s">
        <v>196</v>
      </c>
      <c r="G443" s="154">
        <v>150000</v>
      </c>
    </row>
    <row r="444" spans="1:7" ht="21.6" customHeight="1">
      <c r="A444" s="154">
        <v>457</v>
      </c>
      <c r="B444" s="154" t="str" cm="1">
        <f t="array" ref="B444">_xlfn.XLOOKUP(TRUE, ISNUMBER(SEARCH(工作表5!$A$1:$A$23, C444)), 工作表5!$B$1:$B$23, "其他")</f>
        <v>滾筒組</v>
      </c>
      <c r="C444" s="144" t="s">
        <v>78</v>
      </c>
      <c r="D444" s="156"/>
      <c r="E444" s="156" t="s">
        <v>1326</v>
      </c>
      <c r="F444" s="156" t="s">
        <v>77</v>
      </c>
      <c r="G444" s="154">
        <v>150000</v>
      </c>
    </row>
    <row r="445" spans="1:7" ht="21.6" customHeight="1">
      <c r="A445" s="154">
        <v>457</v>
      </c>
      <c r="B445" s="154" t="str" cm="1">
        <f t="array" ref="B445">_xlfn.XLOOKUP(TRUE, ISNUMBER(SEARCH(工作表5!$A$1:$A$23, C445)), 工作表5!$B$1:$B$23, "其他")</f>
        <v>定著組</v>
      </c>
      <c r="C445" s="145" t="s">
        <v>1775</v>
      </c>
      <c r="D445" s="156"/>
      <c r="E445" s="156" t="s">
        <v>1363</v>
      </c>
      <c r="F445" s="156" t="s">
        <v>198</v>
      </c>
      <c r="G445" s="154">
        <v>300000</v>
      </c>
    </row>
    <row r="446" spans="1:7" ht="21.6" customHeight="1">
      <c r="A446" s="154">
        <v>457</v>
      </c>
      <c r="B446" s="154" t="str" cm="1">
        <f t="array" ref="B446">_xlfn.XLOOKUP(TRUE, ISNUMBER(SEARCH(工作表5!$A$1:$A$23, C446)), 工作表5!$B$1:$B$23, "其他")</f>
        <v>定著組</v>
      </c>
      <c r="C446" s="144" t="s">
        <v>87</v>
      </c>
      <c r="D446" s="156"/>
      <c r="E446" s="156" t="s">
        <v>1418</v>
      </c>
      <c r="F446" s="156" t="s">
        <v>366</v>
      </c>
      <c r="G446" s="154">
        <v>300000</v>
      </c>
    </row>
    <row r="447" spans="1:7" ht="21.6" customHeight="1">
      <c r="A447" s="154">
        <v>457</v>
      </c>
      <c r="B447" s="154" t="str" cm="1">
        <f t="array" ref="B447">_xlfn.XLOOKUP(TRUE, ISNUMBER(SEARCH(工作表5!$A$1:$A$23, C447)), 工作表5!$B$1:$B$23, "其他")</f>
        <v>轉寫組</v>
      </c>
      <c r="C447" s="144" t="s">
        <v>81</v>
      </c>
      <c r="D447" s="156"/>
      <c r="E447" s="156" t="s">
        <v>1365</v>
      </c>
      <c r="F447" s="156" t="s">
        <v>202</v>
      </c>
      <c r="G447" s="154">
        <v>150000</v>
      </c>
    </row>
    <row r="448" spans="1:7" ht="21.6" customHeight="1">
      <c r="A448" s="154">
        <v>457</v>
      </c>
      <c r="B448" s="154" t="str" cm="1">
        <f t="array" ref="B448">_xlfn.XLOOKUP(TRUE, ISNUMBER(SEARCH(工作表5!$A$1:$A$23, C448)), 工作表5!$B$1:$B$23, "其他")</f>
        <v>滾筒組</v>
      </c>
      <c r="C448" s="144" t="s">
        <v>95</v>
      </c>
      <c r="D448" s="156"/>
      <c r="E448" s="156" t="s">
        <v>1332</v>
      </c>
      <c r="F448" s="156" t="s">
        <v>94</v>
      </c>
      <c r="G448" s="154">
        <v>150000</v>
      </c>
    </row>
    <row r="449" spans="1:7" ht="21.6" customHeight="1">
      <c r="A449" s="154">
        <v>457</v>
      </c>
      <c r="B449" s="154" t="str" cm="1">
        <f t="array" ref="B449">_xlfn.XLOOKUP(TRUE, ISNUMBER(SEARCH(工作表5!$A$1:$A$23, C449)), 工作表5!$B$1:$B$23, "其他")</f>
        <v>滾筒組</v>
      </c>
      <c r="C449" s="144" t="s">
        <v>98</v>
      </c>
      <c r="D449" s="156"/>
      <c r="E449" s="156" t="s">
        <v>1366</v>
      </c>
      <c r="F449" s="156" t="s">
        <v>204</v>
      </c>
      <c r="G449" s="154">
        <v>150000</v>
      </c>
    </row>
    <row r="450" spans="1:7" ht="21.6" customHeight="1">
      <c r="A450" s="154">
        <v>457</v>
      </c>
      <c r="B450" s="154" t="str" cm="1">
        <f t="array" ref="B450">_xlfn.XLOOKUP(TRUE, ISNUMBER(SEARCH(工作表5!$A$1:$A$23, C450)), 工作表5!$B$1:$B$23, "其他")</f>
        <v>滾筒組</v>
      </c>
      <c r="C450" s="144" t="s">
        <v>107</v>
      </c>
      <c r="D450" s="156"/>
      <c r="E450" s="156" t="s">
        <v>1367</v>
      </c>
      <c r="F450" s="156" t="s">
        <v>206</v>
      </c>
      <c r="G450" s="154">
        <v>150000</v>
      </c>
    </row>
    <row r="451" spans="1:7" ht="21.6" customHeight="1">
      <c r="A451" s="154">
        <v>457</v>
      </c>
      <c r="B451" s="154" t="str" cm="1">
        <f t="array" ref="B451">_xlfn.XLOOKUP(TRUE, ISNUMBER(SEARCH(工作表5!$A$1:$A$23, C451)), 工作表5!$B$1:$B$23, "其他")</f>
        <v>顯像組</v>
      </c>
      <c r="C451" s="145" t="s">
        <v>104</v>
      </c>
      <c r="D451" s="156"/>
      <c r="E451" s="156" t="s">
        <v>1419</v>
      </c>
      <c r="F451" s="156" t="s">
        <v>368</v>
      </c>
      <c r="G451" s="154">
        <v>150000</v>
      </c>
    </row>
    <row r="452" spans="1:7" ht="21.6" customHeight="1">
      <c r="A452" s="154">
        <v>457</v>
      </c>
      <c r="B452" s="154" t="str" cm="1">
        <f t="array" ref="B452">_xlfn.XLOOKUP(TRUE, ISNUMBER(SEARCH(工作表5!$A$1:$A$23, C452)), 工作表5!$B$1:$B$23, "其他")</f>
        <v>定著組</v>
      </c>
      <c r="C452" s="144" t="s">
        <v>90</v>
      </c>
      <c r="D452" s="156"/>
      <c r="E452" s="156" t="s">
        <v>1369</v>
      </c>
      <c r="F452" s="156" t="s">
        <v>210</v>
      </c>
      <c r="G452" s="154">
        <v>150000</v>
      </c>
    </row>
    <row r="453" spans="1:7" ht="21.6" customHeight="1">
      <c r="A453" s="154">
        <v>457</v>
      </c>
      <c r="B453" s="154" t="str" cm="1">
        <f t="array" ref="B453">_xlfn.XLOOKUP(TRUE, ISNUMBER(SEARCH(工作表5!$A$1:$A$23, C453)), 工作表5!$B$1:$B$23, "其他")</f>
        <v>其他</v>
      </c>
      <c r="C453" s="144" t="s">
        <v>101</v>
      </c>
      <c r="D453" s="156"/>
      <c r="E453" s="156" t="s">
        <v>1370</v>
      </c>
      <c r="F453" s="156" t="s">
        <v>212</v>
      </c>
      <c r="G453" s="154">
        <v>300000</v>
      </c>
    </row>
    <row r="454" spans="1:7" ht="21.6" customHeight="1">
      <c r="A454" s="154">
        <v>457</v>
      </c>
      <c r="B454" s="154" t="str" cm="1">
        <f t="array" ref="B454">_xlfn.XLOOKUP(TRUE, ISNUMBER(SEARCH(工作表5!$A$1:$A$23, C454)), 工作表5!$B$1:$B$23, "其他")</f>
        <v>取紙組</v>
      </c>
      <c r="C454" s="144" t="s">
        <v>1777</v>
      </c>
      <c r="D454" s="156"/>
      <c r="E454" s="156" t="s">
        <v>1371</v>
      </c>
      <c r="F454" s="156" t="s">
        <v>214</v>
      </c>
      <c r="G454" s="154">
        <v>80000</v>
      </c>
    </row>
    <row r="455" spans="1:7" ht="21.6" customHeight="1">
      <c r="A455" s="154">
        <v>457</v>
      </c>
      <c r="B455" s="154" t="str" cm="1">
        <f t="array" ref="B455">_xlfn.XLOOKUP(TRUE, ISNUMBER(SEARCH(工作表5!$A$1:$A$23, C455)), 工作表5!$B$1:$B$23, "其他")</f>
        <v>取紙組</v>
      </c>
      <c r="C455" s="144" t="s">
        <v>219</v>
      </c>
      <c r="D455" s="156"/>
      <c r="E455" s="156" t="s">
        <v>1372</v>
      </c>
      <c r="F455" s="156" t="s">
        <v>218</v>
      </c>
      <c r="G455" s="154">
        <v>80000</v>
      </c>
    </row>
    <row r="456" spans="1:7" ht="21.6" customHeight="1">
      <c r="A456" s="154">
        <v>457</v>
      </c>
      <c r="B456" s="154" t="str" cm="1">
        <f t="array" ref="B456">_xlfn.XLOOKUP(TRUE, ISNUMBER(SEARCH(工作表5!$A$1:$A$23, C456)), 工作表5!$B$1:$B$23, "其他")</f>
        <v>取紙組</v>
      </c>
      <c r="C456" s="144" t="s">
        <v>215</v>
      </c>
      <c r="D456" s="156"/>
      <c r="E456" s="156" t="s">
        <v>1373</v>
      </c>
      <c r="F456" s="156" t="s">
        <v>221</v>
      </c>
      <c r="G456" s="154">
        <v>80000</v>
      </c>
    </row>
    <row r="457" spans="1:7" ht="21.6" customHeight="1">
      <c r="A457" s="154">
        <v>457</v>
      </c>
      <c r="B457" s="154" t="str" cm="1">
        <f t="array" ref="B457">_xlfn.XLOOKUP(TRUE, ISNUMBER(SEARCH(工作表5!$A$1:$A$23, C457)), 工作表5!$B$1:$B$23, "其他")</f>
        <v>手送台</v>
      </c>
      <c r="C457" s="144" t="s">
        <v>115</v>
      </c>
      <c r="D457" s="156"/>
      <c r="E457" s="156" t="s">
        <v>1356</v>
      </c>
      <c r="F457" s="156" t="s">
        <v>171</v>
      </c>
      <c r="G457" s="154">
        <v>80000</v>
      </c>
    </row>
    <row r="458" spans="1:7" ht="21.6" customHeight="1">
      <c r="A458" s="154">
        <v>457</v>
      </c>
      <c r="B458" s="154" t="str" cm="1">
        <f t="array" ref="B458">_xlfn.XLOOKUP(TRUE, ISNUMBER(SEARCH(工作表5!$A$1:$A$23, C458)), 工作表5!$B$1:$B$23, "其他")</f>
        <v>手送台</v>
      </c>
      <c r="C458" s="144" t="s">
        <v>224</v>
      </c>
      <c r="D458" s="156"/>
      <c r="E458" s="156" t="s">
        <v>1374</v>
      </c>
      <c r="F458" s="156" t="s">
        <v>223</v>
      </c>
      <c r="G458" s="154">
        <v>80000</v>
      </c>
    </row>
    <row r="459" spans="1:7" ht="21.6" customHeight="1">
      <c r="A459" s="154">
        <v>457</v>
      </c>
      <c r="B459" s="154" t="str" cm="1">
        <f t="array" ref="B459">_xlfn.XLOOKUP(TRUE, ISNUMBER(SEARCH(工作表5!$A$1:$A$23, C459)), 工作表5!$B$1:$B$23, "其他")</f>
        <v>送稿機</v>
      </c>
      <c r="C459" s="144" t="s">
        <v>1778</v>
      </c>
      <c r="D459" s="156"/>
      <c r="E459" s="156" t="s">
        <v>1375</v>
      </c>
      <c r="F459" s="156" t="s">
        <v>226</v>
      </c>
      <c r="G459" s="154">
        <v>120000</v>
      </c>
    </row>
    <row r="460" spans="1:7" ht="21.6" customHeight="1">
      <c r="A460" s="154">
        <v>457</v>
      </c>
      <c r="B460" s="154" t="str" cm="1">
        <f t="array" ref="B460">_xlfn.XLOOKUP(TRUE, ISNUMBER(SEARCH(工作表5!$A$1:$A$23, C460)), 工作表5!$B$1:$B$23, "其他")</f>
        <v>送稿機</v>
      </c>
      <c r="C460" s="144" t="s">
        <v>227</v>
      </c>
      <c r="D460" s="156"/>
      <c r="E460" s="156" t="s">
        <v>1376</v>
      </c>
      <c r="F460" s="156" t="s">
        <v>230</v>
      </c>
      <c r="G460" s="154">
        <v>120000</v>
      </c>
    </row>
    <row r="461" spans="1:7" ht="21.6" customHeight="1">
      <c r="A461" s="154">
        <v>457</v>
      </c>
      <c r="B461" s="154" t="str" cm="1">
        <f t="array" ref="B461">_xlfn.XLOOKUP(TRUE, ISNUMBER(SEARCH(工作表5!$A$1:$A$23, C461)), 工作表5!$B$1:$B$23, "其他")</f>
        <v>取紙組</v>
      </c>
      <c r="C461" s="144" t="s">
        <v>1779</v>
      </c>
      <c r="D461" s="156"/>
      <c r="E461" s="156" t="s">
        <v>1377</v>
      </c>
      <c r="F461" s="156" t="s">
        <v>232</v>
      </c>
      <c r="G461" s="154">
        <v>160000</v>
      </c>
    </row>
    <row r="462" spans="1:7" ht="21.6" customHeight="1">
      <c r="A462" s="154">
        <v>457</v>
      </c>
      <c r="B462" s="154" t="str" cm="1">
        <f t="array" ref="B462">_xlfn.XLOOKUP(TRUE, ISNUMBER(SEARCH(工作表5!$A$1:$A$23, C462)), 工作表5!$B$1:$B$23, "其他")</f>
        <v>大容量取紙組</v>
      </c>
      <c r="C462" s="144" t="s">
        <v>237</v>
      </c>
      <c r="D462" s="156"/>
      <c r="E462" s="156" t="s">
        <v>1378</v>
      </c>
      <c r="F462" s="156" t="s">
        <v>236</v>
      </c>
      <c r="G462" s="154">
        <v>160000</v>
      </c>
    </row>
    <row r="463" spans="1:7" ht="21.6" customHeight="1">
      <c r="A463" s="154">
        <v>457</v>
      </c>
      <c r="B463" s="154" t="str" cm="1">
        <f t="array" ref="B463">_xlfn.XLOOKUP(TRUE, ISNUMBER(SEARCH(工作表5!$A$1:$A$23, C463)), 工作表5!$B$1:$B$23, "其他")</f>
        <v>取紙組</v>
      </c>
      <c r="C463" s="144" t="s">
        <v>233</v>
      </c>
      <c r="D463" s="156"/>
      <c r="E463" s="156" t="s">
        <v>1379</v>
      </c>
      <c r="F463" s="156" t="s">
        <v>239</v>
      </c>
      <c r="G463" s="154">
        <v>160000</v>
      </c>
    </row>
    <row r="464" spans="1:7" ht="21.6" customHeight="1">
      <c r="A464" s="154">
        <v>457</v>
      </c>
      <c r="B464" s="154" t="str" cm="1">
        <f t="array" ref="B464">_xlfn.XLOOKUP(TRUE, ISNUMBER(SEARCH(工作表5!$A$1:$A$23, C464)), 工作表5!$B$1:$B$23, "其他")</f>
        <v>顯像組</v>
      </c>
      <c r="C464" s="144" t="s">
        <v>122</v>
      </c>
      <c r="D464" s="156"/>
      <c r="E464" s="156" t="s">
        <v>1380</v>
      </c>
      <c r="F464" s="156" t="s">
        <v>241</v>
      </c>
      <c r="G464" s="154">
        <v>150000</v>
      </c>
    </row>
    <row r="465" spans="1:7" ht="21.6" customHeight="1">
      <c r="A465" s="154">
        <v>457</v>
      </c>
      <c r="B465" s="154" t="str" cm="1">
        <f t="array" ref="B465">_xlfn.XLOOKUP(TRUE, ISNUMBER(SEARCH(工作表5!$A$1:$A$23, C465)), 工作表5!$B$1:$B$23, "其他")</f>
        <v>定著組</v>
      </c>
      <c r="C465" s="145" t="s">
        <v>244</v>
      </c>
      <c r="D465" s="156"/>
      <c r="E465" s="156" t="s">
        <v>1420</v>
      </c>
      <c r="F465" s="156" t="s">
        <v>372</v>
      </c>
      <c r="G465" s="154">
        <v>300000</v>
      </c>
    </row>
    <row r="466" spans="1:7" ht="21.6" customHeight="1">
      <c r="A466" s="154">
        <v>457</v>
      </c>
      <c r="B466" s="154" t="str" cm="1">
        <f t="array" ref="B466">_xlfn.XLOOKUP(TRUE, ISNUMBER(SEARCH(工作表5!$A$1:$A$23, C466)), 工作表5!$B$1:$B$23, "其他")</f>
        <v>取紙組</v>
      </c>
      <c r="C466" s="144" t="s">
        <v>247</v>
      </c>
      <c r="D466" s="156"/>
      <c r="E466" s="156" t="s">
        <v>1382</v>
      </c>
      <c r="F466" s="156" t="s">
        <v>246</v>
      </c>
      <c r="G466" s="154">
        <v>80000</v>
      </c>
    </row>
    <row r="467" spans="1:7" ht="21.6" customHeight="1">
      <c r="A467" s="154">
        <v>457</v>
      </c>
      <c r="B467" s="154" t="str" cm="1">
        <f t="array" ref="B467">_xlfn.XLOOKUP(TRUE, ISNUMBER(SEARCH(工作表5!$A$1:$A$23, C467)), 工作表5!$B$1:$B$23, "其他")</f>
        <v>送稿機</v>
      </c>
      <c r="C467" s="144" t="s">
        <v>250</v>
      </c>
      <c r="D467" s="156"/>
      <c r="E467" s="156" t="s">
        <v>1383</v>
      </c>
      <c r="F467" s="156" t="s">
        <v>249</v>
      </c>
      <c r="G467" s="154">
        <v>120000</v>
      </c>
    </row>
    <row r="468" spans="1:7" ht="21.6" customHeight="1">
      <c r="A468" s="154">
        <v>457</v>
      </c>
      <c r="B468" s="154" t="str" cm="1">
        <f t="array" ref="B468">_xlfn.XLOOKUP(TRUE, ISNUMBER(SEARCH(工作表5!$A$1:$A$23, C468)), 工作表5!$B$1:$B$23, "其他")</f>
        <v>取紙組</v>
      </c>
      <c r="C468" s="144" t="s">
        <v>253</v>
      </c>
      <c r="D468" s="156"/>
      <c r="E468" s="156" t="s">
        <v>1384</v>
      </c>
      <c r="F468" s="156" t="s">
        <v>252</v>
      </c>
      <c r="G468" s="154">
        <v>160000</v>
      </c>
    </row>
    <row r="469" spans="1:7" ht="21.6" customHeight="1">
      <c r="A469" s="154">
        <v>457</v>
      </c>
      <c r="B469" s="154" t="str" cm="1">
        <f t="array" ref="B469">_xlfn.XLOOKUP(TRUE, ISNUMBER(SEARCH(工作表5!$A$1:$A$23, C469)), 工作表5!$B$1:$B$23, "其他")</f>
        <v>顯像組</v>
      </c>
      <c r="C469" s="146" t="s">
        <v>129</v>
      </c>
      <c r="D469" s="156"/>
      <c r="E469" s="156" t="s">
        <v>1421</v>
      </c>
      <c r="F469" s="156" t="s">
        <v>374</v>
      </c>
      <c r="G469" s="154" t="e">
        <v>#VALUE!</v>
      </c>
    </row>
    <row r="470" spans="1:7" ht="21.6" customHeight="1">
      <c r="A470" s="154">
        <v>457</v>
      </c>
      <c r="B470" s="154" t="str" cm="1">
        <f t="array" ref="B470">_xlfn.XLOOKUP(TRUE, ISNUMBER(SEARCH(工作表5!$A$1:$A$23, C470)), 工作表5!$B$1:$B$23, "其他")</f>
        <v>定著組</v>
      </c>
      <c r="C470" s="144" t="s">
        <v>258</v>
      </c>
      <c r="D470" s="156"/>
      <c r="E470" s="156" t="s">
        <v>1422</v>
      </c>
      <c r="F470" s="156" t="s">
        <v>376</v>
      </c>
      <c r="G470" s="154" t="e">
        <v>#VALUE!</v>
      </c>
    </row>
    <row r="471" spans="1:7" ht="21.6" customHeight="1">
      <c r="A471" s="154" t="s">
        <v>51</v>
      </c>
      <c r="B471" s="154" t="str" cm="1">
        <f t="array" ref="B471">_xlfn.XLOOKUP(TRUE, ISNUMBER(SEARCH(工作表5!$A$1:$A$23, C471)), 工作表5!$B$1:$B$23, "其他")</f>
        <v>滾筒組</v>
      </c>
      <c r="C471" s="143" t="s">
        <v>193</v>
      </c>
      <c r="D471" s="156"/>
      <c r="E471" s="156" t="s">
        <v>1361</v>
      </c>
      <c r="F471" s="156" t="s">
        <v>192</v>
      </c>
      <c r="G471" s="154">
        <v>150000</v>
      </c>
    </row>
    <row r="472" spans="1:7" ht="21.6" customHeight="1">
      <c r="A472" s="154" t="s">
        <v>51</v>
      </c>
      <c r="B472" s="154" t="str" cm="1">
        <f t="array" ref="B472">_xlfn.XLOOKUP(TRUE, ISNUMBER(SEARCH(工作表5!$A$1:$A$23, C472)), 工作表5!$B$1:$B$23, "其他")</f>
        <v>顯像組</v>
      </c>
      <c r="C472" s="144" t="s">
        <v>75</v>
      </c>
      <c r="D472" s="156"/>
      <c r="E472" s="156" t="s">
        <v>1362</v>
      </c>
      <c r="F472" s="156" t="s">
        <v>196</v>
      </c>
      <c r="G472" s="154">
        <v>150000</v>
      </c>
    </row>
    <row r="473" spans="1:7" ht="21.6" customHeight="1">
      <c r="A473" s="154" t="s">
        <v>51</v>
      </c>
      <c r="B473" s="154" t="str" cm="1">
        <f t="array" ref="B473">_xlfn.XLOOKUP(TRUE, ISNUMBER(SEARCH(工作表5!$A$1:$A$23, C473)), 工作表5!$B$1:$B$23, "其他")</f>
        <v>滾筒組</v>
      </c>
      <c r="C473" s="144" t="s">
        <v>78</v>
      </c>
      <c r="D473" s="156"/>
      <c r="E473" s="156" t="s">
        <v>1326</v>
      </c>
      <c r="F473" s="156" t="s">
        <v>77</v>
      </c>
      <c r="G473" s="154">
        <v>150000</v>
      </c>
    </row>
    <row r="474" spans="1:7" ht="21.6" customHeight="1">
      <c r="A474" s="154" t="s">
        <v>51</v>
      </c>
      <c r="B474" s="154" t="str" cm="1">
        <f t="array" ref="B474">_xlfn.XLOOKUP(TRUE, ISNUMBER(SEARCH(工作表5!$A$1:$A$23, C474)), 工作表5!$B$1:$B$23, "其他")</f>
        <v>定著組</v>
      </c>
      <c r="C474" s="145" t="s">
        <v>1775</v>
      </c>
      <c r="D474" s="156"/>
      <c r="E474" s="156" t="s">
        <v>1387</v>
      </c>
      <c r="F474" s="156" t="s">
        <v>260</v>
      </c>
      <c r="G474" s="154">
        <v>300000</v>
      </c>
    </row>
    <row r="475" spans="1:7" ht="21.6" customHeight="1">
      <c r="A475" s="154" t="s">
        <v>51</v>
      </c>
      <c r="B475" s="154" t="str" cm="1">
        <f t="array" ref="B475">_xlfn.XLOOKUP(TRUE, ISNUMBER(SEARCH(工作表5!$A$1:$A$23, C475)), 工作表5!$B$1:$B$23, "其他")</f>
        <v>定著組</v>
      </c>
      <c r="C475" s="144" t="s">
        <v>87</v>
      </c>
      <c r="D475" s="156"/>
      <c r="E475" s="156" t="s">
        <v>1423</v>
      </c>
      <c r="F475" s="156" t="s">
        <v>378</v>
      </c>
      <c r="G475" s="154">
        <v>300000</v>
      </c>
    </row>
    <row r="476" spans="1:7" ht="21.6" customHeight="1">
      <c r="A476" s="154" t="s">
        <v>51</v>
      </c>
      <c r="B476" s="154" t="str" cm="1">
        <f t="array" ref="B476">_xlfn.XLOOKUP(TRUE, ISNUMBER(SEARCH(工作表5!$A$1:$A$23, C476)), 工作表5!$B$1:$B$23, "其他")</f>
        <v>轉寫組</v>
      </c>
      <c r="C476" s="144" t="s">
        <v>81</v>
      </c>
      <c r="D476" s="156"/>
      <c r="E476" s="156" t="s">
        <v>1365</v>
      </c>
      <c r="F476" s="156" t="s">
        <v>202</v>
      </c>
      <c r="G476" s="154">
        <v>150000</v>
      </c>
    </row>
    <row r="477" spans="1:7" ht="21.6" customHeight="1">
      <c r="A477" s="154" t="s">
        <v>51</v>
      </c>
      <c r="B477" s="154" t="str" cm="1">
        <f t="array" ref="B477">_xlfn.XLOOKUP(TRUE, ISNUMBER(SEARCH(工作表5!$A$1:$A$23, C477)), 工作表5!$B$1:$B$23, "其他")</f>
        <v>滾筒組</v>
      </c>
      <c r="C477" s="144" t="s">
        <v>95</v>
      </c>
      <c r="D477" s="156"/>
      <c r="E477" s="156" t="s">
        <v>1332</v>
      </c>
      <c r="F477" s="156" t="s">
        <v>94</v>
      </c>
      <c r="G477" s="154">
        <v>150000</v>
      </c>
    </row>
    <row r="478" spans="1:7" ht="21.6" customHeight="1">
      <c r="A478" s="154" t="s">
        <v>51</v>
      </c>
      <c r="B478" s="154" t="str" cm="1">
        <f t="array" ref="B478">_xlfn.XLOOKUP(TRUE, ISNUMBER(SEARCH(工作表5!$A$1:$A$23, C478)), 工作表5!$B$1:$B$23, "其他")</f>
        <v>滾筒組</v>
      </c>
      <c r="C478" s="144" t="s">
        <v>98</v>
      </c>
      <c r="D478" s="156"/>
      <c r="E478" s="156" t="s">
        <v>1366</v>
      </c>
      <c r="F478" s="156" t="s">
        <v>204</v>
      </c>
      <c r="G478" s="154">
        <v>150000</v>
      </c>
    </row>
    <row r="479" spans="1:7" ht="21.6" customHeight="1">
      <c r="A479" s="154" t="s">
        <v>51</v>
      </c>
      <c r="B479" s="154" t="str" cm="1">
        <f t="array" ref="B479">_xlfn.XLOOKUP(TRUE, ISNUMBER(SEARCH(工作表5!$A$1:$A$23, C479)), 工作表5!$B$1:$B$23, "其他")</f>
        <v>滾筒組</v>
      </c>
      <c r="C479" s="144" t="s">
        <v>107</v>
      </c>
      <c r="D479" s="156"/>
      <c r="E479" s="156" t="s">
        <v>1367</v>
      </c>
      <c r="F479" s="156" t="s">
        <v>206</v>
      </c>
      <c r="G479" s="154">
        <v>150000</v>
      </c>
    </row>
    <row r="480" spans="1:7" ht="21.6" customHeight="1">
      <c r="A480" s="154" t="s">
        <v>51</v>
      </c>
      <c r="B480" s="154" t="str" cm="1">
        <f t="array" ref="B480">_xlfn.XLOOKUP(TRUE, ISNUMBER(SEARCH(工作表5!$A$1:$A$23, C480)), 工作表5!$B$1:$B$23, "其他")</f>
        <v>顯像組</v>
      </c>
      <c r="C480" s="145" t="s">
        <v>104</v>
      </c>
      <c r="D480" s="156"/>
      <c r="E480" s="156" t="s">
        <v>1419</v>
      </c>
      <c r="F480" s="156" t="s">
        <v>368</v>
      </c>
      <c r="G480" s="154">
        <v>150000</v>
      </c>
    </row>
    <row r="481" spans="1:7" ht="21.6" customHeight="1">
      <c r="A481" s="154" t="s">
        <v>51</v>
      </c>
      <c r="B481" s="154" t="str" cm="1">
        <f t="array" ref="B481">_xlfn.XLOOKUP(TRUE, ISNUMBER(SEARCH(工作表5!$A$1:$A$23, C481)), 工作表5!$B$1:$B$23, "其他")</f>
        <v>定著組</v>
      </c>
      <c r="C481" s="144" t="s">
        <v>90</v>
      </c>
      <c r="D481" s="156"/>
      <c r="E481" s="156" t="s">
        <v>1330</v>
      </c>
      <c r="F481" s="156" t="s">
        <v>89</v>
      </c>
      <c r="G481" s="154">
        <v>300000</v>
      </c>
    </row>
    <row r="482" spans="1:7" ht="21.6" customHeight="1">
      <c r="A482" s="154" t="s">
        <v>51</v>
      </c>
      <c r="B482" s="154" t="str" cm="1">
        <f t="array" ref="B482">_xlfn.XLOOKUP(TRUE, ISNUMBER(SEARCH(工作表5!$A$1:$A$23, C482)), 工作表5!$B$1:$B$23, "其他")</f>
        <v>其他</v>
      </c>
      <c r="C482" s="144" t="s">
        <v>263</v>
      </c>
      <c r="D482" s="156"/>
      <c r="E482" s="156" t="s">
        <v>1370</v>
      </c>
      <c r="F482" s="156" t="s">
        <v>212</v>
      </c>
      <c r="G482" s="154">
        <v>300000</v>
      </c>
    </row>
    <row r="483" spans="1:7" ht="21.6" customHeight="1">
      <c r="A483" s="154" t="s">
        <v>51</v>
      </c>
      <c r="B483" s="154" t="str" cm="1">
        <f t="array" ref="B483">_xlfn.XLOOKUP(TRUE, ISNUMBER(SEARCH(工作表5!$A$1:$A$23, C483)), 工作表5!$B$1:$B$23, "其他")</f>
        <v>取紙組</v>
      </c>
      <c r="C483" s="144" t="s">
        <v>1780</v>
      </c>
      <c r="D483" s="156"/>
      <c r="E483" s="156" t="s">
        <v>1389</v>
      </c>
      <c r="F483" s="156" t="s">
        <v>265</v>
      </c>
      <c r="G483" s="154">
        <v>80000</v>
      </c>
    </row>
    <row r="484" spans="1:7" ht="21.6" customHeight="1">
      <c r="A484" s="154" t="s">
        <v>51</v>
      </c>
      <c r="B484" s="154" t="str" cm="1">
        <f t="array" ref="B484">_xlfn.XLOOKUP(TRUE, ISNUMBER(SEARCH(工作表5!$A$1:$A$23, C484)), 工作表5!$B$1:$B$23, "其他")</f>
        <v>取紙組</v>
      </c>
      <c r="C484" s="144" t="s">
        <v>270</v>
      </c>
      <c r="D484" s="156"/>
      <c r="E484" s="156" t="s">
        <v>1390</v>
      </c>
      <c r="F484" s="156" t="s">
        <v>269</v>
      </c>
      <c r="G484" s="154">
        <v>80000</v>
      </c>
    </row>
    <row r="485" spans="1:7" ht="21.6" customHeight="1">
      <c r="A485" s="154" t="s">
        <v>51</v>
      </c>
      <c r="B485" s="154" t="str" cm="1">
        <f t="array" ref="B485">_xlfn.XLOOKUP(TRUE, ISNUMBER(SEARCH(工作表5!$A$1:$A$23, C485)), 工作表5!$B$1:$B$23, "其他")</f>
        <v>取紙組</v>
      </c>
      <c r="C485" s="144" t="s">
        <v>266</v>
      </c>
      <c r="D485" s="156"/>
      <c r="E485" s="156" t="s">
        <v>1391</v>
      </c>
      <c r="F485" s="156" t="s">
        <v>272</v>
      </c>
      <c r="G485" s="154">
        <v>80000</v>
      </c>
    </row>
    <row r="486" spans="1:7" ht="21.6" customHeight="1">
      <c r="A486" s="154" t="s">
        <v>51</v>
      </c>
      <c r="B486" s="154" t="str" cm="1">
        <f t="array" ref="B486">_xlfn.XLOOKUP(TRUE, ISNUMBER(SEARCH(工作表5!$A$1:$A$23, C486)), 工作表5!$B$1:$B$23, "其他")</f>
        <v>手送台</v>
      </c>
      <c r="C486" s="144" t="s">
        <v>1861</v>
      </c>
      <c r="D486" s="156"/>
      <c r="E486" s="156" t="s">
        <v>1392</v>
      </c>
      <c r="F486" s="156" t="s">
        <v>274</v>
      </c>
      <c r="G486" s="154">
        <v>80000</v>
      </c>
    </row>
    <row r="487" spans="1:7" ht="21.6" customHeight="1">
      <c r="A487" s="154" t="s">
        <v>51</v>
      </c>
      <c r="B487" s="154" t="str" cm="1">
        <f t="array" ref="B487">_xlfn.XLOOKUP(TRUE, ISNUMBER(SEARCH(工作表5!$A$1:$A$23, C487)), 工作表5!$B$1:$B$23, "其他")</f>
        <v>手送台</v>
      </c>
      <c r="C487" s="144" t="s">
        <v>224</v>
      </c>
      <c r="D487" s="156"/>
      <c r="E487" s="156" t="s">
        <v>1393</v>
      </c>
      <c r="F487" s="156" t="s">
        <v>277</v>
      </c>
      <c r="G487" s="154">
        <v>80000</v>
      </c>
    </row>
    <row r="488" spans="1:7" ht="21.6" customHeight="1">
      <c r="A488" s="154" t="s">
        <v>51</v>
      </c>
      <c r="B488" s="154" t="str" cm="1">
        <f t="array" ref="B488">_xlfn.XLOOKUP(TRUE, ISNUMBER(SEARCH(工作表5!$A$1:$A$23, C488)), 工作表5!$B$1:$B$23, "其他")</f>
        <v>送稿機</v>
      </c>
      <c r="C488" s="144" t="s">
        <v>1781</v>
      </c>
      <c r="D488" s="156"/>
      <c r="E488" s="156" t="s">
        <v>1375</v>
      </c>
      <c r="F488" s="156" t="s">
        <v>226</v>
      </c>
      <c r="G488" s="154">
        <v>120000</v>
      </c>
    </row>
    <row r="489" spans="1:7" ht="21.6" customHeight="1">
      <c r="A489" s="154" t="s">
        <v>51</v>
      </c>
      <c r="B489" s="154" t="str" cm="1">
        <f t="array" ref="B489">_xlfn.XLOOKUP(TRUE, ISNUMBER(SEARCH(工作表5!$A$1:$A$23, C489)), 工作表5!$B$1:$B$23, "其他")</f>
        <v>送稿機</v>
      </c>
      <c r="C489" s="144" t="s">
        <v>278</v>
      </c>
      <c r="D489" s="156"/>
      <c r="E489" s="156" t="s">
        <v>1376</v>
      </c>
      <c r="F489" s="156" t="s">
        <v>230</v>
      </c>
      <c r="G489" s="154">
        <v>120000</v>
      </c>
    </row>
    <row r="490" spans="1:7" ht="21.6" customHeight="1">
      <c r="A490" s="154" t="s">
        <v>51</v>
      </c>
      <c r="B490" s="154" t="str" cm="1">
        <f t="array" ref="B490">_xlfn.XLOOKUP(TRUE, ISNUMBER(SEARCH(工作表5!$A$1:$A$23, C490)), 工作表5!$B$1:$B$23, "其他")</f>
        <v>送稿機</v>
      </c>
      <c r="C490" s="144" t="s">
        <v>1782</v>
      </c>
      <c r="D490" s="156"/>
      <c r="E490" s="156" t="s">
        <v>1394</v>
      </c>
      <c r="F490" s="156" t="s">
        <v>281</v>
      </c>
      <c r="G490" s="154">
        <v>120000</v>
      </c>
    </row>
    <row r="491" spans="1:7" ht="21.6" customHeight="1">
      <c r="A491" s="154" t="s">
        <v>51</v>
      </c>
      <c r="B491" s="154" t="str" cm="1">
        <f t="array" ref="B491">_xlfn.XLOOKUP(TRUE, ISNUMBER(SEARCH(工作表5!$A$1:$A$23, C491)), 工作表5!$B$1:$B$23, "其他")</f>
        <v>送稿機</v>
      </c>
      <c r="C491" s="144" t="s">
        <v>285</v>
      </c>
      <c r="D491" s="156"/>
      <c r="E491" s="156" t="s">
        <v>1395</v>
      </c>
      <c r="F491" s="156" t="s">
        <v>226</v>
      </c>
      <c r="G491" s="154">
        <v>120000</v>
      </c>
    </row>
    <row r="492" spans="1:7" ht="21.6" customHeight="1">
      <c r="A492" s="154" t="s">
        <v>51</v>
      </c>
      <c r="B492" s="154" t="str" cm="1">
        <f t="array" ref="B492">_xlfn.XLOOKUP(TRUE, ISNUMBER(SEARCH(工作表5!$A$1:$A$23, C492)), 工作表5!$B$1:$B$23, "其他")</f>
        <v>送稿機</v>
      </c>
      <c r="C492" s="144" t="s">
        <v>282</v>
      </c>
      <c r="D492" s="156"/>
      <c r="E492" s="156" t="s">
        <v>1396</v>
      </c>
      <c r="F492" s="156" t="s">
        <v>288</v>
      </c>
      <c r="G492" s="154">
        <v>120000</v>
      </c>
    </row>
    <row r="493" spans="1:7" ht="21.6" customHeight="1">
      <c r="A493" s="154" t="s">
        <v>51</v>
      </c>
      <c r="B493" s="154" t="str" cm="1">
        <f t="array" ref="B493">_xlfn.XLOOKUP(TRUE, ISNUMBER(SEARCH(工作表5!$A$1:$A$23, C493)), 工作表5!$B$1:$B$23, "其他")</f>
        <v>大容量取紙組</v>
      </c>
      <c r="C493" s="144" t="s">
        <v>1783</v>
      </c>
      <c r="D493" s="156"/>
      <c r="E493" s="156" t="s">
        <v>1377</v>
      </c>
      <c r="F493" s="156" t="s">
        <v>232</v>
      </c>
      <c r="G493" s="154">
        <v>160000</v>
      </c>
    </row>
    <row r="494" spans="1:7" ht="21.6" customHeight="1">
      <c r="A494" s="154" t="s">
        <v>51</v>
      </c>
      <c r="B494" s="154" t="str" cm="1">
        <f t="array" ref="B494">_xlfn.XLOOKUP(TRUE, ISNUMBER(SEARCH(工作表5!$A$1:$A$23, C494)), 工作表5!$B$1:$B$23, "其他")</f>
        <v>大容量取紙組</v>
      </c>
      <c r="C494" s="144" t="s">
        <v>237</v>
      </c>
      <c r="D494" s="156"/>
      <c r="E494" s="156" t="s">
        <v>1378</v>
      </c>
      <c r="F494" s="156" t="s">
        <v>236</v>
      </c>
      <c r="G494" s="154">
        <v>160000</v>
      </c>
    </row>
    <row r="495" spans="1:7" ht="21.6" customHeight="1">
      <c r="A495" s="154" t="s">
        <v>51</v>
      </c>
      <c r="B495" s="154" t="str" cm="1">
        <f t="array" ref="B495">_xlfn.XLOOKUP(TRUE, ISNUMBER(SEARCH(工作表5!$A$1:$A$23, C495)), 工作表5!$B$1:$B$23, "其他")</f>
        <v>大容量取紙組</v>
      </c>
      <c r="C495" s="144" t="s">
        <v>289</v>
      </c>
      <c r="D495" s="156"/>
      <c r="E495" s="156" t="s">
        <v>1379</v>
      </c>
      <c r="F495" s="156" t="s">
        <v>239</v>
      </c>
      <c r="G495" s="154">
        <v>160000</v>
      </c>
    </row>
    <row r="496" spans="1:7" ht="21.6" customHeight="1">
      <c r="A496" s="154" t="s">
        <v>51</v>
      </c>
      <c r="B496" s="154" t="str" cm="1">
        <f t="array" ref="B496">_xlfn.XLOOKUP(TRUE, ISNUMBER(SEARCH(工作表5!$A$1:$A$23, C496)), 工作表5!$B$1:$B$23, "其他")</f>
        <v>顯像組</v>
      </c>
      <c r="C496" s="144" t="s">
        <v>122</v>
      </c>
      <c r="D496" s="156"/>
      <c r="E496" s="156" t="s">
        <v>1397</v>
      </c>
      <c r="F496" s="156" t="s">
        <v>292</v>
      </c>
      <c r="G496" s="154">
        <v>150000</v>
      </c>
    </row>
    <row r="497" spans="1:7" ht="21.6" customHeight="1">
      <c r="A497" s="154" t="s">
        <v>51</v>
      </c>
      <c r="B497" s="154" t="str" cm="1">
        <f t="array" ref="B497">_xlfn.XLOOKUP(TRUE, ISNUMBER(SEARCH(工作表5!$A$1:$A$23, C497)), 工作表5!$B$1:$B$23, "其他")</f>
        <v>定著組</v>
      </c>
      <c r="C497" s="145" t="s">
        <v>244</v>
      </c>
      <c r="D497" s="156"/>
      <c r="E497" s="156" t="s">
        <v>1424</v>
      </c>
      <c r="F497" s="156" t="s">
        <v>380</v>
      </c>
      <c r="G497" s="154">
        <v>300000</v>
      </c>
    </row>
    <row r="498" spans="1:7" ht="21.6" customHeight="1">
      <c r="A498" s="154" t="s">
        <v>51</v>
      </c>
      <c r="B498" s="154" t="str" cm="1">
        <f t="array" ref="B498">_xlfn.XLOOKUP(TRUE, ISNUMBER(SEARCH(工作表5!$A$1:$A$23, C498)), 工作表5!$B$1:$B$23, "其他")</f>
        <v>取紙組</v>
      </c>
      <c r="C498" s="144" t="s">
        <v>247</v>
      </c>
      <c r="D498" s="156"/>
      <c r="E498" s="156" t="s">
        <v>1399</v>
      </c>
      <c r="F498" s="156" t="s">
        <v>296</v>
      </c>
      <c r="G498" s="154">
        <v>80000</v>
      </c>
    </row>
    <row r="499" spans="1:7" ht="21.6" customHeight="1">
      <c r="A499" s="154" t="s">
        <v>51</v>
      </c>
      <c r="B499" s="154" t="str" cm="1">
        <f t="array" ref="B499">_xlfn.XLOOKUP(TRUE, ISNUMBER(SEARCH(工作表5!$A$1:$A$23, C499)), 工作表5!$B$1:$B$23, "其他")</f>
        <v>送稿機</v>
      </c>
      <c r="C499" s="144" t="s">
        <v>300</v>
      </c>
      <c r="D499" s="156"/>
      <c r="E499" s="156" t="s">
        <v>1400</v>
      </c>
      <c r="F499" s="156" t="s">
        <v>299</v>
      </c>
      <c r="G499" s="154">
        <v>120000</v>
      </c>
    </row>
    <row r="500" spans="1:7" ht="21.6" customHeight="1">
      <c r="A500" s="154" t="s">
        <v>51</v>
      </c>
      <c r="B500" s="154" t="str" cm="1">
        <f t="array" ref="B500">_xlfn.XLOOKUP(TRUE, ISNUMBER(SEARCH(工作表5!$A$1:$A$23, C500)), 工作表5!$B$1:$B$23, "其他")</f>
        <v>送稿機</v>
      </c>
      <c r="C500" s="144" t="s">
        <v>303</v>
      </c>
      <c r="D500" s="156"/>
      <c r="E500" s="156" t="s">
        <v>1401</v>
      </c>
      <c r="F500" s="156" t="s">
        <v>302</v>
      </c>
      <c r="G500" s="154">
        <v>120000</v>
      </c>
    </row>
    <row r="501" spans="1:7" ht="21.6" customHeight="1">
      <c r="A501" s="154" t="s">
        <v>51</v>
      </c>
      <c r="B501" s="154" t="str" cm="1">
        <f t="array" ref="B501">_xlfn.XLOOKUP(TRUE, ISNUMBER(SEARCH(工作表5!$A$1:$A$23, C501)), 工作表5!$B$1:$B$23, "其他")</f>
        <v>大容量取紙組</v>
      </c>
      <c r="C501" s="144" t="s">
        <v>304</v>
      </c>
      <c r="D501" s="156"/>
      <c r="E501" s="156" t="s">
        <v>1384</v>
      </c>
      <c r="F501" s="156" t="s">
        <v>252</v>
      </c>
      <c r="G501" s="154">
        <v>160000</v>
      </c>
    </row>
    <row r="502" spans="1:7" ht="21.6" customHeight="1">
      <c r="A502" s="154" t="s">
        <v>51</v>
      </c>
      <c r="B502" s="154" t="str" cm="1">
        <f t="array" ref="B502">_xlfn.XLOOKUP(TRUE, ISNUMBER(SEARCH(工作表5!$A$1:$A$23, C502)), 工作表5!$B$1:$B$23, "其他")</f>
        <v>顯像組</v>
      </c>
      <c r="C502" s="146" t="s">
        <v>129</v>
      </c>
      <c r="D502" s="156"/>
      <c r="E502" s="156" t="s">
        <v>1425</v>
      </c>
      <c r="F502" s="156" t="s">
        <v>382</v>
      </c>
      <c r="G502" s="154" t="e">
        <v>#VALUE!</v>
      </c>
    </row>
    <row r="503" spans="1:7" ht="21.6" customHeight="1">
      <c r="A503" s="154" t="s">
        <v>51</v>
      </c>
      <c r="B503" s="154" t="str" cm="1">
        <f t="array" ref="B503">_xlfn.XLOOKUP(TRUE, ISNUMBER(SEARCH(工作表5!$A$1:$A$23, C503)), 工作表5!$B$1:$B$23, "其他")</f>
        <v>顯像組</v>
      </c>
      <c r="C503" s="146" t="s">
        <v>129</v>
      </c>
      <c r="D503" s="156"/>
      <c r="E503" s="156" t="s">
        <v>1426</v>
      </c>
      <c r="F503" s="156" t="s">
        <v>385</v>
      </c>
      <c r="G503" s="154" t="e">
        <v>#VALUE!</v>
      </c>
    </row>
    <row r="504" spans="1:7" ht="21.6" customHeight="1">
      <c r="A504" s="154" t="s">
        <v>51</v>
      </c>
      <c r="B504" s="154" t="str" cm="1">
        <f t="array" ref="B504">_xlfn.XLOOKUP(TRUE, ISNUMBER(SEARCH(工作表5!$A$1:$A$23, C504)), 工作表5!$B$1:$B$23, "其他")</f>
        <v>定著組</v>
      </c>
      <c r="C504" s="147" t="s">
        <v>313</v>
      </c>
      <c r="D504" s="156"/>
      <c r="E504" s="156" t="s">
        <v>1427</v>
      </c>
      <c r="F504" s="156" t="s">
        <v>388</v>
      </c>
      <c r="G504" s="154" t="e">
        <v>#VALUE!</v>
      </c>
    </row>
    <row r="505" spans="1:7" ht="21.6" customHeight="1">
      <c r="A505" s="154" t="s">
        <v>53</v>
      </c>
      <c r="B505" s="154" t="str" cm="1">
        <f t="array" ref="B505">_xlfn.XLOOKUP(TRUE, ISNUMBER(SEARCH(工作表5!$A$1:$A$23, C505)), 工作表5!$B$1:$B$23, "其他")</f>
        <v>滾筒組</v>
      </c>
      <c r="C505" s="143" t="s">
        <v>193</v>
      </c>
      <c r="D505" s="156"/>
      <c r="E505" s="156" t="s">
        <v>1405</v>
      </c>
      <c r="F505" s="156" t="s">
        <v>315</v>
      </c>
      <c r="G505" s="154">
        <v>150000</v>
      </c>
    </row>
    <row r="506" spans="1:7" ht="21.6" customHeight="1">
      <c r="A506" s="154" t="s">
        <v>53</v>
      </c>
      <c r="B506" s="154" t="str" cm="1">
        <f t="array" ref="B506">_xlfn.XLOOKUP(TRUE, ISNUMBER(SEARCH(工作表5!$A$1:$A$23, C506)), 工作表5!$B$1:$B$23, "其他")</f>
        <v>顯像組</v>
      </c>
      <c r="C506" s="144" t="s">
        <v>75</v>
      </c>
      <c r="D506" s="156"/>
      <c r="E506" s="156" t="s">
        <v>1406</v>
      </c>
      <c r="F506" s="156" t="s">
        <v>317</v>
      </c>
      <c r="G506" s="154">
        <v>150000</v>
      </c>
    </row>
    <row r="507" spans="1:7" ht="21.6" customHeight="1">
      <c r="A507" s="154" t="s">
        <v>53</v>
      </c>
      <c r="B507" s="154" t="str" cm="1">
        <f t="array" ref="B507">_xlfn.XLOOKUP(TRUE, ISNUMBER(SEARCH(工作表5!$A$1:$A$23, C507)), 工作表5!$B$1:$B$23, "其他")</f>
        <v>滾筒組</v>
      </c>
      <c r="C507" s="144" t="s">
        <v>78</v>
      </c>
      <c r="D507" s="156"/>
      <c r="E507" s="156" t="s">
        <v>1326</v>
      </c>
      <c r="F507" s="156" t="s">
        <v>77</v>
      </c>
      <c r="G507" s="154">
        <v>150000</v>
      </c>
    </row>
    <row r="508" spans="1:7" ht="21.6" customHeight="1">
      <c r="A508" s="154" t="s">
        <v>53</v>
      </c>
      <c r="B508" s="154" t="str" cm="1">
        <f t="array" ref="B508">_xlfn.XLOOKUP(TRUE, ISNUMBER(SEARCH(工作表5!$A$1:$A$23, C508)), 工作表5!$B$1:$B$23, "其他")</f>
        <v>定著組</v>
      </c>
      <c r="C508" s="145" t="s">
        <v>1775</v>
      </c>
      <c r="D508" s="156"/>
      <c r="E508" s="156" t="s">
        <v>1387</v>
      </c>
      <c r="F508" s="156" t="s">
        <v>260</v>
      </c>
      <c r="G508" s="154">
        <v>300000</v>
      </c>
    </row>
    <row r="509" spans="1:7" ht="21.6" customHeight="1">
      <c r="A509" s="154" t="s">
        <v>53</v>
      </c>
      <c r="B509" s="154" t="str" cm="1">
        <f t="array" ref="B509">_xlfn.XLOOKUP(TRUE, ISNUMBER(SEARCH(工作表5!$A$1:$A$23, C509)), 工作表5!$B$1:$B$23, "其他")</f>
        <v>定著組</v>
      </c>
      <c r="C509" s="144" t="s">
        <v>87</v>
      </c>
      <c r="D509" s="156"/>
      <c r="E509" s="156" t="s">
        <v>1423</v>
      </c>
      <c r="F509" s="156" t="s">
        <v>378</v>
      </c>
      <c r="G509" s="154">
        <v>300000</v>
      </c>
    </row>
    <row r="510" spans="1:7" ht="21.6" customHeight="1">
      <c r="A510" s="154" t="s">
        <v>53</v>
      </c>
      <c r="B510" s="154" t="str" cm="1">
        <f t="array" ref="B510">_xlfn.XLOOKUP(TRUE, ISNUMBER(SEARCH(工作表5!$A$1:$A$23, C510)), 工作表5!$B$1:$B$23, "其他")</f>
        <v>轉寫組</v>
      </c>
      <c r="C510" s="144" t="s">
        <v>81</v>
      </c>
      <c r="D510" s="156"/>
      <c r="E510" s="156" t="s">
        <v>1365</v>
      </c>
      <c r="F510" s="156" t="s">
        <v>202</v>
      </c>
      <c r="G510" s="154">
        <v>150000</v>
      </c>
    </row>
    <row r="511" spans="1:7" ht="21.6" customHeight="1">
      <c r="A511" s="154" t="s">
        <v>53</v>
      </c>
      <c r="B511" s="154" t="str" cm="1">
        <f t="array" ref="B511">_xlfn.XLOOKUP(TRUE, ISNUMBER(SEARCH(工作表5!$A$1:$A$23, C511)), 工作表5!$B$1:$B$23, "其他")</f>
        <v>滾筒組</v>
      </c>
      <c r="C511" s="144" t="s">
        <v>95</v>
      </c>
      <c r="D511" s="156"/>
      <c r="E511" s="156" t="s">
        <v>1332</v>
      </c>
      <c r="F511" s="156" t="s">
        <v>94</v>
      </c>
      <c r="G511" s="154">
        <v>150000</v>
      </c>
    </row>
    <row r="512" spans="1:7" ht="21.6" customHeight="1">
      <c r="A512" s="154" t="s">
        <v>53</v>
      </c>
      <c r="B512" s="154" t="str" cm="1">
        <f t="array" ref="B512">_xlfn.XLOOKUP(TRUE, ISNUMBER(SEARCH(工作表5!$A$1:$A$23, C512)), 工作表5!$B$1:$B$23, "其他")</f>
        <v>滾筒組</v>
      </c>
      <c r="C512" s="144" t="s">
        <v>98</v>
      </c>
      <c r="D512" s="156"/>
      <c r="E512" s="156" t="s">
        <v>1366</v>
      </c>
      <c r="F512" s="156" t="s">
        <v>204</v>
      </c>
      <c r="G512" s="154">
        <v>150000</v>
      </c>
    </row>
    <row r="513" spans="1:7" ht="21.6" customHeight="1">
      <c r="A513" s="154" t="s">
        <v>53</v>
      </c>
      <c r="B513" s="154" t="str" cm="1">
        <f t="array" ref="B513">_xlfn.XLOOKUP(TRUE, ISNUMBER(SEARCH(工作表5!$A$1:$A$23, C513)), 工作表5!$B$1:$B$23, "其他")</f>
        <v>滾筒組</v>
      </c>
      <c r="C513" s="144" t="s">
        <v>107</v>
      </c>
      <c r="D513" s="156"/>
      <c r="E513" s="156" t="s">
        <v>1367</v>
      </c>
      <c r="F513" s="156" t="s">
        <v>206</v>
      </c>
      <c r="G513" s="154">
        <v>150000</v>
      </c>
    </row>
    <row r="514" spans="1:7" ht="21.6" customHeight="1">
      <c r="A514" s="154" t="s">
        <v>53</v>
      </c>
      <c r="B514" s="154" t="str" cm="1">
        <f t="array" ref="B514">_xlfn.XLOOKUP(TRUE, ISNUMBER(SEARCH(工作表5!$A$1:$A$23, C514)), 工作表5!$B$1:$B$23, "其他")</f>
        <v>顯像組</v>
      </c>
      <c r="C514" s="145" t="s">
        <v>104</v>
      </c>
      <c r="D514" s="156"/>
      <c r="E514" s="156" t="s">
        <v>1428</v>
      </c>
      <c r="F514" s="156" t="s">
        <v>390</v>
      </c>
      <c r="G514" s="154">
        <v>150000</v>
      </c>
    </row>
    <row r="515" spans="1:7" ht="21.6" customHeight="1">
      <c r="A515" s="154" t="s">
        <v>53</v>
      </c>
      <c r="B515" s="154" t="str" cm="1">
        <f t="array" ref="B515">_xlfn.XLOOKUP(TRUE, ISNUMBER(SEARCH(工作表5!$A$1:$A$23, C515)), 工作表5!$B$1:$B$23, "其他")</f>
        <v>定著組</v>
      </c>
      <c r="C515" s="144" t="s">
        <v>90</v>
      </c>
      <c r="D515" s="156"/>
      <c r="E515" s="156" t="s">
        <v>1330</v>
      </c>
      <c r="F515" s="156" t="s">
        <v>89</v>
      </c>
      <c r="G515" s="154">
        <v>300000</v>
      </c>
    </row>
    <row r="516" spans="1:7" ht="21.6" customHeight="1">
      <c r="A516" s="154" t="s">
        <v>53</v>
      </c>
      <c r="B516" s="154" t="str" cm="1">
        <f t="array" ref="B516">_xlfn.XLOOKUP(TRUE, ISNUMBER(SEARCH(工作表5!$A$1:$A$23, C516)), 工作表5!$B$1:$B$23, "其他")</f>
        <v>其他</v>
      </c>
      <c r="C516" s="144" t="s">
        <v>263</v>
      </c>
      <c r="D516" s="156"/>
      <c r="E516" s="156" t="s">
        <v>1370</v>
      </c>
      <c r="F516" s="156" t="s">
        <v>212</v>
      </c>
      <c r="G516" s="154">
        <v>300000</v>
      </c>
    </row>
    <row r="517" spans="1:7" ht="21.6" customHeight="1">
      <c r="A517" s="154" t="s">
        <v>53</v>
      </c>
      <c r="B517" s="154" t="str" cm="1">
        <f t="array" ref="B517">_xlfn.XLOOKUP(TRUE, ISNUMBER(SEARCH(工作表5!$A$1:$A$23, C517)), 工作表5!$B$1:$B$23, "其他")</f>
        <v>取紙組</v>
      </c>
      <c r="C517" s="144" t="s">
        <v>1780</v>
      </c>
      <c r="D517" s="156"/>
      <c r="E517" s="156" t="s">
        <v>1389</v>
      </c>
      <c r="F517" s="156" t="s">
        <v>265</v>
      </c>
      <c r="G517" s="154">
        <v>80000</v>
      </c>
    </row>
    <row r="518" spans="1:7" ht="21.6" customHeight="1">
      <c r="A518" s="154" t="s">
        <v>53</v>
      </c>
      <c r="B518" s="154" t="str" cm="1">
        <f t="array" ref="B518">_xlfn.XLOOKUP(TRUE, ISNUMBER(SEARCH(工作表5!$A$1:$A$23, C518)), 工作表5!$B$1:$B$23, "其他")</f>
        <v>取紙組</v>
      </c>
      <c r="C518" s="144" t="s">
        <v>270</v>
      </c>
      <c r="D518" s="156"/>
      <c r="E518" s="156" t="s">
        <v>1390</v>
      </c>
      <c r="F518" s="156" t="s">
        <v>269</v>
      </c>
      <c r="G518" s="154">
        <v>80000</v>
      </c>
    </row>
    <row r="519" spans="1:7" ht="21.6" customHeight="1">
      <c r="A519" s="154" t="s">
        <v>53</v>
      </c>
      <c r="B519" s="154" t="str" cm="1">
        <f t="array" ref="B519">_xlfn.XLOOKUP(TRUE, ISNUMBER(SEARCH(工作表5!$A$1:$A$23, C519)), 工作表5!$B$1:$B$23, "其他")</f>
        <v>取紙組</v>
      </c>
      <c r="C519" s="144" t="s">
        <v>266</v>
      </c>
      <c r="D519" s="156"/>
      <c r="E519" s="156" t="s">
        <v>1391</v>
      </c>
      <c r="F519" s="156" t="s">
        <v>272</v>
      </c>
      <c r="G519" s="154">
        <v>80000</v>
      </c>
    </row>
    <row r="520" spans="1:7" ht="21.6" customHeight="1">
      <c r="A520" s="154" t="s">
        <v>53</v>
      </c>
      <c r="B520" s="154" t="str" cm="1">
        <f t="array" ref="B520">_xlfn.XLOOKUP(TRUE, ISNUMBER(SEARCH(工作表5!$A$1:$A$23, C520)), 工作表5!$B$1:$B$23, "其他")</f>
        <v>手送台</v>
      </c>
      <c r="C520" s="144" t="s">
        <v>1861</v>
      </c>
      <c r="D520" s="156"/>
      <c r="E520" s="156" t="s">
        <v>1392</v>
      </c>
      <c r="F520" s="156" t="s">
        <v>274</v>
      </c>
      <c r="G520" s="154">
        <v>80000</v>
      </c>
    </row>
    <row r="521" spans="1:7" ht="21.6" customHeight="1">
      <c r="A521" s="154" t="s">
        <v>53</v>
      </c>
      <c r="B521" s="154" t="str" cm="1">
        <f t="array" ref="B521">_xlfn.XLOOKUP(TRUE, ISNUMBER(SEARCH(工作表5!$A$1:$A$23, C521)), 工作表5!$B$1:$B$23, "其他")</f>
        <v>手送台</v>
      </c>
      <c r="C521" s="144" t="s">
        <v>224</v>
      </c>
      <c r="D521" s="156"/>
      <c r="E521" s="156" t="s">
        <v>1393</v>
      </c>
      <c r="F521" s="156" t="s">
        <v>277</v>
      </c>
      <c r="G521" s="154">
        <v>80000</v>
      </c>
    </row>
    <row r="522" spans="1:7" ht="21.6" customHeight="1">
      <c r="A522" s="154" t="s">
        <v>53</v>
      </c>
      <c r="B522" s="154" t="str" cm="1">
        <f t="array" ref="B522">_xlfn.XLOOKUP(TRUE, ISNUMBER(SEARCH(工作表5!$A$1:$A$23, C522)), 工作表5!$B$1:$B$23, "其他")</f>
        <v>送稿機</v>
      </c>
      <c r="C522" s="144" t="s">
        <v>320</v>
      </c>
      <c r="D522" s="156"/>
      <c r="E522" s="156" t="s">
        <v>1375</v>
      </c>
      <c r="F522" s="156" t="s">
        <v>226</v>
      </c>
      <c r="G522" s="154">
        <v>120000</v>
      </c>
    </row>
    <row r="523" spans="1:7" ht="21.6" customHeight="1">
      <c r="A523" s="154" t="s">
        <v>53</v>
      </c>
      <c r="B523" s="154" t="str" cm="1">
        <f t="array" ref="B523">_xlfn.XLOOKUP(TRUE, ISNUMBER(SEARCH(工作表5!$A$1:$A$23, C523)), 工作表5!$B$1:$B$23, "其他")</f>
        <v>送稿機</v>
      </c>
      <c r="C523" s="144" t="s">
        <v>278</v>
      </c>
      <c r="D523" s="156"/>
      <c r="E523" s="156" t="s">
        <v>1376</v>
      </c>
      <c r="F523" s="156" t="s">
        <v>230</v>
      </c>
      <c r="G523" s="154">
        <v>120000</v>
      </c>
    </row>
    <row r="524" spans="1:7" ht="21.6" customHeight="1">
      <c r="A524" s="154" t="s">
        <v>53</v>
      </c>
      <c r="B524" s="154" t="str" cm="1">
        <f t="array" ref="B524">_xlfn.XLOOKUP(TRUE, ISNUMBER(SEARCH(工作表5!$A$1:$A$23, C524)), 工作表5!$B$1:$B$23, "其他")</f>
        <v>送稿機</v>
      </c>
      <c r="C524" s="144" t="s">
        <v>1782</v>
      </c>
      <c r="D524" s="156"/>
      <c r="E524" s="156" t="s">
        <v>1407</v>
      </c>
      <c r="F524" s="156" t="s">
        <v>324</v>
      </c>
      <c r="G524" s="154">
        <v>120000</v>
      </c>
    </row>
    <row r="525" spans="1:7" ht="21.6" customHeight="1">
      <c r="A525" s="154" t="s">
        <v>53</v>
      </c>
      <c r="B525" s="154" t="str" cm="1">
        <f t="array" ref="B525">_xlfn.XLOOKUP(TRUE, ISNUMBER(SEARCH(工作表5!$A$1:$A$23, C525)), 工作表5!$B$1:$B$23, "其他")</f>
        <v>送稿機</v>
      </c>
      <c r="C525" s="144" t="s">
        <v>285</v>
      </c>
      <c r="D525" s="156"/>
      <c r="E525" s="156" t="s">
        <v>1395</v>
      </c>
      <c r="F525" s="156" t="s">
        <v>226</v>
      </c>
      <c r="G525" s="154">
        <v>120000</v>
      </c>
    </row>
    <row r="526" spans="1:7" ht="21.6" customHeight="1">
      <c r="A526" s="154" t="s">
        <v>53</v>
      </c>
      <c r="B526" s="154" t="str" cm="1">
        <f t="array" ref="B526">_xlfn.XLOOKUP(TRUE, ISNUMBER(SEARCH(工作表5!$A$1:$A$23, C526)), 工作表5!$B$1:$B$23, "其他")</f>
        <v>送稿機</v>
      </c>
      <c r="C526" s="144" t="s">
        <v>282</v>
      </c>
      <c r="D526" s="156"/>
      <c r="E526" s="156" t="s">
        <v>1396</v>
      </c>
      <c r="F526" s="156" t="s">
        <v>288</v>
      </c>
      <c r="G526" s="154">
        <v>120000</v>
      </c>
    </row>
    <row r="527" spans="1:7" ht="21.6" customHeight="1">
      <c r="A527" s="154" t="s">
        <v>53</v>
      </c>
      <c r="B527" s="154" t="str" cm="1">
        <f t="array" ref="B527">_xlfn.XLOOKUP(TRUE, ISNUMBER(SEARCH(工作表5!$A$1:$A$23, C527)), 工作表5!$B$1:$B$23, "其他")</f>
        <v>大容量取紙組</v>
      </c>
      <c r="C527" s="144" t="s">
        <v>237</v>
      </c>
      <c r="D527" s="156"/>
      <c r="E527" s="156" t="s">
        <v>1408</v>
      </c>
      <c r="F527" s="156" t="s">
        <v>327</v>
      </c>
      <c r="G527" s="154">
        <v>320000</v>
      </c>
    </row>
    <row r="528" spans="1:7" ht="21.6" customHeight="1">
      <c r="A528" s="154" t="s">
        <v>53</v>
      </c>
      <c r="B528" s="154" t="str" cm="1">
        <f t="array" ref="B528">_xlfn.XLOOKUP(TRUE, ISNUMBER(SEARCH(工作表5!$A$1:$A$23, C528)), 工作表5!$B$1:$B$23, "其他")</f>
        <v>大容量取紙組</v>
      </c>
      <c r="C528" s="144" t="s">
        <v>289</v>
      </c>
      <c r="D528" s="156"/>
      <c r="E528" s="156" t="s">
        <v>1409</v>
      </c>
      <c r="F528" s="156" t="s">
        <v>330</v>
      </c>
      <c r="G528" s="154">
        <v>320000</v>
      </c>
    </row>
    <row r="529" spans="1:7" ht="21.6" customHeight="1">
      <c r="A529" s="154" t="s">
        <v>53</v>
      </c>
      <c r="B529" s="154" t="str" cm="1">
        <f t="array" ref="B529">_xlfn.XLOOKUP(TRUE, ISNUMBER(SEARCH(工作表5!$A$1:$A$23, C529)), 工作表5!$B$1:$B$23, "其他")</f>
        <v>其他</v>
      </c>
      <c r="C529" s="144" t="s">
        <v>1784</v>
      </c>
      <c r="D529" s="156"/>
      <c r="E529" s="156" t="s">
        <v>1410</v>
      </c>
      <c r="F529" s="156" t="s">
        <v>333</v>
      </c>
      <c r="G529" s="154">
        <v>500000</v>
      </c>
    </row>
    <row r="530" spans="1:7" ht="21.6" customHeight="1">
      <c r="A530" s="154" t="s">
        <v>53</v>
      </c>
      <c r="B530" s="154" t="str" cm="1">
        <f t="array" ref="B530">_xlfn.XLOOKUP(TRUE, ISNUMBER(SEARCH(工作表5!$A$1:$A$23, C530)), 工作表5!$B$1:$B$23, "其他")</f>
        <v>送稿機</v>
      </c>
      <c r="C530" s="144" t="s">
        <v>337</v>
      </c>
      <c r="D530" s="156"/>
      <c r="E530" s="156" t="s">
        <v>1411</v>
      </c>
      <c r="F530" s="156" t="s">
        <v>336</v>
      </c>
      <c r="G530" s="154">
        <v>500000</v>
      </c>
    </row>
    <row r="531" spans="1:7" ht="21.6" customHeight="1">
      <c r="A531" s="154" t="s">
        <v>53</v>
      </c>
      <c r="B531" s="154" t="str" cm="1">
        <f t="array" ref="B531">_xlfn.XLOOKUP(TRUE, ISNUMBER(SEARCH(工作表5!$A$1:$A$23, C531)), 工作表5!$B$1:$B$23, "其他")</f>
        <v>送稿機</v>
      </c>
      <c r="C531" s="145" t="s">
        <v>341</v>
      </c>
      <c r="D531" s="156"/>
      <c r="E531" s="156" t="s">
        <v>1412</v>
      </c>
      <c r="F531" s="156" t="s">
        <v>340</v>
      </c>
      <c r="G531" s="154">
        <v>500000</v>
      </c>
    </row>
    <row r="532" spans="1:7" ht="21.6" customHeight="1">
      <c r="A532" s="154" t="s">
        <v>53</v>
      </c>
      <c r="B532" s="154" t="str" cm="1">
        <f t="array" ref="B532">_xlfn.XLOOKUP(TRUE, ISNUMBER(SEARCH(工作表5!$A$1:$A$23, C532)), 工作表5!$B$1:$B$23, "其他")</f>
        <v>顯像組</v>
      </c>
      <c r="C532" s="144" t="s">
        <v>122</v>
      </c>
      <c r="D532" s="156"/>
      <c r="E532" s="156" t="s">
        <v>1413</v>
      </c>
      <c r="F532" s="156" t="s">
        <v>343</v>
      </c>
      <c r="G532" s="154">
        <v>150000</v>
      </c>
    </row>
    <row r="533" spans="1:7" ht="21.6" customHeight="1">
      <c r="A533" s="154" t="s">
        <v>53</v>
      </c>
      <c r="B533" s="154" t="str" cm="1">
        <f t="array" ref="B533">_xlfn.XLOOKUP(TRUE, ISNUMBER(SEARCH(工作表5!$A$1:$A$23, C533)), 工作表5!$B$1:$B$23, "其他")</f>
        <v>定著組</v>
      </c>
      <c r="C533" s="145" t="s">
        <v>244</v>
      </c>
      <c r="D533" s="156"/>
      <c r="E533" s="156" t="s">
        <v>1424</v>
      </c>
      <c r="F533" s="156" t="s">
        <v>380</v>
      </c>
      <c r="G533" s="154">
        <v>300000</v>
      </c>
    </row>
    <row r="534" spans="1:7" ht="21.6" customHeight="1">
      <c r="A534" s="154" t="s">
        <v>53</v>
      </c>
      <c r="B534" s="154" t="str" cm="1">
        <f t="array" ref="B534">_xlfn.XLOOKUP(TRUE, ISNUMBER(SEARCH(工作表5!$A$1:$A$23, C534)), 工作表5!$B$1:$B$23, "其他")</f>
        <v>取紙組</v>
      </c>
      <c r="C534" s="144" t="s">
        <v>247</v>
      </c>
      <c r="D534" s="156"/>
      <c r="E534" s="156" t="s">
        <v>1399</v>
      </c>
      <c r="F534" s="156" t="s">
        <v>296</v>
      </c>
      <c r="G534" s="154">
        <v>80000</v>
      </c>
    </row>
    <row r="535" spans="1:7" ht="21.6" customHeight="1">
      <c r="A535" s="154" t="s">
        <v>53</v>
      </c>
      <c r="B535" s="154" t="str" cm="1">
        <f t="array" ref="B535">_xlfn.XLOOKUP(TRUE, ISNUMBER(SEARCH(工作表5!$A$1:$A$23, C535)), 工作表5!$B$1:$B$23, "其他")</f>
        <v>送稿機</v>
      </c>
      <c r="C535" s="144" t="s">
        <v>300</v>
      </c>
      <c r="D535" s="156"/>
      <c r="E535" s="156" t="s">
        <v>1400</v>
      </c>
      <c r="F535" s="156" t="s">
        <v>299</v>
      </c>
      <c r="G535" s="154">
        <v>120000</v>
      </c>
    </row>
    <row r="536" spans="1:7" ht="21.6" customHeight="1">
      <c r="A536" s="154" t="s">
        <v>53</v>
      </c>
      <c r="B536" s="154" t="str" cm="1">
        <f t="array" ref="B536">_xlfn.XLOOKUP(TRUE, ISNUMBER(SEARCH(工作表5!$A$1:$A$23, C536)), 工作表5!$B$1:$B$23, "其他")</f>
        <v>送稿機</v>
      </c>
      <c r="C536" s="144" t="s">
        <v>303</v>
      </c>
      <c r="D536" s="156"/>
      <c r="E536" s="156" t="s">
        <v>1414</v>
      </c>
      <c r="F536" s="156" t="s">
        <v>346</v>
      </c>
      <c r="G536" s="154">
        <v>120000</v>
      </c>
    </row>
    <row r="537" spans="1:7" ht="21.6" customHeight="1">
      <c r="A537" s="154" t="s">
        <v>53</v>
      </c>
      <c r="B537" s="154" t="str" cm="1">
        <f t="array" ref="B537">_xlfn.XLOOKUP(TRUE, ISNUMBER(SEARCH(工作表5!$A$1:$A$23, C537)), 工作表5!$B$1:$B$23, "其他")</f>
        <v>其他</v>
      </c>
      <c r="C537" s="144" t="s">
        <v>349</v>
      </c>
      <c r="D537" s="156"/>
      <c r="E537" s="156" t="s">
        <v>1415</v>
      </c>
      <c r="F537" s="156" t="s">
        <v>348</v>
      </c>
      <c r="G537" s="154">
        <v>500000</v>
      </c>
    </row>
    <row r="538" spans="1:7" ht="21.6" customHeight="1">
      <c r="A538" s="154" t="s">
        <v>53</v>
      </c>
      <c r="B538" s="154" t="str" cm="1">
        <f t="array" ref="B538">_xlfn.XLOOKUP(TRUE, ISNUMBER(SEARCH(工作表5!$A$1:$A$23, C538)), 工作表5!$B$1:$B$23, "其他")</f>
        <v>顯像組</v>
      </c>
      <c r="C538" s="146" t="s">
        <v>129</v>
      </c>
      <c r="D538" s="156"/>
      <c r="E538" s="156" t="s">
        <v>1429</v>
      </c>
      <c r="F538" s="156" t="s">
        <v>393</v>
      </c>
      <c r="G538" s="154" t="e">
        <v>#VALUE!</v>
      </c>
    </row>
    <row r="539" spans="1:7" ht="21.6" customHeight="1">
      <c r="A539" s="154" t="s">
        <v>53</v>
      </c>
      <c r="B539" s="154" t="str" cm="1">
        <f t="array" ref="B539">_xlfn.XLOOKUP(TRUE, ISNUMBER(SEARCH(工作表5!$A$1:$A$23, C539)), 工作表5!$B$1:$B$23, "其他")</f>
        <v>定著組</v>
      </c>
      <c r="C539" s="147" t="s">
        <v>313</v>
      </c>
      <c r="D539" s="156"/>
      <c r="E539" s="156" t="s">
        <v>1430</v>
      </c>
      <c r="F539" s="156" t="s">
        <v>395</v>
      </c>
      <c r="G539" s="154" t="e">
        <v>#VALUE!</v>
      </c>
    </row>
    <row r="540" spans="1:7" ht="21.6" customHeight="1">
      <c r="A540" s="154">
        <v>507</v>
      </c>
      <c r="B540" s="154" t="str" cm="1">
        <f t="array" ref="B540">_xlfn.XLOOKUP(TRUE, ISNUMBER(SEARCH(工作表5!$A$1:$A$23, C540)), 工作表5!$B$1:$B$23, "其他")</f>
        <v>滾筒組</v>
      </c>
      <c r="C540" s="143" t="s">
        <v>193</v>
      </c>
      <c r="D540" s="156"/>
      <c r="E540" s="156" t="s">
        <v>1361</v>
      </c>
      <c r="F540" s="156" t="s">
        <v>192</v>
      </c>
      <c r="G540" s="154">
        <v>150000</v>
      </c>
    </row>
    <row r="541" spans="1:7" ht="21.6" customHeight="1">
      <c r="A541" s="154">
        <v>507</v>
      </c>
      <c r="B541" s="154" t="str" cm="1">
        <f t="array" ref="B541">_xlfn.XLOOKUP(TRUE, ISNUMBER(SEARCH(工作表5!$A$1:$A$23, C541)), 工作表5!$B$1:$B$23, "其他")</f>
        <v>顯像組</v>
      </c>
      <c r="C541" s="144" t="s">
        <v>75</v>
      </c>
      <c r="D541" s="156"/>
      <c r="E541" s="156" t="s">
        <v>1362</v>
      </c>
      <c r="F541" s="156" t="s">
        <v>196</v>
      </c>
      <c r="G541" s="154">
        <v>150000</v>
      </c>
    </row>
    <row r="542" spans="1:7" ht="21.6" customHeight="1">
      <c r="A542" s="154">
        <v>507</v>
      </c>
      <c r="B542" s="154" t="str" cm="1">
        <f t="array" ref="B542">_xlfn.XLOOKUP(TRUE, ISNUMBER(SEARCH(工作表5!$A$1:$A$23, C542)), 工作表5!$B$1:$B$23, "其他")</f>
        <v>滾筒組</v>
      </c>
      <c r="C542" s="144" t="s">
        <v>78</v>
      </c>
      <c r="D542" s="156"/>
      <c r="E542" s="156" t="s">
        <v>1326</v>
      </c>
      <c r="F542" s="156" t="s">
        <v>77</v>
      </c>
      <c r="G542" s="154">
        <v>150000</v>
      </c>
    </row>
    <row r="543" spans="1:7" ht="21.6" customHeight="1">
      <c r="A543" s="154">
        <v>507</v>
      </c>
      <c r="B543" s="154" t="str" cm="1">
        <f t="array" ref="B543">_xlfn.XLOOKUP(TRUE, ISNUMBER(SEARCH(工作表5!$A$1:$A$23, C543)), 工作表5!$B$1:$B$23, "其他")</f>
        <v>定著組</v>
      </c>
      <c r="C543" s="145" t="s">
        <v>1775</v>
      </c>
      <c r="D543" s="156"/>
      <c r="E543" s="156" t="s">
        <v>1363</v>
      </c>
      <c r="F543" s="156" t="s">
        <v>198</v>
      </c>
      <c r="G543" s="154">
        <v>300000</v>
      </c>
    </row>
    <row r="544" spans="1:7" ht="21.6" customHeight="1">
      <c r="A544" s="154">
        <v>507</v>
      </c>
      <c r="B544" s="154" t="str" cm="1">
        <f t="array" ref="B544">_xlfn.XLOOKUP(TRUE, ISNUMBER(SEARCH(工作表5!$A$1:$A$23, C544)), 工作表5!$B$1:$B$23, "其他")</f>
        <v>定著組</v>
      </c>
      <c r="C544" s="144" t="s">
        <v>87</v>
      </c>
      <c r="D544" s="156"/>
      <c r="E544" s="156" t="s">
        <v>1418</v>
      </c>
      <c r="F544" s="156" t="s">
        <v>366</v>
      </c>
      <c r="G544" s="154">
        <v>300000</v>
      </c>
    </row>
    <row r="545" spans="1:7" ht="21.6" customHeight="1">
      <c r="A545" s="154">
        <v>507</v>
      </c>
      <c r="B545" s="154" t="str" cm="1">
        <f t="array" ref="B545">_xlfn.XLOOKUP(TRUE, ISNUMBER(SEARCH(工作表5!$A$1:$A$23, C545)), 工作表5!$B$1:$B$23, "其他")</f>
        <v>轉寫組</v>
      </c>
      <c r="C545" s="144" t="s">
        <v>81</v>
      </c>
      <c r="D545" s="156"/>
      <c r="E545" s="156" t="s">
        <v>1365</v>
      </c>
      <c r="F545" s="156" t="s">
        <v>202</v>
      </c>
      <c r="G545" s="154">
        <v>150000</v>
      </c>
    </row>
    <row r="546" spans="1:7" ht="21.6" customHeight="1">
      <c r="A546" s="154">
        <v>507</v>
      </c>
      <c r="B546" s="154" t="str" cm="1">
        <f t="array" ref="B546">_xlfn.XLOOKUP(TRUE, ISNUMBER(SEARCH(工作表5!$A$1:$A$23, C546)), 工作表5!$B$1:$B$23, "其他")</f>
        <v>滾筒組</v>
      </c>
      <c r="C546" s="144" t="s">
        <v>95</v>
      </c>
      <c r="D546" s="156"/>
      <c r="E546" s="156" t="s">
        <v>1332</v>
      </c>
      <c r="F546" s="156" t="s">
        <v>94</v>
      </c>
      <c r="G546" s="154">
        <v>150000</v>
      </c>
    </row>
    <row r="547" spans="1:7" ht="21.6" customHeight="1">
      <c r="A547" s="154">
        <v>507</v>
      </c>
      <c r="B547" s="154" t="str" cm="1">
        <f t="array" ref="B547">_xlfn.XLOOKUP(TRUE, ISNUMBER(SEARCH(工作表5!$A$1:$A$23, C547)), 工作表5!$B$1:$B$23, "其他")</f>
        <v>滾筒組</v>
      </c>
      <c r="C547" s="144" t="s">
        <v>98</v>
      </c>
      <c r="D547" s="156"/>
      <c r="E547" s="156" t="s">
        <v>1366</v>
      </c>
      <c r="F547" s="156" t="s">
        <v>204</v>
      </c>
      <c r="G547" s="154">
        <v>150000</v>
      </c>
    </row>
    <row r="548" spans="1:7" ht="21.6" customHeight="1">
      <c r="A548" s="154">
        <v>507</v>
      </c>
      <c r="B548" s="154" t="str" cm="1">
        <f t="array" ref="B548">_xlfn.XLOOKUP(TRUE, ISNUMBER(SEARCH(工作表5!$A$1:$A$23, C548)), 工作表5!$B$1:$B$23, "其他")</f>
        <v>滾筒組</v>
      </c>
      <c r="C548" s="144" t="s">
        <v>107</v>
      </c>
      <c r="D548" s="156"/>
      <c r="E548" s="156" t="s">
        <v>1367</v>
      </c>
      <c r="F548" s="156" t="s">
        <v>206</v>
      </c>
      <c r="G548" s="154">
        <v>150000</v>
      </c>
    </row>
    <row r="549" spans="1:7" ht="21.6" customHeight="1">
      <c r="A549" s="154">
        <v>507</v>
      </c>
      <c r="B549" s="154" t="str" cm="1">
        <f t="array" ref="B549">_xlfn.XLOOKUP(TRUE, ISNUMBER(SEARCH(工作表5!$A$1:$A$23, C549)), 工作表5!$B$1:$B$23, "其他")</f>
        <v>顯像組</v>
      </c>
      <c r="C549" s="145" t="s">
        <v>104</v>
      </c>
      <c r="D549" s="156"/>
      <c r="E549" s="156" t="s">
        <v>1419</v>
      </c>
      <c r="F549" s="156" t="s">
        <v>368</v>
      </c>
      <c r="G549" s="154">
        <v>150000</v>
      </c>
    </row>
    <row r="550" spans="1:7" ht="21.6" customHeight="1">
      <c r="A550" s="154">
        <v>507</v>
      </c>
      <c r="B550" s="154" t="str" cm="1">
        <f t="array" ref="B550">_xlfn.XLOOKUP(TRUE, ISNUMBER(SEARCH(工作表5!$A$1:$A$23, C550)), 工作表5!$B$1:$B$23, "其他")</f>
        <v>定著組</v>
      </c>
      <c r="C550" s="144" t="s">
        <v>90</v>
      </c>
      <c r="D550" s="156"/>
      <c r="E550" s="156" t="s">
        <v>1369</v>
      </c>
      <c r="F550" s="156" t="s">
        <v>210</v>
      </c>
      <c r="G550" s="154">
        <v>150000</v>
      </c>
    </row>
    <row r="551" spans="1:7" ht="21.6" customHeight="1">
      <c r="A551" s="154">
        <v>507</v>
      </c>
      <c r="B551" s="154" t="str" cm="1">
        <f t="array" ref="B551">_xlfn.XLOOKUP(TRUE, ISNUMBER(SEARCH(工作表5!$A$1:$A$23, C551)), 工作表5!$B$1:$B$23, "其他")</f>
        <v>其他</v>
      </c>
      <c r="C551" s="144" t="s">
        <v>101</v>
      </c>
      <c r="D551" s="156"/>
      <c r="E551" s="156" t="s">
        <v>1370</v>
      </c>
      <c r="F551" s="156" t="s">
        <v>212</v>
      </c>
      <c r="G551" s="154">
        <v>300000</v>
      </c>
    </row>
    <row r="552" spans="1:7" ht="21.6" customHeight="1">
      <c r="A552" s="154">
        <v>507</v>
      </c>
      <c r="B552" s="154" t="str" cm="1">
        <f t="array" ref="B552">_xlfn.XLOOKUP(TRUE, ISNUMBER(SEARCH(工作表5!$A$1:$A$23, C552)), 工作表5!$B$1:$B$23, "其他")</f>
        <v>取紙組</v>
      </c>
      <c r="C552" s="144" t="s">
        <v>1786</v>
      </c>
      <c r="D552" s="156"/>
      <c r="E552" s="156" t="s">
        <v>1371</v>
      </c>
      <c r="F552" s="156" t="s">
        <v>214</v>
      </c>
      <c r="G552" s="154">
        <v>80000</v>
      </c>
    </row>
    <row r="553" spans="1:7" ht="21.6" customHeight="1">
      <c r="A553" s="154">
        <v>507</v>
      </c>
      <c r="B553" s="154" t="str" cm="1">
        <f t="array" ref="B553">_xlfn.XLOOKUP(TRUE, ISNUMBER(SEARCH(工作表5!$A$1:$A$23, C553)), 工作表5!$B$1:$B$23, "其他")</f>
        <v>取紙組</v>
      </c>
      <c r="C553" s="144" t="s">
        <v>399</v>
      </c>
      <c r="D553" s="156"/>
      <c r="E553" s="156" t="s">
        <v>1372</v>
      </c>
      <c r="F553" s="156" t="s">
        <v>218</v>
      </c>
      <c r="G553" s="154">
        <v>80000</v>
      </c>
    </row>
    <row r="554" spans="1:7" ht="21.6" customHeight="1">
      <c r="A554" s="154">
        <v>507</v>
      </c>
      <c r="B554" s="154" t="str" cm="1">
        <f t="array" ref="B554">_xlfn.XLOOKUP(TRUE, ISNUMBER(SEARCH(工作表5!$A$1:$A$23, C554)), 工作表5!$B$1:$B$23, "其他")</f>
        <v>取紙組</v>
      </c>
      <c r="C554" s="144" t="s">
        <v>1787</v>
      </c>
      <c r="D554" s="156"/>
      <c r="E554" s="156" t="s">
        <v>1431</v>
      </c>
      <c r="F554" s="156" t="s">
        <v>401</v>
      </c>
      <c r="G554" s="154">
        <v>80000</v>
      </c>
    </row>
    <row r="555" spans="1:7" ht="21.6" customHeight="1">
      <c r="A555" s="154">
        <v>507</v>
      </c>
      <c r="B555" s="154" t="str" cm="1">
        <f t="array" ref="B555">_xlfn.XLOOKUP(TRUE, ISNUMBER(SEARCH(工作表5!$A$1:$A$23, C555)), 工作表5!$B$1:$B$23, "其他")</f>
        <v>取紙組</v>
      </c>
      <c r="C555" s="144" t="s">
        <v>1788</v>
      </c>
      <c r="D555" s="156"/>
      <c r="E555" s="156" t="s">
        <v>1371</v>
      </c>
      <c r="F555" s="156" t="s">
        <v>214</v>
      </c>
      <c r="G555" s="154">
        <v>80000</v>
      </c>
    </row>
    <row r="556" spans="1:7" ht="21.6" customHeight="1">
      <c r="A556" s="154">
        <v>507</v>
      </c>
      <c r="B556" s="154" t="str" cm="1">
        <f t="array" ref="B556">_xlfn.XLOOKUP(TRUE, ISNUMBER(SEARCH(工作表5!$A$1:$A$23, C556)), 工作表5!$B$1:$B$23, "其他")</f>
        <v>取紙組</v>
      </c>
      <c r="C556" s="144" t="s">
        <v>219</v>
      </c>
      <c r="D556" s="156"/>
      <c r="E556" s="156" t="s">
        <v>1372</v>
      </c>
      <c r="F556" s="156" t="s">
        <v>218</v>
      </c>
      <c r="G556" s="154">
        <v>80000</v>
      </c>
    </row>
    <row r="557" spans="1:7" ht="21.6" customHeight="1">
      <c r="A557" s="154">
        <v>507</v>
      </c>
      <c r="B557" s="154" t="str" cm="1">
        <f t="array" ref="B557">_xlfn.XLOOKUP(TRUE, ISNUMBER(SEARCH(工作表5!$A$1:$A$23, C557)), 工作表5!$B$1:$B$23, "其他")</f>
        <v>取紙組</v>
      </c>
      <c r="C557" s="144" t="s">
        <v>402</v>
      </c>
      <c r="D557" s="156"/>
      <c r="E557" s="156" t="s">
        <v>1373</v>
      </c>
      <c r="F557" s="156" t="s">
        <v>221</v>
      </c>
      <c r="G557" s="154">
        <v>80000</v>
      </c>
    </row>
    <row r="558" spans="1:7" ht="21.6" customHeight="1">
      <c r="A558" s="154">
        <v>507</v>
      </c>
      <c r="B558" s="154" t="str" cm="1">
        <f t="array" ref="B558">_xlfn.XLOOKUP(TRUE, ISNUMBER(SEARCH(工作表5!$A$1:$A$23, C558)), 工作表5!$B$1:$B$23, "其他")</f>
        <v>手送台</v>
      </c>
      <c r="C558" s="144" t="s">
        <v>115</v>
      </c>
      <c r="D558" s="156"/>
      <c r="E558" s="156" t="s">
        <v>1356</v>
      </c>
      <c r="F558" s="156" t="s">
        <v>171</v>
      </c>
      <c r="G558" s="154">
        <v>80000</v>
      </c>
    </row>
    <row r="559" spans="1:7" ht="21.6" customHeight="1">
      <c r="A559" s="154">
        <v>507</v>
      </c>
      <c r="B559" s="154" t="str" cm="1">
        <f t="array" ref="B559">_xlfn.XLOOKUP(TRUE, ISNUMBER(SEARCH(工作表5!$A$1:$A$23, C559)), 工作表5!$B$1:$B$23, "其他")</f>
        <v>手送台</v>
      </c>
      <c r="C559" s="144" t="s">
        <v>224</v>
      </c>
      <c r="D559" s="156"/>
      <c r="E559" s="156" t="s">
        <v>1374</v>
      </c>
      <c r="F559" s="156" t="s">
        <v>223</v>
      </c>
      <c r="G559" s="154">
        <v>80000</v>
      </c>
    </row>
    <row r="560" spans="1:7" ht="21.6" customHeight="1">
      <c r="A560" s="154">
        <v>507</v>
      </c>
      <c r="B560" s="154" t="str" cm="1">
        <f t="array" ref="B560">_xlfn.XLOOKUP(TRUE, ISNUMBER(SEARCH(工作表5!$A$1:$A$23, C560)), 工作表5!$B$1:$B$23, "其他")</f>
        <v>送稿機</v>
      </c>
      <c r="C560" s="144" t="s">
        <v>1778</v>
      </c>
      <c r="D560" s="156"/>
      <c r="E560" s="156" t="s">
        <v>1375</v>
      </c>
      <c r="F560" s="156" t="s">
        <v>226</v>
      </c>
      <c r="G560" s="154">
        <v>120000</v>
      </c>
    </row>
    <row r="561" spans="1:7" ht="21.6" customHeight="1">
      <c r="A561" s="154">
        <v>507</v>
      </c>
      <c r="B561" s="154" t="str" cm="1">
        <f t="array" ref="B561">_xlfn.XLOOKUP(TRUE, ISNUMBER(SEARCH(工作表5!$A$1:$A$23, C561)), 工作表5!$B$1:$B$23, "其他")</f>
        <v>送稿機</v>
      </c>
      <c r="C561" s="144" t="s">
        <v>227</v>
      </c>
      <c r="D561" s="156"/>
      <c r="E561" s="156" t="s">
        <v>1376</v>
      </c>
      <c r="F561" s="156" t="s">
        <v>230</v>
      </c>
      <c r="G561" s="154">
        <v>120000</v>
      </c>
    </row>
    <row r="562" spans="1:7" ht="21.6" customHeight="1">
      <c r="A562" s="154">
        <v>507</v>
      </c>
      <c r="B562" s="154" t="str" cm="1">
        <f t="array" ref="B562">_xlfn.XLOOKUP(TRUE, ISNUMBER(SEARCH(工作表5!$A$1:$A$23, C562)), 工作表5!$B$1:$B$23, "其他")</f>
        <v>取紙組</v>
      </c>
      <c r="C562" s="144" t="s">
        <v>1779</v>
      </c>
      <c r="D562" s="156"/>
      <c r="E562" s="156" t="s">
        <v>1377</v>
      </c>
      <c r="F562" s="156" t="s">
        <v>232</v>
      </c>
      <c r="G562" s="154">
        <v>160000</v>
      </c>
    </row>
    <row r="563" spans="1:7" ht="21.6" customHeight="1">
      <c r="A563" s="154">
        <v>507</v>
      </c>
      <c r="B563" s="154" t="str" cm="1">
        <f t="array" ref="B563">_xlfn.XLOOKUP(TRUE, ISNUMBER(SEARCH(工作表5!$A$1:$A$23, C563)), 工作表5!$B$1:$B$23, "其他")</f>
        <v>大容量取紙組</v>
      </c>
      <c r="C563" s="144" t="s">
        <v>237</v>
      </c>
      <c r="D563" s="156"/>
      <c r="E563" s="156" t="s">
        <v>1378</v>
      </c>
      <c r="F563" s="156" t="s">
        <v>236</v>
      </c>
      <c r="G563" s="154">
        <v>160000</v>
      </c>
    </row>
    <row r="564" spans="1:7" ht="21.6" customHeight="1">
      <c r="A564" s="154">
        <v>507</v>
      </c>
      <c r="B564" s="154" t="str" cm="1">
        <f t="array" ref="B564">_xlfn.XLOOKUP(TRUE, ISNUMBER(SEARCH(工作表5!$A$1:$A$23, C564)), 工作表5!$B$1:$B$23, "其他")</f>
        <v>取紙組</v>
      </c>
      <c r="C564" s="144" t="s">
        <v>233</v>
      </c>
      <c r="D564" s="156"/>
      <c r="E564" s="156" t="s">
        <v>1379</v>
      </c>
      <c r="F564" s="156" t="s">
        <v>239</v>
      </c>
      <c r="G564" s="154">
        <v>160000</v>
      </c>
    </row>
    <row r="565" spans="1:7" ht="21.6" customHeight="1">
      <c r="A565" s="154">
        <v>507</v>
      </c>
      <c r="B565" s="154" t="str" cm="1">
        <f t="array" ref="B565">_xlfn.XLOOKUP(TRUE, ISNUMBER(SEARCH(工作表5!$A$1:$A$23, C565)), 工作表5!$B$1:$B$23, "其他")</f>
        <v>顯像組</v>
      </c>
      <c r="C565" s="144" t="s">
        <v>122</v>
      </c>
      <c r="D565" s="156"/>
      <c r="E565" s="156" t="s">
        <v>1380</v>
      </c>
      <c r="F565" s="156" t="s">
        <v>241</v>
      </c>
      <c r="G565" s="154">
        <v>150000</v>
      </c>
    </row>
    <row r="566" spans="1:7" ht="21.6" customHeight="1">
      <c r="A566" s="154">
        <v>507</v>
      </c>
      <c r="B566" s="154" t="str" cm="1">
        <f t="array" ref="B566">_xlfn.XLOOKUP(TRUE, ISNUMBER(SEARCH(工作表5!$A$1:$A$23, C566)), 工作表5!$B$1:$B$23, "其他")</f>
        <v>定著組</v>
      </c>
      <c r="C566" s="145" t="s">
        <v>244</v>
      </c>
      <c r="D566" s="156"/>
      <c r="E566" s="156" t="s">
        <v>1420</v>
      </c>
      <c r="F566" s="156" t="s">
        <v>372</v>
      </c>
      <c r="G566" s="154">
        <v>300000</v>
      </c>
    </row>
    <row r="567" spans="1:7" ht="21.6" customHeight="1">
      <c r="A567" s="154">
        <v>507</v>
      </c>
      <c r="B567" s="154" t="str" cm="1">
        <f t="array" ref="B567">_xlfn.XLOOKUP(TRUE, ISNUMBER(SEARCH(工作表5!$A$1:$A$23, C567)), 工作表5!$B$1:$B$23, "其他")</f>
        <v>取紙組</v>
      </c>
      <c r="C567" s="144" t="s">
        <v>406</v>
      </c>
      <c r="D567" s="156"/>
      <c r="E567" s="156" t="s">
        <v>1432</v>
      </c>
      <c r="F567" s="156" t="s">
        <v>405</v>
      </c>
      <c r="G567" s="154">
        <v>80000</v>
      </c>
    </row>
    <row r="568" spans="1:7" ht="21.6" customHeight="1">
      <c r="A568" s="154">
        <v>507</v>
      </c>
      <c r="B568" s="154" t="str" cm="1">
        <f t="array" ref="B568">_xlfn.XLOOKUP(TRUE, ISNUMBER(SEARCH(工作表5!$A$1:$A$23, C568)), 工作表5!$B$1:$B$23, "其他")</f>
        <v>取紙組</v>
      </c>
      <c r="C568" s="144" t="s">
        <v>247</v>
      </c>
      <c r="D568" s="156"/>
      <c r="E568" s="156" t="s">
        <v>1382</v>
      </c>
      <c r="F568" s="156" t="s">
        <v>246</v>
      </c>
      <c r="G568" s="154">
        <v>80000</v>
      </c>
    </row>
    <row r="569" spans="1:7" ht="21.6" customHeight="1">
      <c r="A569" s="154">
        <v>507</v>
      </c>
      <c r="B569" s="154" t="str" cm="1">
        <f t="array" ref="B569">_xlfn.XLOOKUP(TRUE, ISNUMBER(SEARCH(工作表5!$A$1:$A$23, C569)), 工作表5!$B$1:$B$23, "其他")</f>
        <v>送稿機</v>
      </c>
      <c r="C569" s="144" t="s">
        <v>250</v>
      </c>
      <c r="D569" s="156"/>
      <c r="E569" s="156" t="s">
        <v>1383</v>
      </c>
      <c r="F569" s="156" t="s">
        <v>249</v>
      </c>
      <c r="G569" s="154">
        <v>120000</v>
      </c>
    </row>
    <row r="570" spans="1:7" ht="21.6" customHeight="1">
      <c r="A570" s="154">
        <v>507</v>
      </c>
      <c r="B570" s="154" t="str" cm="1">
        <f t="array" ref="B570">_xlfn.XLOOKUP(TRUE, ISNUMBER(SEARCH(工作表5!$A$1:$A$23, C570)), 工作表5!$B$1:$B$23, "其他")</f>
        <v>取紙組</v>
      </c>
      <c r="C570" s="144" t="s">
        <v>253</v>
      </c>
      <c r="D570" s="156"/>
      <c r="E570" s="156" t="s">
        <v>1384</v>
      </c>
      <c r="F570" s="156" t="s">
        <v>252</v>
      </c>
      <c r="G570" s="154">
        <v>160000</v>
      </c>
    </row>
    <row r="571" spans="1:7" ht="21.6" customHeight="1">
      <c r="A571" s="154">
        <v>507</v>
      </c>
      <c r="B571" s="154" t="str" cm="1">
        <f t="array" ref="B571">_xlfn.XLOOKUP(TRUE, ISNUMBER(SEARCH(工作表5!$A$1:$A$23, C571)), 工作表5!$B$1:$B$23, "其他")</f>
        <v>顯像組</v>
      </c>
      <c r="C571" s="146" t="s">
        <v>129</v>
      </c>
      <c r="D571" s="156"/>
      <c r="E571" s="156" t="s">
        <v>1421</v>
      </c>
      <c r="F571" s="156" t="s">
        <v>374</v>
      </c>
      <c r="G571" s="154" t="e">
        <v>#VALUE!</v>
      </c>
    </row>
    <row r="572" spans="1:7" ht="21.6" customHeight="1">
      <c r="A572" s="154">
        <v>507</v>
      </c>
      <c r="B572" s="154" t="str" cm="1">
        <f t="array" ref="B572">_xlfn.XLOOKUP(TRUE, ISNUMBER(SEARCH(工作表5!$A$1:$A$23, C572)), 工作表5!$B$1:$B$23, "其他")</f>
        <v>定著組</v>
      </c>
      <c r="C572" s="144" t="s">
        <v>258</v>
      </c>
      <c r="D572" s="156"/>
      <c r="E572" s="156" t="s">
        <v>1422</v>
      </c>
      <c r="F572" s="156" t="s">
        <v>376</v>
      </c>
      <c r="G572" s="154" t="e">
        <v>#VALUE!</v>
      </c>
    </row>
    <row r="573" spans="1:7" ht="21.6" customHeight="1">
      <c r="A573" s="154" t="s">
        <v>55</v>
      </c>
      <c r="B573" s="154" t="str" cm="1">
        <f t="array" ref="B573">_xlfn.XLOOKUP(TRUE, ISNUMBER(SEARCH(工作表5!$A$1:$A$23, C573)), 工作表5!$B$1:$B$23, "其他")</f>
        <v>滾筒組</v>
      </c>
      <c r="C573" s="143" t="s">
        <v>193</v>
      </c>
      <c r="D573" s="156"/>
      <c r="E573" s="156" t="s">
        <v>1361</v>
      </c>
      <c r="F573" s="156" t="s">
        <v>192</v>
      </c>
      <c r="G573" s="154">
        <v>150000</v>
      </c>
    </row>
    <row r="574" spans="1:7" ht="21.6" customHeight="1">
      <c r="A574" s="154" t="s">
        <v>55</v>
      </c>
      <c r="B574" s="154" t="str" cm="1">
        <f t="array" ref="B574">_xlfn.XLOOKUP(TRUE, ISNUMBER(SEARCH(工作表5!$A$1:$A$23, C574)), 工作表5!$B$1:$B$23, "其他")</f>
        <v>顯像組</v>
      </c>
      <c r="C574" s="144" t="s">
        <v>75</v>
      </c>
      <c r="D574" s="156"/>
      <c r="E574" s="156" t="s">
        <v>1362</v>
      </c>
      <c r="F574" s="156" t="s">
        <v>196</v>
      </c>
      <c r="G574" s="154">
        <v>150000</v>
      </c>
    </row>
    <row r="575" spans="1:7" ht="21.6" customHeight="1">
      <c r="A575" s="154" t="s">
        <v>55</v>
      </c>
      <c r="B575" s="154" t="str" cm="1">
        <f t="array" ref="B575">_xlfn.XLOOKUP(TRUE, ISNUMBER(SEARCH(工作表5!$A$1:$A$23, C575)), 工作表5!$B$1:$B$23, "其他")</f>
        <v>滾筒組</v>
      </c>
      <c r="C575" s="144" t="s">
        <v>78</v>
      </c>
      <c r="D575" s="156"/>
      <c r="E575" s="156" t="s">
        <v>1326</v>
      </c>
      <c r="F575" s="156" t="s">
        <v>77</v>
      </c>
      <c r="G575" s="154">
        <v>150000</v>
      </c>
    </row>
    <row r="576" spans="1:7" ht="21.6" customHeight="1">
      <c r="A576" s="154" t="s">
        <v>55</v>
      </c>
      <c r="B576" s="154" t="str" cm="1">
        <f t="array" ref="B576">_xlfn.XLOOKUP(TRUE, ISNUMBER(SEARCH(工作表5!$A$1:$A$23, C576)), 工作表5!$B$1:$B$23, "其他")</f>
        <v>定著組</v>
      </c>
      <c r="C576" s="145" t="s">
        <v>1775</v>
      </c>
      <c r="D576" s="156"/>
      <c r="E576" s="156" t="s">
        <v>1387</v>
      </c>
      <c r="F576" s="156" t="s">
        <v>260</v>
      </c>
      <c r="G576" s="154">
        <v>300000</v>
      </c>
    </row>
    <row r="577" spans="1:7" ht="21.6" customHeight="1">
      <c r="A577" s="154" t="s">
        <v>55</v>
      </c>
      <c r="B577" s="154" t="str" cm="1">
        <f t="array" ref="B577">_xlfn.XLOOKUP(TRUE, ISNUMBER(SEARCH(工作表5!$A$1:$A$23, C577)), 工作表5!$B$1:$B$23, "其他")</f>
        <v>定著組</v>
      </c>
      <c r="C577" s="144" t="s">
        <v>87</v>
      </c>
      <c r="D577" s="156"/>
      <c r="E577" s="156" t="s">
        <v>1423</v>
      </c>
      <c r="F577" s="156" t="s">
        <v>378</v>
      </c>
      <c r="G577" s="154">
        <v>300000</v>
      </c>
    </row>
    <row r="578" spans="1:7" ht="21.6" customHeight="1">
      <c r="A578" s="154" t="s">
        <v>55</v>
      </c>
      <c r="B578" s="154" t="str" cm="1">
        <f t="array" ref="B578">_xlfn.XLOOKUP(TRUE, ISNUMBER(SEARCH(工作表5!$A$1:$A$23, C578)), 工作表5!$B$1:$B$23, "其他")</f>
        <v>轉寫組</v>
      </c>
      <c r="C578" s="144" t="s">
        <v>81</v>
      </c>
      <c r="D578" s="156"/>
      <c r="E578" s="156" t="s">
        <v>1365</v>
      </c>
      <c r="F578" s="156" t="s">
        <v>202</v>
      </c>
      <c r="G578" s="154">
        <v>150000</v>
      </c>
    </row>
    <row r="579" spans="1:7" ht="21.6" customHeight="1">
      <c r="A579" s="154" t="s">
        <v>55</v>
      </c>
      <c r="B579" s="154" t="str" cm="1">
        <f t="array" ref="B579">_xlfn.XLOOKUP(TRUE, ISNUMBER(SEARCH(工作表5!$A$1:$A$23, C579)), 工作表5!$B$1:$B$23, "其他")</f>
        <v>滾筒組</v>
      </c>
      <c r="C579" s="144" t="s">
        <v>95</v>
      </c>
      <c r="D579" s="156"/>
      <c r="E579" s="156" t="s">
        <v>1332</v>
      </c>
      <c r="F579" s="156" t="s">
        <v>94</v>
      </c>
      <c r="G579" s="154">
        <v>150000</v>
      </c>
    </row>
    <row r="580" spans="1:7" ht="21.6" customHeight="1">
      <c r="A580" s="154" t="s">
        <v>55</v>
      </c>
      <c r="B580" s="154" t="str" cm="1">
        <f t="array" ref="B580">_xlfn.XLOOKUP(TRUE, ISNUMBER(SEARCH(工作表5!$A$1:$A$23, C580)), 工作表5!$B$1:$B$23, "其他")</f>
        <v>滾筒組</v>
      </c>
      <c r="C580" s="144" t="s">
        <v>98</v>
      </c>
      <c r="D580" s="156"/>
      <c r="E580" s="156" t="s">
        <v>1366</v>
      </c>
      <c r="F580" s="156" t="s">
        <v>204</v>
      </c>
      <c r="G580" s="154">
        <v>150000</v>
      </c>
    </row>
    <row r="581" spans="1:7" ht="21.6" customHeight="1">
      <c r="A581" s="154" t="s">
        <v>55</v>
      </c>
      <c r="B581" s="154" t="str" cm="1">
        <f t="array" ref="B581">_xlfn.XLOOKUP(TRUE, ISNUMBER(SEARCH(工作表5!$A$1:$A$23, C581)), 工作表5!$B$1:$B$23, "其他")</f>
        <v>滾筒組</v>
      </c>
      <c r="C581" s="144" t="s">
        <v>107</v>
      </c>
      <c r="D581" s="156"/>
      <c r="E581" s="156" t="s">
        <v>1367</v>
      </c>
      <c r="F581" s="156" t="s">
        <v>206</v>
      </c>
      <c r="G581" s="154">
        <v>150000</v>
      </c>
    </row>
    <row r="582" spans="1:7" ht="21.6" customHeight="1">
      <c r="A582" s="154" t="s">
        <v>55</v>
      </c>
      <c r="B582" s="154" t="str" cm="1">
        <f t="array" ref="B582">_xlfn.XLOOKUP(TRUE, ISNUMBER(SEARCH(工作表5!$A$1:$A$23, C582)), 工作表5!$B$1:$B$23, "其他")</f>
        <v>顯像組</v>
      </c>
      <c r="C582" s="145" t="s">
        <v>104</v>
      </c>
      <c r="D582" s="156"/>
      <c r="E582" s="156" t="s">
        <v>1419</v>
      </c>
      <c r="F582" s="156" t="s">
        <v>368</v>
      </c>
      <c r="G582" s="154">
        <v>150000</v>
      </c>
    </row>
    <row r="583" spans="1:7" ht="21.6" customHeight="1">
      <c r="A583" s="154" t="s">
        <v>55</v>
      </c>
      <c r="B583" s="154" t="str" cm="1">
        <f t="array" ref="B583">_xlfn.XLOOKUP(TRUE, ISNUMBER(SEARCH(工作表5!$A$1:$A$23, C583)), 工作表5!$B$1:$B$23, "其他")</f>
        <v>定著組</v>
      </c>
      <c r="C583" s="144" t="s">
        <v>90</v>
      </c>
      <c r="D583" s="156"/>
      <c r="E583" s="156" t="s">
        <v>1330</v>
      </c>
      <c r="F583" s="156" t="s">
        <v>89</v>
      </c>
      <c r="G583" s="154">
        <v>300000</v>
      </c>
    </row>
    <row r="584" spans="1:7" ht="21.6" customHeight="1">
      <c r="A584" s="154" t="s">
        <v>55</v>
      </c>
      <c r="B584" s="154" t="str" cm="1">
        <f t="array" ref="B584">_xlfn.XLOOKUP(TRUE, ISNUMBER(SEARCH(工作表5!$A$1:$A$23, C584)), 工作表5!$B$1:$B$23, "其他")</f>
        <v>其他</v>
      </c>
      <c r="C584" s="144" t="s">
        <v>263</v>
      </c>
      <c r="D584" s="156"/>
      <c r="E584" s="156" t="s">
        <v>1370</v>
      </c>
      <c r="F584" s="156" t="s">
        <v>212</v>
      </c>
      <c r="G584" s="154">
        <v>300000</v>
      </c>
    </row>
    <row r="585" spans="1:7" ht="21.6" customHeight="1">
      <c r="A585" s="154" t="s">
        <v>55</v>
      </c>
      <c r="B585" s="154" t="str" cm="1">
        <f t="array" ref="B585">_xlfn.XLOOKUP(TRUE, ISNUMBER(SEARCH(工作表5!$A$1:$A$23, C585)), 工作表5!$B$1:$B$23, "其他")</f>
        <v>取紙組</v>
      </c>
      <c r="C585" s="144" t="s">
        <v>1780</v>
      </c>
      <c r="D585" s="156"/>
      <c r="E585" s="156" t="s">
        <v>1389</v>
      </c>
      <c r="F585" s="156" t="s">
        <v>265</v>
      </c>
      <c r="G585" s="154">
        <v>80000</v>
      </c>
    </row>
    <row r="586" spans="1:7" ht="21.6" customHeight="1">
      <c r="A586" s="154" t="s">
        <v>55</v>
      </c>
      <c r="B586" s="154" t="str" cm="1">
        <f t="array" ref="B586">_xlfn.XLOOKUP(TRUE, ISNUMBER(SEARCH(工作表5!$A$1:$A$23, C586)), 工作表5!$B$1:$B$23, "其他")</f>
        <v>取紙組</v>
      </c>
      <c r="C586" s="144" t="s">
        <v>270</v>
      </c>
      <c r="D586" s="156"/>
      <c r="E586" s="156" t="s">
        <v>1390</v>
      </c>
      <c r="F586" s="156" t="s">
        <v>269</v>
      </c>
      <c r="G586" s="154">
        <v>80000</v>
      </c>
    </row>
    <row r="587" spans="1:7" ht="21.6" customHeight="1">
      <c r="A587" s="154" t="s">
        <v>55</v>
      </c>
      <c r="B587" s="154" t="str" cm="1">
        <f t="array" ref="B587">_xlfn.XLOOKUP(TRUE, ISNUMBER(SEARCH(工作表5!$A$1:$A$23, C587)), 工作表5!$B$1:$B$23, "其他")</f>
        <v>取紙組</v>
      </c>
      <c r="C587" s="144" t="s">
        <v>266</v>
      </c>
      <c r="D587" s="156"/>
      <c r="E587" s="156" t="s">
        <v>1391</v>
      </c>
      <c r="F587" s="156" t="s">
        <v>272</v>
      </c>
      <c r="G587" s="154">
        <v>80000</v>
      </c>
    </row>
    <row r="588" spans="1:7" ht="21.6" customHeight="1">
      <c r="A588" s="154" t="s">
        <v>55</v>
      </c>
      <c r="B588" s="154" t="str" cm="1">
        <f t="array" ref="B588">_xlfn.XLOOKUP(TRUE, ISNUMBER(SEARCH(工作表5!$A$1:$A$23, C588)), 工作表5!$B$1:$B$23, "其他")</f>
        <v>手送台</v>
      </c>
      <c r="C588" s="144" t="s">
        <v>1861</v>
      </c>
      <c r="D588" s="156"/>
      <c r="E588" s="156" t="s">
        <v>1392</v>
      </c>
      <c r="F588" s="156" t="s">
        <v>274</v>
      </c>
      <c r="G588" s="154">
        <v>80000</v>
      </c>
    </row>
    <row r="589" spans="1:7" ht="21.6" customHeight="1">
      <c r="A589" s="154" t="s">
        <v>55</v>
      </c>
      <c r="B589" s="154" t="str" cm="1">
        <f t="array" ref="B589">_xlfn.XLOOKUP(TRUE, ISNUMBER(SEARCH(工作表5!$A$1:$A$23, C589)), 工作表5!$B$1:$B$23, "其他")</f>
        <v>手送台</v>
      </c>
      <c r="C589" s="144" t="s">
        <v>224</v>
      </c>
      <c r="D589" s="156"/>
      <c r="E589" s="156" t="s">
        <v>1393</v>
      </c>
      <c r="F589" s="156" t="s">
        <v>277</v>
      </c>
      <c r="G589" s="154">
        <v>80000</v>
      </c>
    </row>
    <row r="590" spans="1:7" ht="21.6" customHeight="1">
      <c r="A590" s="154" t="s">
        <v>55</v>
      </c>
      <c r="B590" s="154" t="str" cm="1">
        <f t="array" ref="B590">_xlfn.XLOOKUP(TRUE, ISNUMBER(SEARCH(工作表5!$A$1:$A$23, C590)), 工作表5!$B$1:$B$23, "其他")</f>
        <v>送稿機</v>
      </c>
      <c r="C590" s="144" t="s">
        <v>1781</v>
      </c>
      <c r="D590" s="156"/>
      <c r="E590" s="156" t="s">
        <v>1375</v>
      </c>
      <c r="F590" s="156" t="s">
        <v>226</v>
      </c>
      <c r="G590" s="154">
        <v>120000</v>
      </c>
    </row>
    <row r="591" spans="1:7" ht="21.6" customHeight="1">
      <c r="A591" s="154" t="s">
        <v>55</v>
      </c>
      <c r="B591" s="154" t="str" cm="1">
        <f t="array" ref="B591">_xlfn.XLOOKUP(TRUE, ISNUMBER(SEARCH(工作表5!$A$1:$A$23, C591)), 工作表5!$B$1:$B$23, "其他")</f>
        <v>送稿機</v>
      </c>
      <c r="C591" s="144" t="s">
        <v>278</v>
      </c>
      <c r="D591" s="156"/>
      <c r="E591" s="156" t="s">
        <v>1376</v>
      </c>
      <c r="F591" s="156" t="s">
        <v>230</v>
      </c>
      <c r="G591" s="154">
        <v>120000</v>
      </c>
    </row>
    <row r="592" spans="1:7" ht="21.6" customHeight="1">
      <c r="A592" s="154" t="s">
        <v>55</v>
      </c>
      <c r="B592" s="154" t="str" cm="1">
        <f t="array" ref="B592">_xlfn.XLOOKUP(TRUE, ISNUMBER(SEARCH(工作表5!$A$1:$A$23, C592)), 工作表5!$B$1:$B$23, "其他")</f>
        <v>送稿機</v>
      </c>
      <c r="C592" s="144" t="s">
        <v>1782</v>
      </c>
      <c r="D592" s="156"/>
      <c r="E592" s="156" t="s">
        <v>1394</v>
      </c>
      <c r="F592" s="156" t="s">
        <v>281</v>
      </c>
      <c r="G592" s="154">
        <v>120000</v>
      </c>
    </row>
    <row r="593" spans="1:7" ht="21.6" customHeight="1">
      <c r="A593" s="154" t="s">
        <v>55</v>
      </c>
      <c r="B593" s="154" t="str" cm="1">
        <f t="array" ref="B593">_xlfn.XLOOKUP(TRUE, ISNUMBER(SEARCH(工作表5!$A$1:$A$23, C593)), 工作表5!$B$1:$B$23, "其他")</f>
        <v>送稿機</v>
      </c>
      <c r="C593" s="144" t="s">
        <v>285</v>
      </c>
      <c r="D593" s="156"/>
      <c r="E593" s="156" t="s">
        <v>1395</v>
      </c>
      <c r="F593" s="156" t="s">
        <v>226</v>
      </c>
      <c r="G593" s="154">
        <v>120000</v>
      </c>
    </row>
    <row r="594" spans="1:7" ht="21.6" customHeight="1">
      <c r="A594" s="154" t="s">
        <v>55</v>
      </c>
      <c r="B594" s="154" t="str" cm="1">
        <f t="array" ref="B594">_xlfn.XLOOKUP(TRUE, ISNUMBER(SEARCH(工作表5!$A$1:$A$23, C594)), 工作表5!$B$1:$B$23, "其他")</f>
        <v>送稿機</v>
      </c>
      <c r="C594" s="144" t="s">
        <v>282</v>
      </c>
      <c r="D594" s="156"/>
      <c r="E594" s="156" t="s">
        <v>1396</v>
      </c>
      <c r="F594" s="156" t="s">
        <v>288</v>
      </c>
      <c r="G594" s="154">
        <v>120000</v>
      </c>
    </row>
    <row r="595" spans="1:7" ht="21.6" customHeight="1">
      <c r="A595" s="154" t="s">
        <v>55</v>
      </c>
      <c r="B595" s="154" t="str" cm="1">
        <f t="array" ref="B595">_xlfn.XLOOKUP(TRUE, ISNUMBER(SEARCH(工作表5!$A$1:$A$23, C595)), 工作表5!$B$1:$B$23, "其他")</f>
        <v>大容量取紙組</v>
      </c>
      <c r="C595" s="144" t="s">
        <v>1783</v>
      </c>
      <c r="D595" s="156"/>
      <c r="E595" s="156" t="s">
        <v>1377</v>
      </c>
      <c r="F595" s="156" t="s">
        <v>232</v>
      </c>
      <c r="G595" s="154">
        <v>160000</v>
      </c>
    </row>
    <row r="596" spans="1:7" ht="21.6" customHeight="1">
      <c r="A596" s="154" t="s">
        <v>55</v>
      </c>
      <c r="B596" s="154" t="str" cm="1">
        <f t="array" ref="B596">_xlfn.XLOOKUP(TRUE, ISNUMBER(SEARCH(工作表5!$A$1:$A$23, C596)), 工作表5!$B$1:$B$23, "其他")</f>
        <v>大容量取紙組</v>
      </c>
      <c r="C596" s="144" t="s">
        <v>237</v>
      </c>
      <c r="D596" s="156"/>
      <c r="E596" s="156" t="s">
        <v>1378</v>
      </c>
      <c r="F596" s="156" t="s">
        <v>236</v>
      </c>
      <c r="G596" s="154">
        <v>160000</v>
      </c>
    </row>
    <row r="597" spans="1:7" ht="21.6" customHeight="1">
      <c r="A597" s="154" t="s">
        <v>55</v>
      </c>
      <c r="B597" s="154" t="str" cm="1">
        <f t="array" ref="B597">_xlfn.XLOOKUP(TRUE, ISNUMBER(SEARCH(工作表5!$A$1:$A$23, C597)), 工作表5!$B$1:$B$23, "其他")</f>
        <v>大容量取紙組</v>
      </c>
      <c r="C597" s="144" t="s">
        <v>289</v>
      </c>
      <c r="D597" s="156"/>
      <c r="E597" s="156" t="s">
        <v>1379</v>
      </c>
      <c r="F597" s="156" t="s">
        <v>239</v>
      </c>
      <c r="G597" s="154">
        <v>160000</v>
      </c>
    </row>
    <row r="598" spans="1:7" ht="21.6" customHeight="1">
      <c r="A598" s="154" t="s">
        <v>55</v>
      </c>
      <c r="B598" s="154" t="str" cm="1">
        <f t="array" ref="B598">_xlfn.XLOOKUP(TRUE, ISNUMBER(SEARCH(工作表5!$A$1:$A$23, C598)), 工作表5!$B$1:$B$23, "其他")</f>
        <v>顯像組</v>
      </c>
      <c r="C598" s="144" t="s">
        <v>122</v>
      </c>
      <c r="D598" s="156"/>
      <c r="E598" s="156" t="s">
        <v>1397</v>
      </c>
      <c r="F598" s="156" t="s">
        <v>292</v>
      </c>
      <c r="G598" s="154">
        <v>150000</v>
      </c>
    </row>
    <row r="599" spans="1:7" ht="21.6" customHeight="1">
      <c r="A599" s="154" t="s">
        <v>55</v>
      </c>
      <c r="B599" s="154" t="str" cm="1">
        <f t="array" ref="B599">_xlfn.XLOOKUP(TRUE, ISNUMBER(SEARCH(工作表5!$A$1:$A$23, C599)), 工作表5!$B$1:$B$23, "其他")</f>
        <v>定著組</v>
      </c>
      <c r="C599" s="145" t="s">
        <v>244</v>
      </c>
      <c r="D599" s="156"/>
      <c r="E599" s="156" t="s">
        <v>1424</v>
      </c>
      <c r="F599" s="156" t="s">
        <v>380</v>
      </c>
      <c r="G599" s="154">
        <v>300000</v>
      </c>
    </row>
    <row r="600" spans="1:7" ht="21.6" customHeight="1">
      <c r="A600" s="154" t="s">
        <v>55</v>
      </c>
      <c r="B600" s="154" t="str" cm="1">
        <f t="array" ref="B600">_xlfn.XLOOKUP(TRUE, ISNUMBER(SEARCH(工作表5!$A$1:$A$23, C600)), 工作表5!$B$1:$B$23, "其他")</f>
        <v>取紙組</v>
      </c>
      <c r="C600" s="144" t="s">
        <v>247</v>
      </c>
      <c r="D600" s="156"/>
      <c r="E600" s="156" t="s">
        <v>1399</v>
      </c>
      <c r="F600" s="156" t="s">
        <v>296</v>
      </c>
      <c r="G600" s="154">
        <v>80000</v>
      </c>
    </row>
    <row r="601" spans="1:7" ht="21.6" customHeight="1">
      <c r="A601" s="154" t="s">
        <v>55</v>
      </c>
      <c r="B601" s="154" t="str" cm="1">
        <f t="array" ref="B601">_xlfn.XLOOKUP(TRUE, ISNUMBER(SEARCH(工作表5!$A$1:$A$23, C601)), 工作表5!$B$1:$B$23, "其他")</f>
        <v>送稿機</v>
      </c>
      <c r="C601" s="144" t="s">
        <v>300</v>
      </c>
      <c r="D601" s="156"/>
      <c r="E601" s="156" t="s">
        <v>1400</v>
      </c>
      <c r="F601" s="156" t="s">
        <v>299</v>
      </c>
      <c r="G601" s="154">
        <v>120000</v>
      </c>
    </row>
    <row r="602" spans="1:7" ht="21.6" customHeight="1">
      <c r="A602" s="154" t="s">
        <v>55</v>
      </c>
      <c r="B602" s="154" t="str" cm="1">
        <f t="array" ref="B602">_xlfn.XLOOKUP(TRUE, ISNUMBER(SEARCH(工作表5!$A$1:$A$23, C602)), 工作表5!$B$1:$B$23, "其他")</f>
        <v>送稿機</v>
      </c>
      <c r="C602" s="144" t="s">
        <v>303</v>
      </c>
      <c r="D602" s="156"/>
      <c r="E602" s="156" t="s">
        <v>1401</v>
      </c>
      <c r="F602" s="156" t="s">
        <v>302</v>
      </c>
      <c r="G602" s="154">
        <v>120000</v>
      </c>
    </row>
    <row r="603" spans="1:7" ht="21.6" customHeight="1">
      <c r="A603" s="154" t="s">
        <v>55</v>
      </c>
      <c r="B603" s="154" t="str" cm="1">
        <f t="array" ref="B603">_xlfn.XLOOKUP(TRUE, ISNUMBER(SEARCH(工作表5!$A$1:$A$23, C603)), 工作表5!$B$1:$B$23, "其他")</f>
        <v>大容量取紙組</v>
      </c>
      <c r="C603" s="144" t="s">
        <v>304</v>
      </c>
      <c r="D603" s="156"/>
      <c r="E603" s="156" t="s">
        <v>1384</v>
      </c>
      <c r="F603" s="156" t="s">
        <v>252</v>
      </c>
      <c r="G603" s="154">
        <v>160000</v>
      </c>
    </row>
    <row r="604" spans="1:7" ht="21.6" customHeight="1">
      <c r="A604" s="154" t="s">
        <v>55</v>
      </c>
      <c r="B604" s="154" t="str" cm="1">
        <f t="array" ref="B604">_xlfn.XLOOKUP(TRUE, ISNUMBER(SEARCH(工作表5!$A$1:$A$23, C604)), 工作表5!$B$1:$B$23, "其他")</f>
        <v>顯像組</v>
      </c>
      <c r="C604" s="146" t="s">
        <v>129</v>
      </c>
      <c r="D604" s="156"/>
      <c r="E604" s="156" t="s">
        <v>1425</v>
      </c>
      <c r="F604" s="156" t="s">
        <v>382</v>
      </c>
      <c r="G604" s="154" t="e">
        <v>#VALUE!</v>
      </c>
    </row>
    <row r="605" spans="1:7" ht="21.6" customHeight="1">
      <c r="A605" s="154" t="s">
        <v>55</v>
      </c>
      <c r="B605" s="154" t="str" cm="1">
        <f t="array" ref="B605">_xlfn.XLOOKUP(TRUE, ISNUMBER(SEARCH(工作表5!$A$1:$A$23, C605)), 工作表5!$B$1:$B$23, "其他")</f>
        <v>顯像組</v>
      </c>
      <c r="C605" s="146" t="s">
        <v>129</v>
      </c>
      <c r="D605" s="156"/>
      <c r="E605" s="156" t="s">
        <v>1426</v>
      </c>
      <c r="F605" s="156" t="s">
        <v>385</v>
      </c>
      <c r="G605" s="154" t="e">
        <v>#VALUE!</v>
      </c>
    </row>
    <row r="606" spans="1:7" ht="21.6" customHeight="1">
      <c r="A606" s="154" t="s">
        <v>55</v>
      </c>
      <c r="B606" s="154" t="str" cm="1">
        <f t="array" ref="B606">_xlfn.XLOOKUP(TRUE, ISNUMBER(SEARCH(工作表5!$A$1:$A$23, C606)), 工作表5!$B$1:$B$23, "其他")</f>
        <v>定著組</v>
      </c>
      <c r="C606" s="147" t="s">
        <v>313</v>
      </c>
      <c r="D606" s="156"/>
      <c r="E606" s="156" t="s">
        <v>1427</v>
      </c>
      <c r="F606" s="156" t="s">
        <v>388</v>
      </c>
      <c r="G606" s="154" t="e">
        <v>#VALUE!</v>
      </c>
    </row>
    <row r="607" spans="1:7" ht="21.6" customHeight="1">
      <c r="A607" s="154">
        <v>557</v>
      </c>
      <c r="B607" s="154" t="str" cm="1">
        <f t="array" ref="B607">_xlfn.XLOOKUP(TRUE, ISNUMBER(SEARCH(工作表5!$A$1:$A$23, C607)), 工作表5!$B$1:$B$23, "其他")</f>
        <v>滾筒組</v>
      </c>
      <c r="C607" s="143" t="s">
        <v>193</v>
      </c>
      <c r="D607" s="156"/>
      <c r="E607" s="156" t="s">
        <v>1433</v>
      </c>
      <c r="F607" s="156" t="s">
        <v>410</v>
      </c>
      <c r="G607" s="154">
        <v>460000</v>
      </c>
    </row>
    <row r="608" spans="1:7" ht="21.6" customHeight="1">
      <c r="A608" s="154">
        <v>557</v>
      </c>
      <c r="B608" s="154" t="str" cm="1">
        <f t="array" ref="B608">_xlfn.XLOOKUP(TRUE, ISNUMBER(SEARCH(工作表5!$A$1:$A$23, C608)), 工作表5!$B$1:$B$23, "其他")</f>
        <v>顯像組</v>
      </c>
      <c r="C608" s="144" t="s">
        <v>75</v>
      </c>
      <c r="D608" s="156"/>
      <c r="E608" s="156" t="s">
        <v>1434</v>
      </c>
      <c r="F608" s="156" t="s">
        <v>412</v>
      </c>
      <c r="G608" s="154">
        <v>460000</v>
      </c>
    </row>
    <row r="609" spans="1:7" ht="21.6" customHeight="1">
      <c r="A609" s="154">
        <v>557</v>
      </c>
      <c r="B609" s="154" t="str" cm="1">
        <f t="array" ref="B609">_xlfn.XLOOKUP(TRUE, ISNUMBER(SEARCH(工作表5!$A$1:$A$23, C609)), 工作表5!$B$1:$B$23, "其他")</f>
        <v>滾筒組</v>
      </c>
      <c r="C609" s="145" t="s">
        <v>415</v>
      </c>
      <c r="D609" s="156"/>
      <c r="E609" s="156" t="s">
        <v>1435</v>
      </c>
      <c r="F609" s="156" t="s">
        <v>414</v>
      </c>
      <c r="G609" s="154">
        <v>460000</v>
      </c>
    </row>
    <row r="610" spans="1:7" ht="21.6" customHeight="1">
      <c r="A610" s="154">
        <v>557</v>
      </c>
      <c r="B610" s="154" t="str" cm="1">
        <f t="array" ref="B610">_xlfn.XLOOKUP(TRUE, ISNUMBER(SEARCH(工作表5!$A$1:$A$23, C610)), 工作表5!$B$1:$B$23, "其他")</f>
        <v>滾筒組</v>
      </c>
      <c r="C610" s="144" t="s">
        <v>418</v>
      </c>
      <c r="D610" s="156"/>
      <c r="E610" s="156" t="s">
        <v>1436</v>
      </c>
      <c r="F610" s="156" t="s">
        <v>417</v>
      </c>
      <c r="G610" s="154">
        <v>460000</v>
      </c>
    </row>
    <row r="611" spans="1:7" ht="21.6" customHeight="1">
      <c r="A611" s="154">
        <v>557</v>
      </c>
      <c r="B611" s="154" t="str" cm="1">
        <f t="array" ref="B611">_xlfn.XLOOKUP(TRUE, ISNUMBER(SEARCH(工作表5!$A$1:$A$23, C611)), 工作表5!$B$1:$B$23, "其他")</f>
        <v>定著組</v>
      </c>
      <c r="C611" s="145" t="s">
        <v>1775</v>
      </c>
      <c r="D611" s="156"/>
      <c r="E611" s="156" t="s">
        <v>1437</v>
      </c>
      <c r="F611" s="156" t="s">
        <v>420</v>
      </c>
      <c r="G611" s="154">
        <v>460000</v>
      </c>
    </row>
    <row r="612" spans="1:7" ht="21.6" customHeight="1">
      <c r="A612" s="154">
        <v>557</v>
      </c>
      <c r="B612" s="154" t="str" cm="1">
        <f t="array" ref="B612">_xlfn.XLOOKUP(TRUE, ISNUMBER(SEARCH(工作表5!$A$1:$A$23, C612)), 工作表5!$B$1:$B$23, "其他")</f>
        <v>定著組</v>
      </c>
      <c r="C612" s="144" t="s">
        <v>87</v>
      </c>
      <c r="D612" s="156"/>
      <c r="E612" s="156" t="s">
        <v>1438</v>
      </c>
      <c r="F612" s="156" t="s">
        <v>422</v>
      </c>
      <c r="G612" s="154">
        <v>460000</v>
      </c>
    </row>
    <row r="613" spans="1:7" ht="21.6" customHeight="1">
      <c r="A613" s="154">
        <v>557</v>
      </c>
      <c r="B613" s="154" t="str" cm="1">
        <f t="array" ref="B613">_xlfn.XLOOKUP(TRUE, ISNUMBER(SEARCH(工作表5!$A$1:$A$23, C613)), 工作表5!$B$1:$B$23, "其他")</f>
        <v>定著組</v>
      </c>
      <c r="C613" s="144" t="s">
        <v>1789</v>
      </c>
      <c r="D613" s="156"/>
      <c r="E613" s="156" t="s">
        <v>1439</v>
      </c>
      <c r="F613" s="156" t="s">
        <v>424</v>
      </c>
      <c r="G613" s="154">
        <v>460000</v>
      </c>
    </row>
    <row r="614" spans="1:7" ht="21.6" customHeight="1">
      <c r="A614" s="154">
        <v>557</v>
      </c>
      <c r="B614" s="154" t="str" cm="1">
        <f t="array" ref="B614">_xlfn.XLOOKUP(TRUE, ISNUMBER(SEARCH(工作表5!$A$1:$A$23, C614)), 工作表5!$B$1:$B$23, "其他")</f>
        <v>定著組</v>
      </c>
      <c r="C614" s="144" t="s">
        <v>1790</v>
      </c>
      <c r="D614" s="156"/>
      <c r="E614" s="156" t="s">
        <v>1440</v>
      </c>
      <c r="F614" s="156" t="s">
        <v>426</v>
      </c>
      <c r="G614" s="154">
        <v>460000</v>
      </c>
    </row>
    <row r="615" spans="1:7" ht="21.6" customHeight="1">
      <c r="A615" s="154">
        <v>557</v>
      </c>
      <c r="B615" s="154" t="str" cm="1">
        <f t="array" ref="B615">_xlfn.XLOOKUP(TRUE, ISNUMBER(SEARCH(工作表5!$A$1:$A$23, C615)), 工作表5!$B$1:$B$23, "其他")</f>
        <v>轉寫組</v>
      </c>
      <c r="C615" s="144" t="s">
        <v>1791</v>
      </c>
      <c r="D615" s="156"/>
      <c r="E615" s="156" t="s">
        <v>1441</v>
      </c>
      <c r="F615" s="156" t="s">
        <v>428</v>
      </c>
      <c r="G615" s="154">
        <v>460000</v>
      </c>
    </row>
    <row r="616" spans="1:7" ht="21.6" customHeight="1">
      <c r="A616" s="154">
        <v>557</v>
      </c>
      <c r="B616" s="154" t="str" cm="1">
        <f t="array" ref="B616">_xlfn.XLOOKUP(TRUE, ISNUMBER(SEARCH(工作表5!$A$1:$A$23, C616)), 工作表5!$B$1:$B$23, "其他")</f>
        <v>轉寫組</v>
      </c>
      <c r="C616" s="144" t="s">
        <v>1792</v>
      </c>
      <c r="D616" s="156"/>
      <c r="E616" s="156" t="s">
        <v>1442</v>
      </c>
      <c r="F616" s="156" t="s">
        <v>430</v>
      </c>
      <c r="G616" s="154">
        <v>460000</v>
      </c>
    </row>
    <row r="617" spans="1:7" ht="21.6" customHeight="1">
      <c r="A617" s="154">
        <v>557</v>
      </c>
      <c r="B617" s="154" t="str" cm="1">
        <f t="array" ref="B617">_xlfn.XLOOKUP(TRUE, ISNUMBER(SEARCH(工作表5!$A$1:$A$23, C617)), 工作表5!$B$1:$B$23, "其他")</f>
        <v>轉寫組</v>
      </c>
      <c r="C617" s="144" t="s">
        <v>1793</v>
      </c>
      <c r="D617" s="156"/>
      <c r="E617" s="156" t="s">
        <v>1443</v>
      </c>
      <c r="F617" s="156" t="s">
        <v>432</v>
      </c>
      <c r="G617" s="154">
        <v>460000</v>
      </c>
    </row>
    <row r="618" spans="1:7" ht="21.6" customHeight="1">
      <c r="A618" s="154">
        <v>557</v>
      </c>
      <c r="B618" s="154" t="str" cm="1">
        <f t="array" ref="B618">_xlfn.XLOOKUP(TRUE, ISNUMBER(SEARCH(工作表5!$A$1:$A$23, C618)), 工作表5!$B$1:$B$23, "其他")</f>
        <v>滾筒組</v>
      </c>
      <c r="C618" s="144" t="s">
        <v>95</v>
      </c>
      <c r="D618" s="156"/>
      <c r="E618" s="156" t="s">
        <v>1444</v>
      </c>
      <c r="F618" s="156" t="s">
        <v>434</v>
      </c>
      <c r="G618" s="154">
        <v>460000</v>
      </c>
    </row>
    <row r="619" spans="1:7" ht="21.6" customHeight="1">
      <c r="A619" s="154">
        <v>557</v>
      </c>
      <c r="B619" s="154" t="str" cm="1">
        <f t="array" ref="B619">_xlfn.XLOOKUP(TRUE, ISNUMBER(SEARCH(工作表5!$A$1:$A$23, C619)), 工作表5!$B$1:$B$23, "其他")</f>
        <v>其他</v>
      </c>
      <c r="C619" s="144" t="s">
        <v>101</v>
      </c>
      <c r="D619" s="156"/>
      <c r="E619" s="156" t="s">
        <v>1445</v>
      </c>
      <c r="F619" s="156" t="s">
        <v>436</v>
      </c>
      <c r="G619" s="154">
        <v>460000</v>
      </c>
    </row>
    <row r="620" spans="1:7" ht="21.6" customHeight="1">
      <c r="A620" s="154">
        <v>557</v>
      </c>
      <c r="B620" s="154" t="str" cm="1">
        <f t="array" ref="B620">_xlfn.XLOOKUP(TRUE, ISNUMBER(SEARCH(工作表5!$A$1:$A$23, C620)), 工作表5!$B$1:$B$23, "其他")</f>
        <v>顯像組</v>
      </c>
      <c r="C620" s="144" t="s">
        <v>1794</v>
      </c>
      <c r="D620" s="156"/>
      <c r="E620" s="156" t="s">
        <v>1446</v>
      </c>
      <c r="F620" s="156" t="s">
        <v>438</v>
      </c>
      <c r="G620" s="154">
        <v>460000</v>
      </c>
    </row>
    <row r="621" spans="1:7" ht="21.6" customHeight="1">
      <c r="A621" s="154">
        <v>557</v>
      </c>
      <c r="B621" s="154" t="str" cm="1">
        <f t="array" ref="B621">_xlfn.XLOOKUP(TRUE, ISNUMBER(SEARCH(工作表5!$A$1:$A$23, C621)), 工作表5!$B$1:$B$23, "其他")</f>
        <v>其他</v>
      </c>
      <c r="C621" s="145" t="s">
        <v>1795</v>
      </c>
      <c r="D621" s="156"/>
      <c r="E621" s="156" t="s">
        <v>1447</v>
      </c>
      <c r="F621" s="156" t="s">
        <v>440</v>
      </c>
      <c r="G621" s="154">
        <v>460000</v>
      </c>
    </row>
    <row r="622" spans="1:7" ht="21.6" customHeight="1">
      <c r="A622" s="154">
        <v>557</v>
      </c>
      <c r="B622" s="154" t="str" cm="1">
        <f t="array" ref="B622">_xlfn.XLOOKUP(TRUE, ISNUMBER(SEARCH(工作表5!$A$1:$A$23, C622)), 工作表5!$B$1:$B$23, "其他")</f>
        <v>滾筒組</v>
      </c>
      <c r="C622" s="144" t="s">
        <v>107</v>
      </c>
      <c r="D622" s="156"/>
      <c r="E622" s="156" t="s">
        <v>1448</v>
      </c>
      <c r="F622" s="156" t="s">
        <v>442</v>
      </c>
      <c r="G622" s="154">
        <v>460000</v>
      </c>
    </row>
    <row r="623" spans="1:7" ht="21.6" customHeight="1">
      <c r="A623" s="154">
        <v>557</v>
      </c>
      <c r="B623" s="154" t="str" cm="1">
        <f t="array" ref="B623">_xlfn.XLOOKUP(TRUE, ISNUMBER(SEARCH(工作表5!$A$1:$A$23, C623)), 工作表5!$B$1:$B$23, "其他")</f>
        <v>其他</v>
      </c>
      <c r="C623" s="144" t="s">
        <v>445</v>
      </c>
      <c r="D623" s="156"/>
      <c r="E623" s="156" t="s">
        <v>1449</v>
      </c>
      <c r="F623" s="156" t="s">
        <v>444</v>
      </c>
      <c r="G623" s="154">
        <v>460000</v>
      </c>
    </row>
    <row r="624" spans="1:7" ht="21.6" customHeight="1">
      <c r="A624" s="154">
        <v>557</v>
      </c>
      <c r="B624" s="154" t="str" cm="1">
        <f t="array" ref="B624">_xlfn.XLOOKUP(TRUE, ISNUMBER(SEARCH(工作表5!$A$1:$A$23, C624)), 工作表5!$B$1:$B$23, "其他")</f>
        <v>定著組</v>
      </c>
      <c r="C624" s="144" t="s">
        <v>448</v>
      </c>
      <c r="D624" s="156"/>
      <c r="E624" s="156" t="s">
        <v>1450</v>
      </c>
      <c r="F624" s="156" t="s">
        <v>447</v>
      </c>
      <c r="G624" s="154">
        <v>460000</v>
      </c>
    </row>
    <row r="625" spans="1:7" ht="21.6" customHeight="1">
      <c r="A625" s="154">
        <v>557</v>
      </c>
      <c r="B625" s="154" t="str" cm="1">
        <f t="array" ref="B625">_xlfn.XLOOKUP(TRUE, ISNUMBER(SEARCH(工作表5!$A$1:$A$23, C625)), 工作表5!$B$1:$B$23, "其他")</f>
        <v>其他</v>
      </c>
      <c r="C625" s="144" t="s">
        <v>451</v>
      </c>
      <c r="D625" s="156"/>
      <c r="E625" s="156" t="s">
        <v>1451</v>
      </c>
      <c r="F625" s="156" t="s">
        <v>450</v>
      </c>
      <c r="G625" s="154">
        <v>460000</v>
      </c>
    </row>
    <row r="626" spans="1:7" ht="21.6" customHeight="1">
      <c r="A626" s="154">
        <v>557</v>
      </c>
      <c r="B626" s="154" t="str" cm="1">
        <f t="array" ref="B626">_xlfn.XLOOKUP(TRUE, ISNUMBER(SEARCH(工作表5!$A$1:$A$23, C626)), 工作表5!$B$1:$B$23, "其他")</f>
        <v>取紙組</v>
      </c>
      <c r="C626" s="144" t="s">
        <v>1796</v>
      </c>
      <c r="D626" s="156"/>
      <c r="E626" s="156" t="s">
        <v>1452</v>
      </c>
      <c r="F626" s="156" t="s">
        <v>226</v>
      </c>
      <c r="G626" s="154" t="e">
        <v>#VALUE!</v>
      </c>
    </row>
    <row r="627" spans="1:7" ht="21.6" customHeight="1">
      <c r="A627" s="154">
        <v>557</v>
      </c>
      <c r="B627" s="154" t="str" cm="1">
        <f t="array" ref="B627">_xlfn.XLOOKUP(TRUE, ISNUMBER(SEARCH(工作表5!$A$1:$A$23, C627)), 工作表5!$B$1:$B$23, "其他")</f>
        <v>取紙組</v>
      </c>
      <c r="C627" s="144" t="s">
        <v>456</v>
      </c>
      <c r="D627" s="156"/>
      <c r="E627" s="156" t="s">
        <v>1452</v>
      </c>
      <c r="F627" s="156" t="s">
        <v>226</v>
      </c>
      <c r="G627" s="154" t="e">
        <v>#VALUE!</v>
      </c>
    </row>
    <row r="628" spans="1:7" ht="21.6" customHeight="1">
      <c r="A628" s="154">
        <v>557</v>
      </c>
      <c r="B628" s="154" t="str" cm="1">
        <f t="array" ref="B628">_xlfn.XLOOKUP(TRUE, ISNUMBER(SEARCH(工作表5!$A$1:$A$23, C628)), 工作表5!$B$1:$B$23, "其他")</f>
        <v>取紙組</v>
      </c>
      <c r="C628" s="144" t="s">
        <v>454</v>
      </c>
      <c r="D628" s="156"/>
      <c r="E628" s="156" t="s">
        <v>1453</v>
      </c>
      <c r="F628" s="156" t="s">
        <v>458</v>
      </c>
      <c r="G628" s="154" t="e">
        <v>#VALUE!</v>
      </c>
    </row>
    <row r="629" spans="1:7" ht="21.6" customHeight="1">
      <c r="A629" s="154">
        <v>557</v>
      </c>
      <c r="B629" s="154" t="str" cm="1">
        <f t="array" ref="B629">_xlfn.XLOOKUP(TRUE, ISNUMBER(SEARCH(工作表5!$A$1:$A$23, C629)), 工作表5!$B$1:$B$23, "其他")</f>
        <v>手送台</v>
      </c>
      <c r="C629" s="144" t="s">
        <v>1797</v>
      </c>
      <c r="D629" s="156"/>
      <c r="E629" s="156" t="s">
        <v>1454</v>
      </c>
      <c r="F629" s="156" t="s">
        <v>460</v>
      </c>
      <c r="G629" s="154">
        <v>100000</v>
      </c>
    </row>
    <row r="630" spans="1:7" ht="21.6" customHeight="1">
      <c r="A630" s="154">
        <v>557</v>
      </c>
      <c r="B630" s="154" t="str" cm="1">
        <f t="array" ref="B630">_xlfn.XLOOKUP(TRUE, ISNUMBER(SEARCH(工作表5!$A$1:$A$23, C630)), 工作表5!$B$1:$B$23, "其他")</f>
        <v>手送台</v>
      </c>
      <c r="C630" s="144" t="s">
        <v>115</v>
      </c>
      <c r="D630" s="156"/>
      <c r="E630" s="156" t="s">
        <v>1455</v>
      </c>
      <c r="F630" s="156" t="s">
        <v>462</v>
      </c>
      <c r="G630" s="154">
        <v>100000</v>
      </c>
    </row>
    <row r="631" spans="1:7" ht="21.6" customHeight="1">
      <c r="A631" s="154">
        <v>557</v>
      </c>
      <c r="B631" s="154" t="str" cm="1">
        <f t="array" ref="B631">_xlfn.XLOOKUP(TRUE, ISNUMBER(SEARCH(工作表5!$A$1:$A$23, C631)), 工作表5!$B$1:$B$23, "其他")</f>
        <v>手送台</v>
      </c>
      <c r="C631" s="144" t="s">
        <v>224</v>
      </c>
      <c r="D631" s="156"/>
      <c r="E631" s="156" t="s">
        <v>1456</v>
      </c>
      <c r="F631" s="156" t="s">
        <v>464</v>
      </c>
      <c r="G631" s="154">
        <v>100000</v>
      </c>
    </row>
    <row r="632" spans="1:7" ht="21.6" customHeight="1">
      <c r="A632" s="154">
        <v>557</v>
      </c>
      <c r="B632" s="154" t="str" cm="1">
        <f t="array" ref="B632">_xlfn.XLOOKUP(TRUE, ISNUMBER(SEARCH(工作表5!$A$1:$A$23, C632)), 工作表5!$B$1:$B$23, "其他")</f>
        <v>其他</v>
      </c>
      <c r="C632" s="144" t="s">
        <v>1798</v>
      </c>
      <c r="D632" s="156"/>
      <c r="E632" s="156" t="s">
        <v>1410</v>
      </c>
      <c r="F632" s="156" t="s">
        <v>333</v>
      </c>
      <c r="G632" s="154">
        <v>500000</v>
      </c>
    </row>
    <row r="633" spans="1:7" ht="21.6" customHeight="1">
      <c r="A633" s="154">
        <v>557</v>
      </c>
      <c r="B633" s="154" t="str" cm="1">
        <f t="array" ref="B633">_xlfn.XLOOKUP(TRUE, ISNUMBER(SEARCH(工作表5!$A$1:$A$23, C633)), 工作表5!$B$1:$B$23, "其他")</f>
        <v>其他</v>
      </c>
      <c r="C633" s="144" t="s">
        <v>466</v>
      </c>
      <c r="D633" s="156"/>
      <c r="E633" s="156" t="s">
        <v>1452</v>
      </c>
      <c r="F633" s="156" t="s">
        <v>226</v>
      </c>
      <c r="G633" s="154">
        <v>500000</v>
      </c>
    </row>
    <row r="634" spans="1:7" ht="21.6" customHeight="1">
      <c r="A634" s="154">
        <v>557</v>
      </c>
      <c r="B634" s="154" t="str" cm="1">
        <f t="array" ref="B634">_xlfn.XLOOKUP(TRUE, ISNUMBER(SEARCH(工作表5!$A$1:$A$23, C634)), 工作表5!$B$1:$B$23, "其他")</f>
        <v>其他</v>
      </c>
      <c r="C634" s="144" t="s">
        <v>469</v>
      </c>
      <c r="D634" s="156"/>
      <c r="E634" s="156" t="s">
        <v>1457</v>
      </c>
      <c r="F634" s="156" t="s">
        <v>468</v>
      </c>
      <c r="G634" s="154">
        <v>500000</v>
      </c>
    </row>
    <row r="635" spans="1:7" ht="21.6" customHeight="1">
      <c r="A635" s="154">
        <v>557</v>
      </c>
      <c r="B635" s="154" t="str" cm="1">
        <f t="array" ref="B635">_xlfn.XLOOKUP(TRUE, ISNUMBER(SEARCH(工作表5!$A$1:$A$23, C635)), 工作表5!$B$1:$B$23, "其他")</f>
        <v>送稿機</v>
      </c>
      <c r="C635" s="144" t="s">
        <v>1799</v>
      </c>
      <c r="D635" s="156"/>
      <c r="E635" s="156" t="s">
        <v>1375</v>
      </c>
      <c r="F635" s="156" t="s">
        <v>226</v>
      </c>
      <c r="G635" s="154" t="e">
        <v>#VALUE!</v>
      </c>
    </row>
    <row r="636" spans="1:7" ht="21.6" customHeight="1">
      <c r="A636" s="154">
        <v>557</v>
      </c>
      <c r="B636" s="154" t="str" cm="1">
        <f t="array" ref="B636">_xlfn.XLOOKUP(TRUE, ISNUMBER(SEARCH(工作表5!$A$1:$A$23, C636)), 工作表5!$B$1:$B$23, "其他")</f>
        <v>送稿機</v>
      </c>
      <c r="C636" s="144" t="s">
        <v>1800</v>
      </c>
      <c r="D636" s="156"/>
      <c r="E636" s="156" t="s">
        <v>1375</v>
      </c>
      <c r="F636" s="156" t="s">
        <v>226</v>
      </c>
      <c r="G636" s="154" t="e">
        <v>#VALUE!</v>
      </c>
    </row>
    <row r="637" spans="1:7" ht="21.6" customHeight="1">
      <c r="A637" s="154">
        <v>557</v>
      </c>
      <c r="B637" s="154" t="str" cm="1">
        <f t="array" ref="B637">_xlfn.XLOOKUP(TRUE, ISNUMBER(SEARCH(工作表5!$A$1:$A$23, C637)), 工作表5!$B$1:$B$23, "其他")</f>
        <v>送稿機</v>
      </c>
      <c r="C637" s="144" t="s">
        <v>1801</v>
      </c>
      <c r="D637" s="156"/>
      <c r="E637" s="156" t="s">
        <v>1376</v>
      </c>
      <c r="F637" s="156" t="s">
        <v>230</v>
      </c>
      <c r="G637" s="154" t="e">
        <v>#VALUE!</v>
      </c>
    </row>
    <row r="638" spans="1:7" ht="21.6" customHeight="1">
      <c r="A638" s="154">
        <v>557</v>
      </c>
      <c r="B638" s="154" t="str" cm="1">
        <f t="array" ref="B638">_xlfn.XLOOKUP(TRUE, ISNUMBER(SEARCH(工作表5!$A$1:$A$23, C638)), 工作表5!$B$1:$B$23, "其他")</f>
        <v>顯像組</v>
      </c>
      <c r="C638" s="144" t="s">
        <v>1802</v>
      </c>
      <c r="D638" s="156"/>
      <c r="E638" s="156" t="s">
        <v>1458</v>
      </c>
      <c r="F638" s="156" t="s">
        <v>473</v>
      </c>
      <c r="G638" s="154">
        <v>460000</v>
      </c>
    </row>
    <row r="639" spans="1:7" ht="21.6" customHeight="1">
      <c r="A639" s="154">
        <v>557</v>
      </c>
      <c r="B639" s="154" t="str" cm="1">
        <f t="array" ref="B639">_xlfn.XLOOKUP(TRUE, ISNUMBER(SEARCH(工作表5!$A$1:$A$23, C639)), 工作表5!$B$1:$B$23, "其他")</f>
        <v>定著組</v>
      </c>
      <c r="C639" s="145" t="s">
        <v>244</v>
      </c>
      <c r="D639" s="156"/>
      <c r="E639" s="156" t="s">
        <v>1459</v>
      </c>
      <c r="F639" s="156" t="s">
        <v>475</v>
      </c>
      <c r="G639" s="154">
        <v>460000</v>
      </c>
    </row>
    <row r="640" spans="1:7" ht="21.6" customHeight="1">
      <c r="A640" s="154">
        <v>557</v>
      </c>
      <c r="B640" s="154" t="str" cm="1">
        <f t="array" ref="B640">_xlfn.XLOOKUP(TRUE, ISNUMBER(SEARCH(工作表5!$A$1:$A$23, C640)), 工作表5!$B$1:$B$23, "其他")</f>
        <v>其他</v>
      </c>
      <c r="C640" s="145" t="s">
        <v>478</v>
      </c>
      <c r="D640" s="156"/>
      <c r="E640" s="156" t="s">
        <v>1460</v>
      </c>
      <c r="F640" s="156" t="s">
        <v>477</v>
      </c>
      <c r="G640" s="154">
        <v>460000</v>
      </c>
    </row>
    <row r="641" spans="1:7" ht="21.6" customHeight="1">
      <c r="A641" s="154">
        <v>557</v>
      </c>
      <c r="B641" s="154" t="str" cm="1">
        <f t="array" ref="B641">_xlfn.XLOOKUP(TRUE, ISNUMBER(SEARCH(工作表5!$A$1:$A$23, C641)), 工作表5!$B$1:$B$23, "其他")</f>
        <v>其他</v>
      </c>
      <c r="C641" s="144" t="s">
        <v>1803</v>
      </c>
      <c r="D641" s="156"/>
      <c r="E641" s="156" t="s">
        <v>1461</v>
      </c>
      <c r="F641" s="156" t="s">
        <v>480</v>
      </c>
      <c r="G641" s="154">
        <v>460000</v>
      </c>
    </row>
    <row r="642" spans="1:7" ht="21.6" customHeight="1">
      <c r="A642" s="154">
        <v>557</v>
      </c>
      <c r="B642" s="154" t="str" cm="1">
        <f t="array" ref="B642">_xlfn.XLOOKUP(TRUE, ISNUMBER(SEARCH(工作表5!$A$1:$A$23, C642)), 工作表5!$B$1:$B$23, "其他")</f>
        <v>取紙組</v>
      </c>
      <c r="C642" s="144" t="s">
        <v>483</v>
      </c>
      <c r="D642" s="156"/>
      <c r="E642" s="156" t="s">
        <v>1462</v>
      </c>
      <c r="F642" s="156" t="s">
        <v>482</v>
      </c>
      <c r="G642" s="154" t="e">
        <v>#VALUE!</v>
      </c>
    </row>
    <row r="643" spans="1:7" ht="21.6" customHeight="1">
      <c r="A643" s="154">
        <v>557</v>
      </c>
      <c r="B643" s="154" t="str" cm="1">
        <f t="array" ref="B643">_xlfn.XLOOKUP(TRUE, ISNUMBER(SEARCH(工作表5!$A$1:$A$23, C643)), 工作表5!$B$1:$B$23, "其他")</f>
        <v>其他</v>
      </c>
      <c r="C643" s="144" t="s">
        <v>486</v>
      </c>
      <c r="D643" s="156"/>
      <c r="E643" s="156" t="s">
        <v>1463</v>
      </c>
      <c r="F643" s="156" t="s">
        <v>485</v>
      </c>
      <c r="G643" s="154">
        <v>500000</v>
      </c>
    </row>
    <row r="644" spans="1:7" ht="21.6" customHeight="1">
      <c r="A644" s="154">
        <v>557</v>
      </c>
      <c r="B644" s="154" t="str" cm="1">
        <f t="array" ref="B644">_xlfn.XLOOKUP(TRUE, ISNUMBER(SEARCH(工作表5!$A$1:$A$23, C644)), 工作表5!$B$1:$B$23, "其他")</f>
        <v>送稿機</v>
      </c>
      <c r="C644" s="144" t="s">
        <v>1804</v>
      </c>
      <c r="D644" s="156"/>
      <c r="E644" s="156" t="s">
        <v>1383</v>
      </c>
      <c r="F644" s="156" t="s">
        <v>249</v>
      </c>
      <c r="G644" s="154" t="e">
        <v>#VALUE!</v>
      </c>
    </row>
    <row r="645" spans="1:7" ht="21.6" customHeight="1">
      <c r="A645" s="154">
        <v>557</v>
      </c>
      <c r="B645" s="154" t="str" cm="1">
        <f t="array" ref="B645">_xlfn.XLOOKUP(TRUE, ISNUMBER(SEARCH(工作表5!$A$1:$A$23, C645)), 工作表5!$B$1:$B$23, "其他")</f>
        <v>顯像組</v>
      </c>
      <c r="C645" s="145" t="s">
        <v>129</v>
      </c>
      <c r="D645" s="156"/>
      <c r="E645" s="156" t="s">
        <v>1464</v>
      </c>
      <c r="F645" s="156" t="s">
        <v>488</v>
      </c>
      <c r="G645" s="154" t="e">
        <v>#VALUE!</v>
      </c>
    </row>
    <row r="646" spans="1:7" ht="21.6" customHeight="1">
      <c r="A646" s="154">
        <v>557</v>
      </c>
      <c r="B646" s="154" t="str" cm="1">
        <f t="array" ref="B646">_xlfn.XLOOKUP(TRUE, ISNUMBER(SEARCH(工作表5!$A$1:$A$23, C646)), 工作表5!$B$1:$B$23, "其他")</f>
        <v>滾筒組</v>
      </c>
      <c r="C646" s="145" t="s">
        <v>132</v>
      </c>
      <c r="D646" s="156"/>
      <c r="E646" s="156" t="s">
        <v>1465</v>
      </c>
      <c r="F646" s="156" t="s">
        <v>490</v>
      </c>
      <c r="G646" s="154" t="e">
        <v>#VALUE!</v>
      </c>
    </row>
    <row r="647" spans="1:7" ht="21.6" customHeight="1">
      <c r="A647" s="154">
        <v>557</v>
      </c>
      <c r="B647" s="154" t="str" cm="1">
        <f t="array" ref="B647">_xlfn.XLOOKUP(TRUE, ISNUMBER(SEARCH(工作表5!$A$1:$A$23, C647)), 工作表5!$B$1:$B$23, "其他")</f>
        <v>顯像組</v>
      </c>
      <c r="C647" s="144" t="s">
        <v>135</v>
      </c>
      <c r="D647" s="156"/>
      <c r="E647" s="156" t="s">
        <v>1466</v>
      </c>
      <c r="F647" s="156" t="s">
        <v>492</v>
      </c>
      <c r="G647" s="154" t="e">
        <v>#VALUE!</v>
      </c>
    </row>
    <row r="648" spans="1:7" ht="21.6" customHeight="1">
      <c r="A648" s="154">
        <v>557</v>
      </c>
      <c r="B648" s="154" t="str" cm="1">
        <f t="array" ref="B648">_xlfn.XLOOKUP(TRUE, ISNUMBER(SEARCH(工作表5!$A$1:$A$23, C648)), 工作表5!$B$1:$B$23, "其他")</f>
        <v>轉寫組</v>
      </c>
      <c r="C648" s="144" t="s">
        <v>1805</v>
      </c>
      <c r="D648" s="156"/>
      <c r="E648" s="156" t="s">
        <v>1467</v>
      </c>
      <c r="F648" s="156" t="s">
        <v>494</v>
      </c>
      <c r="G648" s="154" t="e">
        <v>#VALUE!</v>
      </c>
    </row>
    <row r="649" spans="1:7" ht="21.6" customHeight="1">
      <c r="A649" s="154">
        <v>557</v>
      </c>
      <c r="B649" s="154" t="str" cm="1">
        <f t="array" ref="B649">_xlfn.XLOOKUP(TRUE, ISNUMBER(SEARCH(工作表5!$A$1:$A$23, C649)), 工作表5!$B$1:$B$23, "其他")</f>
        <v>定著組</v>
      </c>
      <c r="C649" s="149" t="s">
        <v>497</v>
      </c>
      <c r="D649" s="156"/>
      <c r="E649" s="156" t="s">
        <v>1468</v>
      </c>
      <c r="F649" s="156" t="s">
        <v>496</v>
      </c>
      <c r="G649" s="154" t="e">
        <v>#VALUE!</v>
      </c>
    </row>
    <row r="650" spans="1:7" ht="21.6" customHeight="1">
      <c r="A650" s="154" t="s">
        <v>57</v>
      </c>
      <c r="B650" s="154" t="str" cm="1">
        <f t="array" ref="B650">_xlfn.XLOOKUP(TRUE, ISNUMBER(SEARCH(工作表5!$A$1:$A$23, C650)), 工作表5!$B$1:$B$23, "其他")</f>
        <v>滾筒組</v>
      </c>
      <c r="C650" s="143" t="s">
        <v>71</v>
      </c>
      <c r="D650" s="156"/>
      <c r="E650" s="156" t="s">
        <v>1469</v>
      </c>
      <c r="F650" s="156" t="s">
        <v>499</v>
      </c>
      <c r="G650" s="154">
        <v>520000</v>
      </c>
    </row>
    <row r="651" spans="1:7" ht="21.6" customHeight="1">
      <c r="A651" s="154" t="s">
        <v>57</v>
      </c>
      <c r="B651" s="154" t="str" cm="1">
        <f t="array" ref="B651">_xlfn.XLOOKUP(TRUE, ISNUMBER(SEARCH(工作表5!$A$1:$A$23, C651)), 工作表5!$B$1:$B$23, "其他")</f>
        <v>顯像組</v>
      </c>
      <c r="C651" s="145" t="s">
        <v>502</v>
      </c>
      <c r="D651" s="156"/>
      <c r="E651" s="156" t="s">
        <v>1470</v>
      </c>
      <c r="F651" s="156" t="s">
        <v>501</v>
      </c>
      <c r="G651" s="154" t="e">
        <v>#VALUE!</v>
      </c>
    </row>
    <row r="652" spans="1:7" ht="21.6" customHeight="1">
      <c r="A652" s="154" t="s">
        <v>57</v>
      </c>
      <c r="B652" s="154" t="str" cm="1">
        <f t="array" ref="B652">_xlfn.XLOOKUP(TRUE, ISNUMBER(SEARCH(工作表5!$A$1:$A$23, C652)), 工作表5!$B$1:$B$23, "其他")</f>
        <v>滾筒組</v>
      </c>
      <c r="C652" s="145" t="s">
        <v>415</v>
      </c>
      <c r="D652" s="156"/>
      <c r="E652" s="156" t="s">
        <v>1471</v>
      </c>
      <c r="F652" s="156" t="s">
        <v>505</v>
      </c>
      <c r="G652" s="154">
        <v>520000</v>
      </c>
    </row>
    <row r="653" spans="1:7" ht="21.6" customHeight="1">
      <c r="A653" s="154" t="s">
        <v>57</v>
      </c>
      <c r="B653" s="154" t="str" cm="1">
        <f t="array" ref="B653">_xlfn.XLOOKUP(TRUE, ISNUMBER(SEARCH(工作表5!$A$1:$A$23, C653)), 工作表5!$B$1:$B$23, "其他")</f>
        <v>滾筒組</v>
      </c>
      <c r="C653" s="144" t="s">
        <v>107</v>
      </c>
      <c r="D653" s="156"/>
      <c r="E653" s="156" t="s">
        <v>1472</v>
      </c>
      <c r="F653" s="156" t="s">
        <v>507</v>
      </c>
      <c r="G653" s="154">
        <v>520000</v>
      </c>
    </row>
    <row r="654" spans="1:7" ht="21.6" customHeight="1">
      <c r="A654" s="154" t="s">
        <v>57</v>
      </c>
      <c r="B654" s="154" t="str" cm="1">
        <f t="array" ref="B654">_xlfn.XLOOKUP(TRUE, ISNUMBER(SEARCH(工作表5!$A$1:$A$23, C654)), 工作表5!$B$1:$B$23, "其他")</f>
        <v>顯像組</v>
      </c>
      <c r="C654" s="145" t="s">
        <v>104</v>
      </c>
      <c r="D654" s="156"/>
      <c r="E654" s="156" t="s">
        <v>1473</v>
      </c>
      <c r="F654" s="156" t="s">
        <v>509</v>
      </c>
      <c r="G654" s="154">
        <v>520000</v>
      </c>
    </row>
    <row r="655" spans="1:7" ht="21.6" customHeight="1">
      <c r="A655" s="154" t="s">
        <v>57</v>
      </c>
      <c r="B655" s="154" t="str" cm="1">
        <f t="array" ref="B655">_xlfn.XLOOKUP(TRUE, ISNUMBER(SEARCH(工作表5!$A$1:$A$23, C655)), 工作表5!$B$1:$B$23, "其他")</f>
        <v>顯像組</v>
      </c>
      <c r="C655" s="145" t="s">
        <v>1806</v>
      </c>
      <c r="D655" s="156"/>
      <c r="E655" s="156" t="s">
        <v>1474</v>
      </c>
      <c r="F655" s="156" t="s">
        <v>511</v>
      </c>
      <c r="G655" s="154">
        <v>520000</v>
      </c>
    </row>
    <row r="656" spans="1:7" ht="21.6" customHeight="1">
      <c r="A656" s="154" t="s">
        <v>57</v>
      </c>
      <c r="B656" s="154" t="str" cm="1">
        <f t="array" ref="B656">_xlfn.XLOOKUP(TRUE, ISNUMBER(SEARCH(工作表5!$A$1:$A$23, C656)), 工作表5!$B$1:$B$23, "其他")</f>
        <v>滾筒組</v>
      </c>
      <c r="C656" s="145" t="s">
        <v>1807</v>
      </c>
      <c r="D656" s="156"/>
      <c r="E656" s="156" t="s">
        <v>1475</v>
      </c>
      <c r="F656" s="156" t="s">
        <v>513</v>
      </c>
      <c r="G656" s="154">
        <v>520000</v>
      </c>
    </row>
    <row r="657" spans="1:7" ht="21.6" customHeight="1">
      <c r="A657" s="154" t="s">
        <v>57</v>
      </c>
      <c r="B657" s="154" t="str" cm="1">
        <f t="array" ref="B657">_xlfn.XLOOKUP(TRUE, ISNUMBER(SEARCH(工作表5!$A$1:$A$23, C657)), 工作表5!$B$1:$B$23, "其他")</f>
        <v>滾筒組</v>
      </c>
      <c r="C657" s="145" t="s">
        <v>516</v>
      </c>
      <c r="D657" s="156"/>
      <c r="E657" s="156" t="s">
        <v>1476</v>
      </c>
      <c r="F657" s="156" t="s">
        <v>515</v>
      </c>
      <c r="G657" s="154">
        <v>520000</v>
      </c>
    </row>
    <row r="658" spans="1:7" ht="21.6" customHeight="1">
      <c r="A658" s="154" t="s">
        <v>57</v>
      </c>
      <c r="B658" s="154" t="str" cm="1">
        <f t="array" ref="B658">_xlfn.XLOOKUP(TRUE, ISNUMBER(SEARCH(工作表5!$A$1:$A$23, C658)), 工作表5!$B$1:$B$23, "其他")</f>
        <v>其他</v>
      </c>
      <c r="C658" s="145" t="s">
        <v>1808</v>
      </c>
      <c r="D658" s="156"/>
      <c r="E658" s="156" t="s">
        <v>1477</v>
      </c>
      <c r="F658" s="156" t="s">
        <v>518</v>
      </c>
      <c r="G658" s="154">
        <v>520000</v>
      </c>
    </row>
    <row r="659" spans="1:7" ht="21.6" customHeight="1">
      <c r="A659" s="154" t="s">
        <v>57</v>
      </c>
      <c r="B659" s="154" t="str" cm="1">
        <f t="array" ref="B659">_xlfn.XLOOKUP(TRUE, ISNUMBER(SEARCH(工作表5!$A$1:$A$23, C659)), 工作表5!$B$1:$B$23, "其他")</f>
        <v>其他</v>
      </c>
      <c r="C659" s="144" t="s">
        <v>101</v>
      </c>
      <c r="D659" s="156"/>
      <c r="E659" s="156" t="s">
        <v>1478</v>
      </c>
      <c r="F659" s="156" t="s">
        <v>520</v>
      </c>
      <c r="G659" s="154">
        <v>520000</v>
      </c>
    </row>
    <row r="660" spans="1:7" ht="21.6" customHeight="1">
      <c r="A660" s="154" t="s">
        <v>57</v>
      </c>
      <c r="B660" s="154" t="str" cm="1">
        <f t="array" ref="B660">_xlfn.XLOOKUP(TRUE, ISNUMBER(SEARCH(工作表5!$A$1:$A$23, C660)), 工作表5!$B$1:$B$23, "其他")</f>
        <v>其他</v>
      </c>
      <c r="C660" s="145" t="s">
        <v>523</v>
      </c>
      <c r="D660" s="156"/>
      <c r="E660" s="156" t="s">
        <v>1479</v>
      </c>
      <c r="F660" s="156" t="s">
        <v>522</v>
      </c>
      <c r="G660" s="154">
        <v>520000</v>
      </c>
    </row>
    <row r="661" spans="1:7" ht="21.6" customHeight="1">
      <c r="A661" s="154" t="s">
        <v>57</v>
      </c>
      <c r="B661" s="154" t="str" cm="1">
        <f t="array" ref="B661">_xlfn.XLOOKUP(TRUE, ISNUMBER(SEARCH(工作表5!$A$1:$A$23, C661)), 工作表5!$B$1:$B$23, "其他")</f>
        <v>定著組</v>
      </c>
      <c r="C661" s="144" t="s">
        <v>1809</v>
      </c>
      <c r="D661" s="156"/>
      <c r="E661" s="156" t="s">
        <v>1480</v>
      </c>
      <c r="F661" s="156" t="s">
        <v>525</v>
      </c>
      <c r="G661" s="154">
        <v>520000</v>
      </c>
    </row>
    <row r="662" spans="1:7" ht="21.6" customHeight="1">
      <c r="A662" s="154" t="s">
        <v>57</v>
      </c>
      <c r="B662" s="154" t="str" cm="1">
        <f t="array" ref="B662">_xlfn.XLOOKUP(TRUE, ISNUMBER(SEARCH(工作表5!$A$1:$A$23, C662)), 工作表5!$B$1:$B$23, "其他")</f>
        <v>定著組</v>
      </c>
      <c r="C662" s="144" t="s">
        <v>1810</v>
      </c>
      <c r="D662" s="156"/>
      <c r="E662" s="156" t="s">
        <v>1481</v>
      </c>
      <c r="F662" s="156" t="s">
        <v>528</v>
      </c>
      <c r="G662" s="154">
        <v>520000</v>
      </c>
    </row>
    <row r="663" spans="1:7" ht="21.6" customHeight="1">
      <c r="A663" s="154" t="s">
        <v>57</v>
      </c>
      <c r="B663" s="154" t="str" cm="1">
        <f t="array" ref="B663">_xlfn.XLOOKUP(TRUE, ISNUMBER(SEARCH(工作表5!$A$1:$A$23, C663)), 工作表5!$B$1:$B$23, "其他")</f>
        <v>定著組</v>
      </c>
      <c r="C663" s="144" t="s">
        <v>1811</v>
      </c>
      <c r="D663" s="156"/>
      <c r="E663" s="156" t="s">
        <v>1482</v>
      </c>
      <c r="F663" s="156" t="s">
        <v>530</v>
      </c>
      <c r="G663" s="154">
        <v>520000</v>
      </c>
    </row>
    <row r="664" spans="1:7" ht="21.6" customHeight="1">
      <c r="A664" s="154" t="s">
        <v>57</v>
      </c>
      <c r="B664" s="154" t="str" cm="1">
        <f t="array" ref="B664">_xlfn.XLOOKUP(TRUE, ISNUMBER(SEARCH(工作表5!$A$1:$A$23, C664)), 工作表5!$B$1:$B$23, "其他")</f>
        <v>轉寫組</v>
      </c>
      <c r="C664" s="144" t="s">
        <v>533</v>
      </c>
      <c r="D664" s="156"/>
      <c r="E664" s="156" t="s">
        <v>1483</v>
      </c>
      <c r="F664" s="156" t="s">
        <v>532</v>
      </c>
      <c r="G664" s="154">
        <v>520000</v>
      </c>
    </row>
    <row r="665" spans="1:7" ht="21.6" customHeight="1">
      <c r="A665" s="154" t="s">
        <v>57</v>
      </c>
      <c r="B665" s="154" t="str" cm="1">
        <f t="array" ref="B665">_xlfn.XLOOKUP(TRUE, ISNUMBER(SEARCH(工作表5!$A$1:$A$23, C665)), 工作表5!$B$1:$B$23, "其他")</f>
        <v>轉寫組</v>
      </c>
      <c r="C665" s="145" t="s">
        <v>1812</v>
      </c>
      <c r="D665" s="156"/>
      <c r="E665" s="156" t="s">
        <v>1484</v>
      </c>
      <c r="F665" s="156" t="s">
        <v>535</v>
      </c>
      <c r="G665" s="154">
        <v>520000</v>
      </c>
    </row>
    <row r="666" spans="1:7" ht="21.6" customHeight="1">
      <c r="A666" s="154" t="s">
        <v>57</v>
      </c>
      <c r="B666" s="154" t="str" cm="1">
        <f t="array" ref="B666">_xlfn.XLOOKUP(TRUE, ISNUMBER(SEARCH(工作表5!$A$1:$A$23, C666)), 工作表5!$B$1:$B$23, "其他")</f>
        <v>轉寫組</v>
      </c>
      <c r="C666" s="145" t="s">
        <v>1813</v>
      </c>
      <c r="D666" s="156"/>
      <c r="E666" s="156" t="s">
        <v>1485</v>
      </c>
      <c r="F666" s="156" t="s">
        <v>537</v>
      </c>
      <c r="G666" s="154">
        <v>520000</v>
      </c>
    </row>
    <row r="667" spans="1:7" ht="21.6" customHeight="1">
      <c r="A667" s="154" t="s">
        <v>57</v>
      </c>
      <c r="B667" s="154" t="str" cm="1">
        <f t="array" ref="B667">_xlfn.XLOOKUP(TRUE, ISNUMBER(SEARCH(工作表5!$A$1:$A$23, C667)), 工作表5!$B$1:$B$23, "其他")</f>
        <v>轉寫組</v>
      </c>
      <c r="C667" s="145" t="s">
        <v>1814</v>
      </c>
      <c r="D667" s="156"/>
      <c r="E667" s="156" t="s">
        <v>1486</v>
      </c>
      <c r="F667" s="156" t="s">
        <v>539</v>
      </c>
      <c r="G667" s="154">
        <v>520000</v>
      </c>
    </row>
    <row r="668" spans="1:7" ht="21.6" customHeight="1">
      <c r="A668" s="154" t="s">
        <v>57</v>
      </c>
      <c r="B668" s="154" t="str" cm="1">
        <f t="array" ref="B668">_xlfn.XLOOKUP(TRUE, ISNUMBER(SEARCH(工作表5!$A$1:$A$23, C668)), 工作表5!$B$1:$B$23, "其他")</f>
        <v>轉寫組</v>
      </c>
      <c r="C668" s="145" t="s">
        <v>1815</v>
      </c>
      <c r="D668" s="156"/>
      <c r="E668" s="156" t="s">
        <v>1487</v>
      </c>
      <c r="F668" s="156" t="s">
        <v>541</v>
      </c>
      <c r="G668" s="154">
        <v>520000</v>
      </c>
    </row>
    <row r="669" spans="1:7" ht="21.6" customHeight="1">
      <c r="A669" s="154" t="s">
        <v>57</v>
      </c>
      <c r="B669" s="154" t="str" cm="1">
        <f t="array" ref="B669">_xlfn.XLOOKUP(TRUE, ISNUMBER(SEARCH(工作表5!$A$1:$A$23, C669)), 工作表5!$B$1:$B$23, "其他")</f>
        <v>取紙組</v>
      </c>
      <c r="C669" s="144" t="s">
        <v>1816</v>
      </c>
      <c r="D669" s="156"/>
      <c r="E669" s="156" t="s">
        <v>1488</v>
      </c>
      <c r="F669" s="156" t="s">
        <v>543</v>
      </c>
      <c r="G669" s="154" t="e">
        <v>#VALUE!</v>
      </c>
    </row>
    <row r="670" spans="1:7" ht="21.6" customHeight="1">
      <c r="A670" s="154" t="s">
        <v>57</v>
      </c>
      <c r="B670" s="154" t="str" cm="1">
        <f t="array" ref="B670">_xlfn.XLOOKUP(TRUE, ISNUMBER(SEARCH(工作表5!$A$1:$A$23, C670)), 工作表5!$B$1:$B$23, "其他")</f>
        <v>取紙組</v>
      </c>
      <c r="C670" s="144" t="s">
        <v>1816</v>
      </c>
      <c r="D670" s="156"/>
      <c r="E670" s="156" t="s">
        <v>1488</v>
      </c>
      <c r="F670" s="156" t="s">
        <v>543</v>
      </c>
      <c r="G670" s="154" t="e">
        <v>#VALUE!</v>
      </c>
    </row>
    <row r="671" spans="1:7" ht="21.6" customHeight="1">
      <c r="A671" s="154" t="s">
        <v>57</v>
      </c>
      <c r="B671" s="154" t="str" cm="1">
        <f t="array" ref="B671">_xlfn.XLOOKUP(TRUE, ISNUMBER(SEARCH(工作表5!$A$1:$A$23, C671)), 工作表5!$B$1:$B$23, "其他")</f>
        <v>取紙組</v>
      </c>
      <c r="C671" s="144" t="s">
        <v>1817</v>
      </c>
      <c r="D671" s="156"/>
      <c r="E671" s="156" t="s">
        <v>1453</v>
      </c>
      <c r="F671" s="156" t="s">
        <v>458</v>
      </c>
      <c r="G671" s="154" t="e">
        <v>#VALUE!</v>
      </c>
    </row>
    <row r="672" spans="1:7" ht="21.6" customHeight="1">
      <c r="A672" s="154" t="s">
        <v>57</v>
      </c>
      <c r="B672" s="154" t="str" cm="1">
        <f t="array" ref="B672">_xlfn.XLOOKUP(TRUE, ISNUMBER(SEARCH(工作表5!$A$1:$A$23, C672)), 工作表5!$B$1:$B$23, "其他")</f>
        <v>送稿機</v>
      </c>
      <c r="C672" s="145" t="s">
        <v>1782</v>
      </c>
      <c r="D672" s="156"/>
      <c r="E672" s="156" t="s">
        <v>1394</v>
      </c>
      <c r="F672" s="156" t="s">
        <v>281</v>
      </c>
      <c r="G672" s="154" t="e">
        <v>#VALUE!</v>
      </c>
    </row>
    <row r="673" spans="1:7" ht="21.6" customHeight="1">
      <c r="A673" s="154" t="s">
        <v>57</v>
      </c>
      <c r="B673" s="154" t="str" cm="1">
        <f t="array" ref="B673">_xlfn.XLOOKUP(TRUE, ISNUMBER(SEARCH(工作表5!$A$1:$A$23, C673)), 工作表5!$B$1:$B$23, "其他")</f>
        <v>送稿機</v>
      </c>
      <c r="C673" s="144" t="s">
        <v>285</v>
      </c>
      <c r="D673" s="156"/>
      <c r="E673" s="156" t="s">
        <v>1395</v>
      </c>
      <c r="F673" s="156" t="s">
        <v>226</v>
      </c>
      <c r="G673" s="154" t="e">
        <v>#VALUE!</v>
      </c>
    </row>
    <row r="674" spans="1:7" ht="21.6" customHeight="1">
      <c r="A674" s="154" t="s">
        <v>57</v>
      </c>
      <c r="B674" s="154" t="str" cm="1">
        <f t="array" ref="B674">_xlfn.XLOOKUP(TRUE, ISNUMBER(SEARCH(工作表5!$A$1:$A$23, C674)), 工作表5!$B$1:$B$23, "其他")</f>
        <v>送稿機</v>
      </c>
      <c r="C674" s="145" t="s">
        <v>282</v>
      </c>
      <c r="D674" s="156"/>
      <c r="E674" s="156" t="s">
        <v>1396</v>
      </c>
      <c r="F674" s="156" t="s">
        <v>288</v>
      </c>
      <c r="G674" s="154" t="e">
        <v>#VALUE!</v>
      </c>
    </row>
    <row r="675" spans="1:7" ht="21.6" customHeight="1">
      <c r="A675" s="154" t="s">
        <v>57</v>
      </c>
      <c r="B675" s="154" t="str" cm="1">
        <f t="array" ref="B675">_xlfn.XLOOKUP(TRUE, ISNUMBER(SEARCH(工作表5!$A$1:$A$23, C675)), 工作表5!$B$1:$B$23, "其他")</f>
        <v>其他</v>
      </c>
      <c r="C675" s="144" t="s">
        <v>1818</v>
      </c>
      <c r="D675" s="156"/>
      <c r="E675" s="156" t="s">
        <v>1410</v>
      </c>
      <c r="F675" s="156" t="s">
        <v>333</v>
      </c>
      <c r="G675" s="154">
        <v>500000</v>
      </c>
    </row>
    <row r="676" spans="1:7" ht="21.6" customHeight="1">
      <c r="A676" s="154" t="s">
        <v>57</v>
      </c>
      <c r="B676" s="154" t="str" cm="1">
        <f t="array" ref="B676">_xlfn.XLOOKUP(TRUE, ISNUMBER(SEARCH(工作表5!$A$1:$A$23, C676)), 工作表5!$B$1:$B$23, "其他")</f>
        <v>送稿機</v>
      </c>
      <c r="C676" s="144" t="s">
        <v>546</v>
      </c>
      <c r="D676" s="156"/>
      <c r="E676" s="156" t="s">
        <v>1411</v>
      </c>
      <c r="F676" s="156" t="s">
        <v>336</v>
      </c>
      <c r="G676" s="154">
        <v>500000</v>
      </c>
    </row>
    <row r="677" spans="1:7" ht="21.6" customHeight="1">
      <c r="A677" s="154" t="s">
        <v>57</v>
      </c>
      <c r="B677" s="154" t="str" cm="1">
        <f t="array" ref="B677">_xlfn.XLOOKUP(TRUE, ISNUMBER(SEARCH(工作表5!$A$1:$A$23, C677)), 工作表5!$B$1:$B$23, "其他")</f>
        <v>送稿機</v>
      </c>
      <c r="C677" s="145" t="s">
        <v>547</v>
      </c>
      <c r="D677" s="156"/>
      <c r="E677" s="156" t="s">
        <v>1412</v>
      </c>
      <c r="F677" s="156" t="s">
        <v>340</v>
      </c>
      <c r="G677" s="154">
        <v>500000</v>
      </c>
    </row>
    <row r="678" spans="1:7" ht="21.6" customHeight="1">
      <c r="A678" s="154" t="s">
        <v>57</v>
      </c>
      <c r="B678" s="154" t="str" cm="1">
        <f t="array" ref="B678">_xlfn.XLOOKUP(TRUE, ISNUMBER(SEARCH(工作表5!$A$1:$A$23, C678)), 工作表5!$B$1:$B$23, "其他")</f>
        <v>手送台</v>
      </c>
      <c r="C678" s="145" t="s">
        <v>1819</v>
      </c>
      <c r="D678" s="156"/>
      <c r="E678" s="156" t="s">
        <v>1489</v>
      </c>
      <c r="F678" s="156" t="s">
        <v>549</v>
      </c>
      <c r="G678" s="154">
        <v>100000</v>
      </c>
    </row>
    <row r="679" spans="1:7" ht="21.6" customHeight="1">
      <c r="A679" s="154" t="s">
        <v>57</v>
      </c>
      <c r="B679" s="154" t="str" cm="1">
        <f t="array" ref="B679">_xlfn.XLOOKUP(TRUE, ISNUMBER(SEARCH(工作表5!$A$1:$A$23, C679)), 工作表5!$B$1:$B$23, "其他")</f>
        <v>手送台</v>
      </c>
      <c r="C679" s="144" t="s">
        <v>553</v>
      </c>
      <c r="D679" s="156"/>
      <c r="E679" s="156" t="s">
        <v>1490</v>
      </c>
      <c r="F679" s="156" t="s">
        <v>552</v>
      </c>
      <c r="G679" s="154">
        <v>100000</v>
      </c>
    </row>
    <row r="680" spans="1:7" ht="21.6" customHeight="1">
      <c r="A680" s="154" t="s">
        <v>57</v>
      </c>
      <c r="B680" s="154" t="str" cm="1">
        <f t="array" ref="B680">_xlfn.XLOOKUP(TRUE, ISNUMBER(SEARCH(工作表5!$A$1:$A$23, C680)), 工作表5!$B$1:$B$23, "其他")</f>
        <v>手送台</v>
      </c>
      <c r="C680" s="144" t="s">
        <v>550</v>
      </c>
      <c r="D680" s="156"/>
      <c r="E680" s="156" t="s">
        <v>1491</v>
      </c>
      <c r="F680" s="156" t="s">
        <v>555</v>
      </c>
      <c r="G680" s="154">
        <v>100000</v>
      </c>
    </row>
    <row r="681" spans="1:7" ht="21.6" customHeight="1">
      <c r="A681" s="154" t="s">
        <v>57</v>
      </c>
      <c r="B681" s="154" t="str" cm="1">
        <f t="array" ref="B681">_xlfn.XLOOKUP(TRUE, ISNUMBER(SEARCH(工作表5!$A$1:$A$23, C681)), 工作表5!$B$1:$B$23, "其他")</f>
        <v>其他</v>
      </c>
      <c r="C681" s="145" t="s">
        <v>558</v>
      </c>
      <c r="D681" s="156"/>
      <c r="E681" s="156" t="s">
        <v>1492</v>
      </c>
      <c r="F681" s="156" t="s">
        <v>557</v>
      </c>
      <c r="G681" s="154">
        <v>520000</v>
      </c>
    </row>
    <row r="682" spans="1:7" ht="21.6" customHeight="1">
      <c r="A682" s="154" t="s">
        <v>57</v>
      </c>
      <c r="B682" s="154" t="str" cm="1">
        <f t="array" ref="B682">_xlfn.XLOOKUP(TRUE, ISNUMBER(SEARCH(工作表5!$A$1:$A$23, C682)), 工作表5!$B$1:$B$23, "其他")</f>
        <v>轉寫組</v>
      </c>
      <c r="C682" s="145" t="s">
        <v>1820</v>
      </c>
      <c r="D682" s="156"/>
      <c r="E682" s="156" t="s">
        <v>1493</v>
      </c>
      <c r="F682" s="156" t="s">
        <v>560</v>
      </c>
      <c r="G682" s="154">
        <v>520000</v>
      </c>
    </row>
    <row r="683" spans="1:7" ht="21.6" customHeight="1">
      <c r="A683" s="154" t="s">
        <v>57</v>
      </c>
      <c r="B683" s="154" t="str" cm="1">
        <f t="array" ref="B683">_xlfn.XLOOKUP(TRUE, ISNUMBER(SEARCH(工作表5!$A$1:$A$23, C683)), 工作表5!$B$1:$B$23, "其他")</f>
        <v>定著組</v>
      </c>
      <c r="C683" s="145" t="s">
        <v>244</v>
      </c>
      <c r="D683" s="156"/>
      <c r="E683" s="156" t="s">
        <v>1494</v>
      </c>
      <c r="F683" s="156" t="s">
        <v>562</v>
      </c>
      <c r="G683" s="154">
        <v>520000</v>
      </c>
    </row>
    <row r="684" spans="1:7" ht="21.6" customHeight="1">
      <c r="A684" s="154" t="s">
        <v>57</v>
      </c>
      <c r="B684" s="154" t="str" cm="1">
        <f t="array" ref="B684">_xlfn.XLOOKUP(TRUE, ISNUMBER(SEARCH(工作表5!$A$1:$A$23, C684)), 工作表5!$B$1:$B$23, "其他")</f>
        <v>其他</v>
      </c>
      <c r="C684" s="145" t="s">
        <v>1803</v>
      </c>
      <c r="D684" s="156"/>
      <c r="E684" s="156" t="s">
        <v>1495</v>
      </c>
      <c r="F684" s="156" t="s">
        <v>564</v>
      </c>
      <c r="G684" s="154">
        <v>520000</v>
      </c>
    </row>
    <row r="685" spans="1:7" ht="21.6" customHeight="1">
      <c r="A685" s="154" t="s">
        <v>57</v>
      </c>
      <c r="B685" s="154" t="str" cm="1">
        <f t="array" ref="B685">_xlfn.XLOOKUP(TRUE, ISNUMBER(SEARCH(工作表5!$A$1:$A$23, C685)), 工作表5!$B$1:$B$23, "其他")</f>
        <v>取紙組</v>
      </c>
      <c r="C685" s="144" t="s">
        <v>567</v>
      </c>
      <c r="D685" s="156"/>
      <c r="E685" s="156" t="s">
        <v>1496</v>
      </c>
      <c r="F685" s="156" t="s">
        <v>566</v>
      </c>
      <c r="G685" s="154" t="e">
        <v>#VALUE!</v>
      </c>
    </row>
    <row r="686" spans="1:7" ht="21.6" customHeight="1">
      <c r="A686" s="154" t="s">
        <v>57</v>
      </c>
      <c r="B686" s="154" t="str" cm="1">
        <f t="array" ref="B686">_xlfn.XLOOKUP(TRUE, ISNUMBER(SEARCH(工作表5!$A$1:$A$23, C686)), 工作表5!$B$1:$B$23, "其他")</f>
        <v>其他</v>
      </c>
      <c r="C686" s="144" t="s">
        <v>570</v>
      </c>
      <c r="D686" s="156"/>
      <c r="E686" s="156" t="s">
        <v>1497</v>
      </c>
      <c r="F686" s="156" t="s">
        <v>569</v>
      </c>
      <c r="G686" s="154">
        <v>500000</v>
      </c>
    </row>
    <row r="687" spans="1:7" ht="21.6" customHeight="1">
      <c r="A687" s="154" t="s">
        <v>57</v>
      </c>
      <c r="B687" s="154" t="str" cm="1">
        <f t="array" ref="B687">_xlfn.XLOOKUP(TRUE, ISNUMBER(SEARCH(工作表5!$A$1:$A$23, C687)), 工作表5!$B$1:$B$23, "其他")</f>
        <v>送稿機</v>
      </c>
      <c r="C687" s="145" t="s">
        <v>303</v>
      </c>
      <c r="D687" s="156"/>
      <c r="E687" s="156" t="s">
        <v>1401</v>
      </c>
      <c r="F687" s="156" t="s">
        <v>302</v>
      </c>
      <c r="G687" s="154" t="e">
        <v>#VALUE!</v>
      </c>
    </row>
    <row r="688" spans="1:7" ht="21.6" customHeight="1">
      <c r="A688" s="154" t="s">
        <v>57</v>
      </c>
      <c r="B688" s="154" t="str" cm="1">
        <f t="array" ref="B688">_xlfn.XLOOKUP(TRUE, ISNUMBER(SEARCH(工作表5!$A$1:$A$23, C688)), 工作表5!$B$1:$B$23, "其他")</f>
        <v>滾筒組</v>
      </c>
      <c r="C688" s="145" t="s">
        <v>132</v>
      </c>
      <c r="D688" s="156"/>
      <c r="E688" s="156" t="s">
        <v>1498</v>
      </c>
      <c r="F688" s="156" t="s">
        <v>572</v>
      </c>
      <c r="G688" s="154" t="e">
        <v>#VALUE!</v>
      </c>
    </row>
    <row r="689" spans="1:7" ht="21.6" customHeight="1">
      <c r="A689" s="154" t="s">
        <v>57</v>
      </c>
      <c r="B689" s="154" t="str" cm="1">
        <f t="array" ref="B689">_xlfn.XLOOKUP(TRUE, ISNUMBER(SEARCH(工作表5!$A$1:$A$23, C689)), 工作表5!$B$1:$B$23, "其他")</f>
        <v>顯像組</v>
      </c>
      <c r="C689" s="145" t="s">
        <v>575</v>
      </c>
      <c r="D689" s="156"/>
      <c r="E689" s="156" t="s">
        <v>1499</v>
      </c>
      <c r="F689" s="156" t="s">
        <v>574</v>
      </c>
      <c r="G689" s="154" t="e">
        <v>#VALUE!</v>
      </c>
    </row>
    <row r="690" spans="1:7" ht="21.6" customHeight="1">
      <c r="A690" s="154" t="s">
        <v>57</v>
      </c>
      <c r="B690" s="154" t="str" cm="1">
        <f t="array" ref="B690">_xlfn.XLOOKUP(TRUE, ISNUMBER(SEARCH(工作表5!$A$1:$A$23, C690)), 工作表5!$B$1:$B$23, "其他")</f>
        <v>顯像組</v>
      </c>
      <c r="C690" s="144" t="s">
        <v>135</v>
      </c>
      <c r="D690" s="156"/>
      <c r="E690" s="156" t="s">
        <v>1500</v>
      </c>
      <c r="F690" s="156" t="s">
        <v>577</v>
      </c>
      <c r="G690" s="154" t="e">
        <v>#VALUE!</v>
      </c>
    </row>
    <row r="691" spans="1:7" ht="21.6" customHeight="1">
      <c r="A691" s="154" t="s">
        <v>57</v>
      </c>
      <c r="B691" s="154" t="str" cm="1">
        <f t="array" ref="B691">_xlfn.XLOOKUP(TRUE, ISNUMBER(SEARCH(工作表5!$A$1:$A$23, C691)), 工作表5!$B$1:$B$23, "其他")</f>
        <v>轉寫組</v>
      </c>
      <c r="C691" s="144" t="s">
        <v>1821</v>
      </c>
      <c r="D691" s="156"/>
      <c r="E691" s="156" t="s">
        <v>1501</v>
      </c>
      <c r="F691" s="156" t="s">
        <v>579</v>
      </c>
      <c r="G691" s="154" t="e">
        <v>#VALUE!</v>
      </c>
    </row>
    <row r="692" spans="1:7" ht="21.6" customHeight="1">
      <c r="A692" s="154" t="s">
        <v>57</v>
      </c>
      <c r="B692" s="154" t="str" cm="1">
        <f t="array" ref="B692">_xlfn.XLOOKUP(TRUE, ISNUMBER(SEARCH(工作表5!$A$1:$A$23, C692)), 工作表5!$B$1:$B$23, "其他")</f>
        <v>轉寫組</v>
      </c>
      <c r="C692" s="144" t="s">
        <v>582</v>
      </c>
      <c r="D692" s="156"/>
      <c r="E692" s="156" t="s">
        <v>1502</v>
      </c>
      <c r="F692" s="156" t="s">
        <v>581</v>
      </c>
      <c r="G692" s="154" t="e">
        <v>#VALUE!</v>
      </c>
    </row>
    <row r="693" spans="1:7" ht="21.6" customHeight="1">
      <c r="A693" s="154" t="s">
        <v>57</v>
      </c>
      <c r="B693" s="154" t="str" cm="1">
        <f t="array" ref="B693">_xlfn.XLOOKUP(TRUE, ISNUMBER(SEARCH(工作表5!$A$1:$A$23, C693)), 工作表5!$B$1:$B$23, "其他")</f>
        <v>定著組</v>
      </c>
      <c r="C693" s="145" t="s">
        <v>585</v>
      </c>
      <c r="D693" s="156"/>
      <c r="E693" s="156" t="s">
        <v>1503</v>
      </c>
      <c r="F693" s="156" t="s">
        <v>584</v>
      </c>
      <c r="G693" s="154" t="e">
        <v>#VALUE!</v>
      </c>
    </row>
    <row r="694" spans="1:7" ht="21.6" customHeight="1">
      <c r="A694" s="154" t="s">
        <v>1301</v>
      </c>
      <c r="B694" s="154" t="str" cm="1">
        <f t="array" ref="B694">_xlfn.XLOOKUP(TRUE, ISNUMBER(SEARCH(工作表5!$A$1:$A$23, C694)), 工作表5!$B$1:$B$23, "其他")</f>
        <v>滾筒組</v>
      </c>
      <c r="C694" s="143" t="s">
        <v>589</v>
      </c>
      <c r="D694" s="156"/>
      <c r="E694" s="156" t="s">
        <v>1504</v>
      </c>
      <c r="F694" s="156" t="s">
        <v>588</v>
      </c>
      <c r="G694" s="154">
        <v>223000</v>
      </c>
    </row>
    <row r="695" spans="1:7" ht="21.6" customHeight="1">
      <c r="A695" s="154" t="s">
        <v>1301</v>
      </c>
      <c r="B695" s="154" t="str" cm="1">
        <f t="array" ref="B695">_xlfn.XLOOKUP(TRUE, ISNUMBER(SEARCH(工作表5!$A$1:$A$23, C695)), 工作表5!$B$1:$B$23, "其他")</f>
        <v>顯像組</v>
      </c>
      <c r="C695" s="145" t="s">
        <v>502</v>
      </c>
      <c r="D695" s="156"/>
      <c r="E695" s="156" t="s">
        <v>1505</v>
      </c>
      <c r="F695" s="156" t="s">
        <v>592</v>
      </c>
      <c r="G695" s="154">
        <v>223000</v>
      </c>
    </row>
    <row r="696" spans="1:7" ht="21.6" customHeight="1">
      <c r="A696" s="154" t="s">
        <v>1301</v>
      </c>
      <c r="B696" s="154" t="str" cm="1">
        <f t="array" ref="B696">_xlfn.XLOOKUP(TRUE, ISNUMBER(SEARCH(工作表5!$A$1:$A$23, C696)), 工作表5!$B$1:$B$23, "其他")</f>
        <v>滾筒組</v>
      </c>
      <c r="C696" s="145" t="s">
        <v>415</v>
      </c>
      <c r="D696" s="156"/>
      <c r="E696" s="156" t="s">
        <v>1506</v>
      </c>
      <c r="F696" s="156" t="s">
        <v>594</v>
      </c>
      <c r="G696" s="154">
        <v>223000</v>
      </c>
    </row>
    <row r="697" spans="1:7" ht="21.6" customHeight="1">
      <c r="A697" s="154" t="s">
        <v>1301</v>
      </c>
      <c r="B697" s="154" t="str" cm="1">
        <f t="array" ref="B697">_xlfn.XLOOKUP(TRUE, ISNUMBER(SEARCH(工作表5!$A$1:$A$23, C697)), 工作表5!$B$1:$B$23, "其他")</f>
        <v>滾筒組</v>
      </c>
      <c r="C697" s="144" t="s">
        <v>597</v>
      </c>
      <c r="D697" s="156"/>
      <c r="E697" s="156" t="s">
        <v>1507</v>
      </c>
      <c r="F697" s="156" t="s">
        <v>596</v>
      </c>
      <c r="G697" s="154">
        <v>223000</v>
      </c>
    </row>
    <row r="698" spans="1:7" ht="21.6" customHeight="1">
      <c r="A698" s="154" t="s">
        <v>1301</v>
      </c>
      <c r="B698" s="154" t="str" cm="1">
        <f t="array" ref="B698">_xlfn.XLOOKUP(TRUE, ISNUMBER(SEARCH(工作表5!$A$1:$A$23, C698)), 工作表5!$B$1:$B$23, "其他")</f>
        <v>顯像組</v>
      </c>
      <c r="C698" s="145" t="s">
        <v>600</v>
      </c>
      <c r="D698" s="156"/>
      <c r="E698" s="156" t="s">
        <v>1508</v>
      </c>
      <c r="F698" s="156" t="s">
        <v>599</v>
      </c>
      <c r="G698" s="154">
        <v>223000</v>
      </c>
    </row>
    <row r="699" spans="1:7" ht="21.6" customHeight="1">
      <c r="A699" s="154" t="s">
        <v>1301</v>
      </c>
      <c r="B699" s="154" t="str" cm="1">
        <f t="array" ref="B699">_xlfn.XLOOKUP(TRUE, ISNUMBER(SEARCH(工作表5!$A$1:$A$23, C699)), 工作表5!$B$1:$B$23, "其他")</f>
        <v>顯像組</v>
      </c>
      <c r="C699" s="144" t="s">
        <v>1822</v>
      </c>
      <c r="D699" s="156"/>
      <c r="E699" s="156" t="s">
        <v>1509</v>
      </c>
      <c r="F699" s="156" t="s">
        <v>602</v>
      </c>
      <c r="G699" s="154">
        <v>223000</v>
      </c>
    </row>
    <row r="700" spans="1:7" ht="21.6" customHeight="1">
      <c r="A700" s="154" t="s">
        <v>1301</v>
      </c>
      <c r="B700" s="154" t="str" cm="1">
        <f t="array" ref="B700">_xlfn.XLOOKUP(TRUE, ISNUMBER(SEARCH(工作表5!$A$1:$A$23, C700)), 工作表5!$B$1:$B$23, "其他")</f>
        <v>滾筒組</v>
      </c>
      <c r="C700" s="144" t="s">
        <v>1823</v>
      </c>
      <c r="D700" s="156"/>
      <c r="E700" s="156" t="s">
        <v>1510</v>
      </c>
      <c r="F700" s="156" t="s">
        <v>604</v>
      </c>
      <c r="G700" s="154">
        <v>223000</v>
      </c>
    </row>
    <row r="701" spans="1:7" ht="21.6" customHeight="1">
      <c r="A701" s="154" t="s">
        <v>1301</v>
      </c>
      <c r="B701" s="154" t="str" cm="1">
        <f t="array" ref="B701">_xlfn.XLOOKUP(TRUE, ISNUMBER(SEARCH(工作表5!$A$1:$A$23, C701)), 工作表5!$B$1:$B$23, "其他")</f>
        <v>轉寫組</v>
      </c>
      <c r="C701" s="145" t="s">
        <v>533</v>
      </c>
      <c r="D701" s="156"/>
      <c r="E701" s="156" t="s">
        <v>1511</v>
      </c>
      <c r="F701" s="156" t="s">
        <v>606</v>
      </c>
      <c r="G701" s="154">
        <v>223000</v>
      </c>
    </row>
    <row r="702" spans="1:7" ht="21.6" customHeight="1">
      <c r="A702" s="154" t="s">
        <v>1301</v>
      </c>
      <c r="B702" s="154" t="str" cm="1">
        <f t="array" ref="B702">_xlfn.XLOOKUP(TRUE, ISNUMBER(SEARCH(工作表5!$A$1:$A$23, C702)), 工作表5!$B$1:$B$23, "其他")</f>
        <v>轉寫組</v>
      </c>
      <c r="C702" s="145" t="s">
        <v>1812</v>
      </c>
      <c r="D702" s="156"/>
      <c r="E702" s="156" t="s">
        <v>1512</v>
      </c>
      <c r="F702" s="156" t="s">
        <v>608</v>
      </c>
      <c r="G702" s="154">
        <v>223000</v>
      </c>
    </row>
    <row r="703" spans="1:7" ht="21.6" customHeight="1">
      <c r="A703" s="154" t="s">
        <v>1301</v>
      </c>
      <c r="B703" s="154" t="str" cm="1">
        <f t="array" ref="B703">_xlfn.XLOOKUP(TRUE, ISNUMBER(SEARCH(工作表5!$A$1:$A$23, C703)), 工作表5!$B$1:$B$23, "其他")</f>
        <v>轉寫組</v>
      </c>
      <c r="C703" s="145" t="s">
        <v>1824</v>
      </c>
      <c r="D703" s="156"/>
      <c r="E703" s="156" t="s">
        <v>1513</v>
      </c>
      <c r="F703" s="156" t="s">
        <v>610</v>
      </c>
      <c r="G703" s="154">
        <v>223000</v>
      </c>
    </row>
    <row r="704" spans="1:7" ht="21.6" customHeight="1">
      <c r="A704" s="154" t="s">
        <v>1301</v>
      </c>
      <c r="B704" s="154" t="str" cm="1">
        <f t="array" ref="B704">_xlfn.XLOOKUP(TRUE, ISNUMBER(SEARCH(工作表5!$A$1:$A$23, C704)), 工作表5!$B$1:$B$23, "其他")</f>
        <v>轉寫組</v>
      </c>
      <c r="C704" s="145" t="s">
        <v>1825</v>
      </c>
      <c r="D704" s="156"/>
      <c r="E704" s="156" t="s">
        <v>1514</v>
      </c>
      <c r="F704" s="156" t="s">
        <v>612</v>
      </c>
      <c r="G704" s="154">
        <v>223000</v>
      </c>
    </row>
    <row r="705" spans="1:7" ht="21.6" customHeight="1">
      <c r="A705" s="154" t="s">
        <v>1301</v>
      </c>
      <c r="B705" s="154" t="str" cm="1">
        <f t="array" ref="B705">_xlfn.XLOOKUP(TRUE, ISNUMBER(SEARCH(工作表5!$A$1:$A$23, C705)), 工作表5!$B$1:$B$23, "其他")</f>
        <v>轉寫組</v>
      </c>
      <c r="C705" s="145" t="s">
        <v>1826</v>
      </c>
      <c r="D705" s="156"/>
      <c r="E705" s="156" t="s">
        <v>1515</v>
      </c>
      <c r="F705" s="156" t="s">
        <v>614</v>
      </c>
      <c r="G705" s="154">
        <v>223000</v>
      </c>
    </row>
    <row r="706" spans="1:7" ht="21.6" customHeight="1">
      <c r="A706" s="154" t="s">
        <v>1301</v>
      </c>
      <c r="B706" s="154" t="str" cm="1">
        <f t="array" ref="B706">_xlfn.XLOOKUP(TRUE, ISNUMBER(SEARCH(工作表5!$A$1:$A$23, C706)), 工作表5!$B$1:$B$23, "其他")</f>
        <v>其他</v>
      </c>
      <c r="C706" s="144" t="s">
        <v>263</v>
      </c>
      <c r="D706" s="156"/>
      <c r="E706" s="156" t="s">
        <v>1516</v>
      </c>
      <c r="F706" s="156" t="s">
        <v>616</v>
      </c>
      <c r="G706" s="154">
        <v>805700</v>
      </c>
    </row>
    <row r="707" spans="1:7" ht="21.6" customHeight="1">
      <c r="A707" s="154" t="s">
        <v>1301</v>
      </c>
      <c r="B707" s="154" t="str" cm="1">
        <f t="array" ref="B707">_xlfn.XLOOKUP(TRUE, ISNUMBER(SEARCH(工作表5!$A$1:$A$23, C707)), 工作表5!$B$1:$B$23, "其他")</f>
        <v>定著組</v>
      </c>
      <c r="C707" s="145" t="s">
        <v>1809</v>
      </c>
      <c r="D707" s="156"/>
      <c r="E707" s="156" t="s">
        <v>1517</v>
      </c>
      <c r="F707" s="156" t="s">
        <v>619</v>
      </c>
      <c r="G707" s="154">
        <v>358000</v>
      </c>
    </row>
    <row r="708" spans="1:7" ht="21.6" customHeight="1">
      <c r="A708" s="154" t="s">
        <v>1301</v>
      </c>
      <c r="B708" s="154" t="str" cm="1">
        <f t="array" ref="B708">_xlfn.XLOOKUP(TRUE, ISNUMBER(SEARCH(工作表5!$A$1:$A$23, C708)), 工作表5!$B$1:$B$23, "其他")</f>
        <v>定著組</v>
      </c>
      <c r="C708" s="145" t="s">
        <v>87</v>
      </c>
      <c r="D708" s="156"/>
      <c r="E708" s="156" t="s">
        <v>1518</v>
      </c>
      <c r="F708" s="156" t="s">
        <v>621</v>
      </c>
      <c r="G708" s="154">
        <v>358000</v>
      </c>
    </row>
    <row r="709" spans="1:7" ht="21.6" customHeight="1">
      <c r="A709" s="154" t="s">
        <v>1301</v>
      </c>
      <c r="B709" s="154" t="str" cm="1">
        <f t="array" ref="B709">_xlfn.XLOOKUP(TRUE, ISNUMBER(SEARCH(工作表5!$A$1:$A$23, C709)), 工作表5!$B$1:$B$23, "其他")</f>
        <v>定著組</v>
      </c>
      <c r="C709" s="144" t="s">
        <v>1827</v>
      </c>
      <c r="D709" s="156"/>
      <c r="E709" s="156" t="s">
        <v>1519</v>
      </c>
      <c r="F709" s="156" t="s">
        <v>623</v>
      </c>
      <c r="G709" s="154">
        <v>358000</v>
      </c>
    </row>
    <row r="710" spans="1:7" ht="21.6" customHeight="1">
      <c r="A710" s="154" t="s">
        <v>1301</v>
      </c>
      <c r="B710" s="154" t="str" cm="1">
        <f t="array" ref="B710">_xlfn.XLOOKUP(TRUE, ISNUMBER(SEARCH(工作表5!$A$1:$A$23, C710)), 工作表5!$B$1:$B$23, "其他")</f>
        <v>定著組</v>
      </c>
      <c r="C710" s="144" t="s">
        <v>1828</v>
      </c>
      <c r="D710" s="156"/>
      <c r="E710" s="156" t="s">
        <v>1520</v>
      </c>
      <c r="F710" s="156" t="s">
        <v>625</v>
      </c>
      <c r="G710" s="154">
        <v>358000</v>
      </c>
    </row>
    <row r="711" spans="1:7" ht="21.6" customHeight="1">
      <c r="A711" s="154" t="s">
        <v>1301</v>
      </c>
      <c r="B711" s="154" t="str" cm="1">
        <f t="array" ref="B711">_xlfn.XLOOKUP(TRUE, ISNUMBER(SEARCH(工作表5!$A$1:$A$23, C711)), 工作表5!$B$1:$B$23, "其他")</f>
        <v>定著組</v>
      </c>
      <c r="C711" s="145" t="s">
        <v>628</v>
      </c>
      <c r="D711" s="156"/>
      <c r="E711" s="156" t="s">
        <v>1521</v>
      </c>
      <c r="F711" s="156" t="s">
        <v>627</v>
      </c>
      <c r="G711" s="154">
        <v>358000</v>
      </c>
    </row>
    <row r="712" spans="1:7" ht="21.6" customHeight="1">
      <c r="A712" s="154" t="s">
        <v>1301</v>
      </c>
      <c r="B712" s="154" t="str" cm="1">
        <f t="array" ref="B712">_xlfn.XLOOKUP(TRUE, ISNUMBER(SEARCH(工作表5!$A$1:$A$23, C712)), 工作表5!$B$1:$B$23, "其他")</f>
        <v>手送台</v>
      </c>
      <c r="C712" s="144" t="s">
        <v>631</v>
      </c>
      <c r="D712" s="156"/>
      <c r="E712" s="156" t="s">
        <v>1522</v>
      </c>
      <c r="F712" s="156" t="s">
        <v>630</v>
      </c>
      <c r="G712" s="154">
        <v>120000</v>
      </c>
    </row>
    <row r="713" spans="1:7" ht="21.6" customHeight="1">
      <c r="A713" s="154" t="s">
        <v>1301</v>
      </c>
      <c r="B713" s="154" t="str" cm="1">
        <f t="array" ref="B713">_xlfn.XLOOKUP(TRUE, ISNUMBER(SEARCH(工作表5!$A$1:$A$23, C713)), 工作表5!$B$1:$B$23, "其他")</f>
        <v>手送台</v>
      </c>
      <c r="C713" s="144" t="s">
        <v>115</v>
      </c>
      <c r="D713" s="156"/>
      <c r="E713" s="156" t="s">
        <v>1409</v>
      </c>
      <c r="F713" s="156" t="s">
        <v>330</v>
      </c>
      <c r="G713" s="154">
        <v>120000</v>
      </c>
    </row>
    <row r="714" spans="1:7" ht="21.6" customHeight="1">
      <c r="A714" s="154" t="s">
        <v>1301</v>
      </c>
      <c r="B714" s="154" t="str" cm="1">
        <f t="array" ref="B714">_xlfn.XLOOKUP(TRUE, ISNUMBER(SEARCH(工作表5!$A$1:$A$23, C714)), 工作表5!$B$1:$B$23, "其他")</f>
        <v>取紙組</v>
      </c>
      <c r="C714" s="144" t="s">
        <v>1829</v>
      </c>
      <c r="D714" s="156"/>
      <c r="E714" s="156" t="s">
        <v>1389</v>
      </c>
      <c r="F714" s="156" t="s">
        <v>265</v>
      </c>
      <c r="G714" s="154">
        <v>80000</v>
      </c>
    </row>
    <row r="715" spans="1:7" ht="21.6" customHeight="1">
      <c r="A715" s="154" t="s">
        <v>1301</v>
      </c>
      <c r="B715" s="154" t="str" cm="1">
        <f t="array" ref="B715">_xlfn.XLOOKUP(TRUE, ISNUMBER(SEARCH(工作表5!$A$1:$A$23, C715)), 工作表5!$B$1:$B$23, "其他")</f>
        <v>取紙組</v>
      </c>
      <c r="C715" s="144" t="s">
        <v>633</v>
      </c>
      <c r="D715" s="156"/>
      <c r="E715" s="156" t="s">
        <v>1390</v>
      </c>
      <c r="F715" s="156" t="s">
        <v>269</v>
      </c>
      <c r="G715" s="154">
        <v>80000</v>
      </c>
    </row>
    <row r="716" spans="1:7" ht="21.6" customHeight="1">
      <c r="A716" s="154" t="s">
        <v>1301</v>
      </c>
      <c r="B716" s="154" t="str" cm="1">
        <f t="array" ref="B716">_xlfn.XLOOKUP(TRUE, ISNUMBER(SEARCH(工作表5!$A$1:$A$23, C716)), 工作表5!$B$1:$B$23, "其他")</f>
        <v>取紙組</v>
      </c>
      <c r="C716" s="144" t="s">
        <v>1830</v>
      </c>
      <c r="D716" s="156"/>
      <c r="E716" s="156" t="s">
        <v>1391</v>
      </c>
      <c r="F716" s="156" t="s">
        <v>272</v>
      </c>
      <c r="G716" s="154">
        <v>80000</v>
      </c>
    </row>
    <row r="717" spans="1:7" ht="21.6" customHeight="1">
      <c r="A717" s="154" t="s">
        <v>1301</v>
      </c>
      <c r="B717" s="154" t="str" cm="1">
        <f t="array" ref="B717">_xlfn.XLOOKUP(TRUE, ISNUMBER(SEARCH(工作表5!$A$1:$A$23, C717)), 工作表5!$B$1:$B$23, "其他")</f>
        <v>送稿機</v>
      </c>
      <c r="C717" s="144" t="s">
        <v>320</v>
      </c>
      <c r="D717" s="156"/>
      <c r="E717" s="156" t="s">
        <v>1375</v>
      </c>
      <c r="F717" s="156" t="s">
        <v>226</v>
      </c>
      <c r="G717" s="154">
        <v>120000</v>
      </c>
    </row>
    <row r="718" spans="1:7" ht="21.6" customHeight="1">
      <c r="A718" s="154" t="s">
        <v>1301</v>
      </c>
      <c r="B718" s="154" t="str" cm="1">
        <f t="array" ref="B718">_xlfn.XLOOKUP(TRUE, ISNUMBER(SEARCH(工作表5!$A$1:$A$23, C718)), 工作表5!$B$1:$B$23, "其他")</f>
        <v>送稿機</v>
      </c>
      <c r="C718" s="144" t="s">
        <v>278</v>
      </c>
      <c r="D718" s="156"/>
      <c r="E718" s="156" t="s">
        <v>1376</v>
      </c>
      <c r="F718" s="156" t="s">
        <v>230</v>
      </c>
      <c r="G718" s="154">
        <v>120000</v>
      </c>
    </row>
    <row r="719" spans="1:7" ht="21.6" customHeight="1">
      <c r="A719" s="154" t="s">
        <v>1301</v>
      </c>
      <c r="B719" s="154" t="str" cm="1">
        <f t="array" ref="B719">_xlfn.XLOOKUP(TRUE, ISNUMBER(SEARCH(工作表5!$A$1:$A$23, C719)), 工作表5!$B$1:$B$23, "其他")</f>
        <v>送稿機</v>
      </c>
      <c r="C719" s="144" t="s">
        <v>1782</v>
      </c>
      <c r="D719" s="156"/>
      <c r="E719" s="156" t="s">
        <v>1407</v>
      </c>
      <c r="F719" s="156" t="s">
        <v>324</v>
      </c>
      <c r="G719" s="154">
        <v>120000</v>
      </c>
    </row>
    <row r="720" spans="1:7" ht="21.6" customHeight="1">
      <c r="A720" s="154" t="s">
        <v>1301</v>
      </c>
      <c r="B720" s="154" t="str" cm="1">
        <f t="array" ref="B720">_xlfn.XLOOKUP(TRUE, ISNUMBER(SEARCH(工作表5!$A$1:$A$23, C720)), 工作表5!$B$1:$B$23, "其他")</f>
        <v>送稿機</v>
      </c>
      <c r="C720" s="144" t="s">
        <v>285</v>
      </c>
      <c r="D720" s="156"/>
      <c r="E720" s="156" t="s">
        <v>1395</v>
      </c>
      <c r="F720" s="156" t="s">
        <v>226</v>
      </c>
      <c r="G720" s="154">
        <v>120000</v>
      </c>
    </row>
    <row r="721" spans="1:7" ht="21.6" customHeight="1">
      <c r="A721" s="154" t="s">
        <v>1301</v>
      </c>
      <c r="B721" s="154" t="str" cm="1">
        <f t="array" ref="B721">_xlfn.XLOOKUP(TRUE, ISNUMBER(SEARCH(工作表5!$A$1:$A$23, C721)), 工作表5!$B$1:$B$23, "其他")</f>
        <v>送稿機</v>
      </c>
      <c r="C721" s="144" t="s">
        <v>282</v>
      </c>
      <c r="D721" s="156"/>
      <c r="E721" s="156" t="s">
        <v>1396</v>
      </c>
      <c r="F721" s="156" t="s">
        <v>288</v>
      </c>
      <c r="G721" s="154">
        <v>120000</v>
      </c>
    </row>
    <row r="722" spans="1:7" ht="21.6" customHeight="1">
      <c r="A722" s="154" t="s">
        <v>1301</v>
      </c>
      <c r="B722" s="154" t="str" cm="1">
        <f t="array" ref="B722">_xlfn.XLOOKUP(TRUE, ISNUMBER(SEARCH(工作表5!$A$1:$A$23, C722)), 工作表5!$B$1:$B$23, "其他")</f>
        <v>取紙組</v>
      </c>
      <c r="C722" s="144" t="s">
        <v>1831</v>
      </c>
      <c r="D722" s="156"/>
      <c r="E722" s="156" t="s">
        <v>1408</v>
      </c>
      <c r="F722" s="156" t="s">
        <v>327</v>
      </c>
      <c r="G722" s="154">
        <v>320000</v>
      </c>
    </row>
    <row r="723" spans="1:7" ht="21.6" customHeight="1">
      <c r="A723" s="154" t="s">
        <v>1301</v>
      </c>
      <c r="B723" s="154" t="str" cm="1">
        <f t="array" ref="B723">_xlfn.XLOOKUP(TRUE, ISNUMBER(SEARCH(工作表5!$A$1:$A$23, C723)), 工作表5!$B$1:$B$23, "其他")</f>
        <v>取紙組</v>
      </c>
      <c r="C723" s="144" t="s">
        <v>634</v>
      </c>
      <c r="D723" s="156"/>
      <c r="E723" s="156" t="s">
        <v>1409</v>
      </c>
      <c r="F723" s="156" t="s">
        <v>330</v>
      </c>
      <c r="G723" s="154">
        <v>320000</v>
      </c>
    </row>
    <row r="724" spans="1:7" ht="21.6" customHeight="1">
      <c r="A724" s="154" t="s">
        <v>1301</v>
      </c>
      <c r="B724" s="154" t="str" cm="1">
        <f t="array" ref="B724">_xlfn.XLOOKUP(TRUE, ISNUMBER(SEARCH(工作表5!$A$1:$A$23, C724)), 工作表5!$B$1:$B$23, "其他")</f>
        <v>其他</v>
      </c>
      <c r="C724" s="144" t="s">
        <v>1784</v>
      </c>
      <c r="D724" s="156"/>
      <c r="E724" s="156" t="s">
        <v>1410</v>
      </c>
      <c r="F724" s="156" t="s">
        <v>333</v>
      </c>
      <c r="G724" s="154">
        <v>500000</v>
      </c>
    </row>
    <row r="725" spans="1:7" ht="21.6" customHeight="1">
      <c r="A725" s="154" t="s">
        <v>1301</v>
      </c>
      <c r="B725" s="154" t="str" cm="1">
        <f t="array" ref="B725">_xlfn.XLOOKUP(TRUE, ISNUMBER(SEARCH(工作表5!$A$1:$A$23, C725)), 工作表5!$B$1:$B$23, "其他")</f>
        <v>送稿機</v>
      </c>
      <c r="C725" s="144" t="s">
        <v>337</v>
      </c>
      <c r="D725" s="156"/>
      <c r="E725" s="156" t="s">
        <v>1411</v>
      </c>
      <c r="F725" s="156" t="s">
        <v>336</v>
      </c>
      <c r="G725" s="154">
        <v>500000</v>
      </c>
    </row>
    <row r="726" spans="1:7" ht="21.6" customHeight="1">
      <c r="A726" s="154" t="s">
        <v>1301</v>
      </c>
      <c r="B726" s="154" t="str" cm="1">
        <f t="array" ref="B726">_xlfn.XLOOKUP(TRUE, ISNUMBER(SEARCH(工作表5!$A$1:$A$23, C726)), 工作表5!$B$1:$B$23, "其他")</f>
        <v>送稿機</v>
      </c>
      <c r="C726" s="145" t="s">
        <v>341</v>
      </c>
      <c r="D726" s="156"/>
      <c r="E726" s="156" t="s">
        <v>1412</v>
      </c>
      <c r="F726" s="156" t="s">
        <v>340</v>
      </c>
      <c r="G726" s="154">
        <v>500000</v>
      </c>
    </row>
    <row r="727" spans="1:7" ht="21.6" customHeight="1">
      <c r="A727" s="154" t="s">
        <v>1301</v>
      </c>
      <c r="B727" s="154" t="str" cm="1">
        <f t="array" ref="B727">_xlfn.XLOOKUP(TRUE, ISNUMBER(SEARCH(工作表5!$A$1:$A$23, C727)), 工作表5!$B$1:$B$23, "其他")</f>
        <v>顯像組</v>
      </c>
      <c r="C727" s="144" t="s">
        <v>637</v>
      </c>
      <c r="D727" s="156"/>
      <c r="E727" s="156" t="s">
        <v>1523</v>
      </c>
      <c r="F727" s="156" t="s">
        <v>636</v>
      </c>
      <c r="G727" s="154">
        <v>223000</v>
      </c>
    </row>
    <row r="728" spans="1:7" ht="21.6" customHeight="1">
      <c r="A728" s="154" t="s">
        <v>1301</v>
      </c>
      <c r="B728" s="154" t="str" cm="1">
        <f t="array" ref="B728">_xlfn.XLOOKUP(TRUE, ISNUMBER(SEARCH(工作表5!$A$1:$A$23, C728)), 工作表5!$B$1:$B$23, "其他")</f>
        <v>取紙組</v>
      </c>
      <c r="C728" s="144" t="s">
        <v>638</v>
      </c>
      <c r="D728" s="156"/>
      <c r="E728" s="156" t="s">
        <v>1399</v>
      </c>
      <c r="F728" s="156" t="s">
        <v>296</v>
      </c>
      <c r="G728" s="154">
        <v>80000</v>
      </c>
    </row>
    <row r="729" spans="1:7" ht="21.6" customHeight="1">
      <c r="A729" s="154" t="s">
        <v>1301</v>
      </c>
      <c r="B729" s="154" t="str" cm="1">
        <f t="array" ref="B729">_xlfn.XLOOKUP(TRUE, ISNUMBER(SEARCH(工作表5!$A$1:$A$23, C729)), 工作表5!$B$1:$B$23, "其他")</f>
        <v>送稿機</v>
      </c>
      <c r="C729" s="144" t="s">
        <v>300</v>
      </c>
      <c r="D729" s="156"/>
      <c r="E729" s="156" t="s">
        <v>1400</v>
      </c>
      <c r="F729" s="156" t="s">
        <v>299</v>
      </c>
      <c r="G729" s="154">
        <v>120000</v>
      </c>
    </row>
    <row r="730" spans="1:7" ht="21.6" customHeight="1">
      <c r="A730" s="154" t="s">
        <v>1301</v>
      </c>
      <c r="B730" s="154" t="str" cm="1">
        <f t="array" ref="B730">_xlfn.XLOOKUP(TRUE, ISNUMBER(SEARCH(工作表5!$A$1:$A$23, C730)), 工作表5!$B$1:$B$23, "其他")</f>
        <v>送稿機</v>
      </c>
      <c r="C730" s="144" t="s">
        <v>303</v>
      </c>
      <c r="D730" s="156"/>
      <c r="E730" s="156" t="s">
        <v>1414</v>
      </c>
      <c r="F730" s="156" t="s">
        <v>346</v>
      </c>
      <c r="G730" s="154">
        <v>120000</v>
      </c>
    </row>
    <row r="731" spans="1:7" ht="21.6" customHeight="1">
      <c r="A731" s="154" t="s">
        <v>1301</v>
      </c>
      <c r="B731" s="154" t="str" cm="1">
        <f t="array" ref="B731">_xlfn.XLOOKUP(TRUE, ISNUMBER(SEARCH(工作表5!$A$1:$A$23, C731)), 工作表5!$B$1:$B$23, "其他")</f>
        <v>其他</v>
      </c>
      <c r="C731" s="144" t="s">
        <v>349</v>
      </c>
      <c r="D731" s="156"/>
      <c r="E731" s="156" t="s">
        <v>1415</v>
      </c>
      <c r="F731" s="156" t="s">
        <v>348</v>
      </c>
      <c r="G731" s="154">
        <v>500000</v>
      </c>
    </row>
    <row r="732" spans="1:7" ht="21.6" customHeight="1">
      <c r="A732" s="154" t="s">
        <v>1301</v>
      </c>
      <c r="B732" s="154" t="str" cm="1">
        <f t="array" ref="B732">_xlfn.XLOOKUP(TRUE, ISNUMBER(SEARCH(工作表5!$A$1:$A$23, C732)), 工作表5!$B$1:$B$23, "其他")</f>
        <v>定著組</v>
      </c>
      <c r="C732" s="144" t="s">
        <v>642</v>
      </c>
      <c r="D732" s="156"/>
      <c r="E732" s="156" t="s">
        <v>1524</v>
      </c>
      <c r="F732" s="156" t="s">
        <v>641</v>
      </c>
      <c r="G732" s="154">
        <v>358000</v>
      </c>
    </row>
    <row r="733" spans="1:7" ht="21.6" customHeight="1">
      <c r="A733" s="154" t="s">
        <v>1301</v>
      </c>
      <c r="B733" s="154" t="str" cm="1">
        <f t="array" ref="B733">_xlfn.XLOOKUP(TRUE, ISNUMBER(SEARCH(工作表5!$A$1:$A$23, C733)), 工作表5!$B$1:$B$23, "其他")</f>
        <v>轉寫組</v>
      </c>
      <c r="C733" s="144" t="s">
        <v>645</v>
      </c>
      <c r="D733" s="156"/>
      <c r="E733" s="156" t="s">
        <v>1525</v>
      </c>
      <c r="F733" s="156" t="s">
        <v>644</v>
      </c>
      <c r="G733" s="154">
        <v>223000</v>
      </c>
    </row>
    <row r="734" spans="1:7" ht="21.6" customHeight="1">
      <c r="A734" s="154" t="s">
        <v>1301</v>
      </c>
      <c r="B734" s="154" t="str" cm="1">
        <f t="array" ref="B734">_xlfn.XLOOKUP(TRUE, ISNUMBER(SEARCH(工作表5!$A$1:$A$23, C734)), 工作表5!$B$1:$B$23, "其他")</f>
        <v>定著組</v>
      </c>
      <c r="C734" s="145" t="s">
        <v>585</v>
      </c>
      <c r="D734" s="156"/>
      <c r="E734" s="156" t="s">
        <v>1526</v>
      </c>
      <c r="F734" s="156" t="s">
        <v>647</v>
      </c>
      <c r="G734" s="154" t="e">
        <v>#VALUE!</v>
      </c>
    </row>
    <row r="735" spans="1:7" ht="21.6" customHeight="1">
      <c r="A735" s="154" t="s">
        <v>1301</v>
      </c>
      <c r="B735" s="154" t="str" cm="1">
        <f t="array" ref="B735">_xlfn.XLOOKUP(TRUE, ISNUMBER(SEARCH(工作表5!$A$1:$A$23, C735)), 工作表5!$B$1:$B$23, "其他")</f>
        <v>顯像組</v>
      </c>
      <c r="C735" s="145" t="s">
        <v>129</v>
      </c>
      <c r="D735" s="156"/>
      <c r="E735" s="156" t="s">
        <v>1527</v>
      </c>
      <c r="F735" s="156" t="s">
        <v>649</v>
      </c>
      <c r="G735" s="154" t="e">
        <v>#VALUE!</v>
      </c>
    </row>
    <row r="736" spans="1:7" ht="21.6" customHeight="1">
      <c r="A736" s="154" t="s">
        <v>1301</v>
      </c>
      <c r="B736" s="154" t="str" cm="1">
        <f t="array" ref="B736">_xlfn.XLOOKUP(TRUE, ISNUMBER(SEARCH(工作表5!$A$1:$A$23, C736)), 工作表5!$B$1:$B$23, "其他")</f>
        <v>轉寫組</v>
      </c>
      <c r="C736" s="144" t="s">
        <v>1821</v>
      </c>
      <c r="D736" s="156"/>
      <c r="E736" s="156" t="s">
        <v>1528</v>
      </c>
      <c r="F736" s="156" t="s">
        <v>651</v>
      </c>
      <c r="G736" s="154" t="e">
        <v>#VALUE!</v>
      </c>
    </row>
    <row r="737" spans="1:7" ht="21.6" customHeight="1">
      <c r="A737" s="154" t="s">
        <v>1301</v>
      </c>
      <c r="B737" s="154" t="str" cm="1">
        <f t="array" ref="B737">_xlfn.XLOOKUP(TRUE, ISNUMBER(SEARCH(工作表5!$A$1:$A$23, C737)), 工作表5!$B$1:$B$23, "其他")</f>
        <v>轉寫組</v>
      </c>
      <c r="C737" s="150" t="s">
        <v>1805</v>
      </c>
      <c r="D737" s="156"/>
      <c r="E737" s="156" t="s">
        <v>1529</v>
      </c>
      <c r="F737" s="156" t="s">
        <v>653</v>
      </c>
      <c r="G737" s="154" t="e">
        <v>#VALUE!</v>
      </c>
    </row>
    <row r="738" spans="1:7" ht="21.6" customHeight="1">
      <c r="A738" s="154">
        <v>657</v>
      </c>
      <c r="B738" s="154" t="str" cm="1">
        <f t="array" ref="B738">_xlfn.XLOOKUP(TRUE, ISNUMBER(SEARCH(工作表5!$A$1:$A$23, C738)), 工作表5!$B$1:$B$23, "其他")</f>
        <v>滾筒組</v>
      </c>
      <c r="C738" s="143" t="s">
        <v>193</v>
      </c>
      <c r="D738" s="156"/>
      <c r="E738" s="156" t="s">
        <v>1433</v>
      </c>
      <c r="F738" s="156" t="s">
        <v>410</v>
      </c>
      <c r="G738" s="154">
        <v>515000</v>
      </c>
    </row>
    <row r="739" spans="1:7" ht="21.6" customHeight="1">
      <c r="A739" s="154">
        <v>657</v>
      </c>
      <c r="B739" s="154" t="str" cm="1">
        <f t="array" ref="B739">_xlfn.XLOOKUP(TRUE, ISNUMBER(SEARCH(工作表5!$A$1:$A$23, C739)), 工作表5!$B$1:$B$23, "其他")</f>
        <v>顯像組</v>
      </c>
      <c r="C739" s="144" t="s">
        <v>75</v>
      </c>
      <c r="D739" s="156"/>
      <c r="E739" s="156" t="s">
        <v>1434</v>
      </c>
      <c r="F739" s="156" t="s">
        <v>412</v>
      </c>
      <c r="G739" s="154">
        <v>515000</v>
      </c>
    </row>
    <row r="740" spans="1:7" ht="21.6" customHeight="1">
      <c r="A740" s="154">
        <v>657</v>
      </c>
      <c r="B740" s="154" t="str" cm="1">
        <f t="array" ref="B740">_xlfn.XLOOKUP(TRUE, ISNUMBER(SEARCH(工作表5!$A$1:$A$23, C740)), 工作表5!$B$1:$B$23, "其他")</f>
        <v>滾筒組</v>
      </c>
      <c r="C740" s="145" t="s">
        <v>415</v>
      </c>
      <c r="D740" s="156"/>
      <c r="E740" s="156" t="s">
        <v>1435</v>
      </c>
      <c r="F740" s="156" t="s">
        <v>414</v>
      </c>
      <c r="G740" s="154">
        <v>515000</v>
      </c>
    </row>
    <row r="741" spans="1:7" ht="21.6" customHeight="1">
      <c r="A741" s="154">
        <v>657</v>
      </c>
      <c r="B741" s="154" t="str" cm="1">
        <f t="array" ref="B741">_xlfn.XLOOKUP(TRUE, ISNUMBER(SEARCH(工作表5!$A$1:$A$23, C741)), 工作表5!$B$1:$B$23, "其他")</f>
        <v>滾筒組</v>
      </c>
      <c r="C741" s="144" t="s">
        <v>418</v>
      </c>
      <c r="D741" s="156"/>
      <c r="E741" s="156" t="s">
        <v>1436</v>
      </c>
      <c r="F741" s="156" t="s">
        <v>417</v>
      </c>
      <c r="G741" s="154">
        <v>515000</v>
      </c>
    </row>
    <row r="742" spans="1:7" ht="21.6" customHeight="1">
      <c r="A742" s="154">
        <v>657</v>
      </c>
      <c r="B742" s="154" t="str" cm="1">
        <f t="array" ref="B742">_xlfn.XLOOKUP(TRUE, ISNUMBER(SEARCH(工作表5!$A$1:$A$23, C742)), 工作表5!$B$1:$B$23, "其他")</f>
        <v>定著組</v>
      </c>
      <c r="C742" s="145" t="s">
        <v>1775</v>
      </c>
      <c r="D742" s="156"/>
      <c r="E742" s="156" t="s">
        <v>1437</v>
      </c>
      <c r="F742" s="156" t="s">
        <v>420</v>
      </c>
      <c r="G742" s="154">
        <v>515000</v>
      </c>
    </row>
    <row r="743" spans="1:7" ht="21.6" customHeight="1">
      <c r="A743" s="154">
        <v>657</v>
      </c>
      <c r="B743" s="154" t="str" cm="1">
        <f t="array" ref="B743">_xlfn.XLOOKUP(TRUE, ISNUMBER(SEARCH(工作表5!$A$1:$A$23, C743)), 工作表5!$B$1:$B$23, "其他")</f>
        <v>定著組</v>
      </c>
      <c r="C743" s="144" t="s">
        <v>87</v>
      </c>
      <c r="D743" s="156"/>
      <c r="E743" s="156" t="s">
        <v>1530</v>
      </c>
      <c r="F743" s="156" t="s">
        <v>656</v>
      </c>
      <c r="G743" s="154">
        <v>1030000</v>
      </c>
    </row>
    <row r="744" spans="1:7" ht="21.6" customHeight="1">
      <c r="A744" s="154">
        <v>657</v>
      </c>
      <c r="B744" s="154" t="str" cm="1">
        <f t="array" ref="B744">_xlfn.XLOOKUP(TRUE, ISNUMBER(SEARCH(工作表5!$A$1:$A$23, C744)), 工作表5!$B$1:$B$23, "其他")</f>
        <v>定著組</v>
      </c>
      <c r="C744" s="144" t="s">
        <v>1789</v>
      </c>
      <c r="D744" s="156"/>
      <c r="E744" s="156" t="s">
        <v>1439</v>
      </c>
      <c r="F744" s="156" t="s">
        <v>424</v>
      </c>
      <c r="G744" s="154">
        <v>515000</v>
      </c>
    </row>
    <row r="745" spans="1:7" ht="21.6" customHeight="1">
      <c r="A745" s="154">
        <v>657</v>
      </c>
      <c r="B745" s="154" t="str" cm="1">
        <f t="array" ref="B745">_xlfn.XLOOKUP(TRUE, ISNUMBER(SEARCH(工作表5!$A$1:$A$23, C745)), 工作表5!$B$1:$B$23, "其他")</f>
        <v>定著組</v>
      </c>
      <c r="C745" s="144" t="s">
        <v>1790</v>
      </c>
      <c r="D745" s="156"/>
      <c r="E745" s="156" t="s">
        <v>1440</v>
      </c>
      <c r="F745" s="156" t="s">
        <v>426</v>
      </c>
      <c r="G745" s="154">
        <v>515000</v>
      </c>
    </row>
    <row r="746" spans="1:7" ht="21.6" customHeight="1">
      <c r="A746" s="154">
        <v>657</v>
      </c>
      <c r="B746" s="154" t="str" cm="1">
        <f t="array" ref="B746">_xlfn.XLOOKUP(TRUE, ISNUMBER(SEARCH(工作表5!$A$1:$A$23, C746)), 工作表5!$B$1:$B$23, "其他")</f>
        <v>轉寫組</v>
      </c>
      <c r="C746" s="144" t="s">
        <v>1791</v>
      </c>
      <c r="D746" s="156"/>
      <c r="E746" s="156" t="s">
        <v>1441</v>
      </c>
      <c r="F746" s="156" t="s">
        <v>428</v>
      </c>
      <c r="G746" s="154">
        <v>515000</v>
      </c>
    </row>
    <row r="747" spans="1:7" ht="21.6" customHeight="1">
      <c r="A747" s="154">
        <v>657</v>
      </c>
      <c r="B747" s="154" t="str" cm="1">
        <f t="array" ref="B747">_xlfn.XLOOKUP(TRUE, ISNUMBER(SEARCH(工作表5!$A$1:$A$23, C747)), 工作表5!$B$1:$B$23, "其他")</f>
        <v>轉寫組</v>
      </c>
      <c r="C747" s="144" t="s">
        <v>1792</v>
      </c>
      <c r="D747" s="156"/>
      <c r="E747" s="156" t="s">
        <v>1442</v>
      </c>
      <c r="F747" s="156" t="s">
        <v>430</v>
      </c>
      <c r="G747" s="154">
        <v>515000</v>
      </c>
    </row>
    <row r="748" spans="1:7" ht="21.6" customHeight="1">
      <c r="A748" s="154">
        <v>657</v>
      </c>
      <c r="B748" s="154" t="str" cm="1">
        <f t="array" ref="B748">_xlfn.XLOOKUP(TRUE, ISNUMBER(SEARCH(工作表5!$A$1:$A$23, C748)), 工作表5!$B$1:$B$23, "其他")</f>
        <v>轉寫組</v>
      </c>
      <c r="C748" s="144" t="s">
        <v>1793</v>
      </c>
      <c r="D748" s="156"/>
      <c r="E748" s="156" t="s">
        <v>1443</v>
      </c>
      <c r="F748" s="156" t="s">
        <v>432</v>
      </c>
      <c r="G748" s="154">
        <v>515000</v>
      </c>
    </row>
    <row r="749" spans="1:7" ht="21.6" customHeight="1">
      <c r="A749" s="154">
        <v>657</v>
      </c>
      <c r="B749" s="154" t="str" cm="1">
        <f t="array" ref="B749">_xlfn.XLOOKUP(TRUE, ISNUMBER(SEARCH(工作表5!$A$1:$A$23, C749)), 工作表5!$B$1:$B$23, "其他")</f>
        <v>滾筒組</v>
      </c>
      <c r="C749" s="144" t="s">
        <v>95</v>
      </c>
      <c r="D749" s="156"/>
      <c r="E749" s="156" t="s">
        <v>1444</v>
      </c>
      <c r="F749" s="156" t="s">
        <v>434</v>
      </c>
      <c r="G749" s="154">
        <v>515000</v>
      </c>
    </row>
    <row r="750" spans="1:7" ht="21.6" customHeight="1">
      <c r="A750" s="154">
        <v>657</v>
      </c>
      <c r="B750" s="154" t="str" cm="1">
        <f t="array" ref="B750">_xlfn.XLOOKUP(TRUE, ISNUMBER(SEARCH(工作表5!$A$1:$A$23, C750)), 工作表5!$B$1:$B$23, "其他")</f>
        <v>其他</v>
      </c>
      <c r="C750" s="144" t="s">
        <v>101</v>
      </c>
      <c r="D750" s="156"/>
      <c r="E750" s="156" t="s">
        <v>1445</v>
      </c>
      <c r="F750" s="156" t="s">
        <v>436</v>
      </c>
      <c r="G750" s="154">
        <v>515000</v>
      </c>
    </row>
    <row r="751" spans="1:7" ht="21.6" customHeight="1">
      <c r="A751" s="154">
        <v>657</v>
      </c>
      <c r="B751" s="154" t="str" cm="1">
        <f t="array" ref="B751">_xlfn.XLOOKUP(TRUE, ISNUMBER(SEARCH(工作表5!$A$1:$A$23, C751)), 工作表5!$B$1:$B$23, "其他")</f>
        <v>顯像組</v>
      </c>
      <c r="C751" s="144" t="s">
        <v>1794</v>
      </c>
      <c r="D751" s="156"/>
      <c r="E751" s="156" t="s">
        <v>1446</v>
      </c>
      <c r="F751" s="156" t="s">
        <v>438</v>
      </c>
      <c r="G751" s="154">
        <v>515000</v>
      </c>
    </row>
    <row r="752" spans="1:7" ht="21.6" customHeight="1">
      <c r="A752" s="154">
        <v>657</v>
      </c>
      <c r="B752" s="154" t="str" cm="1">
        <f t="array" ref="B752">_xlfn.XLOOKUP(TRUE, ISNUMBER(SEARCH(工作表5!$A$1:$A$23, C752)), 工作表5!$B$1:$B$23, "其他")</f>
        <v>其他</v>
      </c>
      <c r="C752" s="145" t="s">
        <v>1795</v>
      </c>
      <c r="D752" s="156"/>
      <c r="E752" s="156" t="s">
        <v>1447</v>
      </c>
      <c r="F752" s="156" t="s">
        <v>440</v>
      </c>
      <c r="G752" s="154">
        <v>515000</v>
      </c>
    </row>
    <row r="753" spans="1:7" ht="21.6" customHeight="1">
      <c r="A753" s="154">
        <v>657</v>
      </c>
      <c r="B753" s="154" t="str" cm="1">
        <f t="array" ref="B753">_xlfn.XLOOKUP(TRUE, ISNUMBER(SEARCH(工作表5!$A$1:$A$23, C753)), 工作表5!$B$1:$B$23, "其他")</f>
        <v>滾筒組</v>
      </c>
      <c r="C753" s="144" t="s">
        <v>107</v>
      </c>
      <c r="D753" s="156"/>
      <c r="E753" s="156" t="s">
        <v>1448</v>
      </c>
      <c r="F753" s="156" t="s">
        <v>442</v>
      </c>
      <c r="G753" s="154">
        <v>515000</v>
      </c>
    </row>
    <row r="754" spans="1:7" ht="21.6" customHeight="1">
      <c r="A754" s="154">
        <v>657</v>
      </c>
      <c r="B754" s="154" t="str" cm="1">
        <f t="array" ref="B754">_xlfn.XLOOKUP(TRUE, ISNUMBER(SEARCH(工作表5!$A$1:$A$23, C754)), 工作表5!$B$1:$B$23, "其他")</f>
        <v>其他</v>
      </c>
      <c r="C754" s="144" t="s">
        <v>445</v>
      </c>
      <c r="D754" s="156"/>
      <c r="E754" s="156" t="s">
        <v>1449</v>
      </c>
      <c r="F754" s="156" t="s">
        <v>444</v>
      </c>
      <c r="G754" s="154">
        <v>515000</v>
      </c>
    </row>
    <row r="755" spans="1:7" ht="21.6" customHeight="1">
      <c r="A755" s="154">
        <v>657</v>
      </c>
      <c r="B755" s="154" t="str" cm="1">
        <f t="array" ref="B755">_xlfn.XLOOKUP(TRUE, ISNUMBER(SEARCH(工作表5!$A$1:$A$23, C755)), 工作表5!$B$1:$B$23, "其他")</f>
        <v>定著組</v>
      </c>
      <c r="C755" s="144" t="s">
        <v>448</v>
      </c>
      <c r="D755" s="156"/>
      <c r="E755" s="156" t="s">
        <v>1450</v>
      </c>
      <c r="F755" s="156" t="s">
        <v>447</v>
      </c>
      <c r="G755" s="154">
        <v>515000</v>
      </c>
    </row>
    <row r="756" spans="1:7" ht="21.6" customHeight="1">
      <c r="A756" s="154">
        <v>657</v>
      </c>
      <c r="B756" s="154" t="str" cm="1">
        <f t="array" ref="B756">_xlfn.XLOOKUP(TRUE, ISNUMBER(SEARCH(工作表5!$A$1:$A$23, C756)), 工作表5!$B$1:$B$23, "其他")</f>
        <v>其他</v>
      </c>
      <c r="C756" s="144" t="s">
        <v>451</v>
      </c>
      <c r="D756" s="156"/>
      <c r="E756" s="156" t="s">
        <v>1451</v>
      </c>
      <c r="F756" s="156" t="s">
        <v>450</v>
      </c>
      <c r="G756" s="154">
        <v>515000</v>
      </c>
    </row>
    <row r="757" spans="1:7" ht="21.6" customHeight="1">
      <c r="A757" s="154">
        <v>657</v>
      </c>
      <c r="B757" s="154" t="str" cm="1">
        <f t="array" ref="B757">_xlfn.XLOOKUP(TRUE, ISNUMBER(SEARCH(工作表5!$A$1:$A$23, C757)), 工作表5!$B$1:$B$23, "其他")</f>
        <v>取紙組</v>
      </c>
      <c r="C757" s="144" t="s">
        <v>1796</v>
      </c>
      <c r="D757" s="156"/>
      <c r="E757" s="156" t="s">
        <v>1452</v>
      </c>
      <c r="F757" s="156" t="s">
        <v>226</v>
      </c>
      <c r="G757" s="154" t="e">
        <v>#VALUE!</v>
      </c>
    </row>
    <row r="758" spans="1:7" ht="21.6" customHeight="1">
      <c r="A758" s="154">
        <v>657</v>
      </c>
      <c r="B758" s="154" t="str" cm="1">
        <f t="array" ref="B758">_xlfn.XLOOKUP(TRUE, ISNUMBER(SEARCH(工作表5!$A$1:$A$23, C758)), 工作表5!$B$1:$B$23, "其他")</f>
        <v>取紙組</v>
      </c>
      <c r="C758" s="144" t="s">
        <v>456</v>
      </c>
      <c r="D758" s="156"/>
      <c r="E758" s="156" t="s">
        <v>1452</v>
      </c>
      <c r="F758" s="156" t="s">
        <v>226</v>
      </c>
      <c r="G758" s="154" t="e">
        <v>#VALUE!</v>
      </c>
    </row>
    <row r="759" spans="1:7" ht="21.6" customHeight="1">
      <c r="A759" s="154">
        <v>657</v>
      </c>
      <c r="B759" s="154" t="str" cm="1">
        <f t="array" ref="B759">_xlfn.XLOOKUP(TRUE, ISNUMBER(SEARCH(工作表5!$A$1:$A$23, C759)), 工作表5!$B$1:$B$23, "其他")</f>
        <v>取紙組</v>
      </c>
      <c r="C759" s="144" t="s">
        <v>454</v>
      </c>
      <c r="D759" s="156"/>
      <c r="E759" s="156" t="s">
        <v>1453</v>
      </c>
      <c r="F759" s="156" t="s">
        <v>458</v>
      </c>
      <c r="G759" s="154" t="e">
        <v>#VALUE!</v>
      </c>
    </row>
    <row r="760" spans="1:7" ht="21.6" customHeight="1">
      <c r="A760" s="154">
        <v>657</v>
      </c>
      <c r="B760" s="154" t="str" cm="1">
        <f t="array" ref="B760">_xlfn.XLOOKUP(TRUE, ISNUMBER(SEARCH(工作表5!$A$1:$A$23, C760)), 工作表5!$B$1:$B$23, "其他")</f>
        <v>手送台</v>
      </c>
      <c r="C760" s="144" t="s">
        <v>1797</v>
      </c>
      <c r="D760" s="156"/>
      <c r="E760" s="156" t="s">
        <v>1454</v>
      </c>
      <c r="F760" s="156" t="s">
        <v>460</v>
      </c>
      <c r="G760" s="154">
        <v>100000</v>
      </c>
    </row>
    <row r="761" spans="1:7" ht="21.6" customHeight="1">
      <c r="A761" s="154">
        <v>657</v>
      </c>
      <c r="B761" s="154" t="str" cm="1">
        <f t="array" ref="B761">_xlfn.XLOOKUP(TRUE, ISNUMBER(SEARCH(工作表5!$A$1:$A$23, C761)), 工作表5!$B$1:$B$23, "其他")</f>
        <v>手送台</v>
      </c>
      <c r="C761" s="144" t="s">
        <v>115</v>
      </c>
      <c r="D761" s="156"/>
      <c r="E761" s="156" t="s">
        <v>1455</v>
      </c>
      <c r="F761" s="156" t="s">
        <v>462</v>
      </c>
      <c r="G761" s="154">
        <v>100000</v>
      </c>
    </row>
    <row r="762" spans="1:7" ht="21.6" customHeight="1">
      <c r="A762" s="154">
        <v>657</v>
      </c>
      <c r="B762" s="154" t="str" cm="1">
        <f t="array" ref="B762">_xlfn.XLOOKUP(TRUE, ISNUMBER(SEARCH(工作表5!$A$1:$A$23, C762)), 工作表5!$B$1:$B$23, "其他")</f>
        <v>手送台</v>
      </c>
      <c r="C762" s="144" t="s">
        <v>224</v>
      </c>
      <c r="D762" s="156"/>
      <c r="E762" s="156" t="s">
        <v>1456</v>
      </c>
      <c r="F762" s="156" t="s">
        <v>464</v>
      </c>
      <c r="G762" s="154">
        <v>100000</v>
      </c>
    </row>
    <row r="763" spans="1:7" ht="21.6" customHeight="1">
      <c r="A763" s="154">
        <v>657</v>
      </c>
      <c r="B763" s="154" t="str" cm="1">
        <f t="array" ref="B763">_xlfn.XLOOKUP(TRUE, ISNUMBER(SEARCH(工作表5!$A$1:$A$23, C763)), 工作表5!$B$1:$B$23, "其他")</f>
        <v>其他</v>
      </c>
      <c r="C763" s="144" t="s">
        <v>1798</v>
      </c>
      <c r="D763" s="156"/>
      <c r="E763" s="156" t="s">
        <v>1410</v>
      </c>
      <c r="F763" s="156" t="s">
        <v>333</v>
      </c>
      <c r="G763" s="154">
        <v>500000</v>
      </c>
    </row>
    <row r="764" spans="1:7" ht="21.6" customHeight="1">
      <c r="A764" s="154">
        <v>657</v>
      </c>
      <c r="B764" s="154" t="str" cm="1">
        <f t="array" ref="B764">_xlfn.XLOOKUP(TRUE, ISNUMBER(SEARCH(工作表5!$A$1:$A$23, C764)), 工作表5!$B$1:$B$23, "其他")</f>
        <v>其他</v>
      </c>
      <c r="C764" s="144" t="s">
        <v>466</v>
      </c>
      <c r="D764" s="156"/>
      <c r="E764" s="156" t="s">
        <v>1452</v>
      </c>
      <c r="F764" s="156" t="s">
        <v>226</v>
      </c>
      <c r="G764" s="154">
        <v>500000</v>
      </c>
    </row>
    <row r="765" spans="1:7" ht="21.6" customHeight="1">
      <c r="A765" s="154">
        <v>657</v>
      </c>
      <c r="B765" s="154" t="str" cm="1">
        <f t="array" ref="B765">_xlfn.XLOOKUP(TRUE, ISNUMBER(SEARCH(工作表5!$A$1:$A$23, C765)), 工作表5!$B$1:$B$23, "其他")</f>
        <v>其他</v>
      </c>
      <c r="C765" s="144" t="s">
        <v>469</v>
      </c>
      <c r="D765" s="156"/>
      <c r="E765" s="156" t="s">
        <v>1457</v>
      </c>
      <c r="F765" s="156" t="s">
        <v>468</v>
      </c>
      <c r="G765" s="154">
        <v>500000</v>
      </c>
    </row>
    <row r="766" spans="1:7" ht="21.6" customHeight="1">
      <c r="A766" s="154">
        <v>657</v>
      </c>
      <c r="B766" s="154" t="str" cm="1">
        <f t="array" ref="B766">_xlfn.XLOOKUP(TRUE, ISNUMBER(SEARCH(工作表5!$A$1:$A$23, C766)), 工作表5!$B$1:$B$23, "其他")</f>
        <v>送稿機</v>
      </c>
      <c r="C766" s="144" t="s">
        <v>1879</v>
      </c>
      <c r="D766" s="156"/>
      <c r="E766" s="156" t="s">
        <v>1375</v>
      </c>
      <c r="F766" s="156" t="s">
        <v>226</v>
      </c>
      <c r="G766" s="154" t="e">
        <v>#VALUE!</v>
      </c>
    </row>
    <row r="767" spans="1:7" ht="21.6" customHeight="1">
      <c r="A767" s="154">
        <v>657</v>
      </c>
      <c r="B767" s="154" t="str" cm="1">
        <f t="array" ref="B767">_xlfn.XLOOKUP(TRUE, ISNUMBER(SEARCH(工作表5!$A$1:$A$23, C767)), 工作表5!$B$1:$B$23, "其他")</f>
        <v>送稿機</v>
      </c>
      <c r="C767" s="144" t="s">
        <v>1800</v>
      </c>
      <c r="D767" s="156"/>
      <c r="E767" s="156" t="s">
        <v>1375</v>
      </c>
      <c r="F767" s="156" t="s">
        <v>226</v>
      </c>
      <c r="G767" s="154" t="e">
        <v>#VALUE!</v>
      </c>
    </row>
    <row r="768" spans="1:7" ht="21.6" customHeight="1">
      <c r="A768" s="154">
        <v>657</v>
      </c>
      <c r="B768" s="154" t="str" cm="1">
        <f t="array" ref="B768">_xlfn.XLOOKUP(TRUE, ISNUMBER(SEARCH(工作表5!$A$1:$A$23, C768)), 工作表5!$B$1:$B$23, "其他")</f>
        <v>送稿機</v>
      </c>
      <c r="C768" s="144" t="s">
        <v>1801</v>
      </c>
      <c r="D768" s="156"/>
      <c r="E768" s="156" t="s">
        <v>1376</v>
      </c>
      <c r="F768" s="156" t="s">
        <v>230</v>
      </c>
      <c r="G768" s="154" t="e">
        <v>#VALUE!</v>
      </c>
    </row>
    <row r="769" spans="1:7" ht="21.6" customHeight="1">
      <c r="A769" s="154">
        <v>657</v>
      </c>
      <c r="B769" s="154" t="str" cm="1">
        <f t="array" ref="B769">_xlfn.XLOOKUP(TRUE, ISNUMBER(SEARCH(工作表5!$A$1:$A$23, C769)), 工作表5!$B$1:$B$23, "其他")</f>
        <v>顯像組</v>
      </c>
      <c r="C769" s="144" t="s">
        <v>1802</v>
      </c>
      <c r="D769" s="156"/>
      <c r="E769" s="156" t="s">
        <v>1458</v>
      </c>
      <c r="F769" s="156" t="s">
        <v>473</v>
      </c>
      <c r="G769" s="154">
        <v>515000</v>
      </c>
    </row>
    <row r="770" spans="1:7" ht="21.6" customHeight="1">
      <c r="A770" s="154">
        <v>657</v>
      </c>
      <c r="B770" s="154" t="str" cm="1">
        <f t="array" ref="B770">_xlfn.XLOOKUP(TRUE, ISNUMBER(SEARCH(工作表5!$A$1:$A$23, C770)), 工作表5!$B$1:$B$23, "其他")</f>
        <v>定著組</v>
      </c>
      <c r="C770" s="145" t="s">
        <v>244</v>
      </c>
      <c r="D770" s="156"/>
      <c r="E770" s="156" t="s">
        <v>1531</v>
      </c>
      <c r="F770" s="156" t="s">
        <v>658</v>
      </c>
      <c r="G770" s="154">
        <v>1030000</v>
      </c>
    </row>
    <row r="771" spans="1:7" ht="21.6" customHeight="1">
      <c r="A771" s="154">
        <v>657</v>
      </c>
      <c r="B771" s="154" t="str" cm="1">
        <f t="array" ref="B771">_xlfn.XLOOKUP(TRUE, ISNUMBER(SEARCH(工作表5!$A$1:$A$23, C771)), 工作表5!$B$1:$B$23, "其他")</f>
        <v>定著組</v>
      </c>
      <c r="C771" s="145" t="s">
        <v>244</v>
      </c>
      <c r="D771" s="156"/>
      <c r="E771" s="156" t="s">
        <v>1532</v>
      </c>
      <c r="F771" s="156" t="s">
        <v>660</v>
      </c>
      <c r="G771" s="154">
        <v>515000</v>
      </c>
    </row>
    <row r="772" spans="1:7" ht="21.6" customHeight="1">
      <c r="A772" s="154">
        <v>657</v>
      </c>
      <c r="B772" s="154" t="str" cm="1">
        <f t="array" ref="B772">_xlfn.XLOOKUP(TRUE, ISNUMBER(SEARCH(工作表5!$A$1:$A$23, C772)), 工作表5!$B$1:$B$23, "其他")</f>
        <v>其他</v>
      </c>
      <c r="C772" s="145" t="s">
        <v>478</v>
      </c>
      <c r="D772" s="156"/>
      <c r="E772" s="156" t="s">
        <v>1533</v>
      </c>
      <c r="F772" s="156" t="s">
        <v>662</v>
      </c>
      <c r="G772" s="154">
        <v>515000</v>
      </c>
    </row>
    <row r="773" spans="1:7" ht="21.6" customHeight="1">
      <c r="A773" s="154">
        <v>657</v>
      </c>
      <c r="B773" s="154" t="str" cm="1">
        <f t="array" ref="B773">_xlfn.XLOOKUP(TRUE, ISNUMBER(SEARCH(工作表5!$A$1:$A$23, C773)), 工作表5!$B$1:$B$23, "其他")</f>
        <v>其他</v>
      </c>
      <c r="C773" s="144" t="s">
        <v>1803</v>
      </c>
      <c r="D773" s="156"/>
      <c r="E773" s="156" t="s">
        <v>1461</v>
      </c>
      <c r="F773" s="156" t="s">
        <v>480</v>
      </c>
      <c r="G773" s="154">
        <v>515000</v>
      </c>
    </row>
    <row r="774" spans="1:7" ht="21.6" customHeight="1">
      <c r="A774" s="154">
        <v>657</v>
      </c>
      <c r="B774" s="154" t="str" cm="1">
        <f t="array" ref="B774">_xlfn.XLOOKUP(TRUE, ISNUMBER(SEARCH(工作表5!$A$1:$A$23, C774)), 工作表5!$B$1:$B$23, "其他")</f>
        <v>取紙組</v>
      </c>
      <c r="C774" s="144" t="s">
        <v>483</v>
      </c>
      <c r="D774" s="156"/>
      <c r="E774" s="156" t="s">
        <v>1462</v>
      </c>
      <c r="F774" s="156" t="s">
        <v>482</v>
      </c>
      <c r="G774" s="154" t="e">
        <v>#VALUE!</v>
      </c>
    </row>
    <row r="775" spans="1:7" ht="21.6" customHeight="1">
      <c r="A775" s="154">
        <v>657</v>
      </c>
      <c r="B775" s="154" t="str" cm="1">
        <f t="array" ref="B775">_xlfn.XLOOKUP(TRUE, ISNUMBER(SEARCH(工作表5!$A$1:$A$23, C775)), 工作表5!$B$1:$B$23, "其他")</f>
        <v>其他</v>
      </c>
      <c r="C775" s="144" t="s">
        <v>486</v>
      </c>
      <c r="D775" s="156"/>
      <c r="E775" s="156" t="s">
        <v>1463</v>
      </c>
      <c r="F775" s="156" t="s">
        <v>485</v>
      </c>
      <c r="G775" s="154">
        <v>500000</v>
      </c>
    </row>
    <row r="776" spans="1:7" ht="21.6" customHeight="1">
      <c r="A776" s="154">
        <v>657</v>
      </c>
      <c r="B776" s="154" t="str" cm="1">
        <f t="array" ref="B776">_xlfn.XLOOKUP(TRUE, ISNUMBER(SEARCH(工作表5!$A$1:$A$23, C776)), 工作表5!$B$1:$B$23, "其他")</f>
        <v>送稿機</v>
      </c>
      <c r="C776" s="144" t="s">
        <v>1804</v>
      </c>
      <c r="D776" s="156"/>
      <c r="E776" s="156" t="s">
        <v>1383</v>
      </c>
      <c r="F776" s="156" t="s">
        <v>249</v>
      </c>
      <c r="G776" s="154" t="e">
        <v>#VALUE!</v>
      </c>
    </row>
    <row r="777" spans="1:7" ht="21.6" customHeight="1">
      <c r="A777" s="154">
        <v>657</v>
      </c>
      <c r="B777" s="154" t="str" cm="1">
        <f t="array" ref="B777">_xlfn.XLOOKUP(TRUE, ISNUMBER(SEARCH(工作表5!$A$1:$A$23, C777)), 工作表5!$B$1:$B$23, "其他")</f>
        <v>顯像組</v>
      </c>
      <c r="C777" s="145" t="s">
        <v>129</v>
      </c>
      <c r="D777" s="156"/>
      <c r="E777" s="156" t="s">
        <v>1464</v>
      </c>
      <c r="F777" s="156" t="s">
        <v>488</v>
      </c>
      <c r="G777" s="154" t="e">
        <v>#VALUE!</v>
      </c>
    </row>
    <row r="778" spans="1:7" ht="21.6" customHeight="1">
      <c r="A778" s="154">
        <v>657</v>
      </c>
      <c r="B778" s="154" t="str" cm="1">
        <f t="array" ref="B778">_xlfn.XLOOKUP(TRUE, ISNUMBER(SEARCH(工作表5!$A$1:$A$23, C778)), 工作表5!$B$1:$B$23, "其他")</f>
        <v>滾筒組</v>
      </c>
      <c r="C778" s="145" t="s">
        <v>132</v>
      </c>
      <c r="D778" s="156"/>
      <c r="E778" s="156" t="s">
        <v>1465</v>
      </c>
      <c r="F778" s="156" t="s">
        <v>490</v>
      </c>
      <c r="G778" s="154" t="e">
        <v>#VALUE!</v>
      </c>
    </row>
    <row r="779" spans="1:7" ht="21.6" customHeight="1">
      <c r="A779" s="154">
        <v>657</v>
      </c>
      <c r="B779" s="154" t="str" cm="1">
        <f t="array" ref="B779">_xlfn.XLOOKUP(TRUE, ISNUMBER(SEARCH(工作表5!$A$1:$A$23, C779)), 工作表5!$B$1:$B$23, "其他")</f>
        <v>顯像組</v>
      </c>
      <c r="C779" s="144" t="s">
        <v>135</v>
      </c>
      <c r="D779" s="156"/>
      <c r="E779" s="156" t="s">
        <v>1466</v>
      </c>
      <c r="F779" s="156" t="s">
        <v>492</v>
      </c>
      <c r="G779" s="154" t="e">
        <v>#VALUE!</v>
      </c>
    </row>
    <row r="780" spans="1:7" ht="21.6" customHeight="1">
      <c r="A780" s="154">
        <v>657</v>
      </c>
      <c r="B780" s="154" t="str" cm="1">
        <f t="array" ref="B780">_xlfn.XLOOKUP(TRUE, ISNUMBER(SEARCH(工作表5!$A$1:$A$23, C780)), 工作表5!$B$1:$B$23, "其他")</f>
        <v>轉寫組</v>
      </c>
      <c r="C780" s="144" t="s">
        <v>1805</v>
      </c>
      <c r="D780" s="156"/>
      <c r="E780" s="156" t="s">
        <v>1467</v>
      </c>
      <c r="F780" s="156" t="s">
        <v>494</v>
      </c>
      <c r="G780" s="154" t="e">
        <v>#VALUE!</v>
      </c>
    </row>
    <row r="781" spans="1:7" ht="21.6" customHeight="1">
      <c r="A781" s="154">
        <v>657</v>
      </c>
      <c r="B781" s="154" t="str" cm="1">
        <f t="array" ref="B781">_xlfn.XLOOKUP(TRUE, ISNUMBER(SEARCH(工作表5!$A$1:$A$23, C781)), 工作表5!$B$1:$B$23, "其他")</f>
        <v>定著組</v>
      </c>
      <c r="C781" s="149" t="s">
        <v>497</v>
      </c>
      <c r="D781" s="156"/>
      <c r="E781" s="156" t="s">
        <v>1534</v>
      </c>
      <c r="F781" s="156" t="s">
        <v>664</v>
      </c>
      <c r="G781" s="154" t="e">
        <v>#VALUE!</v>
      </c>
    </row>
    <row r="782" spans="1:7" ht="21.6" customHeight="1">
      <c r="A782" s="154" t="s">
        <v>59</v>
      </c>
      <c r="B782" s="154" t="str" cm="1">
        <f t="array" ref="B782">_xlfn.XLOOKUP(TRUE, ISNUMBER(SEARCH(工作表5!$A$1:$A$23, C782)), 工作表5!$B$1:$B$23, "其他")</f>
        <v>滾筒組</v>
      </c>
      <c r="C782" s="143" t="s">
        <v>71</v>
      </c>
      <c r="D782" s="156"/>
      <c r="E782" s="156" t="s">
        <v>1469</v>
      </c>
      <c r="F782" s="156" t="s">
        <v>499</v>
      </c>
      <c r="G782" s="154">
        <v>590000</v>
      </c>
    </row>
    <row r="783" spans="1:7" ht="21.6" customHeight="1">
      <c r="A783" s="154" t="s">
        <v>59</v>
      </c>
      <c r="B783" s="154" t="str" cm="1">
        <f t="array" ref="B783">_xlfn.XLOOKUP(TRUE, ISNUMBER(SEARCH(工作表5!$A$1:$A$23, C783)), 工作表5!$B$1:$B$23, "其他")</f>
        <v>顯像組</v>
      </c>
      <c r="C783" s="145" t="s">
        <v>502</v>
      </c>
      <c r="D783" s="156"/>
      <c r="E783" s="156" t="s">
        <v>1470</v>
      </c>
      <c r="F783" s="156" t="s">
        <v>501</v>
      </c>
      <c r="G783" s="154" t="e">
        <v>#VALUE!</v>
      </c>
    </row>
    <row r="784" spans="1:7" ht="21.6" customHeight="1">
      <c r="A784" s="154" t="s">
        <v>59</v>
      </c>
      <c r="B784" s="154" t="str" cm="1">
        <f t="array" ref="B784">_xlfn.XLOOKUP(TRUE, ISNUMBER(SEARCH(工作表5!$A$1:$A$23, C784)), 工作表5!$B$1:$B$23, "其他")</f>
        <v>滾筒組</v>
      </c>
      <c r="C784" s="145" t="s">
        <v>415</v>
      </c>
      <c r="D784" s="156"/>
      <c r="E784" s="156" t="s">
        <v>1471</v>
      </c>
      <c r="F784" s="156" t="s">
        <v>505</v>
      </c>
      <c r="G784" s="154">
        <v>590000</v>
      </c>
    </row>
    <row r="785" spans="1:7" ht="21.6" customHeight="1">
      <c r="A785" s="154" t="s">
        <v>59</v>
      </c>
      <c r="B785" s="154" t="str" cm="1">
        <f t="array" ref="B785">_xlfn.XLOOKUP(TRUE, ISNUMBER(SEARCH(工作表5!$A$1:$A$23, C785)), 工作表5!$B$1:$B$23, "其他")</f>
        <v>滾筒組</v>
      </c>
      <c r="C785" s="144" t="s">
        <v>107</v>
      </c>
      <c r="D785" s="156"/>
      <c r="E785" s="156" t="s">
        <v>1472</v>
      </c>
      <c r="F785" s="156" t="s">
        <v>507</v>
      </c>
      <c r="G785" s="154">
        <v>590000</v>
      </c>
    </row>
    <row r="786" spans="1:7" ht="21.6" customHeight="1">
      <c r="A786" s="154" t="s">
        <v>59</v>
      </c>
      <c r="B786" s="154" t="str" cm="1">
        <f t="array" ref="B786">_xlfn.XLOOKUP(TRUE, ISNUMBER(SEARCH(工作表5!$A$1:$A$23, C786)), 工作表5!$B$1:$B$23, "其他")</f>
        <v>顯像組</v>
      </c>
      <c r="C786" s="145" t="s">
        <v>104</v>
      </c>
      <c r="D786" s="156"/>
      <c r="E786" s="156" t="s">
        <v>1473</v>
      </c>
      <c r="F786" s="156" t="s">
        <v>509</v>
      </c>
      <c r="G786" s="154">
        <v>590000</v>
      </c>
    </row>
    <row r="787" spans="1:7" ht="21.6" customHeight="1">
      <c r="A787" s="154" t="s">
        <v>59</v>
      </c>
      <c r="B787" s="154" t="str" cm="1">
        <f t="array" ref="B787">_xlfn.XLOOKUP(TRUE, ISNUMBER(SEARCH(工作表5!$A$1:$A$23, C787)), 工作表5!$B$1:$B$23, "其他")</f>
        <v>顯像組</v>
      </c>
      <c r="C787" s="145" t="s">
        <v>1806</v>
      </c>
      <c r="D787" s="156"/>
      <c r="E787" s="156" t="s">
        <v>1474</v>
      </c>
      <c r="F787" s="156" t="s">
        <v>511</v>
      </c>
      <c r="G787" s="154">
        <v>590000</v>
      </c>
    </row>
    <row r="788" spans="1:7" ht="21.6" customHeight="1">
      <c r="A788" s="154" t="s">
        <v>59</v>
      </c>
      <c r="B788" s="154" t="str" cm="1">
        <f t="array" ref="B788">_xlfn.XLOOKUP(TRUE, ISNUMBER(SEARCH(工作表5!$A$1:$A$23, C788)), 工作表5!$B$1:$B$23, "其他")</f>
        <v>滾筒組</v>
      </c>
      <c r="C788" s="145" t="s">
        <v>1807</v>
      </c>
      <c r="D788" s="156"/>
      <c r="E788" s="156" t="s">
        <v>1475</v>
      </c>
      <c r="F788" s="156" t="s">
        <v>513</v>
      </c>
      <c r="G788" s="154">
        <v>590000</v>
      </c>
    </row>
    <row r="789" spans="1:7" ht="21.6" customHeight="1">
      <c r="A789" s="154" t="s">
        <v>59</v>
      </c>
      <c r="B789" s="154" t="str" cm="1">
        <f t="array" ref="B789">_xlfn.XLOOKUP(TRUE, ISNUMBER(SEARCH(工作表5!$A$1:$A$23, C789)), 工作表5!$B$1:$B$23, "其他")</f>
        <v>滾筒組</v>
      </c>
      <c r="C789" s="145" t="s">
        <v>516</v>
      </c>
      <c r="D789" s="156"/>
      <c r="E789" s="156" t="s">
        <v>1476</v>
      </c>
      <c r="F789" s="156" t="s">
        <v>515</v>
      </c>
      <c r="G789" s="154">
        <v>590000</v>
      </c>
    </row>
    <row r="790" spans="1:7" ht="21.6" customHeight="1">
      <c r="A790" s="154" t="s">
        <v>59</v>
      </c>
      <c r="B790" s="154" t="str" cm="1">
        <f t="array" ref="B790">_xlfn.XLOOKUP(TRUE, ISNUMBER(SEARCH(工作表5!$A$1:$A$23, C790)), 工作表5!$B$1:$B$23, "其他")</f>
        <v>其他</v>
      </c>
      <c r="C790" s="145" t="s">
        <v>1808</v>
      </c>
      <c r="D790" s="156"/>
      <c r="E790" s="156" t="s">
        <v>1477</v>
      </c>
      <c r="F790" s="156" t="s">
        <v>518</v>
      </c>
      <c r="G790" s="154">
        <v>590000</v>
      </c>
    </row>
    <row r="791" spans="1:7" ht="21.6" customHeight="1">
      <c r="A791" s="154" t="s">
        <v>59</v>
      </c>
      <c r="B791" s="154" t="str" cm="1">
        <f t="array" ref="B791">_xlfn.XLOOKUP(TRUE, ISNUMBER(SEARCH(工作表5!$A$1:$A$23, C791)), 工作表5!$B$1:$B$23, "其他")</f>
        <v>其他</v>
      </c>
      <c r="C791" s="144" t="s">
        <v>101</v>
      </c>
      <c r="D791" s="156"/>
      <c r="E791" s="156" t="s">
        <v>1478</v>
      </c>
      <c r="F791" s="156" t="s">
        <v>520</v>
      </c>
      <c r="G791" s="154">
        <v>590000</v>
      </c>
    </row>
    <row r="792" spans="1:7" ht="21.6" customHeight="1">
      <c r="A792" s="154" t="s">
        <v>59</v>
      </c>
      <c r="B792" s="154" t="str" cm="1">
        <f t="array" ref="B792">_xlfn.XLOOKUP(TRUE, ISNUMBER(SEARCH(工作表5!$A$1:$A$23, C792)), 工作表5!$B$1:$B$23, "其他")</f>
        <v>其他</v>
      </c>
      <c r="C792" s="145" t="s">
        <v>523</v>
      </c>
      <c r="D792" s="156"/>
      <c r="E792" s="156" t="s">
        <v>1479</v>
      </c>
      <c r="F792" s="156" t="s">
        <v>522</v>
      </c>
      <c r="G792" s="154">
        <v>590000</v>
      </c>
    </row>
    <row r="793" spans="1:7" ht="21.6" customHeight="1">
      <c r="A793" s="154" t="s">
        <v>59</v>
      </c>
      <c r="B793" s="154" t="str" cm="1">
        <f t="array" ref="B793">_xlfn.XLOOKUP(TRUE, ISNUMBER(SEARCH(工作表5!$A$1:$A$23, C793)), 工作表5!$B$1:$B$23, "其他")</f>
        <v>定著組</v>
      </c>
      <c r="C793" s="144" t="s">
        <v>1809</v>
      </c>
      <c r="D793" s="156"/>
      <c r="E793" s="156" t="s">
        <v>1480</v>
      </c>
      <c r="F793" s="156" t="s">
        <v>525</v>
      </c>
      <c r="G793" s="154">
        <v>590000</v>
      </c>
    </row>
    <row r="794" spans="1:7" ht="21.6" customHeight="1">
      <c r="A794" s="154" t="s">
        <v>59</v>
      </c>
      <c r="B794" s="154" t="str" cm="1">
        <f t="array" ref="B794">_xlfn.XLOOKUP(TRUE, ISNUMBER(SEARCH(工作表5!$A$1:$A$23, C794)), 工作表5!$B$1:$B$23, "其他")</f>
        <v>定著組</v>
      </c>
      <c r="C794" s="144" t="s">
        <v>1810</v>
      </c>
      <c r="D794" s="156"/>
      <c r="E794" s="156" t="s">
        <v>1481</v>
      </c>
      <c r="F794" s="156" t="s">
        <v>528</v>
      </c>
      <c r="G794" s="154">
        <v>590000</v>
      </c>
    </row>
    <row r="795" spans="1:7" ht="21.6" customHeight="1">
      <c r="A795" s="154" t="s">
        <v>59</v>
      </c>
      <c r="B795" s="154" t="str" cm="1">
        <f t="array" ref="B795">_xlfn.XLOOKUP(TRUE, ISNUMBER(SEARCH(工作表5!$A$1:$A$23, C795)), 工作表5!$B$1:$B$23, "其他")</f>
        <v>定著組</v>
      </c>
      <c r="C795" s="144" t="s">
        <v>1811</v>
      </c>
      <c r="D795" s="156"/>
      <c r="E795" s="156" t="s">
        <v>1482</v>
      </c>
      <c r="F795" s="156" t="s">
        <v>530</v>
      </c>
      <c r="G795" s="154">
        <v>590000</v>
      </c>
    </row>
    <row r="796" spans="1:7" ht="21.6" customHeight="1">
      <c r="A796" s="154" t="s">
        <v>59</v>
      </c>
      <c r="B796" s="154" t="str" cm="1">
        <f t="array" ref="B796">_xlfn.XLOOKUP(TRUE, ISNUMBER(SEARCH(工作表5!$A$1:$A$23, C796)), 工作表5!$B$1:$B$23, "其他")</f>
        <v>轉寫組</v>
      </c>
      <c r="C796" s="144" t="s">
        <v>533</v>
      </c>
      <c r="D796" s="156"/>
      <c r="E796" s="156" t="s">
        <v>1483</v>
      </c>
      <c r="F796" s="156" t="s">
        <v>532</v>
      </c>
      <c r="G796" s="154">
        <v>590000</v>
      </c>
    </row>
    <row r="797" spans="1:7" ht="21.6" customHeight="1">
      <c r="A797" s="154" t="s">
        <v>59</v>
      </c>
      <c r="B797" s="154" t="str" cm="1">
        <f t="array" ref="B797">_xlfn.XLOOKUP(TRUE, ISNUMBER(SEARCH(工作表5!$A$1:$A$23, C797)), 工作表5!$B$1:$B$23, "其他")</f>
        <v>轉寫組</v>
      </c>
      <c r="C797" s="145" t="s">
        <v>1812</v>
      </c>
      <c r="D797" s="156"/>
      <c r="E797" s="156" t="s">
        <v>1484</v>
      </c>
      <c r="F797" s="156" t="s">
        <v>535</v>
      </c>
      <c r="G797" s="154">
        <v>590000</v>
      </c>
    </row>
    <row r="798" spans="1:7" ht="21.6" customHeight="1">
      <c r="A798" s="154" t="s">
        <v>59</v>
      </c>
      <c r="B798" s="154" t="str" cm="1">
        <f t="array" ref="B798">_xlfn.XLOOKUP(TRUE, ISNUMBER(SEARCH(工作表5!$A$1:$A$23, C798)), 工作表5!$B$1:$B$23, "其他")</f>
        <v>轉寫組</v>
      </c>
      <c r="C798" s="145" t="s">
        <v>1813</v>
      </c>
      <c r="D798" s="156"/>
      <c r="E798" s="156" t="s">
        <v>1485</v>
      </c>
      <c r="F798" s="156" t="s">
        <v>537</v>
      </c>
      <c r="G798" s="154">
        <v>590000</v>
      </c>
    </row>
    <row r="799" spans="1:7" ht="21.6" customHeight="1">
      <c r="A799" s="154" t="s">
        <v>59</v>
      </c>
      <c r="B799" s="154" t="str" cm="1">
        <f t="array" ref="B799">_xlfn.XLOOKUP(TRUE, ISNUMBER(SEARCH(工作表5!$A$1:$A$23, C799)), 工作表5!$B$1:$B$23, "其他")</f>
        <v>轉寫組</v>
      </c>
      <c r="C799" s="145" t="s">
        <v>1814</v>
      </c>
      <c r="D799" s="156"/>
      <c r="E799" s="156" t="s">
        <v>1486</v>
      </c>
      <c r="F799" s="156" t="s">
        <v>539</v>
      </c>
      <c r="G799" s="154">
        <v>590000</v>
      </c>
    </row>
    <row r="800" spans="1:7" ht="21.6" customHeight="1">
      <c r="A800" s="154" t="s">
        <v>59</v>
      </c>
      <c r="B800" s="154" t="str" cm="1">
        <f t="array" ref="B800">_xlfn.XLOOKUP(TRUE, ISNUMBER(SEARCH(工作表5!$A$1:$A$23, C800)), 工作表5!$B$1:$B$23, "其他")</f>
        <v>轉寫組</v>
      </c>
      <c r="C800" s="145" t="s">
        <v>1815</v>
      </c>
      <c r="D800" s="156"/>
      <c r="E800" s="156" t="s">
        <v>1487</v>
      </c>
      <c r="F800" s="156" t="s">
        <v>541</v>
      </c>
      <c r="G800" s="154">
        <v>590000</v>
      </c>
    </row>
    <row r="801" spans="1:7" ht="21.6" customHeight="1">
      <c r="A801" s="154" t="s">
        <v>59</v>
      </c>
      <c r="B801" s="154" t="str" cm="1">
        <f t="array" ref="B801">_xlfn.XLOOKUP(TRUE, ISNUMBER(SEARCH(工作表5!$A$1:$A$23, C801)), 工作表5!$B$1:$B$23, "其他")</f>
        <v>取紙組</v>
      </c>
      <c r="C801" s="144" t="s">
        <v>1832</v>
      </c>
      <c r="D801" s="156"/>
      <c r="E801" s="156" t="s">
        <v>1488</v>
      </c>
      <c r="F801" s="156" t="s">
        <v>543</v>
      </c>
      <c r="G801" s="154">
        <v>200000</v>
      </c>
    </row>
    <row r="802" spans="1:7" ht="21.6" customHeight="1">
      <c r="A802" s="154" t="s">
        <v>59</v>
      </c>
      <c r="B802" s="154" t="str" cm="1">
        <f t="array" ref="B802">_xlfn.XLOOKUP(TRUE, ISNUMBER(SEARCH(工作表5!$A$1:$A$23, C802)), 工作表5!$B$1:$B$23, "其他")</f>
        <v>取紙組</v>
      </c>
      <c r="C802" s="144" t="s">
        <v>110</v>
      </c>
      <c r="D802" s="156"/>
      <c r="E802" s="156" t="s">
        <v>1488</v>
      </c>
      <c r="F802" s="156" t="s">
        <v>543</v>
      </c>
      <c r="G802" s="154">
        <v>200000</v>
      </c>
    </row>
    <row r="803" spans="1:7" ht="21.6" customHeight="1">
      <c r="A803" s="154" t="s">
        <v>59</v>
      </c>
      <c r="B803" s="154" t="str" cm="1">
        <f t="array" ref="B803">_xlfn.XLOOKUP(TRUE, ISNUMBER(SEARCH(工作表5!$A$1:$A$23, C803)), 工作表5!$B$1:$B$23, "其他")</f>
        <v>手送台</v>
      </c>
      <c r="C803" s="144" t="s">
        <v>114</v>
      </c>
      <c r="D803" s="156"/>
      <c r="E803" s="156" t="s">
        <v>1453</v>
      </c>
      <c r="F803" s="156" t="s">
        <v>458</v>
      </c>
      <c r="G803" s="154">
        <v>200000</v>
      </c>
    </row>
    <row r="804" spans="1:7" ht="21.6" customHeight="1">
      <c r="A804" s="154" t="s">
        <v>59</v>
      </c>
      <c r="B804" s="154" t="str" cm="1">
        <f t="array" ref="B804">_xlfn.XLOOKUP(TRUE, ISNUMBER(SEARCH(工作表5!$A$1:$A$23, C804)), 工作表5!$B$1:$B$23, "其他")</f>
        <v>大容量取紙組</v>
      </c>
      <c r="C804" s="144" t="s">
        <v>1833</v>
      </c>
      <c r="D804" s="156"/>
      <c r="E804" s="156" t="s">
        <v>1488</v>
      </c>
      <c r="F804" s="156" t="s">
        <v>543</v>
      </c>
      <c r="G804" s="154">
        <v>400000</v>
      </c>
    </row>
    <row r="805" spans="1:7" ht="21.6" customHeight="1">
      <c r="A805" s="154" t="s">
        <v>59</v>
      </c>
      <c r="B805" s="154" t="str" cm="1">
        <f t="array" ref="B805">_xlfn.XLOOKUP(TRUE, ISNUMBER(SEARCH(工作表5!$A$1:$A$23, C805)), 工作表5!$B$1:$B$23, "其他")</f>
        <v>大容量取紙組</v>
      </c>
      <c r="C805" s="144" t="s">
        <v>1833</v>
      </c>
      <c r="D805" s="156"/>
      <c r="E805" s="156" t="s">
        <v>1411</v>
      </c>
      <c r="F805" s="156" t="s">
        <v>336</v>
      </c>
      <c r="G805" s="154">
        <v>400000</v>
      </c>
    </row>
    <row r="806" spans="1:7" ht="21.6" customHeight="1">
      <c r="A806" s="154" t="s">
        <v>59</v>
      </c>
      <c r="B806" s="154" t="str" cm="1">
        <f t="array" ref="B806">_xlfn.XLOOKUP(TRUE, ISNUMBER(SEARCH(工作表5!$A$1:$A$23, C806)), 工作表5!$B$1:$B$23, "其他")</f>
        <v>大容量取紙組</v>
      </c>
      <c r="C806" s="144" t="s">
        <v>1834</v>
      </c>
      <c r="D806" s="156"/>
      <c r="E806" s="156" t="s">
        <v>1412</v>
      </c>
      <c r="F806" s="156" t="s">
        <v>340</v>
      </c>
      <c r="G806" s="154">
        <v>400000</v>
      </c>
    </row>
    <row r="807" spans="1:7" ht="21.6" customHeight="1">
      <c r="A807" s="154" t="s">
        <v>59</v>
      </c>
      <c r="B807" s="154" t="str" cm="1">
        <f t="array" ref="B807">_xlfn.XLOOKUP(TRUE, ISNUMBER(SEARCH(工作表5!$A$1:$A$23, C807)), 工作表5!$B$1:$B$23, "其他")</f>
        <v>送稿機</v>
      </c>
      <c r="C807" s="145" t="s">
        <v>1782</v>
      </c>
      <c r="D807" s="156"/>
      <c r="E807" s="156" t="s">
        <v>1394</v>
      </c>
      <c r="F807" s="156" t="s">
        <v>281</v>
      </c>
      <c r="G807" s="154" t="e">
        <v>#VALUE!</v>
      </c>
    </row>
    <row r="808" spans="1:7" ht="21.6" customHeight="1">
      <c r="A808" s="154" t="s">
        <v>59</v>
      </c>
      <c r="B808" s="154" t="str" cm="1">
        <f t="array" ref="B808">_xlfn.XLOOKUP(TRUE, ISNUMBER(SEARCH(工作表5!$A$1:$A$23, C808)), 工作表5!$B$1:$B$23, "其他")</f>
        <v>送稿機</v>
      </c>
      <c r="C808" s="144" t="s">
        <v>285</v>
      </c>
      <c r="D808" s="156"/>
      <c r="E808" s="156" t="s">
        <v>1395</v>
      </c>
      <c r="F808" s="156" t="s">
        <v>226</v>
      </c>
      <c r="G808" s="154" t="e">
        <v>#VALUE!</v>
      </c>
    </row>
    <row r="809" spans="1:7" ht="21.6" customHeight="1">
      <c r="A809" s="154" t="s">
        <v>59</v>
      </c>
      <c r="B809" s="154" t="str" cm="1">
        <f t="array" ref="B809">_xlfn.XLOOKUP(TRUE, ISNUMBER(SEARCH(工作表5!$A$1:$A$23, C809)), 工作表5!$B$1:$B$23, "其他")</f>
        <v>送稿機</v>
      </c>
      <c r="C809" s="145" t="s">
        <v>282</v>
      </c>
      <c r="D809" s="156"/>
      <c r="E809" s="156" t="s">
        <v>1396</v>
      </c>
      <c r="F809" s="156" t="s">
        <v>288</v>
      </c>
      <c r="G809" s="154" t="e">
        <v>#VALUE!</v>
      </c>
    </row>
    <row r="810" spans="1:7" ht="21.6" customHeight="1">
      <c r="A810" s="154" t="s">
        <v>59</v>
      </c>
      <c r="B810" s="154" t="str" cm="1">
        <f t="array" ref="B810">_xlfn.XLOOKUP(TRUE, ISNUMBER(SEARCH(工作表5!$A$1:$A$23, C810)), 工作表5!$B$1:$B$23, "其他")</f>
        <v>其他</v>
      </c>
      <c r="C810" s="144" t="s">
        <v>1784</v>
      </c>
      <c r="D810" s="156"/>
      <c r="E810" s="156" t="s">
        <v>1452</v>
      </c>
      <c r="F810" s="156" t="s">
        <v>226</v>
      </c>
      <c r="G810" s="154">
        <v>500000</v>
      </c>
    </row>
    <row r="811" spans="1:7" ht="21.6" customHeight="1">
      <c r="A811" s="154" t="s">
        <v>59</v>
      </c>
      <c r="B811" s="154" t="str" cm="1">
        <f t="array" ref="B811">_xlfn.XLOOKUP(TRUE, ISNUMBER(SEARCH(工作表5!$A$1:$A$23, C811)), 工作表5!$B$1:$B$23, "其他")</f>
        <v>送稿機</v>
      </c>
      <c r="C811" s="144" t="s">
        <v>337</v>
      </c>
      <c r="D811" s="156"/>
      <c r="E811" s="156" t="s">
        <v>1411</v>
      </c>
      <c r="F811" s="156" t="s">
        <v>336</v>
      </c>
      <c r="G811" s="154">
        <v>500000</v>
      </c>
    </row>
    <row r="812" spans="1:7" ht="21.6" customHeight="1">
      <c r="A812" s="154" t="s">
        <v>59</v>
      </c>
      <c r="B812" s="154" t="str" cm="1">
        <f t="array" ref="B812">_xlfn.XLOOKUP(TRUE, ISNUMBER(SEARCH(工作表5!$A$1:$A$23, C812)), 工作表5!$B$1:$B$23, "其他")</f>
        <v>送稿機</v>
      </c>
      <c r="C812" s="145" t="s">
        <v>341</v>
      </c>
      <c r="D812" s="156"/>
      <c r="E812" s="156" t="s">
        <v>1412</v>
      </c>
      <c r="F812" s="156" t="s">
        <v>340</v>
      </c>
      <c r="G812" s="154">
        <v>500000</v>
      </c>
    </row>
    <row r="813" spans="1:7" ht="21.6" customHeight="1">
      <c r="A813" s="154" t="s">
        <v>59</v>
      </c>
      <c r="B813" s="154" t="str" cm="1">
        <f t="array" ref="B813">_xlfn.XLOOKUP(TRUE, ISNUMBER(SEARCH(工作表5!$A$1:$A$23, C813)), 工作表5!$B$1:$B$23, "其他")</f>
        <v>其他</v>
      </c>
      <c r="C813" s="144" t="s">
        <v>1818</v>
      </c>
      <c r="D813" s="156"/>
      <c r="E813" s="156" t="s">
        <v>1410</v>
      </c>
      <c r="F813" s="156" t="s">
        <v>333</v>
      </c>
      <c r="G813" s="154">
        <v>500000</v>
      </c>
    </row>
    <row r="814" spans="1:7" ht="21.6" customHeight="1">
      <c r="A814" s="154" t="s">
        <v>59</v>
      </c>
      <c r="B814" s="154" t="str" cm="1">
        <f t="array" ref="B814">_xlfn.XLOOKUP(TRUE, ISNUMBER(SEARCH(工作表5!$A$1:$A$23, C814)), 工作表5!$B$1:$B$23, "其他")</f>
        <v>送稿機</v>
      </c>
      <c r="C814" s="144" t="s">
        <v>546</v>
      </c>
      <c r="D814" s="156"/>
      <c r="E814" s="156" t="s">
        <v>1411</v>
      </c>
      <c r="F814" s="156" t="s">
        <v>336</v>
      </c>
      <c r="G814" s="154">
        <v>500000</v>
      </c>
    </row>
    <row r="815" spans="1:7" ht="21.6" customHeight="1">
      <c r="A815" s="154" t="s">
        <v>59</v>
      </c>
      <c r="B815" s="154" t="str" cm="1">
        <f t="array" ref="B815">_xlfn.XLOOKUP(TRUE, ISNUMBER(SEARCH(工作表5!$A$1:$A$23, C815)), 工作表5!$B$1:$B$23, "其他")</f>
        <v>送稿機</v>
      </c>
      <c r="C815" s="145" t="s">
        <v>547</v>
      </c>
      <c r="D815" s="156"/>
      <c r="E815" s="156" t="s">
        <v>1412</v>
      </c>
      <c r="F815" s="156" t="s">
        <v>340</v>
      </c>
      <c r="G815" s="154">
        <v>500000</v>
      </c>
    </row>
    <row r="816" spans="1:7" ht="21.6" customHeight="1">
      <c r="A816" s="154" t="s">
        <v>59</v>
      </c>
      <c r="B816" s="154" t="str" cm="1">
        <f t="array" ref="B816">_xlfn.XLOOKUP(TRUE, ISNUMBER(SEARCH(工作表5!$A$1:$A$23, C816)), 工作表5!$B$1:$B$23, "其他")</f>
        <v>手送台</v>
      </c>
      <c r="C816" s="145" t="s">
        <v>1819</v>
      </c>
      <c r="D816" s="156"/>
      <c r="E816" s="156" t="s">
        <v>1489</v>
      </c>
      <c r="F816" s="156" t="s">
        <v>549</v>
      </c>
      <c r="G816" s="154">
        <v>100000</v>
      </c>
    </row>
    <row r="817" spans="1:7" ht="21.6" customHeight="1">
      <c r="A817" s="154" t="s">
        <v>59</v>
      </c>
      <c r="B817" s="154" t="str" cm="1">
        <f t="array" ref="B817">_xlfn.XLOOKUP(TRUE, ISNUMBER(SEARCH(工作表5!$A$1:$A$23, C817)), 工作表5!$B$1:$B$23, "其他")</f>
        <v>手送台</v>
      </c>
      <c r="C817" s="144" t="s">
        <v>553</v>
      </c>
      <c r="D817" s="156"/>
      <c r="E817" s="156" t="s">
        <v>1490</v>
      </c>
      <c r="F817" s="156" t="s">
        <v>552</v>
      </c>
      <c r="G817" s="154">
        <v>100000</v>
      </c>
    </row>
    <row r="818" spans="1:7" ht="21.6" customHeight="1">
      <c r="A818" s="154" t="s">
        <v>59</v>
      </c>
      <c r="B818" s="154" t="str" cm="1">
        <f t="array" ref="B818">_xlfn.XLOOKUP(TRUE, ISNUMBER(SEARCH(工作表5!$A$1:$A$23, C818)), 工作表5!$B$1:$B$23, "其他")</f>
        <v>手送台</v>
      </c>
      <c r="C818" s="144" t="s">
        <v>550</v>
      </c>
      <c r="D818" s="156"/>
      <c r="E818" s="156" t="s">
        <v>1491</v>
      </c>
      <c r="F818" s="156" t="s">
        <v>555</v>
      </c>
      <c r="G818" s="154">
        <v>100000</v>
      </c>
    </row>
    <row r="819" spans="1:7" ht="21.6" customHeight="1">
      <c r="A819" s="154" t="s">
        <v>59</v>
      </c>
      <c r="B819" s="154" t="str" cm="1">
        <f t="array" ref="B819">_xlfn.XLOOKUP(TRUE, ISNUMBER(SEARCH(工作表5!$A$1:$A$23, C819)), 工作表5!$B$1:$B$23, "其他")</f>
        <v>手送台</v>
      </c>
      <c r="C819" s="145" t="s">
        <v>1819</v>
      </c>
      <c r="D819" s="156"/>
      <c r="E819" s="156" t="s">
        <v>1489</v>
      </c>
      <c r="F819" s="156" t="s">
        <v>549</v>
      </c>
      <c r="G819" s="154">
        <v>120000</v>
      </c>
    </row>
    <row r="820" spans="1:7" ht="21.6" customHeight="1">
      <c r="A820" s="154" t="s">
        <v>59</v>
      </c>
      <c r="B820" s="154" t="str" cm="1">
        <f t="array" ref="B820">_xlfn.XLOOKUP(TRUE, ISNUMBER(SEARCH(工作表5!$A$1:$A$23, C820)), 工作表5!$B$1:$B$23, "其他")</f>
        <v>手送台</v>
      </c>
      <c r="C820" s="144" t="s">
        <v>553</v>
      </c>
      <c r="D820" s="156"/>
      <c r="E820" s="156" t="s">
        <v>1390</v>
      </c>
      <c r="F820" s="156" t="s">
        <v>269</v>
      </c>
      <c r="G820" s="154">
        <v>120000</v>
      </c>
    </row>
    <row r="821" spans="1:7" ht="21.6" customHeight="1">
      <c r="A821" s="154" t="s">
        <v>59</v>
      </c>
      <c r="B821" s="154" t="str" cm="1">
        <f t="array" ref="B821">_xlfn.XLOOKUP(TRUE, ISNUMBER(SEARCH(工作表5!$A$1:$A$23, C821)), 工作表5!$B$1:$B$23, "其他")</f>
        <v>手送台</v>
      </c>
      <c r="C821" s="144" t="s">
        <v>550</v>
      </c>
      <c r="D821" s="156"/>
      <c r="E821" s="156" t="s">
        <v>1391</v>
      </c>
      <c r="F821" s="156" t="s">
        <v>272</v>
      </c>
      <c r="G821" s="154">
        <v>120000</v>
      </c>
    </row>
    <row r="822" spans="1:7" ht="21.6" customHeight="1">
      <c r="A822" s="154" t="s">
        <v>59</v>
      </c>
      <c r="B822" s="154" t="str" cm="1">
        <f t="array" ref="B822">_xlfn.XLOOKUP(TRUE, ISNUMBER(SEARCH(工作表5!$A$1:$A$23, C822)), 工作表5!$B$1:$B$23, "其他")</f>
        <v>其他</v>
      </c>
      <c r="C822" s="145" t="s">
        <v>558</v>
      </c>
      <c r="D822" s="156"/>
      <c r="E822" s="156" t="s">
        <v>1492</v>
      </c>
      <c r="F822" s="156" t="s">
        <v>557</v>
      </c>
      <c r="G822" s="154">
        <v>590000</v>
      </c>
    </row>
    <row r="823" spans="1:7" ht="21.6" customHeight="1">
      <c r="A823" s="154" t="s">
        <v>59</v>
      </c>
      <c r="B823" s="154" t="str" cm="1">
        <f t="array" ref="B823">_xlfn.XLOOKUP(TRUE, ISNUMBER(SEARCH(工作表5!$A$1:$A$23, C823)), 工作表5!$B$1:$B$23, "其他")</f>
        <v>轉寫組</v>
      </c>
      <c r="C823" s="145" t="s">
        <v>1820</v>
      </c>
      <c r="D823" s="156"/>
      <c r="E823" s="156" t="s">
        <v>1493</v>
      </c>
      <c r="F823" s="156" t="s">
        <v>560</v>
      </c>
      <c r="G823" s="154">
        <v>590000</v>
      </c>
    </row>
    <row r="824" spans="1:7" ht="21.6" customHeight="1">
      <c r="A824" s="154" t="s">
        <v>59</v>
      </c>
      <c r="B824" s="154" t="str" cm="1">
        <f t="array" ref="B824">_xlfn.XLOOKUP(TRUE, ISNUMBER(SEARCH(工作表5!$A$1:$A$23, C824)), 工作表5!$B$1:$B$23, "其他")</f>
        <v>定著組</v>
      </c>
      <c r="C824" s="145" t="s">
        <v>244</v>
      </c>
      <c r="D824" s="156"/>
      <c r="E824" s="156" t="s">
        <v>1494</v>
      </c>
      <c r="F824" s="156" t="s">
        <v>562</v>
      </c>
      <c r="G824" s="154">
        <v>590000</v>
      </c>
    </row>
    <row r="825" spans="1:7" ht="21.6" customHeight="1">
      <c r="A825" s="154" t="s">
        <v>59</v>
      </c>
      <c r="B825" s="154" t="str" cm="1">
        <f t="array" ref="B825">_xlfn.XLOOKUP(TRUE, ISNUMBER(SEARCH(工作表5!$A$1:$A$23, C825)), 工作表5!$B$1:$B$23, "其他")</f>
        <v>其他</v>
      </c>
      <c r="C825" s="145" t="s">
        <v>1803</v>
      </c>
      <c r="D825" s="156"/>
      <c r="E825" s="156" t="s">
        <v>1495</v>
      </c>
      <c r="F825" s="156" t="s">
        <v>564</v>
      </c>
      <c r="G825" s="154">
        <v>590000</v>
      </c>
    </row>
    <row r="826" spans="1:7" ht="21.6" customHeight="1">
      <c r="A826" s="154" t="s">
        <v>59</v>
      </c>
      <c r="B826" s="154" t="str" cm="1">
        <f t="array" ref="B826">_xlfn.XLOOKUP(TRUE, ISNUMBER(SEARCH(工作表5!$A$1:$A$23, C826)), 工作表5!$B$1:$B$23, "其他")</f>
        <v>取紙組</v>
      </c>
      <c r="C826" s="144" t="s">
        <v>567</v>
      </c>
      <c r="D826" s="156"/>
      <c r="E826" s="156" t="s">
        <v>1496</v>
      </c>
      <c r="F826" s="156" t="s">
        <v>566</v>
      </c>
      <c r="G826" s="154">
        <v>200000</v>
      </c>
    </row>
    <row r="827" spans="1:7" ht="21.6" customHeight="1">
      <c r="A827" s="154" t="s">
        <v>59</v>
      </c>
      <c r="B827" s="154" t="str" cm="1">
        <f t="array" ref="B827">_xlfn.XLOOKUP(TRUE, ISNUMBER(SEARCH(工作表5!$A$1:$A$23, C827)), 工作表5!$B$1:$B$23, "其他")</f>
        <v>取紙組</v>
      </c>
      <c r="C827" s="144" t="s">
        <v>567</v>
      </c>
      <c r="D827" s="156"/>
      <c r="E827" s="156" t="s">
        <v>1535</v>
      </c>
      <c r="F827" s="156" t="s">
        <v>673</v>
      </c>
      <c r="G827" s="154">
        <v>400000</v>
      </c>
    </row>
    <row r="828" spans="1:7" ht="21.6" customHeight="1">
      <c r="A828" s="154" t="s">
        <v>59</v>
      </c>
      <c r="B828" s="154" t="str" cm="1">
        <f t="array" ref="B828">_xlfn.XLOOKUP(TRUE, ISNUMBER(SEARCH(工作表5!$A$1:$A$23, C828)), 工作表5!$B$1:$B$23, "其他")</f>
        <v>其他</v>
      </c>
      <c r="C828" s="144" t="s">
        <v>349</v>
      </c>
      <c r="D828" s="156"/>
      <c r="E828" s="156" t="s">
        <v>1415</v>
      </c>
      <c r="F828" s="156" t="s">
        <v>348</v>
      </c>
      <c r="G828" s="154">
        <v>500000</v>
      </c>
    </row>
    <row r="829" spans="1:7" ht="21.6" customHeight="1">
      <c r="A829" s="154" t="s">
        <v>59</v>
      </c>
      <c r="B829" s="154" t="str" cm="1">
        <f t="array" ref="B829">_xlfn.XLOOKUP(TRUE, ISNUMBER(SEARCH(工作表5!$A$1:$A$23, C829)), 工作表5!$B$1:$B$23, "其他")</f>
        <v>其他</v>
      </c>
      <c r="C829" s="144" t="s">
        <v>570</v>
      </c>
      <c r="D829" s="156"/>
      <c r="E829" s="156" t="s">
        <v>1497</v>
      </c>
      <c r="F829" s="156" t="s">
        <v>569</v>
      </c>
      <c r="G829" s="154">
        <v>500000</v>
      </c>
    </row>
    <row r="830" spans="1:7" ht="21.6" customHeight="1">
      <c r="A830" s="154" t="s">
        <v>59</v>
      </c>
      <c r="B830" s="154" t="str" cm="1">
        <f t="array" ref="B830">_xlfn.XLOOKUP(TRUE, ISNUMBER(SEARCH(工作表5!$A$1:$A$23, C830)), 工作表5!$B$1:$B$23, "其他")</f>
        <v>送稿機</v>
      </c>
      <c r="C830" s="145" t="s">
        <v>303</v>
      </c>
      <c r="D830" s="156"/>
      <c r="E830" s="156" t="s">
        <v>1401</v>
      </c>
      <c r="F830" s="156" t="s">
        <v>302</v>
      </c>
      <c r="G830" s="154" t="e">
        <v>#VALUE!</v>
      </c>
    </row>
    <row r="831" spans="1:7" ht="21.6" customHeight="1">
      <c r="A831" s="154" t="s">
        <v>59</v>
      </c>
      <c r="B831" s="154" t="str" cm="1">
        <f t="array" ref="B831">_xlfn.XLOOKUP(TRUE, ISNUMBER(SEARCH(工作表5!$A$1:$A$23, C831)), 工作表5!$B$1:$B$23, "其他")</f>
        <v>滾筒組</v>
      </c>
      <c r="C831" s="145" t="s">
        <v>132</v>
      </c>
      <c r="D831" s="156"/>
      <c r="E831" s="156" t="s">
        <v>1498</v>
      </c>
      <c r="F831" s="156" t="s">
        <v>572</v>
      </c>
      <c r="G831" s="154" t="e">
        <v>#VALUE!</v>
      </c>
    </row>
    <row r="832" spans="1:7" ht="21.6" customHeight="1">
      <c r="A832" s="154" t="s">
        <v>59</v>
      </c>
      <c r="B832" s="154" t="str" cm="1">
        <f t="array" ref="B832">_xlfn.XLOOKUP(TRUE, ISNUMBER(SEARCH(工作表5!$A$1:$A$23, C832)), 工作表5!$B$1:$B$23, "其他")</f>
        <v>顯像組</v>
      </c>
      <c r="C832" s="145" t="s">
        <v>575</v>
      </c>
      <c r="D832" s="156"/>
      <c r="E832" s="156" t="s">
        <v>1499</v>
      </c>
      <c r="F832" s="156" t="s">
        <v>574</v>
      </c>
      <c r="G832" s="154" t="e">
        <v>#VALUE!</v>
      </c>
    </row>
    <row r="833" spans="1:7" ht="21.6" customHeight="1">
      <c r="A833" s="154" t="s">
        <v>59</v>
      </c>
      <c r="B833" s="154" t="str" cm="1">
        <f t="array" ref="B833">_xlfn.XLOOKUP(TRUE, ISNUMBER(SEARCH(工作表5!$A$1:$A$23, C833)), 工作表5!$B$1:$B$23, "其他")</f>
        <v>顯像組</v>
      </c>
      <c r="C833" s="144" t="s">
        <v>135</v>
      </c>
      <c r="D833" s="156"/>
      <c r="E833" s="156" t="s">
        <v>1500</v>
      </c>
      <c r="F833" s="156" t="s">
        <v>577</v>
      </c>
      <c r="G833" s="154" t="e">
        <v>#VALUE!</v>
      </c>
    </row>
    <row r="834" spans="1:7" ht="21.6" customHeight="1">
      <c r="A834" s="154" t="s">
        <v>59</v>
      </c>
      <c r="B834" s="154" t="str" cm="1">
        <f t="array" ref="B834">_xlfn.XLOOKUP(TRUE, ISNUMBER(SEARCH(工作表5!$A$1:$A$23, C834)), 工作表5!$B$1:$B$23, "其他")</f>
        <v>轉寫組</v>
      </c>
      <c r="C834" s="144" t="s">
        <v>1821</v>
      </c>
      <c r="D834" s="156"/>
      <c r="E834" s="156" t="s">
        <v>1501</v>
      </c>
      <c r="F834" s="156" t="s">
        <v>579</v>
      </c>
      <c r="G834" s="154" t="e">
        <v>#VALUE!</v>
      </c>
    </row>
    <row r="835" spans="1:7" ht="21.6" customHeight="1">
      <c r="A835" s="154" t="s">
        <v>59</v>
      </c>
      <c r="B835" s="154" t="str" cm="1">
        <f t="array" ref="B835">_xlfn.XLOOKUP(TRUE, ISNUMBER(SEARCH(工作表5!$A$1:$A$23, C835)), 工作表5!$B$1:$B$23, "其他")</f>
        <v>轉寫組</v>
      </c>
      <c r="C835" s="144" t="s">
        <v>582</v>
      </c>
      <c r="D835" s="156"/>
      <c r="E835" s="156" t="s">
        <v>1502</v>
      </c>
      <c r="F835" s="156" t="s">
        <v>581</v>
      </c>
      <c r="G835" s="154" t="e">
        <v>#VALUE!</v>
      </c>
    </row>
    <row r="836" spans="1:7" ht="21.6" customHeight="1">
      <c r="A836" s="154" t="s">
        <v>59</v>
      </c>
      <c r="B836" s="154" t="str" cm="1">
        <f t="array" ref="B836">_xlfn.XLOOKUP(TRUE, ISNUMBER(SEARCH(工作表5!$A$1:$A$23, C836)), 工作表5!$B$1:$B$23, "其他")</f>
        <v>定著組</v>
      </c>
      <c r="C836" s="145" t="s">
        <v>585</v>
      </c>
      <c r="D836" s="156"/>
      <c r="E836" s="156" t="s">
        <v>1503</v>
      </c>
      <c r="F836" s="156" t="s">
        <v>584</v>
      </c>
      <c r="G836" s="154" t="e">
        <v>#VALUE!</v>
      </c>
    </row>
    <row r="837" spans="1:7" ht="21.6" customHeight="1">
      <c r="A837" s="154" t="s">
        <v>59</v>
      </c>
      <c r="B837" s="154" t="str" cm="1">
        <f t="array" ref="B837">_xlfn.XLOOKUP(TRUE, ISNUMBER(SEARCH(工作表5!$A$1:$A$23, C837)), 工作表5!$B$1:$B$23, "其他")</f>
        <v>定著組</v>
      </c>
      <c r="C837" s="145" t="s">
        <v>585</v>
      </c>
      <c r="D837" s="156"/>
      <c r="E837" s="156" t="s">
        <v>1536</v>
      </c>
      <c r="F837" s="156" t="s">
        <v>676</v>
      </c>
      <c r="G837" s="154" t="e">
        <v>#VALUE!</v>
      </c>
    </row>
    <row r="838" spans="1:7" ht="21.6" customHeight="1">
      <c r="A838" s="154" t="s">
        <v>61</v>
      </c>
      <c r="B838" s="154" t="str" cm="1">
        <f t="array" ref="B838">_xlfn.XLOOKUP(TRUE, ISNUMBER(SEARCH(工作表5!$A$1:$A$23, C838)), 工作表5!$B$1:$B$23, "其他")</f>
        <v>滾筒組</v>
      </c>
      <c r="C838" s="143" t="s">
        <v>589</v>
      </c>
      <c r="D838" s="156"/>
      <c r="E838" s="156" t="s">
        <v>1504</v>
      </c>
      <c r="F838" s="156" t="s">
        <v>588</v>
      </c>
      <c r="G838" s="154">
        <v>243000</v>
      </c>
    </row>
    <row r="839" spans="1:7" ht="21.6" customHeight="1">
      <c r="A839" s="154" t="s">
        <v>61</v>
      </c>
      <c r="B839" s="154" t="str" cm="1">
        <f t="array" ref="B839">_xlfn.XLOOKUP(TRUE, ISNUMBER(SEARCH(工作表5!$A$1:$A$23, C839)), 工作表5!$B$1:$B$23, "其他")</f>
        <v>顯像組</v>
      </c>
      <c r="C839" s="145" t="s">
        <v>502</v>
      </c>
      <c r="D839" s="156"/>
      <c r="E839" s="156" t="s">
        <v>1505</v>
      </c>
      <c r="F839" s="156" t="s">
        <v>592</v>
      </c>
      <c r="G839" s="154">
        <v>243000</v>
      </c>
    </row>
    <row r="840" spans="1:7" ht="21.6" customHeight="1">
      <c r="A840" s="154" t="s">
        <v>61</v>
      </c>
      <c r="B840" s="154" t="str" cm="1">
        <f t="array" ref="B840">_xlfn.XLOOKUP(TRUE, ISNUMBER(SEARCH(工作表5!$A$1:$A$23, C840)), 工作表5!$B$1:$B$23, "其他")</f>
        <v>滾筒組</v>
      </c>
      <c r="C840" s="145" t="s">
        <v>415</v>
      </c>
      <c r="D840" s="156"/>
      <c r="E840" s="156" t="s">
        <v>1506</v>
      </c>
      <c r="F840" s="156" t="s">
        <v>594</v>
      </c>
      <c r="G840" s="154">
        <v>243000</v>
      </c>
    </row>
    <row r="841" spans="1:7" ht="21.6" customHeight="1">
      <c r="A841" s="154" t="s">
        <v>61</v>
      </c>
      <c r="B841" s="154" t="str" cm="1">
        <f t="array" ref="B841">_xlfn.XLOOKUP(TRUE, ISNUMBER(SEARCH(工作表5!$A$1:$A$23, C841)), 工作表5!$B$1:$B$23, "其他")</f>
        <v>滾筒組</v>
      </c>
      <c r="C841" s="144" t="s">
        <v>597</v>
      </c>
      <c r="D841" s="156"/>
      <c r="E841" s="156" t="s">
        <v>1507</v>
      </c>
      <c r="F841" s="156" t="s">
        <v>596</v>
      </c>
      <c r="G841" s="154">
        <v>243000</v>
      </c>
    </row>
    <row r="842" spans="1:7" ht="21.6" customHeight="1">
      <c r="A842" s="154" t="s">
        <v>61</v>
      </c>
      <c r="B842" s="154" t="str" cm="1">
        <f t="array" ref="B842">_xlfn.XLOOKUP(TRUE, ISNUMBER(SEARCH(工作表5!$A$1:$A$23, C842)), 工作表5!$B$1:$B$23, "其他")</f>
        <v>顯像組</v>
      </c>
      <c r="C842" s="145" t="s">
        <v>600</v>
      </c>
      <c r="D842" s="156"/>
      <c r="E842" s="156" t="s">
        <v>1508</v>
      </c>
      <c r="F842" s="156" t="s">
        <v>599</v>
      </c>
      <c r="G842" s="154">
        <v>243000</v>
      </c>
    </row>
    <row r="843" spans="1:7" ht="21.6" customHeight="1">
      <c r="A843" s="154" t="s">
        <v>61</v>
      </c>
      <c r="B843" s="154" t="str" cm="1">
        <f t="array" ref="B843">_xlfn.XLOOKUP(TRUE, ISNUMBER(SEARCH(工作表5!$A$1:$A$23, C843)), 工作表5!$B$1:$B$23, "其他")</f>
        <v>顯像組</v>
      </c>
      <c r="C843" s="144" t="s">
        <v>1822</v>
      </c>
      <c r="D843" s="156"/>
      <c r="E843" s="156" t="s">
        <v>1509</v>
      </c>
      <c r="F843" s="156" t="s">
        <v>602</v>
      </c>
      <c r="G843" s="154">
        <v>243000</v>
      </c>
    </row>
    <row r="844" spans="1:7" ht="21.6" customHeight="1">
      <c r="A844" s="154" t="s">
        <v>61</v>
      </c>
      <c r="B844" s="154" t="str" cm="1">
        <f t="array" ref="B844">_xlfn.XLOOKUP(TRUE, ISNUMBER(SEARCH(工作表5!$A$1:$A$23, C844)), 工作表5!$B$1:$B$23, "其他")</f>
        <v>滾筒組</v>
      </c>
      <c r="C844" s="144" t="s">
        <v>1823</v>
      </c>
      <c r="D844" s="156"/>
      <c r="E844" s="156" t="s">
        <v>1510</v>
      </c>
      <c r="F844" s="156" t="s">
        <v>604</v>
      </c>
      <c r="G844" s="154">
        <v>243000</v>
      </c>
    </row>
    <row r="845" spans="1:7" ht="21.6" customHeight="1">
      <c r="A845" s="154" t="s">
        <v>61</v>
      </c>
      <c r="B845" s="154" t="str" cm="1">
        <f t="array" ref="B845">_xlfn.XLOOKUP(TRUE, ISNUMBER(SEARCH(工作表5!$A$1:$A$23, C845)), 工作表5!$B$1:$B$23, "其他")</f>
        <v>轉寫組</v>
      </c>
      <c r="C845" s="145" t="s">
        <v>533</v>
      </c>
      <c r="D845" s="156"/>
      <c r="E845" s="156" t="s">
        <v>1511</v>
      </c>
      <c r="F845" s="156" t="s">
        <v>606</v>
      </c>
      <c r="G845" s="154">
        <v>243000</v>
      </c>
    </row>
    <row r="846" spans="1:7" ht="21.6" customHeight="1">
      <c r="A846" s="154" t="s">
        <v>61</v>
      </c>
      <c r="B846" s="154" t="str" cm="1">
        <f t="array" ref="B846">_xlfn.XLOOKUP(TRUE, ISNUMBER(SEARCH(工作表5!$A$1:$A$23, C846)), 工作表5!$B$1:$B$23, "其他")</f>
        <v>轉寫組</v>
      </c>
      <c r="C846" s="145" t="s">
        <v>1812</v>
      </c>
      <c r="D846" s="156"/>
      <c r="E846" s="156" t="s">
        <v>1512</v>
      </c>
      <c r="F846" s="156" t="s">
        <v>608</v>
      </c>
      <c r="G846" s="154">
        <v>243000</v>
      </c>
    </row>
    <row r="847" spans="1:7" ht="21.6" customHeight="1">
      <c r="A847" s="154" t="s">
        <v>61</v>
      </c>
      <c r="B847" s="154" t="str" cm="1">
        <f t="array" ref="B847">_xlfn.XLOOKUP(TRUE, ISNUMBER(SEARCH(工作表5!$A$1:$A$23, C847)), 工作表5!$B$1:$B$23, "其他")</f>
        <v>轉寫組</v>
      </c>
      <c r="C847" s="145" t="s">
        <v>1824</v>
      </c>
      <c r="D847" s="156"/>
      <c r="E847" s="156" t="s">
        <v>1513</v>
      </c>
      <c r="F847" s="156" t="s">
        <v>610</v>
      </c>
      <c r="G847" s="154">
        <v>243000</v>
      </c>
    </row>
    <row r="848" spans="1:7" ht="21.6" customHeight="1">
      <c r="A848" s="154" t="s">
        <v>61</v>
      </c>
      <c r="B848" s="154" t="str" cm="1">
        <f t="array" ref="B848">_xlfn.XLOOKUP(TRUE, ISNUMBER(SEARCH(工作表5!$A$1:$A$23, C848)), 工作表5!$B$1:$B$23, "其他")</f>
        <v>轉寫組</v>
      </c>
      <c r="C848" s="145" t="s">
        <v>1825</v>
      </c>
      <c r="D848" s="156"/>
      <c r="E848" s="156" t="s">
        <v>1514</v>
      </c>
      <c r="F848" s="156" t="s">
        <v>612</v>
      </c>
      <c r="G848" s="154">
        <v>243000</v>
      </c>
    </row>
    <row r="849" spans="1:7" ht="21.6" customHeight="1">
      <c r="A849" s="154" t="s">
        <v>61</v>
      </c>
      <c r="B849" s="154" t="str" cm="1">
        <f t="array" ref="B849">_xlfn.XLOOKUP(TRUE, ISNUMBER(SEARCH(工作表5!$A$1:$A$23, C849)), 工作表5!$B$1:$B$23, "其他")</f>
        <v>轉寫組</v>
      </c>
      <c r="C849" s="145" t="s">
        <v>1826</v>
      </c>
      <c r="D849" s="156"/>
      <c r="E849" s="156" t="s">
        <v>1515</v>
      </c>
      <c r="F849" s="156" t="s">
        <v>614</v>
      </c>
      <c r="G849" s="154">
        <v>243000</v>
      </c>
    </row>
    <row r="850" spans="1:7" ht="21.6" customHeight="1">
      <c r="A850" s="154" t="s">
        <v>61</v>
      </c>
      <c r="B850" s="154" t="str" cm="1">
        <f t="array" ref="B850">_xlfn.XLOOKUP(TRUE, ISNUMBER(SEARCH(工作表5!$A$1:$A$23, C850)), 工作表5!$B$1:$B$23, "其他")</f>
        <v>其他</v>
      </c>
      <c r="C850" s="144" t="s">
        <v>263</v>
      </c>
      <c r="D850" s="156"/>
      <c r="E850" s="156" t="s">
        <v>1516</v>
      </c>
      <c r="F850" s="156" t="s">
        <v>616</v>
      </c>
      <c r="G850" s="154">
        <v>876900</v>
      </c>
    </row>
    <row r="851" spans="1:7" ht="21.6" customHeight="1">
      <c r="A851" s="154" t="s">
        <v>61</v>
      </c>
      <c r="B851" s="154" t="str" cm="1">
        <f t="array" ref="B851">_xlfn.XLOOKUP(TRUE, ISNUMBER(SEARCH(工作表5!$A$1:$A$23, C851)), 工作表5!$B$1:$B$23, "其他")</f>
        <v>定著組</v>
      </c>
      <c r="C851" s="145" t="s">
        <v>1809</v>
      </c>
      <c r="D851" s="156"/>
      <c r="E851" s="156" t="s">
        <v>1517</v>
      </c>
      <c r="F851" s="156" t="s">
        <v>619</v>
      </c>
      <c r="G851" s="154">
        <v>389000</v>
      </c>
    </row>
    <row r="852" spans="1:7" ht="21.6" customHeight="1">
      <c r="A852" s="154" t="s">
        <v>61</v>
      </c>
      <c r="B852" s="154" t="str" cm="1">
        <f t="array" ref="B852">_xlfn.XLOOKUP(TRUE, ISNUMBER(SEARCH(工作表5!$A$1:$A$23, C852)), 工作表5!$B$1:$B$23, "其他")</f>
        <v>定著組</v>
      </c>
      <c r="C852" s="145" t="s">
        <v>87</v>
      </c>
      <c r="D852" s="156"/>
      <c r="E852" s="156" t="s">
        <v>1518</v>
      </c>
      <c r="F852" s="156" t="s">
        <v>621</v>
      </c>
      <c r="G852" s="154">
        <v>389000</v>
      </c>
    </row>
    <row r="853" spans="1:7" ht="21.6" customHeight="1">
      <c r="A853" s="154" t="s">
        <v>61</v>
      </c>
      <c r="B853" s="154" t="str" cm="1">
        <f t="array" ref="B853">_xlfn.XLOOKUP(TRUE, ISNUMBER(SEARCH(工作表5!$A$1:$A$23, C853)), 工作表5!$B$1:$B$23, "其他")</f>
        <v>定著組</v>
      </c>
      <c r="C853" s="144" t="s">
        <v>1827</v>
      </c>
      <c r="D853" s="156"/>
      <c r="E853" s="156" t="s">
        <v>1519</v>
      </c>
      <c r="F853" s="156" t="s">
        <v>623</v>
      </c>
      <c r="G853" s="154">
        <v>389000</v>
      </c>
    </row>
    <row r="854" spans="1:7" ht="21.6" customHeight="1">
      <c r="A854" s="154" t="s">
        <v>61</v>
      </c>
      <c r="B854" s="154" t="str" cm="1">
        <f t="array" ref="B854">_xlfn.XLOOKUP(TRUE, ISNUMBER(SEARCH(工作表5!$A$1:$A$23, C854)), 工作表5!$B$1:$B$23, "其他")</f>
        <v>定著組</v>
      </c>
      <c r="C854" s="144" t="s">
        <v>1828</v>
      </c>
      <c r="D854" s="156"/>
      <c r="E854" s="156" t="s">
        <v>1520</v>
      </c>
      <c r="F854" s="156" t="s">
        <v>625</v>
      </c>
      <c r="G854" s="154">
        <v>389000</v>
      </c>
    </row>
    <row r="855" spans="1:7" ht="21.6" customHeight="1">
      <c r="A855" s="154" t="s">
        <v>61</v>
      </c>
      <c r="B855" s="154" t="str" cm="1">
        <f t="array" ref="B855">_xlfn.XLOOKUP(TRUE, ISNUMBER(SEARCH(工作表5!$A$1:$A$23, C855)), 工作表5!$B$1:$B$23, "其他")</f>
        <v>定著組</v>
      </c>
      <c r="C855" s="145" t="s">
        <v>628</v>
      </c>
      <c r="D855" s="156"/>
      <c r="E855" s="156" t="s">
        <v>1521</v>
      </c>
      <c r="F855" s="156" t="s">
        <v>627</v>
      </c>
      <c r="G855" s="154">
        <v>389000</v>
      </c>
    </row>
    <row r="856" spans="1:7" ht="21.6" customHeight="1">
      <c r="A856" s="154" t="s">
        <v>61</v>
      </c>
      <c r="B856" s="154" t="str" cm="1">
        <f t="array" ref="B856">_xlfn.XLOOKUP(TRUE, ISNUMBER(SEARCH(工作表5!$A$1:$A$23, C856)), 工作表5!$B$1:$B$23, "其他")</f>
        <v>手送台</v>
      </c>
      <c r="C856" s="144" t="s">
        <v>631</v>
      </c>
      <c r="D856" s="156"/>
      <c r="E856" s="156" t="s">
        <v>1522</v>
      </c>
      <c r="F856" s="156" t="s">
        <v>630</v>
      </c>
      <c r="G856" s="154">
        <v>120000</v>
      </c>
    </row>
    <row r="857" spans="1:7" ht="21.6" customHeight="1">
      <c r="A857" s="154" t="s">
        <v>61</v>
      </c>
      <c r="B857" s="154" t="str" cm="1">
        <f t="array" ref="B857">_xlfn.XLOOKUP(TRUE, ISNUMBER(SEARCH(工作表5!$A$1:$A$23, C857)), 工作表5!$B$1:$B$23, "其他")</f>
        <v>手送台</v>
      </c>
      <c r="C857" s="144" t="s">
        <v>115</v>
      </c>
      <c r="D857" s="156"/>
      <c r="E857" s="156" t="s">
        <v>1409</v>
      </c>
      <c r="F857" s="156" t="s">
        <v>330</v>
      </c>
      <c r="G857" s="154">
        <v>120000</v>
      </c>
    </row>
    <row r="858" spans="1:7" ht="21.6" customHeight="1">
      <c r="A858" s="154" t="s">
        <v>61</v>
      </c>
      <c r="B858" s="154" t="str" cm="1">
        <f t="array" ref="B858">_xlfn.XLOOKUP(TRUE, ISNUMBER(SEARCH(工作表5!$A$1:$A$23, C858)), 工作表5!$B$1:$B$23, "其他")</f>
        <v>取紙組</v>
      </c>
      <c r="C858" s="144" t="s">
        <v>1829</v>
      </c>
      <c r="D858" s="156"/>
      <c r="E858" s="156" t="s">
        <v>1389</v>
      </c>
      <c r="F858" s="156" t="s">
        <v>265</v>
      </c>
      <c r="G858" s="154">
        <v>80000</v>
      </c>
    </row>
    <row r="859" spans="1:7" ht="21.6" customHeight="1">
      <c r="A859" s="154" t="s">
        <v>61</v>
      </c>
      <c r="B859" s="154" t="str" cm="1">
        <f t="array" ref="B859">_xlfn.XLOOKUP(TRUE, ISNUMBER(SEARCH(工作表5!$A$1:$A$23, C859)), 工作表5!$B$1:$B$23, "其他")</f>
        <v>取紙組</v>
      </c>
      <c r="C859" s="144" t="s">
        <v>633</v>
      </c>
      <c r="D859" s="156"/>
      <c r="E859" s="156" t="s">
        <v>1390</v>
      </c>
      <c r="F859" s="156" t="s">
        <v>269</v>
      </c>
      <c r="G859" s="154">
        <v>80000</v>
      </c>
    </row>
    <row r="860" spans="1:7" ht="21.6" customHeight="1">
      <c r="A860" s="154" t="s">
        <v>61</v>
      </c>
      <c r="B860" s="154" t="str" cm="1">
        <f t="array" ref="B860">_xlfn.XLOOKUP(TRUE, ISNUMBER(SEARCH(工作表5!$A$1:$A$23, C860)), 工作表5!$B$1:$B$23, "其他")</f>
        <v>取紙組</v>
      </c>
      <c r="C860" s="144" t="s">
        <v>1830</v>
      </c>
      <c r="D860" s="156"/>
      <c r="E860" s="156" t="s">
        <v>1391</v>
      </c>
      <c r="F860" s="156" t="s">
        <v>272</v>
      </c>
      <c r="G860" s="154">
        <v>80000</v>
      </c>
    </row>
    <row r="861" spans="1:7" ht="21.6" customHeight="1">
      <c r="A861" s="154" t="s">
        <v>61</v>
      </c>
      <c r="B861" s="154" t="str" cm="1">
        <f t="array" ref="B861">_xlfn.XLOOKUP(TRUE, ISNUMBER(SEARCH(工作表5!$A$1:$A$23, C861)), 工作表5!$B$1:$B$23, "其他")</f>
        <v>送稿機</v>
      </c>
      <c r="C861" s="144" t="s">
        <v>320</v>
      </c>
      <c r="D861" s="156"/>
      <c r="E861" s="156" t="s">
        <v>1375</v>
      </c>
      <c r="F861" s="156" t="s">
        <v>226</v>
      </c>
      <c r="G861" s="154">
        <v>120000</v>
      </c>
    </row>
    <row r="862" spans="1:7" ht="21.6" customHeight="1">
      <c r="A862" s="154" t="s">
        <v>61</v>
      </c>
      <c r="B862" s="154" t="str" cm="1">
        <f t="array" ref="B862">_xlfn.XLOOKUP(TRUE, ISNUMBER(SEARCH(工作表5!$A$1:$A$23, C862)), 工作表5!$B$1:$B$23, "其他")</f>
        <v>送稿機</v>
      </c>
      <c r="C862" s="144" t="s">
        <v>278</v>
      </c>
      <c r="D862" s="156"/>
      <c r="E862" s="156" t="s">
        <v>1376</v>
      </c>
      <c r="F862" s="156" t="s">
        <v>230</v>
      </c>
      <c r="G862" s="154">
        <v>120000</v>
      </c>
    </row>
    <row r="863" spans="1:7" ht="21.6" customHeight="1">
      <c r="A863" s="154" t="s">
        <v>61</v>
      </c>
      <c r="B863" s="154" t="str" cm="1">
        <f t="array" ref="B863">_xlfn.XLOOKUP(TRUE, ISNUMBER(SEARCH(工作表5!$A$1:$A$23, C863)), 工作表5!$B$1:$B$23, "其他")</f>
        <v>送稿機</v>
      </c>
      <c r="C863" s="144" t="s">
        <v>1782</v>
      </c>
      <c r="D863" s="156"/>
      <c r="E863" s="156" t="s">
        <v>1407</v>
      </c>
      <c r="F863" s="156" t="s">
        <v>324</v>
      </c>
      <c r="G863" s="154">
        <v>120000</v>
      </c>
    </row>
    <row r="864" spans="1:7" ht="21.6" customHeight="1">
      <c r="A864" s="154" t="s">
        <v>61</v>
      </c>
      <c r="B864" s="154" t="str" cm="1">
        <f t="array" ref="B864">_xlfn.XLOOKUP(TRUE, ISNUMBER(SEARCH(工作表5!$A$1:$A$23, C864)), 工作表5!$B$1:$B$23, "其他")</f>
        <v>送稿機</v>
      </c>
      <c r="C864" s="144" t="s">
        <v>285</v>
      </c>
      <c r="D864" s="156"/>
      <c r="E864" s="156" t="s">
        <v>1395</v>
      </c>
      <c r="F864" s="156" t="s">
        <v>226</v>
      </c>
      <c r="G864" s="154">
        <v>120000</v>
      </c>
    </row>
    <row r="865" spans="1:7" ht="21.6" customHeight="1">
      <c r="A865" s="154" t="s">
        <v>61</v>
      </c>
      <c r="B865" s="154" t="str" cm="1">
        <f t="array" ref="B865">_xlfn.XLOOKUP(TRUE, ISNUMBER(SEARCH(工作表5!$A$1:$A$23, C865)), 工作表5!$B$1:$B$23, "其他")</f>
        <v>送稿機</v>
      </c>
      <c r="C865" s="144" t="s">
        <v>282</v>
      </c>
      <c r="D865" s="156"/>
      <c r="E865" s="156" t="s">
        <v>1396</v>
      </c>
      <c r="F865" s="156" t="s">
        <v>288</v>
      </c>
      <c r="G865" s="154">
        <v>120000</v>
      </c>
    </row>
    <row r="866" spans="1:7" ht="21.6" customHeight="1">
      <c r="A866" s="154" t="s">
        <v>61</v>
      </c>
      <c r="B866" s="154" t="str" cm="1">
        <f t="array" ref="B866">_xlfn.XLOOKUP(TRUE, ISNUMBER(SEARCH(工作表5!$A$1:$A$23, C866)), 工作表5!$B$1:$B$23, "其他")</f>
        <v>取紙組</v>
      </c>
      <c r="C866" s="144" t="s">
        <v>1831</v>
      </c>
      <c r="D866" s="156"/>
      <c r="E866" s="156" t="s">
        <v>1408</v>
      </c>
      <c r="F866" s="156" t="s">
        <v>327</v>
      </c>
      <c r="G866" s="154">
        <v>320000</v>
      </c>
    </row>
    <row r="867" spans="1:7" ht="21.6" customHeight="1">
      <c r="A867" s="154" t="s">
        <v>61</v>
      </c>
      <c r="B867" s="154" t="str" cm="1">
        <f t="array" ref="B867">_xlfn.XLOOKUP(TRUE, ISNUMBER(SEARCH(工作表5!$A$1:$A$23, C867)), 工作表5!$B$1:$B$23, "其他")</f>
        <v>取紙組</v>
      </c>
      <c r="C867" s="144" t="s">
        <v>634</v>
      </c>
      <c r="D867" s="156"/>
      <c r="E867" s="156" t="s">
        <v>1409</v>
      </c>
      <c r="F867" s="156" t="s">
        <v>330</v>
      </c>
      <c r="G867" s="154">
        <v>320000</v>
      </c>
    </row>
    <row r="868" spans="1:7" ht="21.6" customHeight="1">
      <c r="A868" s="154" t="s">
        <v>61</v>
      </c>
      <c r="B868" s="154" t="str" cm="1">
        <f t="array" ref="B868">_xlfn.XLOOKUP(TRUE, ISNUMBER(SEARCH(工作表5!$A$1:$A$23, C868)), 工作表5!$B$1:$B$23, "其他")</f>
        <v>其他</v>
      </c>
      <c r="C868" s="144" t="s">
        <v>1784</v>
      </c>
      <c r="D868" s="156"/>
      <c r="E868" s="156" t="s">
        <v>1410</v>
      </c>
      <c r="F868" s="156" t="s">
        <v>333</v>
      </c>
      <c r="G868" s="154">
        <v>500000</v>
      </c>
    </row>
    <row r="869" spans="1:7" ht="21.6" customHeight="1">
      <c r="A869" s="154" t="s">
        <v>61</v>
      </c>
      <c r="B869" s="154" t="str" cm="1">
        <f t="array" ref="B869">_xlfn.XLOOKUP(TRUE, ISNUMBER(SEARCH(工作表5!$A$1:$A$23, C869)), 工作表5!$B$1:$B$23, "其他")</f>
        <v>送稿機</v>
      </c>
      <c r="C869" s="144" t="s">
        <v>337</v>
      </c>
      <c r="D869" s="156"/>
      <c r="E869" s="156" t="s">
        <v>1411</v>
      </c>
      <c r="F869" s="156" t="s">
        <v>336</v>
      </c>
      <c r="G869" s="154">
        <v>500000</v>
      </c>
    </row>
    <row r="870" spans="1:7" ht="21.6" customHeight="1">
      <c r="A870" s="154" t="s">
        <v>61</v>
      </c>
      <c r="B870" s="154" t="str" cm="1">
        <f t="array" ref="B870">_xlfn.XLOOKUP(TRUE, ISNUMBER(SEARCH(工作表5!$A$1:$A$23, C870)), 工作表5!$B$1:$B$23, "其他")</f>
        <v>送稿機</v>
      </c>
      <c r="C870" s="145" t="s">
        <v>341</v>
      </c>
      <c r="D870" s="156"/>
      <c r="E870" s="156" t="s">
        <v>1412</v>
      </c>
      <c r="F870" s="156" t="s">
        <v>340</v>
      </c>
      <c r="G870" s="154">
        <v>500000</v>
      </c>
    </row>
    <row r="871" spans="1:7" ht="21.6" customHeight="1">
      <c r="A871" s="154" t="s">
        <v>61</v>
      </c>
      <c r="B871" s="154" t="str" cm="1">
        <f t="array" ref="B871">_xlfn.XLOOKUP(TRUE, ISNUMBER(SEARCH(工作表5!$A$1:$A$23, C871)), 工作表5!$B$1:$B$23, "其他")</f>
        <v>顯像組</v>
      </c>
      <c r="C871" s="144" t="s">
        <v>637</v>
      </c>
      <c r="D871" s="156"/>
      <c r="E871" s="156" t="s">
        <v>1523</v>
      </c>
      <c r="F871" s="156" t="s">
        <v>636</v>
      </c>
      <c r="G871" s="154">
        <v>243000</v>
      </c>
    </row>
    <row r="872" spans="1:7" ht="21.6" customHeight="1">
      <c r="A872" s="154" t="s">
        <v>61</v>
      </c>
      <c r="B872" s="154" t="str" cm="1">
        <f t="array" ref="B872">_xlfn.XLOOKUP(TRUE, ISNUMBER(SEARCH(工作表5!$A$1:$A$23, C872)), 工作表5!$B$1:$B$23, "其他")</f>
        <v>取紙組</v>
      </c>
      <c r="C872" s="144" t="s">
        <v>638</v>
      </c>
      <c r="D872" s="156"/>
      <c r="E872" s="156" t="s">
        <v>1399</v>
      </c>
      <c r="F872" s="156" t="s">
        <v>296</v>
      </c>
      <c r="G872" s="154">
        <v>80000</v>
      </c>
    </row>
    <row r="873" spans="1:7" ht="21.6" customHeight="1">
      <c r="A873" s="154" t="s">
        <v>61</v>
      </c>
      <c r="B873" s="154" t="str" cm="1">
        <f t="array" ref="B873">_xlfn.XLOOKUP(TRUE, ISNUMBER(SEARCH(工作表5!$A$1:$A$23, C873)), 工作表5!$B$1:$B$23, "其他")</f>
        <v>送稿機</v>
      </c>
      <c r="C873" s="144" t="s">
        <v>300</v>
      </c>
      <c r="D873" s="156"/>
      <c r="E873" s="156" t="s">
        <v>1400</v>
      </c>
      <c r="F873" s="156" t="s">
        <v>299</v>
      </c>
      <c r="G873" s="154">
        <v>120000</v>
      </c>
    </row>
    <row r="874" spans="1:7" ht="21.6" customHeight="1">
      <c r="A874" s="154" t="s">
        <v>61</v>
      </c>
      <c r="B874" s="154" t="str" cm="1">
        <f t="array" ref="B874">_xlfn.XLOOKUP(TRUE, ISNUMBER(SEARCH(工作表5!$A$1:$A$23, C874)), 工作表5!$B$1:$B$23, "其他")</f>
        <v>送稿機</v>
      </c>
      <c r="C874" s="144" t="s">
        <v>303</v>
      </c>
      <c r="D874" s="156"/>
      <c r="E874" s="156" t="s">
        <v>1414</v>
      </c>
      <c r="F874" s="156" t="s">
        <v>346</v>
      </c>
      <c r="G874" s="154">
        <v>120000</v>
      </c>
    </row>
    <row r="875" spans="1:7" ht="21.6" customHeight="1">
      <c r="A875" s="154" t="s">
        <v>61</v>
      </c>
      <c r="B875" s="154" t="str" cm="1">
        <f t="array" ref="B875">_xlfn.XLOOKUP(TRUE, ISNUMBER(SEARCH(工作表5!$A$1:$A$23, C875)), 工作表5!$B$1:$B$23, "其他")</f>
        <v>其他</v>
      </c>
      <c r="C875" s="144" t="s">
        <v>349</v>
      </c>
      <c r="D875" s="156"/>
      <c r="E875" s="156" t="s">
        <v>1415</v>
      </c>
      <c r="F875" s="156" t="s">
        <v>348</v>
      </c>
      <c r="G875" s="154">
        <v>500000</v>
      </c>
    </row>
    <row r="876" spans="1:7" ht="21.6" customHeight="1">
      <c r="A876" s="154" t="s">
        <v>61</v>
      </c>
      <c r="B876" s="154" t="str" cm="1">
        <f t="array" ref="B876">_xlfn.XLOOKUP(TRUE, ISNUMBER(SEARCH(工作表5!$A$1:$A$23, C876)), 工作表5!$B$1:$B$23, "其他")</f>
        <v>定著組</v>
      </c>
      <c r="C876" s="144" t="s">
        <v>642</v>
      </c>
      <c r="D876" s="156"/>
      <c r="E876" s="156" t="s">
        <v>1524</v>
      </c>
      <c r="F876" s="156" t="s">
        <v>641</v>
      </c>
      <c r="G876" s="154">
        <v>389000</v>
      </c>
    </row>
    <row r="877" spans="1:7" ht="21.6" customHeight="1">
      <c r="A877" s="154" t="s">
        <v>61</v>
      </c>
      <c r="B877" s="154" t="str" cm="1">
        <f t="array" ref="B877">_xlfn.XLOOKUP(TRUE, ISNUMBER(SEARCH(工作表5!$A$1:$A$23, C877)), 工作表5!$B$1:$B$23, "其他")</f>
        <v>轉寫組</v>
      </c>
      <c r="C877" s="144" t="s">
        <v>645</v>
      </c>
      <c r="D877" s="156"/>
      <c r="E877" s="156" t="s">
        <v>1525</v>
      </c>
      <c r="F877" s="156" t="s">
        <v>644</v>
      </c>
      <c r="G877" s="154">
        <v>243000</v>
      </c>
    </row>
    <row r="878" spans="1:7" ht="21.6" customHeight="1">
      <c r="A878" s="154" t="s">
        <v>61</v>
      </c>
      <c r="B878" s="154" t="str" cm="1">
        <f t="array" ref="B878">_xlfn.XLOOKUP(TRUE, ISNUMBER(SEARCH(工作表5!$A$1:$A$23, C878)), 工作表5!$B$1:$B$23, "其他")</f>
        <v>定著組</v>
      </c>
      <c r="C878" s="145" t="s">
        <v>585</v>
      </c>
      <c r="D878" s="156"/>
      <c r="E878" s="156" t="s">
        <v>1526</v>
      </c>
      <c r="F878" s="156" t="s">
        <v>647</v>
      </c>
      <c r="G878" s="154" t="e">
        <v>#VALUE!</v>
      </c>
    </row>
    <row r="879" spans="1:7" ht="21.6" customHeight="1">
      <c r="A879" s="154" t="s">
        <v>61</v>
      </c>
      <c r="B879" s="154" t="str" cm="1">
        <f t="array" ref="B879">_xlfn.XLOOKUP(TRUE, ISNUMBER(SEARCH(工作表5!$A$1:$A$23, C879)), 工作表5!$B$1:$B$23, "其他")</f>
        <v>顯像組</v>
      </c>
      <c r="C879" s="145" t="s">
        <v>129</v>
      </c>
      <c r="D879" s="156"/>
      <c r="E879" s="156" t="s">
        <v>1527</v>
      </c>
      <c r="F879" s="156" t="s">
        <v>649</v>
      </c>
      <c r="G879" s="154" t="e">
        <v>#VALUE!</v>
      </c>
    </row>
    <row r="880" spans="1:7" ht="21.6" customHeight="1">
      <c r="A880" s="154" t="s">
        <v>61</v>
      </c>
      <c r="B880" s="154" t="str" cm="1">
        <f t="array" ref="B880">_xlfn.XLOOKUP(TRUE, ISNUMBER(SEARCH(工作表5!$A$1:$A$23, C880)), 工作表5!$B$1:$B$23, "其他")</f>
        <v>轉寫組</v>
      </c>
      <c r="C880" s="144" t="s">
        <v>1821</v>
      </c>
      <c r="D880" s="156"/>
      <c r="E880" s="156" t="s">
        <v>1528</v>
      </c>
      <c r="F880" s="156" t="s">
        <v>651</v>
      </c>
      <c r="G880" s="154" t="e">
        <v>#VALUE!</v>
      </c>
    </row>
    <row r="881" spans="1:7" ht="21.6" customHeight="1">
      <c r="A881" s="154" t="s">
        <v>61</v>
      </c>
      <c r="B881" s="154" t="str" cm="1">
        <f t="array" ref="B881">_xlfn.XLOOKUP(TRUE, ISNUMBER(SEARCH(工作表5!$A$1:$A$23, C881)), 工作表5!$B$1:$B$23, "其他")</f>
        <v>轉寫組</v>
      </c>
      <c r="C881" s="150" t="s">
        <v>1805</v>
      </c>
      <c r="D881" s="156"/>
      <c r="E881" s="156" t="s">
        <v>1529</v>
      </c>
      <c r="F881" s="156" t="s">
        <v>653</v>
      </c>
      <c r="G881" s="154" t="e">
        <v>#VALUE!</v>
      </c>
    </row>
    <row r="882" spans="1:7" ht="21.6" customHeight="1">
      <c r="A882" s="154">
        <v>757</v>
      </c>
      <c r="B882" s="154" t="str" cm="1">
        <f t="array" ref="B882">_xlfn.XLOOKUP(TRUE, ISNUMBER(SEARCH(工作表5!$A$1:$A$23, C882)), 工作表5!$B$1:$B$23, "其他")</f>
        <v>滾筒組</v>
      </c>
      <c r="C882" s="143" t="s">
        <v>193</v>
      </c>
      <c r="D882" s="156"/>
      <c r="E882" s="156" t="s">
        <v>1433</v>
      </c>
      <c r="F882" s="156" t="s">
        <v>410</v>
      </c>
      <c r="G882" s="154">
        <v>540000</v>
      </c>
    </row>
    <row r="883" spans="1:7" ht="21.6" customHeight="1">
      <c r="A883" s="154">
        <v>757</v>
      </c>
      <c r="B883" s="154" t="str" cm="1">
        <f t="array" ref="B883">_xlfn.XLOOKUP(TRUE, ISNUMBER(SEARCH(工作表5!$A$1:$A$23, C883)), 工作表5!$B$1:$B$23, "其他")</f>
        <v>顯像組</v>
      </c>
      <c r="C883" s="144" t="s">
        <v>75</v>
      </c>
      <c r="D883" s="156"/>
      <c r="E883" s="156" t="s">
        <v>1434</v>
      </c>
      <c r="F883" s="156" t="s">
        <v>412</v>
      </c>
      <c r="G883" s="154">
        <v>540000</v>
      </c>
    </row>
    <row r="884" spans="1:7" ht="21.6" customHeight="1">
      <c r="A884" s="154">
        <v>757</v>
      </c>
      <c r="B884" s="154" t="str" cm="1">
        <f t="array" ref="B884">_xlfn.XLOOKUP(TRUE, ISNUMBER(SEARCH(工作表5!$A$1:$A$23, C884)), 工作表5!$B$1:$B$23, "其他")</f>
        <v>滾筒組</v>
      </c>
      <c r="C884" s="145" t="s">
        <v>415</v>
      </c>
      <c r="D884" s="156"/>
      <c r="E884" s="156" t="s">
        <v>1435</v>
      </c>
      <c r="F884" s="156" t="s">
        <v>414</v>
      </c>
      <c r="G884" s="154">
        <v>540000</v>
      </c>
    </row>
    <row r="885" spans="1:7" ht="21.6" customHeight="1">
      <c r="A885" s="154">
        <v>757</v>
      </c>
      <c r="B885" s="154" t="str" cm="1">
        <f t="array" ref="B885">_xlfn.XLOOKUP(TRUE, ISNUMBER(SEARCH(工作表5!$A$1:$A$23, C885)), 工作表5!$B$1:$B$23, "其他")</f>
        <v>滾筒組</v>
      </c>
      <c r="C885" s="144" t="s">
        <v>418</v>
      </c>
      <c r="D885" s="156"/>
      <c r="E885" s="156" t="s">
        <v>1436</v>
      </c>
      <c r="F885" s="156" t="s">
        <v>417</v>
      </c>
      <c r="G885" s="154">
        <v>540000</v>
      </c>
    </row>
    <row r="886" spans="1:7" ht="21.6" customHeight="1">
      <c r="A886" s="154">
        <v>757</v>
      </c>
      <c r="B886" s="154" t="str" cm="1">
        <f t="array" ref="B886">_xlfn.XLOOKUP(TRUE, ISNUMBER(SEARCH(工作表5!$A$1:$A$23, C886)), 工作表5!$B$1:$B$23, "其他")</f>
        <v>定著組</v>
      </c>
      <c r="C886" s="145" t="s">
        <v>1775</v>
      </c>
      <c r="D886" s="156"/>
      <c r="E886" s="156" t="s">
        <v>1437</v>
      </c>
      <c r="F886" s="156" t="s">
        <v>420</v>
      </c>
      <c r="G886" s="154">
        <v>540000</v>
      </c>
    </row>
    <row r="887" spans="1:7" ht="21.6" customHeight="1">
      <c r="A887" s="154">
        <v>757</v>
      </c>
      <c r="B887" s="154" t="str" cm="1">
        <f t="array" ref="B887">_xlfn.XLOOKUP(TRUE, ISNUMBER(SEARCH(工作表5!$A$1:$A$23, C887)), 工作表5!$B$1:$B$23, "其他")</f>
        <v>定著組</v>
      </c>
      <c r="C887" s="144" t="s">
        <v>87</v>
      </c>
      <c r="D887" s="156"/>
      <c r="E887" s="156" t="s">
        <v>1530</v>
      </c>
      <c r="F887" s="156" t="s">
        <v>656</v>
      </c>
      <c r="G887" s="154">
        <v>1080000</v>
      </c>
    </row>
    <row r="888" spans="1:7" ht="21.6" customHeight="1">
      <c r="A888" s="154">
        <v>757</v>
      </c>
      <c r="B888" s="154" t="str" cm="1">
        <f t="array" ref="B888">_xlfn.XLOOKUP(TRUE, ISNUMBER(SEARCH(工作表5!$A$1:$A$23, C888)), 工作表5!$B$1:$B$23, "其他")</f>
        <v>定著組</v>
      </c>
      <c r="C888" s="144" t="s">
        <v>1789</v>
      </c>
      <c r="D888" s="156"/>
      <c r="E888" s="156" t="s">
        <v>1439</v>
      </c>
      <c r="F888" s="156" t="s">
        <v>424</v>
      </c>
      <c r="G888" s="154">
        <v>540000</v>
      </c>
    </row>
    <row r="889" spans="1:7" ht="21.6" customHeight="1">
      <c r="A889" s="154">
        <v>757</v>
      </c>
      <c r="B889" s="154" t="str" cm="1">
        <f t="array" ref="B889">_xlfn.XLOOKUP(TRUE, ISNUMBER(SEARCH(工作表5!$A$1:$A$23, C889)), 工作表5!$B$1:$B$23, "其他")</f>
        <v>定著組</v>
      </c>
      <c r="C889" s="144" t="s">
        <v>1790</v>
      </c>
      <c r="D889" s="156"/>
      <c r="E889" s="156" t="s">
        <v>1440</v>
      </c>
      <c r="F889" s="156" t="s">
        <v>426</v>
      </c>
      <c r="G889" s="154">
        <v>540000</v>
      </c>
    </row>
    <row r="890" spans="1:7" ht="21.6" customHeight="1">
      <c r="A890" s="154">
        <v>757</v>
      </c>
      <c r="B890" s="154" t="str" cm="1">
        <f t="array" ref="B890">_xlfn.XLOOKUP(TRUE, ISNUMBER(SEARCH(工作表5!$A$1:$A$23, C890)), 工作表5!$B$1:$B$23, "其他")</f>
        <v>轉寫組</v>
      </c>
      <c r="C890" s="144" t="s">
        <v>1791</v>
      </c>
      <c r="D890" s="156"/>
      <c r="E890" s="156" t="s">
        <v>1441</v>
      </c>
      <c r="F890" s="156" t="s">
        <v>428</v>
      </c>
      <c r="G890" s="154">
        <v>540000</v>
      </c>
    </row>
    <row r="891" spans="1:7" ht="21.6" customHeight="1">
      <c r="A891" s="154">
        <v>757</v>
      </c>
      <c r="B891" s="154" t="str" cm="1">
        <f t="array" ref="B891">_xlfn.XLOOKUP(TRUE, ISNUMBER(SEARCH(工作表5!$A$1:$A$23, C891)), 工作表5!$B$1:$B$23, "其他")</f>
        <v>轉寫組</v>
      </c>
      <c r="C891" s="144" t="s">
        <v>1792</v>
      </c>
      <c r="D891" s="156"/>
      <c r="E891" s="156" t="s">
        <v>1442</v>
      </c>
      <c r="F891" s="156" t="s">
        <v>430</v>
      </c>
      <c r="G891" s="154">
        <v>540000</v>
      </c>
    </row>
    <row r="892" spans="1:7" ht="21.6" customHeight="1">
      <c r="A892" s="154">
        <v>757</v>
      </c>
      <c r="B892" s="154" t="str" cm="1">
        <f t="array" ref="B892">_xlfn.XLOOKUP(TRUE, ISNUMBER(SEARCH(工作表5!$A$1:$A$23, C892)), 工作表5!$B$1:$B$23, "其他")</f>
        <v>轉寫組</v>
      </c>
      <c r="C892" s="144" t="s">
        <v>1793</v>
      </c>
      <c r="D892" s="156"/>
      <c r="E892" s="156" t="s">
        <v>1443</v>
      </c>
      <c r="F892" s="156" t="s">
        <v>432</v>
      </c>
      <c r="G892" s="154">
        <v>540000</v>
      </c>
    </row>
    <row r="893" spans="1:7" ht="21.6" customHeight="1">
      <c r="A893" s="154">
        <v>757</v>
      </c>
      <c r="B893" s="154" t="str" cm="1">
        <f t="array" ref="B893">_xlfn.XLOOKUP(TRUE, ISNUMBER(SEARCH(工作表5!$A$1:$A$23, C893)), 工作表5!$B$1:$B$23, "其他")</f>
        <v>滾筒組</v>
      </c>
      <c r="C893" s="144" t="s">
        <v>95</v>
      </c>
      <c r="D893" s="156"/>
      <c r="E893" s="156" t="s">
        <v>1444</v>
      </c>
      <c r="F893" s="156" t="s">
        <v>434</v>
      </c>
      <c r="G893" s="154">
        <v>540000</v>
      </c>
    </row>
    <row r="894" spans="1:7" ht="21.6" customHeight="1">
      <c r="A894" s="154">
        <v>757</v>
      </c>
      <c r="B894" s="154" t="str" cm="1">
        <f t="array" ref="B894">_xlfn.XLOOKUP(TRUE, ISNUMBER(SEARCH(工作表5!$A$1:$A$23, C894)), 工作表5!$B$1:$B$23, "其他")</f>
        <v>其他</v>
      </c>
      <c r="C894" s="144" t="s">
        <v>101</v>
      </c>
      <c r="D894" s="156"/>
      <c r="E894" s="156" t="s">
        <v>1445</v>
      </c>
      <c r="F894" s="156" t="s">
        <v>436</v>
      </c>
      <c r="G894" s="154">
        <v>540000</v>
      </c>
    </row>
    <row r="895" spans="1:7" ht="21.6" customHeight="1">
      <c r="A895" s="154">
        <v>757</v>
      </c>
      <c r="B895" s="154" t="str" cm="1">
        <f t="array" ref="B895">_xlfn.XLOOKUP(TRUE, ISNUMBER(SEARCH(工作表5!$A$1:$A$23, C895)), 工作表5!$B$1:$B$23, "其他")</f>
        <v>顯像組</v>
      </c>
      <c r="C895" s="144" t="s">
        <v>1794</v>
      </c>
      <c r="D895" s="156"/>
      <c r="E895" s="156" t="s">
        <v>1446</v>
      </c>
      <c r="F895" s="156" t="s">
        <v>438</v>
      </c>
      <c r="G895" s="154">
        <v>540000</v>
      </c>
    </row>
    <row r="896" spans="1:7" ht="21.6" customHeight="1">
      <c r="A896" s="154">
        <v>757</v>
      </c>
      <c r="B896" s="154" t="str" cm="1">
        <f t="array" ref="B896">_xlfn.XLOOKUP(TRUE, ISNUMBER(SEARCH(工作表5!$A$1:$A$23, C896)), 工作表5!$B$1:$B$23, "其他")</f>
        <v>其他</v>
      </c>
      <c r="C896" s="145" t="s">
        <v>1795</v>
      </c>
      <c r="D896" s="156"/>
      <c r="E896" s="156" t="s">
        <v>1447</v>
      </c>
      <c r="F896" s="156" t="s">
        <v>440</v>
      </c>
      <c r="G896" s="154">
        <v>540000</v>
      </c>
    </row>
    <row r="897" spans="1:7" ht="21.6" customHeight="1">
      <c r="A897" s="154">
        <v>757</v>
      </c>
      <c r="B897" s="154" t="str" cm="1">
        <f t="array" ref="B897">_xlfn.XLOOKUP(TRUE, ISNUMBER(SEARCH(工作表5!$A$1:$A$23, C897)), 工作表5!$B$1:$B$23, "其他")</f>
        <v>滾筒組</v>
      </c>
      <c r="C897" s="144" t="s">
        <v>107</v>
      </c>
      <c r="D897" s="156"/>
      <c r="E897" s="156" t="s">
        <v>1448</v>
      </c>
      <c r="F897" s="156" t="s">
        <v>442</v>
      </c>
      <c r="G897" s="154">
        <v>540000</v>
      </c>
    </row>
    <row r="898" spans="1:7" ht="21.6" customHeight="1">
      <c r="A898" s="154">
        <v>757</v>
      </c>
      <c r="B898" s="154" t="str" cm="1">
        <f t="array" ref="B898">_xlfn.XLOOKUP(TRUE, ISNUMBER(SEARCH(工作表5!$A$1:$A$23, C898)), 工作表5!$B$1:$B$23, "其他")</f>
        <v>其他</v>
      </c>
      <c r="C898" s="144" t="s">
        <v>445</v>
      </c>
      <c r="D898" s="156"/>
      <c r="E898" s="156" t="s">
        <v>1449</v>
      </c>
      <c r="F898" s="156" t="s">
        <v>444</v>
      </c>
      <c r="G898" s="154">
        <v>540000</v>
      </c>
    </row>
    <row r="899" spans="1:7" ht="21.6" customHeight="1">
      <c r="A899" s="154">
        <v>757</v>
      </c>
      <c r="B899" s="154" t="str" cm="1">
        <f t="array" ref="B899">_xlfn.XLOOKUP(TRUE, ISNUMBER(SEARCH(工作表5!$A$1:$A$23, C899)), 工作表5!$B$1:$B$23, "其他")</f>
        <v>定著組</v>
      </c>
      <c r="C899" s="144" t="s">
        <v>448</v>
      </c>
      <c r="D899" s="156"/>
      <c r="E899" s="156" t="s">
        <v>1450</v>
      </c>
      <c r="F899" s="156" t="s">
        <v>447</v>
      </c>
      <c r="G899" s="154">
        <v>540000</v>
      </c>
    </row>
    <row r="900" spans="1:7" ht="21.6" customHeight="1">
      <c r="A900" s="154">
        <v>757</v>
      </c>
      <c r="B900" s="154" t="str" cm="1">
        <f t="array" ref="B900">_xlfn.XLOOKUP(TRUE, ISNUMBER(SEARCH(工作表5!$A$1:$A$23, C900)), 工作表5!$B$1:$B$23, "其他")</f>
        <v>其他</v>
      </c>
      <c r="C900" s="144" t="s">
        <v>451</v>
      </c>
      <c r="D900" s="156"/>
      <c r="E900" s="156" t="s">
        <v>1451</v>
      </c>
      <c r="F900" s="156" t="s">
        <v>450</v>
      </c>
      <c r="G900" s="154">
        <v>540000</v>
      </c>
    </row>
    <row r="901" spans="1:7" ht="21.6" customHeight="1">
      <c r="A901" s="154">
        <v>757</v>
      </c>
      <c r="B901" s="154" t="str" cm="1">
        <f t="array" ref="B901">_xlfn.XLOOKUP(TRUE, ISNUMBER(SEARCH(工作表5!$A$1:$A$23, C901)), 工作表5!$B$1:$B$23, "其他")</f>
        <v>取紙組</v>
      </c>
      <c r="C901" s="144" t="s">
        <v>1796</v>
      </c>
      <c r="D901" s="156"/>
      <c r="E901" s="156" t="s">
        <v>1452</v>
      </c>
      <c r="F901" s="156" t="s">
        <v>226</v>
      </c>
      <c r="G901" s="154" t="e">
        <v>#VALUE!</v>
      </c>
    </row>
    <row r="902" spans="1:7" ht="21.6" customHeight="1">
      <c r="A902" s="154">
        <v>757</v>
      </c>
      <c r="B902" s="154" t="str" cm="1">
        <f t="array" ref="B902">_xlfn.XLOOKUP(TRUE, ISNUMBER(SEARCH(工作表5!$A$1:$A$23, C902)), 工作表5!$B$1:$B$23, "其他")</f>
        <v>取紙組</v>
      </c>
      <c r="C902" s="144" t="s">
        <v>456</v>
      </c>
      <c r="D902" s="156"/>
      <c r="E902" s="156" t="s">
        <v>1452</v>
      </c>
      <c r="F902" s="156" t="s">
        <v>226</v>
      </c>
      <c r="G902" s="154" t="e">
        <v>#VALUE!</v>
      </c>
    </row>
    <row r="903" spans="1:7" ht="21.6" customHeight="1">
      <c r="A903" s="154">
        <v>757</v>
      </c>
      <c r="B903" s="154" t="str" cm="1">
        <f t="array" ref="B903">_xlfn.XLOOKUP(TRUE, ISNUMBER(SEARCH(工作表5!$A$1:$A$23, C903)), 工作表5!$B$1:$B$23, "其他")</f>
        <v>取紙組</v>
      </c>
      <c r="C903" s="144" t="s">
        <v>454</v>
      </c>
      <c r="D903" s="156"/>
      <c r="E903" s="156" t="s">
        <v>1453</v>
      </c>
      <c r="F903" s="156" t="s">
        <v>458</v>
      </c>
      <c r="G903" s="154" t="e">
        <v>#VALUE!</v>
      </c>
    </row>
    <row r="904" spans="1:7" ht="21.6" customHeight="1">
      <c r="A904" s="154">
        <v>757</v>
      </c>
      <c r="B904" s="154" t="str" cm="1">
        <f t="array" ref="B904">_xlfn.XLOOKUP(TRUE, ISNUMBER(SEARCH(工作表5!$A$1:$A$23, C904)), 工作表5!$B$1:$B$23, "其他")</f>
        <v>手送台</v>
      </c>
      <c r="C904" s="144" t="s">
        <v>1797</v>
      </c>
      <c r="D904" s="156"/>
      <c r="E904" s="156" t="s">
        <v>1454</v>
      </c>
      <c r="F904" s="156" t="s">
        <v>460</v>
      </c>
      <c r="G904" s="154">
        <v>100000</v>
      </c>
    </row>
    <row r="905" spans="1:7" ht="21.6" customHeight="1">
      <c r="A905" s="154">
        <v>757</v>
      </c>
      <c r="B905" s="154" t="str" cm="1">
        <f t="array" ref="B905">_xlfn.XLOOKUP(TRUE, ISNUMBER(SEARCH(工作表5!$A$1:$A$23, C905)), 工作表5!$B$1:$B$23, "其他")</f>
        <v>手送台</v>
      </c>
      <c r="C905" s="144" t="s">
        <v>115</v>
      </c>
      <c r="D905" s="156"/>
      <c r="E905" s="156" t="s">
        <v>1455</v>
      </c>
      <c r="F905" s="156" t="s">
        <v>462</v>
      </c>
      <c r="G905" s="154">
        <v>100000</v>
      </c>
    </row>
    <row r="906" spans="1:7" ht="21.6" customHeight="1">
      <c r="A906" s="154">
        <v>757</v>
      </c>
      <c r="B906" s="154" t="str" cm="1">
        <f t="array" ref="B906">_xlfn.XLOOKUP(TRUE, ISNUMBER(SEARCH(工作表5!$A$1:$A$23, C906)), 工作表5!$B$1:$B$23, "其他")</f>
        <v>手送台</v>
      </c>
      <c r="C906" s="144" t="s">
        <v>224</v>
      </c>
      <c r="D906" s="156"/>
      <c r="E906" s="156" t="s">
        <v>1456</v>
      </c>
      <c r="F906" s="156" t="s">
        <v>464</v>
      </c>
      <c r="G906" s="154">
        <v>100000</v>
      </c>
    </row>
    <row r="907" spans="1:7" ht="21.6" customHeight="1">
      <c r="A907" s="154">
        <v>757</v>
      </c>
      <c r="B907" s="154" t="str" cm="1">
        <f t="array" ref="B907">_xlfn.XLOOKUP(TRUE, ISNUMBER(SEARCH(工作表5!$A$1:$A$23, C907)), 工作表5!$B$1:$B$23, "其他")</f>
        <v>其他</v>
      </c>
      <c r="C907" s="144" t="s">
        <v>1798</v>
      </c>
      <c r="D907" s="156"/>
      <c r="E907" s="156" t="s">
        <v>1410</v>
      </c>
      <c r="F907" s="156" t="s">
        <v>333</v>
      </c>
      <c r="G907" s="154">
        <v>500000</v>
      </c>
    </row>
    <row r="908" spans="1:7" ht="21.6" customHeight="1">
      <c r="A908" s="154">
        <v>757</v>
      </c>
      <c r="B908" s="154" t="str" cm="1">
        <f t="array" ref="B908">_xlfn.XLOOKUP(TRUE, ISNUMBER(SEARCH(工作表5!$A$1:$A$23, C908)), 工作表5!$B$1:$B$23, "其他")</f>
        <v>其他</v>
      </c>
      <c r="C908" s="144" t="s">
        <v>466</v>
      </c>
      <c r="D908" s="156"/>
      <c r="E908" s="156" t="s">
        <v>1452</v>
      </c>
      <c r="F908" s="156" t="s">
        <v>226</v>
      </c>
      <c r="G908" s="154">
        <v>500000</v>
      </c>
    </row>
    <row r="909" spans="1:7" ht="21.6" customHeight="1">
      <c r="A909" s="154">
        <v>757</v>
      </c>
      <c r="B909" s="154" t="str" cm="1">
        <f t="array" ref="B909">_xlfn.XLOOKUP(TRUE, ISNUMBER(SEARCH(工作表5!$A$1:$A$23, C909)), 工作表5!$B$1:$B$23, "其他")</f>
        <v>其他</v>
      </c>
      <c r="C909" s="144" t="s">
        <v>469</v>
      </c>
      <c r="D909" s="156"/>
      <c r="E909" s="156" t="s">
        <v>1457</v>
      </c>
      <c r="F909" s="156" t="s">
        <v>468</v>
      </c>
      <c r="G909" s="154">
        <v>500000</v>
      </c>
    </row>
    <row r="910" spans="1:7" ht="21.6" customHeight="1">
      <c r="A910" s="154">
        <v>757</v>
      </c>
      <c r="B910" s="154" t="str" cm="1">
        <f t="array" ref="B910">_xlfn.XLOOKUP(TRUE, ISNUMBER(SEARCH(工作表5!$A$1:$A$23, C910)), 工作表5!$B$1:$B$23, "其他")</f>
        <v>送稿機</v>
      </c>
      <c r="C910" s="144" t="s">
        <v>1799</v>
      </c>
      <c r="D910" s="156"/>
      <c r="E910" s="156" t="s">
        <v>1375</v>
      </c>
      <c r="F910" s="156" t="s">
        <v>226</v>
      </c>
      <c r="G910" s="154" t="e">
        <v>#VALUE!</v>
      </c>
    </row>
    <row r="911" spans="1:7" ht="21.6" customHeight="1">
      <c r="A911" s="154">
        <v>757</v>
      </c>
      <c r="B911" s="154" t="str" cm="1">
        <f t="array" ref="B911">_xlfn.XLOOKUP(TRUE, ISNUMBER(SEARCH(工作表5!$A$1:$A$23, C911)), 工作表5!$B$1:$B$23, "其他")</f>
        <v>送稿機</v>
      </c>
      <c r="C911" s="144" t="s">
        <v>1800</v>
      </c>
      <c r="D911" s="156"/>
      <c r="E911" s="156" t="s">
        <v>1375</v>
      </c>
      <c r="F911" s="156" t="s">
        <v>226</v>
      </c>
      <c r="G911" s="154" t="e">
        <v>#VALUE!</v>
      </c>
    </row>
    <row r="912" spans="1:7" ht="21.6" customHeight="1">
      <c r="A912" s="154">
        <v>757</v>
      </c>
      <c r="B912" s="154" t="str" cm="1">
        <f t="array" ref="B912">_xlfn.XLOOKUP(TRUE, ISNUMBER(SEARCH(工作表5!$A$1:$A$23, C912)), 工作表5!$B$1:$B$23, "其他")</f>
        <v>送稿機</v>
      </c>
      <c r="C912" s="144" t="s">
        <v>1801</v>
      </c>
      <c r="D912" s="156"/>
      <c r="E912" s="156" t="s">
        <v>1376</v>
      </c>
      <c r="F912" s="156" t="s">
        <v>230</v>
      </c>
      <c r="G912" s="154" t="e">
        <v>#VALUE!</v>
      </c>
    </row>
    <row r="913" spans="1:7" ht="21.6" customHeight="1">
      <c r="A913" s="154">
        <v>757</v>
      </c>
      <c r="B913" s="154" t="str" cm="1">
        <f t="array" ref="B913">_xlfn.XLOOKUP(TRUE, ISNUMBER(SEARCH(工作表5!$A$1:$A$23, C913)), 工作表5!$B$1:$B$23, "其他")</f>
        <v>顯像組</v>
      </c>
      <c r="C913" s="144" t="s">
        <v>1802</v>
      </c>
      <c r="D913" s="156"/>
      <c r="E913" s="156" t="s">
        <v>1458</v>
      </c>
      <c r="F913" s="156" t="s">
        <v>473</v>
      </c>
      <c r="G913" s="154">
        <v>540000</v>
      </c>
    </row>
    <row r="914" spans="1:7" ht="21.6" customHeight="1">
      <c r="A914" s="154">
        <v>757</v>
      </c>
      <c r="B914" s="154" t="str" cm="1">
        <f t="array" ref="B914">_xlfn.XLOOKUP(TRUE, ISNUMBER(SEARCH(工作表5!$A$1:$A$23, C914)), 工作表5!$B$1:$B$23, "其他")</f>
        <v>定著組</v>
      </c>
      <c r="C914" s="145" t="s">
        <v>244</v>
      </c>
      <c r="D914" s="156"/>
      <c r="E914" s="156" t="s">
        <v>1531</v>
      </c>
      <c r="F914" s="156" t="s">
        <v>658</v>
      </c>
      <c r="G914" s="154">
        <v>1080000</v>
      </c>
    </row>
    <row r="915" spans="1:7" ht="21.6" customHeight="1">
      <c r="A915" s="154">
        <v>757</v>
      </c>
      <c r="B915" s="154" t="str" cm="1">
        <f t="array" ref="B915">_xlfn.XLOOKUP(TRUE, ISNUMBER(SEARCH(工作表5!$A$1:$A$23, C915)), 工作表5!$B$1:$B$23, "其他")</f>
        <v>定著組</v>
      </c>
      <c r="C915" s="145" t="s">
        <v>244</v>
      </c>
      <c r="D915" s="156"/>
      <c r="E915" s="156" t="s">
        <v>1532</v>
      </c>
      <c r="F915" s="156" t="s">
        <v>660</v>
      </c>
      <c r="G915" s="154">
        <v>540000</v>
      </c>
    </row>
    <row r="916" spans="1:7" ht="21.6" customHeight="1">
      <c r="A916" s="154">
        <v>757</v>
      </c>
      <c r="B916" s="154" t="str" cm="1">
        <f t="array" ref="B916">_xlfn.XLOOKUP(TRUE, ISNUMBER(SEARCH(工作表5!$A$1:$A$23, C916)), 工作表5!$B$1:$B$23, "其他")</f>
        <v>其他</v>
      </c>
      <c r="C916" s="145" t="s">
        <v>478</v>
      </c>
      <c r="D916" s="156"/>
      <c r="E916" s="156" t="s">
        <v>1533</v>
      </c>
      <c r="F916" s="156" t="s">
        <v>662</v>
      </c>
      <c r="G916" s="154">
        <v>540000</v>
      </c>
    </row>
    <row r="917" spans="1:7" ht="21.6" customHeight="1">
      <c r="A917" s="154">
        <v>757</v>
      </c>
      <c r="B917" s="154" t="str" cm="1">
        <f t="array" ref="B917">_xlfn.XLOOKUP(TRUE, ISNUMBER(SEARCH(工作表5!$A$1:$A$23, C917)), 工作表5!$B$1:$B$23, "其他")</f>
        <v>其他</v>
      </c>
      <c r="C917" s="144" t="s">
        <v>1803</v>
      </c>
      <c r="D917" s="156"/>
      <c r="E917" s="156" t="s">
        <v>1461</v>
      </c>
      <c r="F917" s="156" t="s">
        <v>480</v>
      </c>
      <c r="G917" s="154">
        <v>540000</v>
      </c>
    </row>
    <row r="918" spans="1:7" ht="21.6" customHeight="1">
      <c r="A918" s="154">
        <v>757</v>
      </c>
      <c r="B918" s="154" t="str" cm="1">
        <f t="array" ref="B918">_xlfn.XLOOKUP(TRUE, ISNUMBER(SEARCH(工作表5!$A$1:$A$23, C918)), 工作表5!$B$1:$B$23, "其他")</f>
        <v>取紙組</v>
      </c>
      <c r="C918" s="144" t="s">
        <v>483</v>
      </c>
      <c r="D918" s="156"/>
      <c r="E918" s="156" t="s">
        <v>1462</v>
      </c>
      <c r="F918" s="156" t="s">
        <v>482</v>
      </c>
      <c r="G918" s="154" t="e">
        <v>#VALUE!</v>
      </c>
    </row>
    <row r="919" spans="1:7" ht="21.6" customHeight="1">
      <c r="A919" s="154">
        <v>757</v>
      </c>
      <c r="B919" s="154" t="str" cm="1">
        <f t="array" ref="B919">_xlfn.XLOOKUP(TRUE, ISNUMBER(SEARCH(工作表5!$A$1:$A$23, C919)), 工作表5!$B$1:$B$23, "其他")</f>
        <v>其他</v>
      </c>
      <c r="C919" s="144" t="s">
        <v>486</v>
      </c>
      <c r="D919" s="156"/>
      <c r="E919" s="156" t="s">
        <v>1463</v>
      </c>
      <c r="F919" s="156" t="s">
        <v>485</v>
      </c>
      <c r="G919" s="154">
        <v>500000</v>
      </c>
    </row>
    <row r="920" spans="1:7" ht="21.6" customHeight="1">
      <c r="A920" s="154">
        <v>757</v>
      </c>
      <c r="B920" s="154" t="str" cm="1">
        <f t="array" ref="B920">_xlfn.XLOOKUP(TRUE, ISNUMBER(SEARCH(工作表5!$A$1:$A$23, C920)), 工作表5!$B$1:$B$23, "其他")</f>
        <v>送稿機</v>
      </c>
      <c r="C920" s="144" t="s">
        <v>1804</v>
      </c>
      <c r="D920" s="156"/>
      <c r="E920" s="156" t="s">
        <v>1383</v>
      </c>
      <c r="F920" s="156" t="s">
        <v>249</v>
      </c>
      <c r="G920" s="154" t="e">
        <v>#VALUE!</v>
      </c>
    </row>
    <row r="921" spans="1:7" ht="21.6" customHeight="1">
      <c r="A921" s="154">
        <v>757</v>
      </c>
      <c r="B921" s="154" t="str" cm="1">
        <f t="array" ref="B921">_xlfn.XLOOKUP(TRUE, ISNUMBER(SEARCH(工作表5!$A$1:$A$23, C921)), 工作表5!$B$1:$B$23, "其他")</f>
        <v>顯像組</v>
      </c>
      <c r="C921" s="145" t="s">
        <v>129</v>
      </c>
      <c r="D921" s="156"/>
      <c r="E921" s="156" t="s">
        <v>1537</v>
      </c>
      <c r="F921" s="156" t="s">
        <v>679</v>
      </c>
      <c r="G921" s="154" t="e">
        <v>#VALUE!</v>
      </c>
    </row>
    <row r="922" spans="1:7" ht="21.6" customHeight="1">
      <c r="A922" s="154">
        <v>757</v>
      </c>
      <c r="B922" s="154" t="str" cm="1">
        <f t="array" ref="B922">_xlfn.XLOOKUP(TRUE, ISNUMBER(SEARCH(工作表5!$A$1:$A$23, C922)), 工作表5!$B$1:$B$23, "其他")</f>
        <v>滾筒組</v>
      </c>
      <c r="C922" s="145" t="s">
        <v>132</v>
      </c>
      <c r="D922" s="156"/>
      <c r="E922" s="156" t="s">
        <v>1465</v>
      </c>
      <c r="F922" s="156" t="s">
        <v>490</v>
      </c>
      <c r="G922" s="154" t="e">
        <v>#VALUE!</v>
      </c>
    </row>
    <row r="923" spans="1:7" ht="21.6" customHeight="1">
      <c r="A923" s="154">
        <v>757</v>
      </c>
      <c r="B923" s="154" t="str" cm="1">
        <f t="array" ref="B923">_xlfn.XLOOKUP(TRUE, ISNUMBER(SEARCH(工作表5!$A$1:$A$23, C923)), 工作表5!$B$1:$B$23, "其他")</f>
        <v>顯像組</v>
      </c>
      <c r="C923" s="144" t="s">
        <v>135</v>
      </c>
      <c r="D923" s="156"/>
      <c r="E923" s="156" t="s">
        <v>1466</v>
      </c>
      <c r="F923" s="156" t="s">
        <v>492</v>
      </c>
      <c r="G923" s="154" t="e">
        <v>#VALUE!</v>
      </c>
    </row>
    <row r="924" spans="1:7" ht="21.6" customHeight="1">
      <c r="A924" s="154">
        <v>757</v>
      </c>
      <c r="B924" s="154" t="str" cm="1">
        <f t="array" ref="B924">_xlfn.XLOOKUP(TRUE, ISNUMBER(SEARCH(工作表5!$A$1:$A$23, C924)), 工作表5!$B$1:$B$23, "其他")</f>
        <v>轉寫組</v>
      </c>
      <c r="C924" s="144" t="s">
        <v>1805</v>
      </c>
      <c r="D924" s="156"/>
      <c r="E924" s="156" t="s">
        <v>1467</v>
      </c>
      <c r="F924" s="156" t="s">
        <v>494</v>
      </c>
      <c r="G924" s="154" t="e">
        <v>#VALUE!</v>
      </c>
    </row>
    <row r="925" spans="1:7" ht="21.6" customHeight="1">
      <c r="A925" s="154">
        <v>757</v>
      </c>
      <c r="B925" s="154" t="str" cm="1">
        <f t="array" ref="B925">_xlfn.XLOOKUP(TRUE, ISNUMBER(SEARCH(工作表5!$A$1:$A$23, C925)), 工作表5!$B$1:$B$23, "其他")</f>
        <v>定著組</v>
      </c>
      <c r="C925" s="149" t="s">
        <v>682</v>
      </c>
      <c r="D925" s="156"/>
      <c r="E925" s="156" t="s">
        <v>1538</v>
      </c>
      <c r="F925" s="156" t="s">
        <v>681</v>
      </c>
      <c r="G925" s="154" t="e">
        <v>#VALUE!</v>
      </c>
    </row>
    <row r="926" spans="1:7" ht="21.6" customHeight="1">
      <c r="A926" s="154" t="s">
        <v>1302</v>
      </c>
      <c r="B926" s="154" t="str" cm="1">
        <f t="array" ref="B926">_xlfn.XLOOKUP(TRUE, ISNUMBER(SEARCH(工作表5!$A$1:$A$23, C926)), 工作表5!$B$1:$B$23, "其他")</f>
        <v>滾筒組</v>
      </c>
      <c r="C926" s="143" t="s">
        <v>71</v>
      </c>
      <c r="D926" s="156"/>
      <c r="E926" s="156" t="s">
        <v>1469</v>
      </c>
      <c r="F926" s="156" t="s">
        <v>499</v>
      </c>
      <c r="G926" s="154">
        <v>660000</v>
      </c>
    </row>
    <row r="927" spans="1:7" ht="21.6" customHeight="1">
      <c r="A927" s="154" t="s">
        <v>1302</v>
      </c>
      <c r="B927" s="154" t="str" cm="1">
        <f t="array" ref="B927">_xlfn.XLOOKUP(TRUE, ISNUMBER(SEARCH(工作表5!$A$1:$A$23, C927)), 工作表5!$B$1:$B$23, "其他")</f>
        <v>顯像組</v>
      </c>
      <c r="C927" s="145" t="s">
        <v>502</v>
      </c>
      <c r="D927" s="156"/>
      <c r="E927" s="156" t="s">
        <v>1470</v>
      </c>
      <c r="F927" s="156" t="s">
        <v>501</v>
      </c>
      <c r="G927" s="154" t="e">
        <v>#VALUE!</v>
      </c>
    </row>
    <row r="928" spans="1:7" ht="21.6" customHeight="1">
      <c r="A928" s="154" t="s">
        <v>1302</v>
      </c>
      <c r="B928" s="154" t="str" cm="1">
        <f t="array" ref="B928">_xlfn.XLOOKUP(TRUE, ISNUMBER(SEARCH(工作表5!$A$1:$A$23, C928)), 工作表5!$B$1:$B$23, "其他")</f>
        <v>滾筒組</v>
      </c>
      <c r="C928" s="145" t="s">
        <v>415</v>
      </c>
      <c r="D928" s="156"/>
      <c r="E928" s="156" t="s">
        <v>1471</v>
      </c>
      <c r="F928" s="156" t="s">
        <v>505</v>
      </c>
      <c r="G928" s="154">
        <v>660000</v>
      </c>
    </row>
    <row r="929" spans="1:7" ht="21.6" customHeight="1">
      <c r="A929" s="154" t="s">
        <v>1302</v>
      </c>
      <c r="B929" s="154" t="str" cm="1">
        <f t="array" ref="B929">_xlfn.XLOOKUP(TRUE, ISNUMBER(SEARCH(工作表5!$A$1:$A$23, C929)), 工作表5!$B$1:$B$23, "其他")</f>
        <v>滾筒組</v>
      </c>
      <c r="C929" s="144" t="s">
        <v>107</v>
      </c>
      <c r="D929" s="156"/>
      <c r="E929" s="156" t="s">
        <v>1472</v>
      </c>
      <c r="F929" s="156" t="s">
        <v>507</v>
      </c>
      <c r="G929" s="154">
        <v>660000</v>
      </c>
    </row>
    <row r="930" spans="1:7" ht="21.6" customHeight="1">
      <c r="A930" s="154" t="s">
        <v>1302</v>
      </c>
      <c r="B930" s="154" t="str" cm="1">
        <f t="array" ref="B930">_xlfn.XLOOKUP(TRUE, ISNUMBER(SEARCH(工作表5!$A$1:$A$23, C930)), 工作表5!$B$1:$B$23, "其他")</f>
        <v>顯像組</v>
      </c>
      <c r="C930" s="145" t="s">
        <v>104</v>
      </c>
      <c r="D930" s="156"/>
      <c r="E930" s="156" t="s">
        <v>1473</v>
      </c>
      <c r="F930" s="156" t="s">
        <v>509</v>
      </c>
      <c r="G930" s="154">
        <v>660000</v>
      </c>
    </row>
    <row r="931" spans="1:7" ht="21.6" customHeight="1">
      <c r="A931" s="154" t="s">
        <v>1302</v>
      </c>
      <c r="B931" s="154" t="str" cm="1">
        <f t="array" ref="B931">_xlfn.XLOOKUP(TRUE, ISNUMBER(SEARCH(工作表5!$A$1:$A$23, C931)), 工作表5!$B$1:$B$23, "其他")</f>
        <v>顯像組</v>
      </c>
      <c r="C931" s="145" t="s">
        <v>1806</v>
      </c>
      <c r="D931" s="156"/>
      <c r="E931" s="156" t="s">
        <v>1474</v>
      </c>
      <c r="F931" s="156" t="s">
        <v>511</v>
      </c>
      <c r="G931" s="154">
        <v>660000</v>
      </c>
    </row>
    <row r="932" spans="1:7" ht="21.6" customHeight="1">
      <c r="A932" s="154" t="s">
        <v>1302</v>
      </c>
      <c r="B932" s="154" t="str" cm="1">
        <f t="array" ref="B932">_xlfn.XLOOKUP(TRUE, ISNUMBER(SEARCH(工作表5!$A$1:$A$23, C932)), 工作表5!$B$1:$B$23, "其他")</f>
        <v>滾筒組</v>
      </c>
      <c r="C932" s="145" t="s">
        <v>1807</v>
      </c>
      <c r="D932" s="156"/>
      <c r="E932" s="156" t="s">
        <v>1475</v>
      </c>
      <c r="F932" s="156" t="s">
        <v>513</v>
      </c>
      <c r="G932" s="154">
        <v>660000</v>
      </c>
    </row>
    <row r="933" spans="1:7" ht="21.6" customHeight="1">
      <c r="A933" s="154" t="s">
        <v>1302</v>
      </c>
      <c r="B933" s="154" t="str" cm="1">
        <f t="array" ref="B933">_xlfn.XLOOKUP(TRUE, ISNUMBER(SEARCH(工作表5!$A$1:$A$23, C933)), 工作表5!$B$1:$B$23, "其他")</f>
        <v>滾筒組</v>
      </c>
      <c r="C933" s="145" t="s">
        <v>516</v>
      </c>
      <c r="D933" s="156"/>
      <c r="E933" s="156" t="s">
        <v>1476</v>
      </c>
      <c r="F933" s="156" t="s">
        <v>515</v>
      </c>
      <c r="G933" s="154">
        <v>660000</v>
      </c>
    </row>
    <row r="934" spans="1:7" ht="21.6" customHeight="1">
      <c r="A934" s="154" t="s">
        <v>1302</v>
      </c>
      <c r="B934" s="154" t="str" cm="1">
        <f t="array" ref="B934">_xlfn.XLOOKUP(TRUE, ISNUMBER(SEARCH(工作表5!$A$1:$A$23, C934)), 工作表5!$B$1:$B$23, "其他")</f>
        <v>其他</v>
      </c>
      <c r="C934" s="145" t="s">
        <v>1808</v>
      </c>
      <c r="D934" s="156"/>
      <c r="E934" s="156" t="s">
        <v>1477</v>
      </c>
      <c r="F934" s="156" t="s">
        <v>518</v>
      </c>
      <c r="G934" s="154">
        <v>660000</v>
      </c>
    </row>
    <row r="935" spans="1:7" ht="21.6" customHeight="1">
      <c r="A935" s="154" t="s">
        <v>1302</v>
      </c>
      <c r="B935" s="154" t="str" cm="1">
        <f t="array" ref="B935">_xlfn.XLOOKUP(TRUE, ISNUMBER(SEARCH(工作表5!$A$1:$A$23, C935)), 工作表5!$B$1:$B$23, "其他")</f>
        <v>其他</v>
      </c>
      <c r="C935" s="144" t="s">
        <v>101</v>
      </c>
      <c r="D935" s="156"/>
      <c r="E935" s="156" t="s">
        <v>1478</v>
      </c>
      <c r="F935" s="156" t="s">
        <v>520</v>
      </c>
      <c r="G935" s="154">
        <v>660000</v>
      </c>
    </row>
    <row r="936" spans="1:7" ht="21.6" customHeight="1">
      <c r="A936" s="154" t="s">
        <v>1302</v>
      </c>
      <c r="B936" s="154" t="str" cm="1">
        <f t="array" ref="B936">_xlfn.XLOOKUP(TRUE, ISNUMBER(SEARCH(工作表5!$A$1:$A$23, C936)), 工作表5!$B$1:$B$23, "其他")</f>
        <v>其他</v>
      </c>
      <c r="C936" s="145" t="s">
        <v>523</v>
      </c>
      <c r="D936" s="156"/>
      <c r="E936" s="156" t="s">
        <v>1479</v>
      </c>
      <c r="F936" s="156" t="s">
        <v>522</v>
      </c>
      <c r="G936" s="154">
        <v>660000</v>
      </c>
    </row>
    <row r="937" spans="1:7" ht="21.6" customHeight="1">
      <c r="A937" s="154" t="s">
        <v>1302</v>
      </c>
      <c r="B937" s="154" t="str" cm="1">
        <f t="array" ref="B937">_xlfn.XLOOKUP(TRUE, ISNUMBER(SEARCH(工作表5!$A$1:$A$23, C937)), 工作表5!$B$1:$B$23, "其他")</f>
        <v>定著組</v>
      </c>
      <c r="C937" s="144" t="s">
        <v>1809</v>
      </c>
      <c r="D937" s="156"/>
      <c r="E937" s="156" t="s">
        <v>1480</v>
      </c>
      <c r="F937" s="156" t="s">
        <v>525</v>
      </c>
      <c r="G937" s="154">
        <v>660000</v>
      </c>
    </row>
    <row r="938" spans="1:7" ht="21.6" customHeight="1">
      <c r="A938" s="154" t="s">
        <v>1302</v>
      </c>
      <c r="B938" s="154" t="str" cm="1">
        <f t="array" ref="B938">_xlfn.XLOOKUP(TRUE, ISNUMBER(SEARCH(工作表5!$A$1:$A$23, C938)), 工作表5!$B$1:$B$23, "其他")</f>
        <v>定著組</v>
      </c>
      <c r="C938" s="144" t="s">
        <v>1810</v>
      </c>
      <c r="D938" s="156"/>
      <c r="E938" s="156" t="s">
        <v>1481</v>
      </c>
      <c r="F938" s="156" t="s">
        <v>528</v>
      </c>
      <c r="G938" s="154">
        <v>660000</v>
      </c>
    </row>
    <row r="939" spans="1:7" ht="21.6" customHeight="1">
      <c r="A939" s="154" t="s">
        <v>1302</v>
      </c>
      <c r="B939" s="154" t="str" cm="1">
        <f t="array" ref="B939">_xlfn.XLOOKUP(TRUE, ISNUMBER(SEARCH(工作表5!$A$1:$A$23, C939)), 工作表5!$B$1:$B$23, "其他")</f>
        <v>定著組</v>
      </c>
      <c r="C939" s="144" t="s">
        <v>1811</v>
      </c>
      <c r="D939" s="156"/>
      <c r="E939" s="156" t="s">
        <v>1482</v>
      </c>
      <c r="F939" s="156" t="s">
        <v>530</v>
      </c>
      <c r="G939" s="154">
        <v>660000</v>
      </c>
    </row>
    <row r="940" spans="1:7" ht="21.6" customHeight="1">
      <c r="A940" s="154" t="s">
        <v>1302</v>
      </c>
      <c r="B940" s="154" t="str" cm="1">
        <f t="array" ref="B940">_xlfn.XLOOKUP(TRUE, ISNUMBER(SEARCH(工作表5!$A$1:$A$23, C940)), 工作表5!$B$1:$B$23, "其他")</f>
        <v>轉寫組</v>
      </c>
      <c r="C940" s="144" t="s">
        <v>533</v>
      </c>
      <c r="D940" s="156"/>
      <c r="E940" s="156" t="s">
        <v>1483</v>
      </c>
      <c r="F940" s="156" t="s">
        <v>532</v>
      </c>
      <c r="G940" s="154">
        <v>660000</v>
      </c>
    </row>
    <row r="941" spans="1:7" ht="21.6" customHeight="1">
      <c r="A941" s="154" t="s">
        <v>1302</v>
      </c>
      <c r="B941" s="154" t="str" cm="1">
        <f t="array" ref="B941">_xlfn.XLOOKUP(TRUE, ISNUMBER(SEARCH(工作表5!$A$1:$A$23, C941)), 工作表5!$B$1:$B$23, "其他")</f>
        <v>轉寫組</v>
      </c>
      <c r="C941" s="145" t="s">
        <v>1812</v>
      </c>
      <c r="D941" s="156"/>
      <c r="E941" s="156" t="s">
        <v>1484</v>
      </c>
      <c r="F941" s="156" t="s">
        <v>535</v>
      </c>
      <c r="G941" s="154">
        <v>660000</v>
      </c>
    </row>
    <row r="942" spans="1:7" ht="21.6" customHeight="1">
      <c r="A942" s="154" t="s">
        <v>1302</v>
      </c>
      <c r="B942" s="154" t="str" cm="1">
        <f t="array" ref="B942">_xlfn.XLOOKUP(TRUE, ISNUMBER(SEARCH(工作表5!$A$1:$A$23, C942)), 工作表5!$B$1:$B$23, "其他")</f>
        <v>轉寫組</v>
      </c>
      <c r="C942" s="145" t="s">
        <v>1813</v>
      </c>
      <c r="D942" s="156"/>
      <c r="E942" s="156" t="s">
        <v>1485</v>
      </c>
      <c r="F942" s="156" t="s">
        <v>537</v>
      </c>
      <c r="G942" s="154">
        <v>660000</v>
      </c>
    </row>
    <row r="943" spans="1:7" ht="21.6" customHeight="1">
      <c r="A943" s="154" t="s">
        <v>1302</v>
      </c>
      <c r="B943" s="154" t="str" cm="1">
        <f t="array" ref="B943">_xlfn.XLOOKUP(TRUE, ISNUMBER(SEARCH(工作表5!$A$1:$A$23, C943)), 工作表5!$B$1:$B$23, "其他")</f>
        <v>轉寫組</v>
      </c>
      <c r="C943" s="145" t="s">
        <v>1814</v>
      </c>
      <c r="D943" s="156"/>
      <c r="E943" s="156" t="s">
        <v>1486</v>
      </c>
      <c r="F943" s="156" t="s">
        <v>539</v>
      </c>
      <c r="G943" s="154">
        <v>660000</v>
      </c>
    </row>
    <row r="944" spans="1:7" ht="21.6" customHeight="1">
      <c r="A944" s="154" t="s">
        <v>1302</v>
      </c>
      <c r="B944" s="154" t="str" cm="1">
        <f t="array" ref="B944">_xlfn.XLOOKUP(TRUE, ISNUMBER(SEARCH(工作表5!$A$1:$A$23, C944)), 工作表5!$B$1:$B$23, "其他")</f>
        <v>轉寫組</v>
      </c>
      <c r="C944" s="145" t="s">
        <v>1815</v>
      </c>
      <c r="D944" s="156"/>
      <c r="E944" s="156" t="s">
        <v>1487</v>
      </c>
      <c r="F944" s="156" t="s">
        <v>541</v>
      </c>
      <c r="G944" s="154">
        <v>660000</v>
      </c>
    </row>
    <row r="945" spans="1:7" ht="21.6" customHeight="1">
      <c r="A945" s="154" t="s">
        <v>1302</v>
      </c>
      <c r="B945" s="154" t="str" cm="1">
        <f t="array" ref="B945">_xlfn.XLOOKUP(TRUE, ISNUMBER(SEARCH(工作表5!$A$1:$A$23, C945)), 工作表5!$B$1:$B$23, "其他")</f>
        <v>取紙組</v>
      </c>
      <c r="C945" s="144" t="s">
        <v>1832</v>
      </c>
      <c r="D945" s="156"/>
      <c r="E945" s="156" t="s">
        <v>1488</v>
      </c>
      <c r="F945" s="156" t="s">
        <v>543</v>
      </c>
      <c r="G945" s="154">
        <v>200000</v>
      </c>
    </row>
    <row r="946" spans="1:7" ht="21.6" customHeight="1">
      <c r="A946" s="154" t="s">
        <v>1302</v>
      </c>
      <c r="B946" s="154" t="str" cm="1">
        <f t="array" ref="B946">_xlfn.XLOOKUP(TRUE, ISNUMBER(SEARCH(工作表5!$A$1:$A$23, C946)), 工作表5!$B$1:$B$23, "其他")</f>
        <v>取紙組</v>
      </c>
      <c r="C946" s="144" t="s">
        <v>110</v>
      </c>
      <c r="D946" s="156"/>
      <c r="E946" s="156" t="s">
        <v>1488</v>
      </c>
      <c r="F946" s="156" t="s">
        <v>543</v>
      </c>
      <c r="G946" s="154">
        <v>200000</v>
      </c>
    </row>
    <row r="947" spans="1:7" ht="21.6" customHeight="1">
      <c r="A947" s="154" t="s">
        <v>1302</v>
      </c>
      <c r="B947" s="154" t="str" cm="1">
        <f t="array" ref="B947">_xlfn.XLOOKUP(TRUE, ISNUMBER(SEARCH(工作表5!$A$1:$A$23, C947)), 工作表5!$B$1:$B$23, "其他")</f>
        <v>手送台</v>
      </c>
      <c r="C947" s="144" t="s">
        <v>114</v>
      </c>
      <c r="D947" s="156"/>
      <c r="E947" s="156" t="s">
        <v>1453</v>
      </c>
      <c r="F947" s="156" t="s">
        <v>458</v>
      </c>
      <c r="G947" s="154">
        <v>200000</v>
      </c>
    </row>
    <row r="948" spans="1:7" ht="21.6" customHeight="1">
      <c r="A948" s="154" t="s">
        <v>1302</v>
      </c>
      <c r="B948" s="154" t="str" cm="1">
        <f t="array" ref="B948">_xlfn.XLOOKUP(TRUE, ISNUMBER(SEARCH(工作表5!$A$1:$A$23, C948)), 工作表5!$B$1:$B$23, "其他")</f>
        <v>大容量取紙組</v>
      </c>
      <c r="C948" s="144" t="s">
        <v>1833</v>
      </c>
      <c r="D948" s="156"/>
      <c r="E948" s="156" t="s">
        <v>1488</v>
      </c>
      <c r="F948" s="156" t="s">
        <v>543</v>
      </c>
      <c r="G948" s="154">
        <v>400000</v>
      </c>
    </row>
    <row r="949" spans="1:7" ht="21.6" customHeight="1">
      <c r="A949" s="154" t="s">
        <v>1302</v>
      </c>
      <c r="B949" s="154" t="str" cm="1">
        <f t="array" ref="B949">_xlfn.XLOOKUP(TRUE, ISNUMBER(SEARCH(工作表5!$A$1:$A$23, C949)), 工作表5!$B$1:$B$23, "其他")</f>
        <v>大容量取紙組</v>
      </c>
      <c r="C949" s="144" t="s">
        <v>1833</v>
      </c>
      <c r="D949" s="156"/>
      <c r="E949" s="156" t="s">
        <v>1411</v>
      </c>
      <c r="F949" s="156" t="s">
        <v>336</v>
      </c>
      <c r="G949" s="154">
        <v>400000</v>
      </c>
    </row>
    <row r="950" spans="1:7" ht="21.6" customHeight="1">
      <c r="A950" s="154" t="s">
        <v>1302</v>
      </c>
      <c r="B950" s="154" t="str" cm="1">
        <f t="array" ref="B950">_xlfn.XLOOKUP(TRUE, ISNUMBER(SEARCH(工作表5!$A$1:$A$23, C950)), 工作表5!$B$1:$B$23, "其他")</f>
        <v>大容量取紙組</v>
      </c>
      <c r="C950" s="144" t="s">
        <v>1834</v>
      </c>
      <c r="D950" s="156"/>
      <c r="E950" s="156" t="s">
        <v>1412</v>
      </c>
      <c r="F950" s="156" t="s">
        <v>340</v>
      </c>
      <c r="G950" s="154">
        <v>400000</v>
      </c>
    </row>
    <row r="951" spans="1:7" ht="21.6" customHeight="1">
      <c r="A951" s="154" t="s">
        <v>1302</v>
      </c>
      <c r="B951" s="154" t="str" cm="1">
        <f t="array" ref="B951">_xlfn.XLOOKUP(TRUE, ISNUMBER(SEARCH(工作表5!$A$1:$A$23, C951)), 工作表5!$B$1:$B$23, "其他")</f>
        <v>送稿機</v>
      </c>
      <c r="C951" s="145" t="s">
        <v>1782</v>
      </c>
      <c r="D951" s="156"/>
      <c r="E951" s="156" t="s">
        <v>1394</v>
      </c>
      <c r="F951" s="156" t="s">
        <v>281</v>
      </c>
      <c r="G951" s="154" t="e">
        <v>#VALUE!</v>
      </c>
    </row>
    <row r="952" spans="1:7" ht="21.6" customHeight="1">
      <c r="A952" s="154" t="s">
        <v>1302</v>
      </c>
      <c r="B952" s="154" t="str" cm="1">
        <f t="array" ref="B952">_xlfn.XLOOKUP(TRUE, ISNUMBER(SEARCH(工作表5!$A$1:$A$23, C952)), 工作表5!$B$1:$B$23, "其他")</f>
        <v>送稿機</v>
      </c>
      <c r="C952" s="144" t="s">
        <v>285</v>
      </c>
      <c r="D952" s="156"/>
      <c r="E952" s="156" t="s">
        <v>1395</v>
      </c>
      <c r="F952" s="156" t="s">
        <v>226</v>
      </c>
      <c r="G952" s="154" t="e">
        <v>#VALUE!</v>
      </c>
    </row>
    <row r="953" spans="1:7" ht="21.6" customHeight="1">
      <c r="A953" s="154" t="s">
        <v>1302</v>
      </c>
      <c r="B953" s="154" t="str" cm="1">
        <f t="array" ref="B953">_xlfn.XLOOKUP(TRUE, ISNUMBER(SEARCH(工作表5!$A$1:$A$23, C953)), 工作表5!$B$1:$B$23, "其他")</f>
        <v>送稿機</v>
      </c>
      <c r="C953" s="145" t="s">
        <v>282</v>
      </c>
      <c r="D953" s="156"/>
      <c r="E953" s="156" t="s">
        <v>1396</v>
      </c>
      <c r="F953" s="156" t="s">
        <v>288</v>
      </c>
      <c r="G953" s="154" t="e">
        <v>#VALUE!</v>
      </c>
    </row>
    <row r="954" spans="1:7" ht="21.6" customHeight="1">
      <c r="A954" s="154" t="s">
        <v>1302</v>
      </c>
      <c r="B954" s="154" t="str" cm="1">
        <f t="array" ref="B954">_xlfn.XLOOKUP(TRUE, ISNUMBER(SEARCH(工作表5!$A$1:$A$23, C954)), 工作表5!$B$1:$B$23, "其他")</f>
        <v>其他</v>
      </c>
      <c r="C954" s="144" t="s">
        <v>1784</v>
      </c>
      <c r="D954" s="156"/>
      <c r="E954" s="156" t="s">
        <v>1452</v>
      </c>
      <c r="F954" s="156" t="s">
        <v>226</v>
      </c>
      <c r="G954" s="154">
        <v>500000</v>
      </c>
    </row>
    <row r="955" spans="1:7" ht="21.6" customHeight="1">
      <c r="A955" s="154" t="s">
        <v>1302</v>
      </c>
      <c r="B955" s="154" t="str" cm="1">
        <f t="array" ref="B955">_xlfn.XLOOKUP(TRUE, ISNUMBER(SEARCH(工作表5!$A$1:$A$23, C955)), 工作表5!$B$1:$B$23, "其他")</f>
        <v>送稿機</v>
      </c>
      <c r="C955" s="144" t="s">
        <v>337</v>
      </c>
      <c r="D955" s="156"/>
      <c r="E955" s="156" t="s">
        <v>1411</v>
      </c>
      <c r="F955" s="156" t="s">
        <v>336</v>
      </c>
      <c r="G955" s="154">
        <v>500000</v>
      </c>
    </row>
    <row r="956" spans="1:7" ht="21.6" customHeight="1">
      <c r="A956" s="154" t="s">
        <v>1302</v>
      </c>
      <c r="B956" s="154" t="str" cm="1">
        <f t="array" ref="B956">_xlfn.XLOOKUP(TRUE, ISNUMBER(SEARCH(工作表5!$A$1:$A$23, C956)), 工作表5!$B$1:$B$23, "其他")</f>
        <v>送稿機</v>
      </c>
      <c r="C956" s="145" t="s">
        <v>341</v>
      </c>
      <c r="D956" s="156"/>
      <c r="E956" s="156" t="s">
        <v>1412</v>
      </c>
      <c r="F956" s="156" t="s">
        <v>340</v>
      </c>
      <c r="G956" s="154">
        <v>500000</v>
      </c>
    </row>
    <row r="957" spans="1:7" ht="21.6" customHeight="1">
      <c r="A957" s="154" t="s">
        <v>1302</v>
      </c>
      <c r="B957" s="154" t="str" cm="1">
        <f t="array" ref="B957">_xlfn.XLOOKUP(TRUE, ISNUMBER(SEARCH(工作表5!$A$1:$A$23, C957)), 工作表5!$B$1:$B$23, "其他")</f>
        <v>其他</v>
      </c>
      <c r="C957" s="144" t="s">
        <v>1818</v>
      </c>
      <c r="D957" s="156"/>
      <c r="E957" s="156" t="s">
        <v>1410</v>
      </c>
      <c r="F957" s="156" t="s">
        <v>333</v>
      </c>
      <c r="G957" s="154">
        <v>500000</v>
      </c>
    </row>
    <row r="958" spans="1:7" ht="21.6" customHeight="1">
      <c r="A958" s="154" t="s">
        <v>1302</v>
      </c>
      <c r="B958" s="154" t="str" cm="1">
        <f t="array" ref="B958">_xlfn.XLOOKUP(TRUE, ISNUMBER(SEARCH(工作表5!$A$1:$A$23, C958)), 工作表5!$B$1:$B$23, "其他")</f>
        <v>送稿機</v>
      </c>
      <c r="C958" s="144" t="s">
        <v>546</v>
      </c>
      <c r="D958" s="156"/>
      <c r="E958" s="156" t="s">
        <v>1411</v>
      </c>
      <c r="F958" s="156" t="s">
        <v>336</v>
      </c>
      <c r="G958" s="154">
        <v>500000</v>
      </c>
    </row>
    <row r="959" spans="1:7" ht="21.6" customHeight="1">
      <c r="A959" s="154" t="s">
        <v>1302</v>
      </c>
      <c r="B959" s="154" t="str" cm="1">
        <f t="array" ref="B959">_xlfn.XLOOKUP(TRUE, ISNUMBER(SEARCH(工作表5!$A$1:$A$23, C959)), 工作表5!$B$1:$B$23, "其他")</f>
        <v>送稿機</v>
      </c>
      <c r="C959" s="145" t="s">
        <v>547</v>
      </c>
      <c r="D959" s="156"/>
      <c r="E959" s="156" t="s">
        <v>1412</v>
      </c>
      <c r="F959" s="156" t="s">
        <v>340</v>
      </c>
      <c r="G959" s="154">
        <v>500000</v>
      </c>
    </row>
    <row r="960" spans="1:7" ht="21.6" customHeight="1">
      <c r="A960" s="154" t="s">
        <v>1302</v>
      </c>
      <c r="B960" s="154" t="str" cm="1">
        <f t="array" ref="B960">_xlfn.XLOOKUP(TRUE, ISNUMBER(SEARCH(工作表5!$A$1:$A$23, C960)), 工作表5!$B$1:$B$23, "其他")</f>
        <v>手送台</v>
      </c>
      <c r="C960" s="145" t="s">
        <v>1819</v>
      </c>
      <c r="D960" s="156"/>
      <c r="E960" s="156" t="s">
        <v>1489</v>
      </c>
      <c r="F960" s="156" t="s">
        <v>549</v>
      </c>
      <c r="G960" s="154">
        <v>100000</v>
      </c>
    </row>
    <row r="961" spans="1:7" ht="21.6" customHeight="1">
      <c r="A961" s="154" t="s">
        <v>1302</v>
      </c>
      <c r="B961" s="154" t="str" cm="1">
        <f t="array" ref="B961">_xlfn.XLOOKUP(TRUE, ISNUMBER(SEARCH(工作表5!$A$1:$A$23, C961)), 工作表5!$B$1:$B$23, "其他")</f>
        <v>手送台</v>
      </c>
      <c r="C961" s="144" t="s">
        <v>553</v>
      </c>
      <c r="D961" s="156"/>
      <c r="E961" s="156" t="s">
        <v>1490</v>
      </c>
      <c r="F961" s="156" t="s">
        <v>552</v>
      </c>
      <c r="G961" s="154">
        <v>100000</v>
      </c>
    </row>
    <row r="962" spans="1:7" ht="21.6" customHeight="1">
      <c r="A962" s="154" t="s">
        <v>1302</v>
      </c>
      <c r="B962" s="154" t="str" cm="1">
        <f t="array" ref="B962">_xlfn.XLOOKUP(TRUE, ISNUMBER(SEARCH(工作表5!$A$1:$A$23, C962)), 工作表5!$B$1:$B$23, "其他")</f>
        <v>手送台</v>
      </c>
      <c r="C962" s="144" t="s">
        <v>550</v>
      </c>
      <c r="D962" s="156"/>
      <c r="E962" s="156" t="s">
        <v>1491</v>
      </c>
      <c r="F962" s="156" t="s">
        <v>555</v>
      </c>
      <c r="G962" s="154">
        <v>100000</v>
      </c>
    </row>
    <row r="963" spans="1:7" ht="21.6" customHeight="1">
      <c r="A963" s="154" t="s">
        <v>1302</v>
      </c>
      <c r="B963" s="154" t="str" cm="1">
        <f t="array" ref="B963">_xlfn.XLOOKUP(TRUE, ISNUMBER(SEARCH(工作表5!$A$1:$A$23, C963)), 工作表5!$B$1:$B$23, "其他")</f>
        <v>手送台</v>
      </c>
      <c r="C963" s="145" t="s">
        <v>1819</v>
      </c>
      <c r="D963" s="156"/>
      <c r="E963" s="156" t="s">
        <v>1489</v>
      </c>
      <c r="F963" s="156" t="s">
        <v>549</v>
      </c>
      <c r="G963" s="154">
        <v>120000</v>
      </c>
    </row>
    <row r="964" spans="1:7" ht="21.6" customHeight="1">
      <c r="A964" s="154" t="s">
        <v>1302</v>
      </c>
      <c r="B964" s="154" t="str" cm="1">
        <f t="array" ref="B964">_xlfn.XLOOKUP(TRUE, ISNUMBER(SEARCH(工作表5!$A$1:$A$23, C964)), 工作表5!$B$1:$B$23, "其他")</f>
        <v>手送台</v>
      </c>
      <c r="C964" s="144" t="s">
        <v>553</v>
      </c>
      <c r="D964" s="156"/>
      <c r="E964" s="156" t="s">
        <v>1390</v>
      </c>
      <c r="F964" s="156" t="s">
        <v>269</v>
      </c>
      <c r="G964" s="154">
        <v>120000</v>
      </c>
    </row>
    <row r="965" spans="1:7" ht="21.6" customHeight="1">
      <c r="A965" s="154" t="s">
        <v>1302</v>
      </c>
      <c r="B965" s="154" t="str" cm="1">
        <f t="array" ref="B965">_xlfn.XLOOKUP(TRUE, ISNUMBER(SEARCH(工作表5!$A$1:$A$23, C965)), 工作表5!$B$1:$B$23, "其他")</f>
        <v>手送台</v>
      </c>
      <c r="C965" s="144" t="s">
        <v>550</v>
      </c>
      <c r="D965" s="156"/>
      <c r="E965" s="156" t="s">
        <v>1391</v>
      </c>
      <c r="F965" s="156" t="s">
        <v>272</v>
      </c>
      <c r="G965" s="154">
        <v>120000</v>
      </c>
    </row>
    <row r="966" spans="1:7" ht="21.6" customHeight="1">
      <c r="A966" s="154" t="s">
        <v>1302</v>
      </c>
      <c r="B966" s="154" t="str" cm="1">
        <f t="array" ref="B966">_xlfn.XLOOKUP(TRUE, ISNUMBER(SEARCH(工作表5!$A$1:$A$23, C966)), 工作表5!$B$1:$B$23, "其他")</f>
        <v>其他</v>
      </c>
      <c r="C966" s="145" t="s">
        <v>558</v>
      </c>
      <c r="D966" s="156"/>
      <c r="E966" s="156" t="s">
        <v>1492</v>
      </c>
      <c r="F966" s="156" t="s">
        <v>557</v>
      </c>
      <c r="G966" s="154">
        <v>660000</v>
      </c>
    </row>
    <row r="967" spans="1:7" ht="21.6" customHeight="1">
      <c r="A967" s="154" t="s">
        <v>1302</v>
      </c>
      <c r="B967" s="154" t="str" cm="1">
        <f t="array" ref="B967">_xlfn.XLOOKUP(TRUE, ISNUMBER(SEARCH(工作表5!$A$1:$A$23, C967)), 工作表5!$B$1:$B$23, "其他")</f>
        <v>轉寫組</v>
      </c>
      <c r="C967" s="145" t="s">
        <v>1820</v>
      </c>
      <c r="D967" s="156"/>
      <c r="E967" s="156" t="s">
        <v>1493</v>
      </c>
      <c r="F967" s="156" t="s">
        <v>560</v>
      </c>
      <c r="G967" s="154">
        <v>660000</v>
      </c>
    </row>
    <row r="968" spans="1:7" ht="21.6" customHeight="1">
      <c r="A968" s="154" t="s">
        <v>1302</v>
      </c>
      <c r="B968" s="154" t="str" cm="1">
        <f t="array" ref="B968">_xlfn.XLOOKUP(TRUE, ISNUMBER(SEARCH(工作表5!$A$1:$A$23, C968)), 工作表5!$B$1:$B$23, "其他")</f>
        <v>定著組</v>
      </c>
      <c r="C968" s="145" t="s">
        <v>244</v>
      </c>
      <c r="D968" s="156"/>
      <c r="E968" s="156" t="s">
        <v>1494</v>
      </c>
      <c r="F968" s="156" t="s">
        <v>562</v>
      </c>
      <c r="G968" s="154">
        <v>660000</v>
      </c>
    </row>
    <row r="969" spans="1:7" ht="21.6" customHeight="1">
      <c r="A969" s="154" t="s">
        <v>1302</v>
      </c>
      <c r="B969" s="154" t="str" cm="1">
        <f t="array" ref="B969">_xlfn.XLOOKUP(TRUE, ISNUMBER(SEARCH(工作表5!$A$1:$A$23, C969)), 工作表5!$B$1:$B$23, "其他")</f>
        <v>其他</v>
      </c>
      <c r="C969" s="145" t="s">
        <v>1803</v>
      </c>
      <c r="D969" s="156"/>
      <c r="E969" s="156" t="s">
        <v>1495</v>
      </c>
      <c r="F969" s="156" t="s">
        <v>564</v>
      </c>
      <c r="G969" s="154">
        <v>660000</v>
      </c>
    </row>
    <row r="970" spans="1:7" ht="21.6" customHeight="1">
      <c r="A970" s="154" t="s">
        <v>1302</v>
      </c>
      <c r="B970" s="154" t="str" cm="1">
        <f t="array" ref="B970">_xlfn.XLOOKUP(TRUE, ISNUMBER(SEARCH(工作表5!$A$1:$A$23, C970)), 工作表5!$B$1:$B$23, "其他")</f>
        <v>取紙組</v>
      </c>
      <c r="C970" s="144" t="s">
        <v>567</v>
      </c>
      <c r="D970" s="156"/>
      <c r="E970" s="156" t="s">
        <v>1496</v>
      </c>
      <c r="F970" s="156" t="s">
        <v>566</v>
      </c>
      <c r="G970" s="154">
        <v>200000</v>
      </c>
    </row>
    <row r="971" spans="1:7" ht="21.6" customHeight="1">
      <c r="A971" s="154" t="s">
        <v>1302</v>
      </c>
      <c r="B971" s="154" t="str" cm="1">
        <f t="array" ref="B971">_xlfn.XLOOKUP(TRUE, ISNUMBER(SEARCH(工作表5!$A$1:$A$23, C971)), 工作表5!$B$1:$B$23, "其他")</f>
        <v>取紙組</v>
      </c>
      <c r="C971" s="144" t="s">
        <v>567</v>
      </c>
      <c r="D971" s="156"/>
      <c r="E971" s="156" t="s">
        <v>1535</v>
      </c>
      <c r="F971" s="156" t="s">
        <v>673</v>
      </c>
      <c r="G971" s="154">
        <v>400000</v>
      </c>
    </row>
    <row r="972" spans="1:7" ht="21.6" customHeight="1">
      <c r="A972" s="154" t="s">
        <v>1302</v>
      </c>
      <c r="B972" s="154" t="str" cm="1">
        <f t="array" ref="B972">_xlfn.XLOOKUP(TRUE, ISNUMBER(SEARCH(工作表5!$A$1:$A$23, C972)), 工作表5!$B$1:$B$23, "其他")</f>
        <v>其他</v>
      </c>
      <c r="C972" s="144" t="s">
        <v>349</v>
      </c>
      <c r="D972" s="156"/>
      <c r="E972" s="156" t="s">
        <v>1415</v>
      </c>
      <c r="F972" s="156" t="s">
        <v>348</v>
      </c>
      <c r="G972" s="154">
        <v>500000</v>
      </c>
    </row>
    <row r="973" spans="1:7" ht="21.6" customHeight="1">
      <c r="A973" s="154" t="s">
        <v>1302</v>
      </c>
      <c r="B973" s="154" t="str" cm="1">
        <f t="array" ref="B973">_xlfn.XLOOKUP(TRUE, ISNUMBER(SEARCH(工作表5!$A$1:$A$23, C973)), 工作表5!$B$1:$B$23, "其他")</f>
        <v>其他</v>
      </c>
      <c r="C973" s="144" t="s">
        <v>570</v>
      </c>
      <c r="D973" s="156"/>
      <c r="E973" s="156" t="s">
        <v>1497</v>
      </c>
      <c r="F973" s="156" t="s">
        <v>569</v>
      </c>
      <c r="G973" s="154">
        <v>500000</v>
      </c>
    </row>
    <row r="974" spans="1:7" ht="21.6" customHeight="1">
      <c r="A974" s="154" t="s">
        <v>1302</v>
      </c>
      <c r="B974" s="154" t="str" cm="1">
        <f t="array" ref="B974">_xlfn.XLOOKUP(TRUE, ISNUMBER(SEARCH(工作表5!$A$1:$A$23, C974)), 工作表5!$B$1:$B$23, "其他")</f>
        <v>送稿機</v>
      </c>
      <c r="C974" s="145" t="s">
        <v>303</v>
      </c>
      <c r="D974" s="156"/>
      <c r="E974" s="156" t="s">
        <v>1401</v>
      </c>
      <c r="F974" s="156" t="s">
        <v>302</v>
      </c>
      <c r="G974" s="154" t="e">
        <v>#VALUE!</v>
      </c>
    </row>
    <row r="975" spans="1:7" ht="21.6" customHeight="1">
      <c r="A975" s="154" t="s">
        <v>1302</v>
      </c>
      <c r="B975" s="154" t="str" cm="1">
        <f t="array" ref="B975">_xlfn.XLOOKUP(TRUE, ISNUMBER(SEARCH(工作表5!$A$1:$A$23, C975)), 工作表5!$B$1:$B$23, "其他")</f>
        <v>滾筒組</v>
      </c>
      <c r="C975" s="145" t="s">
        <v>132</v>
      </c>
      <c r="D975" s="156"/>
      <c r="E975" s="156" t="s">
        <v>1498</v>
      </c>
      <c r="F975" s="156" t="s">
        <v>572</v>
      </c>
      <c r="G975" s="154" t="e">
        <v>#VALUE!</v>
      </c>
    </row>
    <row r="976" spans="1:7" ht="21.6" customHeight="1">
      <c r="A976" s="154" t="s">
        <v>1302</v>
      </c>
      <c r="B976" s="154" t="str" cm="1">
        <f t="array" ref="B976">_xlfn.XLOOKUP(TRUE, ISNUMBER(SEARCH(工作表5!$A$1:$A$23, C976)), 工作表5!$B$1:$B$23, "其他")</f>
        <v>顯像組</v>
      </c>
      <c r="C976" s="145" t="s">
        <v>575</v>
      </c>
      <c r="D976" s="156"/>
      <c r="E976" s="156" t="s">
        <v>1499</v>
      </c>
      <c r="F976" s="156" t="s">
        <v>574</v>
      </c>
      <c r="G976" s="154" t="e">
        <v>#VALUE!</v>
      </c>
    </row>
    <row r="977" spans="1:7" ht="21.6" customHeight="1">
      <c r="A977" s="154" t="s">
        <v>1302</v>
      </c>
      <c r="B977" s="154" t="str" cm="1">
        <f t="array" ref="B977">_xlfn.XLOOKUP(TRUE, ISNUMBER(SEARCH(工作表5!$A$1:$A$23, C977)), 工作表5!$B$1:$B$23, "其他")</f>
        <v>顯像組</v>
      </c>
      <c r="C977" s="144" t="s">
        <v>135</v>
      </c>
      <c r="D977" s="156"/>
      <c r="E977" s="156" t="s">
        <v>1500</v>
      </c>
      <c r="F977" s="156" t="s">
        <v>577</v>
      </c>
      <c r="G977" s="154" t="e">
        <v>#VALUE!</v>
      </c>
    </row>
    <row r="978" spans="1:7" ht="21.6" customHeight="1">
      <c r="A978" s="154" t="s">
        <v>1302</v>
      </c>
      <c r="B978" s="154" t="str" cm="1">
        <f t="array" ref="B978">_xlfn.XLOOKUP(TRUE, ISNUMBER(SEARCH(工作表5!$A$1:$A$23, C978)), 工作表5!$B$1:$B$23, "其他")</f>
        <v>轉寫組</v>
      </c>
      <c r="C978" s="144" t="s">
        <v>1821</v>
      </c>
      <c r="D978" s="156"/>
      <c r="E978" s="156" t="s">
        <v>1501</v>
      </c>
      <c r="F978" s="156" t="s">
        <v>579</v>
      </c>
      <c r="G978" s="154" t="e">
        <v>#VALUE!</v>
      </c>
    </row>
    <row r="979" spans="1:7" ht="21.6" customHeight="1">
      <c r="A979" s="154" t="s">
        <v>1302</v>
      </c>
      <c r="B979" s="154" t="str" cm="1">
        <f t="array" ref="B979">_xlfn.XLOOKUP(TRUE, ISNUMBER(SEARCH(工作表5!$A$1:$A$23, C979)), 工作表5!$B$1:$B$23, "其他")</f>
        <v>轉寫組</v>
      </c>
      <c r="C979" s="144" t="s">
        <v>582</v>
      </c>
      <c r="D979" s="156"/>
      <c r="E979" s="156" t="s">
        <v>1502</v>
      </c>
      <c r="F979" s="156" t="s">
        <v>581</v>
      </c>
      <c r="G979" s="154" t="e">
        <v>#VALUE!</v>
      </c>
    </row>
    <row r="980" spans="1:7" ht="21.6" customHeight="1">
      <c r="A980" s="154" t="s">
        <v>1302</v>
      </c>
      <c r="B980" s="154" t="str" cm="1">
        <f t="array" ref="B980">_xlfn.XLOOKUP(TRUE, ISNUMBER(SEARCH(工作表5!$A$1:$A$23, C980)), 工作表5!$B$1:$B$23, "其他")</f>
        <v>定著組</v>
      </c>
      <c r="C980" s="145" t="s">
        <v>585</v>
      </c>
      <c r="D980" s="156"/>
      <c r="E980" s="156" t="s">
        <v>1503</v>
      </c>
      <c r="F980" s="156" t="s">
        <v>584</v>
      </c>
      <c r="G980" s="154" t="e">
        <v>#VALUE!</v>
      </c>
    </row>
    <row r="981" spans="1:7" ht="21.6" customHeight="1">
      <c r="A981" s="154" t="s">
        <v>1302</v>
      </c>
      <c r="B981" s="154" t="str" cm="1">
        <f t="array" ref="B981">_xlfn.XLOOKUP(TRUE, ISNUMBER(SEARCH(工作表5!$A$1:$A$23, C981)), 工作表5!$B$1:$B$23, "其他")</f>
        <v>定著組</v>
      </c>
      <c r="C981" s="145" t="s">
        <v>585</v>
      </c>
      <c r="D981" s="156"/>
      <c r="E981" s="156" t="s">
        <v>1536</v>
      </c>
      <c r="F981" s="156" t="s">
        <v>676</v>
      </c>
      <c r="G981" s="154" t="e">
        <v>#VALUE!</v>
      </c>
    </row>
    <row r="982" spans="1:7" ht="21.6" customHeight="1">
      <c r="A982" s="154">
        <v>857</v>
      </c>
      <c r="B982" s="154" t="str" cm="1">
        <f t="array" ref="B982">_xlfn.XLOOKUP(TRUE, ISNUMBER(SEARCH(工作表5!$A$1:$A$23, C982)), 工作表5!$B$1:$B$23, "其他")</f>
        <v>滾筒組</v>
      </c>
      <c r="C982" s="143" t="s">
        <v>193</v>
      </c>
      <c r="D982" s="156"/>
      <c r="E982" s="156" t="s">
        <v>1433</v>
      </c>
      <c r="F982" s="156" t="s">
        <v>410</v>
      </c>
      <c r="G982" s="154">
        <v>600000</v>
      </c>
    </row>
    <row r="983" spans="1:7" ht="21.6" customHeight="1">
      <c r="A983" s="154">
        <v>857</v>
      </c>
      <c r="B983" s="154" t="str" cm="1">
        <f t="array" ref="B983">_xlfn.XLOOKUP(TRUE, ISNUMBER(SEARCH(工作表5!$A$1:$A$23, C983)), 工作表5!$B$1:$B$23, "其他")</f>
        <v>顯像組</v>
      </c>
      <c r="C983" s="144" t="s">
        <v>75</v>
      </c>
      <c r="D983" s="156"/>
      <c r="E983" s="156" t="s">
        <v>1434</v>
      </c>
      <c r="F983" s="156" t="s">
        <v>412</v>
      </c>
      <c r="G983" s="154">
        <v>600000</v>
      </c>
    </row>
    <row r="984" spans="1:7" ht="21.6" customHeight="1">
      <c r="A984" s="154">
        <v>857</v>
      </c>
      <c r="B984" s="154" t="str" cm="1">
        <f t="array" ref="B984">_xlfn.XLOOKUP(TRUE, ISNUMBER(SEARCH(工作表5!$A$1:$A$23, C984)), 工作表5!$B$1:$B$23, "其他")</f>
        <v>滾筒組</v>
      </c>
      <c r="C984" s="145" t="s">
        <v>415</v>
      </c>
      <c r="D984" s="156"/>
      <c r="E984" s="156" t="s">
        <v>1435</v>
      </c>
      <c r="F984" s="156" t="s">
        <v>414</v>
      </c>
      <c r="G984" s="154">
        <v>600000</v>
      </c>
    </row>
    <row r="985" spans="1:7" ht="21.6" customHeight="1">
      <c r="A985" s="154">
        <v>857</v>
      </c>
      <c r="B985" s="154" t="str" cm="1">
        <f t="array" ref="B985">_xlfn.XLOOKUP(TRUE, ISNUMBER(SEARCH(工作表5!$A$1:$A$23, C985)), 工作表5!$B$1:$B$23, "其他")</f>
        <v>滾筒組</v>
      </c>
      <c r="C985" s="144" t="s">
        <v>418</v>
      </c>
      <c r="D985" s="156"/>
      <c r="E985" s="156" t="s">
        <v>1436</v>
      </c>
      <c r="F985" s="156" t="s">
        <v>417</v>
      </c>
      <c r="G985" s="154">
        <v>600000</v>
      </c>
    </row>
    <row r="986" spans="1:7" ht="21.6" customHeight="1">
      <c r="A986" s="154">
        <v>857</v>
      </c>
      <c r="B986" s="154" t="str" cm="1">
        <f t="array" ref="B986">_xlfn.XLOOKUP(TRUE, ISNUMBER(SEARCH(工作表5!$A$1:$A$23, C986)), 工作表5!$B$1:$B$23, "其他")</f>
        <v>定著組</v>
      </c>
      <c r="C986" s="145" t="s">
        <v>1775</v>
      </c>
      <c r="D986" s="156"/>
      <c r="E986" s="156" t="s">
        <v>1437</v>
      </c>
      <c r="F986" s="156" t="s">
        <v>420</v>
      </c>
      <c r="G986" s="154">
        <v>600000</v>
      </c>
    </row>
    <row r="987" spans="1:7" ht="21.6" customHeight="1">
      <c r="A987" s="154">
        <v>857</v>
      </c>
      <c r="B987" s="154" t="str" cm="1">
        <f t="array" ref="B987">_xlfn.XLOOKUP(TRUE, ISNUMBER(SEARCH(工作表5!$A$1:$A$23, C987)), 工作表5!$B$1:$B$23, "其他")</f>
        <v>定著組</v>
      </c>
      <c r="C987" s="144" t="s">
        <v>87</v>
      </c>
      <c r="D987" s="156"/>
      <c r="E987" s="156" t="s">
        <v>1530</v>
      </c>
      <c r="F987" s="156" t="s">
        <v>656</v>
      </c>
      <c r="G987" s="154">
        <v>1200000</v>
      </c>
    </row>
    <row r="988" spans="1:7" ht="21.6" customHeight="1">
      <c r="A988" s="154">
        <v>857</v>
      </c>
      <c r="B988" s="154" t="str" cm="1">
        <f t="array" ref="B988">_xlfn.XLOOKUP(TRUE, ISNUMBER(SEARCH(工作表5!$A$1:$A$23, C988)), 工作表5!$B$1:$B$23, "其他")</f>
        <v>定著組</v>
      </c>
      <c r="C988" s="144" t="s">
        <v>1789</v>
      </c>
      <c r="D988" s="156"/>
      <c r="E988" s="156" t="s">
        <v>1439</v>
      </c>
      <c r="F988" s="156" t="s">
        <v>424</v>
      </c>
      <c r="G988" s="154">
        <v>600000</v>
      </c>
    </row>
    <row r="989" spans="1:7" ht="21.6" customHeight="1">
      <c r="A989" s="154">
        <v>857</v>
      </c>
      <c r="B989" s="154" t="str" cm="1">
        <f t="array" ref="B989">_xlfn.XLOOKUP(TRUE, ISNUMBER(SEARCH(工作表5!$A$1:$A$23, C989)), 工作表5!$B$1:$B$23, "其他")</f>
        <v>定著組</v>
      </c>
      <c r="C989" s="144" t="s">
        <v>1790</v>
      </c>
      <c r="D989" s="156"/>
      <c r="E989" s="156" t="s">
        <v>1440</v>
      </c>
      <c r="F989" s="156" t="s">
        <v>426</v>
      </c>
      <c r="G989" s="154">
        <v>600000</v>
      </c>
    </row>
    <row r="990" spans="1:7" ht="21.6" customHeight="1">
      <c r="A990" s="154">
        <v>857</v>
      </c>
      <c r="B990" s="154" t="str" cm="1">
        <f t="array" ref="B990">_xlfn.XLOOKUP(TRUE, ISNUMBER(SEARCH(工作表5!$A$1:$A$23, C990)), 工作表5!$B$1:$B$23, "其他")</f>
        <v>轉寫組</v>
      </c>
      <c r="C990" s="144" t="s">
        <v>1791</v>
      </c>
      <c r="D990" s="156"/>
      <c r="E990" s="156" t="s">
        <v>1441</v>
      </c>
      <c r="F990" s="156" t="s">
        <v>428</v>
      </c>
      <c r="G990" s="154">
        <v>600000</v>
      </c>
    </row>
    <row r="991" spans="1:7" ht="21.6" customHeight="1">
      <c r="A991" s="154">
        <v>857</v>
      </c>
      <c r="B991" s="154" t="str" cm="1">
        <f t="array" ref="B991">_xlfn.XLOOKUP(TRUE, ISNUMBER(SEARCH(工作表5!$A$1:$A$23, C991)), 工作表5!$B$1:$B$23, "其他")</f>
        <v>轉寫組</v>
      </c>
      <c r="C991" s="144" t="s">
        <v>1792</v>
      </c>
      <c r="D991" s="156"/>
      <c r="E991" s="156" t="s">
        <v>1442</v>
      </c>
      <c r="F991" s="156" t="s">
        <v>430</v>
      </c>
      <c r="G991" s="154">
        <v>600000</v>
      </c>
    </row>
    <row r="992" spans="1:7" ht="21.6" customHeight="1">
      <c r="A992" s="154">
        <v>857</v>
      </c>
      <c r="B992" s="154" t="str" cm="1">
        <f t="array" ref="B992">_xlfn.XLOOKUP(TRUE, ISNUMBER(SEARCH(工作表5!$A$1:$A$23, C992)), 工作表5!$B$1:$B$23, "其他")</f>
        <v>轉寫組</v>
      </c>
      <c r="C992" s="144" t="s">
        <v>1793</v>
      </c>
      <c r="D992" s="156"/>
      <c r="E992" s="156" t="s">
        <v>1443</v>
      </c>
      <c r="F992" s="156" t="s">
        <v>432</v>
      </c>
      <c r="G992" s="154">
        <v>600000</v>
      </c>
    </row>
    <row r="993" spans="1:7" ht="21.6" customHeight="1">
      <c r="A993" s="154">
        <v>857</v>
      </c>
      <c r="B993" s="154" t="str" cm="1">
        <f t="array" ref="B993">_xlfn.XLOOKUP(TRUE, ISNUMBER(SEARCH(工作表5!$A$1:$A$23, C993)), 工作表5!$B$1:$B$23, "其他")</f>
        <v>滾筒組</v>
      </c>
      <c r="C993" s="144" t="s">
        <v>95</v>
      </c>
      <c r="D993" s="156"/>
      <c r="E993" s="156" t="s">
        <v>1444</v>
      </c>
      <c r="F993" s="156" t="s">
        <v>434</v>
      </c>
      <c r="G993" s="154">
        <v>600000</v>
      </c>
    </row>
    <row r="994" spans="1:7" ht="21.6" customHeight="1">
      <c r="A994" s="154">
        <v>857</v>
      </c>
      <c r="B994" s="154" t="str" cm="1">
        <f t="array" ref="B994">_xlfn.XLOOKUP(TRUE, ISNUMBER(SEARCH(工作表5!$A$1:$A$23, C994)), 工作表5!$B$1:$B$23, "其他")</f>
        <v>其他</v>
      </c>
      <c r="C994" s="144" t="s">
        <v>101</v>
      </c>
      <c r="D994" s="156"/>
      <c r="E994" s="156" t="s">
        <v>1445</v>
      </c>
      <c r="F994" s="156" t="s">
        <v>436</v>
      </c>
      <c r="G994" s="154">
        <v>600000</v>
      </c>
    </row>
    <row r="995" spans="1:7" ht="21.6" customHeight="1">
      <c r="A995" s="154">
        <v>857</v>
      </c>
      <c r="B995" s="154" t="str" cm="1">
        <f t="array" ref="B995">_xlfn.XLOOKUP(TRUE, ISNUMBER(SEARCH(工作表5!$A$1:$A$23, C995)), 工作表5!$B$1:$B$23, "其他")</f>
        <v>顯像組</v>
      </c>
      <c r="C995" s="144" t="s">
        <v>1794</v>
      </c>
      <c r="D995" s="156"/>
      <c r="E995" s="156" t="s">
        <v>1446</v>
      </c>
      <c r="F995" s="156" t="s">
        <v>438</v>
      </c>
      <c r="G995" s="154">
        <v>600000</v>
      </c>
    </row>
    <row r="996" spans="1:7" ht="21.6" customHeight="1">
      <c r="A996" s="154">
        <v>857</v>
      </c>
      <c r="B996" s="154" t="str" cm="1">
        <f t="array" ref="B996">_xlfn.XLOOKUP(TRUE, ISNUMBER(SEARCH(工作表5!$A$1:$A$23, C996)), 工作表5!$B$1:$B$23, "其他")</f>
        <v>其他</v>
      </c>
      <c r="C996" s="145" t="s">
        <v>1795</v>
      </c>
      <c r="D996" s="156"/>
      <c r="E996" s="156" t="s">
        <v>1447</v>
      </c>
      <c r="F996" s="156" t="s">
        <v>440</v>
      </c>
      <c r="G996" s="154">
        <v>600000</v>
      </c>
    </row>
    <row r="997" spans="1:7" ht="21.6" customHeight="1">
      <c r="A997" s="154">
        <v>857</v>
      </c>
      <c r="B997" s="154" t="str" cm="1">
        <f t="array" ref="B997">_xlfn.XLOOKUP(TRUE, ISNUMBER(SEARCH(工作表5!$A$1:$A$23, C997)), 工作表5!$B$1:$B$23, "其他")</f>
        <v>滾筒組</v>
      </c>
      <c r="C997" s="144" t="s">
        <v>107</v>
      </c>
      <c r="D997" s="156"/>
      <c r="E997" s="156" t="s">
        <v>1448</v>
      </c>
      <c r="F997" s="156" t="s">
        <v>442</v>
      </c>
      <c r="G997" s="154">
        <v>600000</v>
      </c>
    </row>
    <row r="998" spans="1:7" ht="21.6" customHeight="1">
      <c r="A998" s="154">
        <v>857</v>
      </c>
      <c r="B998" s="154" t="str" cm="1">
        <f t="array" ref="B998">_xlfn.XLOOKUP(TRUE, ISNUMBER(SEARCH(工作表5!$A$1:$A$23, C998)), 工作表5!$B$1:$B$23, "其他")</f>
        <v>其他</v>
      </c>
      <c r="C998" s="144" t="s">
        <v>690</v>
      </c>
      <c r="D998" s="156"/>
      <c r="E998" s="156" t="s">
        <v>1449</v>
      </c>
      <c r="F998" s="156" t="s">
        <v>444</v>
      </c>
      <c r="G998" s="154">
        <v>600000</v>
      </c>
    </row>
    <row r="999" spans="1:7" ht="21.6" customHeight="1">
      <c r="A999" s="154">
        <v>857</v>
      </c>
      <c r="B999" s="154" t="str" cm="1">
        <f t="array" ref="B999">_xlfn.XLOOKUP(TRUE, ISNUMBER(SEARCH(工作表5!$A$1:$A$23, C999)), 工作表5!$B$1:$B$23, "其他")</f>
        <v>定著組</v>
      </c>
      <c r="C999" s="144" t="s">
        <v>1835</v>
      </c>
      <c r="D999" s="156"/>
      <c r="E999" s="156" t="s">
        <v>1450</v>
      </c>
      <c r="F999" s="156" t="s">
        <v>447</v>
      </c>
      <c r="G999" s="154">
        <v>600000</v>
      </c>
    </row>
    <row r="1000" spans="1:7" ht="21.6" customHeight="1">
      <c r="A1000" s="154">
        <v>857</v>
      </c>
      <c r="B1000" s="154" t="str" cm="1">
        <f t="array" ref="B1000">_xlfn.XLOOKUP(TRUE, ISNUMBER(SEARCH(工作表5!$A$1:$A$23, C1000)), 工作表5!$B$1:$B$23, "其他")</f>
        <v>其他</v>
      </c>
      <c r="C1000" s="144" t="s">
        <v>451</v>
      </c>
      <c r="D1000" s="156"/>
      <c r="E1000" s="156" t="s">
        <v>1451</v>
      </c>
      <c r="F1000" s="156" t="s">
        <v>450</v>
      </c>
      <c r="G1000" s="154">
        <v>600000</v>
      </c>
    </row>
    <row r="1001" spans="1:7" ht="21.6" customHeight="1">
      <c r="A1001" s="154">
        <v>857</v>
      </c>
      <c r="B1001" s="154" t="str" cm="1">
        <f t="array" ref="B1001">_xlfn.XLOOKUP(TRUE, ISNUMBER(SEARCH(工作表5!$A$1:$A$23, C1001)), 工作表5!$B$1:$B$23, "其他")</f>
        <v>取紙組</v>
      </c>
      <c r="C1001" s="144" t="s">
        <v>1796</v>
      </c>
      <c r="D1001" s="156"/>
      <c r="E1001" s="156" t="s">
        <v>1452</v>
      </c>
      <c r="F1001" s="156" t="s">
        <v>226</v>
      </c>
      <c r="G1001" s="154" t="e">
        <v>#VALUE!</v>
      </c>
    </row>
    <row r="1002" spans="1:7" ht="21.6" customHeight="1">
      <c r="A1002" s="154">
        <v>857</v>
      </c>
      <c r="B1002" s="154" t="str" cm="1">
        <f t="array" ref="B1002">_xlfn.XLOOKUP(TRUE, ISNUMBER(SEARCH(工作表5!$A$1:$A$23, C1002)), 工作表5!$B$1:$B$23, "其他")</f>
        <v>取紙組</v>
      </c>
      <c r="C1002" s="144" t="s">
        <v>456</v>
      </c>
      <c r="D1002" s="156"/>
      <c r="E1002" s="156" t="s">
        <v>1452</v>
      </c>
      <c r="F1002" s="156" t="s">
        <v>226</v>
      </c>
      <c r="G1002" s="154" t="e">
        <v>#VALUE!</v>
      </c>
    </row>
    <row r="1003" spans="1:7" ht="21.6" customHeight="1">
      <c r="A1003" s="154">
        <v>857</v>
      </c>
      <c r="B1003" s="154" t="str" cm="1">
        <f t="array" ref="B1003">_xlfn.XLOOKUP(TRUE, ISNUMBER(SEARCH(工作表5!$A$1:$A$23, C1003)), 工作表5!$B$1:$B$23, "其他")</f>
        <v>取紙組</v>
      </c>
      <c r="C1003" s="144" t="s">
        <v>454</v>
      </c>
      <c r="D1003" s="156"/>
      <c r="E1003" s="156" t="s">
        <v>1453</v>
      </c>
      <c r="F1003" s="156" t="s">
        <v>458</v>
      </c>
      <c r="G1003" s="154" t="e">
        <v>#VALUE!</v>
      </c>
    </row>
    <row r="1004" spans="1:7" ht="21.6" customHeight="1">
      <c r="A1004" s="154">
        <v>857</v>
      </c>
      <c r="B1004" s="154" t="str" cm="1">
        <f t="array" ref="B1004">_xlfn.XLOOKUP(TRUE, ISNUMBER(SEARCH(工作表5!$A$1:$A$23, C1004)), 工作表5!$B$1:$B$23, "其他")</f>
        <v>手送台</v>
      </c>
      <c r="C1004" s="144" t="s">
        <v>1797</v>
      </c>
      <c r="D1004" s="156"/>
      <c r="E1004" s="156" t="s">
        <v>1454</v>
      </c>
      <c r="F1004" s="156" t="s">
        <v>460</v>
      </c>
      <c r="G1004" s="154">
        <v>100000</v>
      </c>
    </row>
    <row r="1005" spans="1:7" ht="21.6" customHeight="1">
      <c r="A1005" s="154">
        <v>857</v>
      </c>
      <c r="B1005" s="154" t="str" cm="1">
        <f t="array" ref="B1005">_xlfn.XLOOKUP(TRUE, ISNUMBER(SEARCH(工作表5!$A$1:$A$23, C1005)), 工作表5!$B$1:$B$23, "其他")</f>
        <v>手送台</v>
      </c>
      <c r="C1005" s="144" t="s">
        <v>115</v>
      </c>
      <c r="D1005" s="156"/>
      <c r="E1005" s="156" t="s">
        <v>1455</v>
      </c>
      <c r="F1005" s="156" t="s">
        <v>462</v>
      </c>
      <c r="G1005" s="154">
        <v>100000</v>
      </c>
    </row>
    <row r="1006" spans="1:7" ht="21.6" customHeight="1">
      <c r="A1006" s="154">
        <v>857</v>
      </c>
      <c r="B1006" s="154" t="str" cm="1">
        <f t="array" ref="B1006">_xlfn.XLOOKUP(TRUE, ISNUMBER(SEARCH(工作表5!$A$1:$A$23, C1006)), 工作表5!$B$1:$B$23, "其他")</f>
        <v>手送台</v>
      </c>
      <c r="C1006" s="144" t="s">
        <v>224</v>
      </c>
      <c r="D1006" s="156"/>
      <c r="E1006" s="156" t="s">
        <v>1456</v>
      </c>
      <c r="F1006" s="156" t="s">
        <v>464</v>
      </c>
      <c r="G1006" s="154">
        <v>100000</v>
      </c>
    </row>
    <row r="1007" spans="1:7" ht="21.6" customHeight="1">
      <c r="A1007" s="154">
        <v>857</v>
      </c>
      <c r="B1007" s="154" t="str" cm="1">
        <f t="array" ref="B1007">_xlfn.XLOOKUP(TRUE, ISNUMBER(SEARCH(工作表5!$A$1:$A$23, C1007)), 工作表5!$B$1:$B$23, "其他")</f>
        <v>其他</v>
      </c>
      <c r="C1007" s="144" t="s">
        <v>1798</v>
      </c>
      <c r="D1007" s="156"/>
      <c r="E1007" s="156" t="s">
        <v>1410</v>
      </c>
      <c r="F1007" s="156" t="s">
        <v>333</v>
      </c>
      <c r="G1007" s="154">
        <v>500000</v>
      </c>
    </row>
    <row r="1008" spans="1:7" ht="21.6" customHeight="1">
      <c r="A1008" s="154">
        <v>857</v>
      </c>
      <c r="B1008" s="154" t="str" cm="1">
        <f t="array" ref="B1008">_xlfn.XLOOKUP(TRUE, ISNUMBER(SEARCH(工作表5!$A$1:$A$23, C1008)), 工作表5!$B$1:$B$23, "其他")</f>
        <v>其他</v>
      </c>
      <c r="C1008" s="144" t="s">
        <v>466</v>
      </c>
      <c r="D1008" s="156"/>
      <c r="E1008" s="156" t="s">
        <v>1452</v>
      </c>
      <c r="F1008" s="156" t="s">
        <v>226</v>
      </c>
      <c r="G1008" s="154">
        <v>500000</v>
      </c>
    </row>
    <row r="1009" spans="1:7" ht="21.6" customHeight="1">
      <c r="A1009" s="154">
        <v>857</v>
      </c>
      <c r="B1009" s="154" t="str" cm="1">
        <f t="array" ref="B1009">_xlfn.XLOOKUP(TRUE, ISNUMBER(SEARCH(工作表5!$A$1:$A$23, C1009)), 工作表5!$B$1:$B$23, "其他")</f>
        <v>其他</v>
      </c>
      <c r="C1009" s="144" t="s">
        <v>469</v>
      </c>
      <c r="D1009" s="156"/>
      <c r="E1009" s="156" t="s">
        <v>1457</v>
      </c>
      <c r="F1009" s="156" t="s">
        <v>468</v>
      </c>
      <c r="G1009" s="154">
        <v>500000</v>
      </c>
    </row>
    <row r="1010" spans="1:7" ht="21.6" customHeight="1">
      <c r="A1010" s="154">
        <v>857</v>
      </c>
      <c r="B1010" s="154" t="str" cm="1">
        <f t="array" ref="B1010">_xlfn.XLOOKUP(TRUE, ISNUMBER(SEARCH(工作表5!$A$1:$A$23, C1010)), 工作表5!$B$1:$B$23, "其他")</f>
        <v>送稿機</v>
      </c>
      <c r="C1010" s="144" t="s">
        <v>1799</v>
      </c>
      <c r="D1010" s="156"/>
      <c r="E1010" s="156" t="s">
        <v>1375</v>
      </c>
      <c r="F1010" s="156" t="s">
        <v>226</v>
      </c>
      <c r="G1010" s="154" t="e">
        <v>#VALUE!</v>
      </c>
    </row>
    <row r="1011" spans="1:7" ht="21.6" customHeight="1">
      <c r="A1011" s="154">
        <v>857</v>
      </c>
      <c r="B1011" s="154" t="str" cm="1">
        <f t="array" ref="B1011">_xlfn.XLOOKUP(TRUE, ISNUMBER(SEARCH(工作表5!$A$1:$A$23, C1011)), 工作表5!$B$1:$B$23, "其他")</f>
        <v>送稿機</v>
      </c>
      <c r="C1011" s="144" t="s">
        <v>1800</v>
      </c>
      <c r="D1011" s="156"/>
      <c r="E1011" s="156" t="s">
        <v>1375</v>
      </c>
      <c r="F1011" s="156" t="s">
        <v>226</v>
      </c>
      <c r="G1011" s="154" t="e">
        <v>#VALUE!</v>
      </c>
    </row>
    <row r="1012" spans="1:7" ht="21.6" customHeight="1">
      <c r="A1012" s="154">
        <v>857</v>
      </c>
      <c r="B1012" s="154" t="str" cm="1">
        <f t="array" ref="B1012">_xlfn.XLOOKUP(TRUE, ISNUMBER(SEARCH(工作表5!$A$1:$A$23, C1012)), 工作表5!$B$1:$B$23, "其他")</f>
        <v>送稿機</v>
      </c>
      <c r="C1012" s="144" t="s">
        <v>1801</v>
      </c>
      <c r="D1012" s="156"/>
      <c r="E1012" s="156" t="s">
        <v>1376</v>
      </c>
      <c r="F1012" s="156" t="s">
        <v>230</v>
      </c>
      <c r="G1012" s="154" t="e">
        <v>#VALUE!</v>
      </c>
    </row>
    <row r="1013" spans="1:7" ht="21.6" customHeight="1">
      <c r="A1013" s="154">
        <v>857</v>
      </c>
      <c r="B1013" s="154" t="str" cm="1">
        <f t="array" ref="B1013">_xlfn.XLOOKUP(TRUE, ISNUMBER(SEARCH(工作表5!$A$1:$A$23, C1013)), 工作表5!$B$1:$B$23, "其他")</f>
        <v>顯像組</v>
      </c>
      <c r="C1013" s="144" t="s">
        <v>1802</v>
      </c>
      <c r="D1013" s="156"/>
      <c r="E1013" s="156" t="s">
        <v>1458</v>
      </c>
      <c r="F1013" s="156" t="s">
        <v>473</v>
      </c>
      <c r="G1013" s="154">
        <v>600000</v>
      </c>
    </row>
    <row r="1014" spans="1:7" ht="21.6" customHeight="1">
      <c r="A1014" s="154">
        <v>857</v>
      </c>
      <c r="B1014" s="154" t="str" cm="1">
        <f t="array" ref="B1014">_xlfn.XLOOKUP(TRUE, ISNUMBER(SEARCH(工作表5!$A$1:$A$23, C1014)), 工作表5!$B$1:$B$23, "其他")</f>
        <v>定著組</v>
      </c>
      <c r="C1014" s="145" t="s">
        <v>244</v>
      </c>
      <c r="D1014" s="156"/>
      <c r="E1014" s="156" t="s">
        <v>1531</v>
      </c>
      <c r="F1014" s="156" t="s">
        <v>658</v>
      </c>
      <c r="G1014" s="154">
        <v>1200000</v>
      </c>
    </row>
    <row r="1015" spans="1:7" ht="21.6" customHeight="1">
      <c r="A1015" s="154">
        <v>857</v>
      </c>
      <c r="B1015" s="154" t="str" cm="1">
        <f t="array" ref="B1015">_xlfn.XLOOKUP(TRUE, ISNUMBER(SEARCH(工作表5!$A$1:$A$23, C1015)), 工作表5!$B$1:$B$23, "其他")</f>
        <v>定著組</v>
      </c>
      <c r="C1015" s="145" t="s">
        <v>244</v>
      </c>
      <c r="D1015" s="156"/>
      <c r="E1015" s="156" t="s">
        <v>1532</v>
      </c>
      <c r="F1015" s="156" t="s">
        <v>660</v>
      </c>
      <c r="G1015" s="154">
        <v>600000</v>
      </c>
    </row>
    <row r="1016" spans="1:7" ht="21.6" customHeight="1">
      <c r="A1016" s="154">
        <v>857</v>
      </c>
      <c r="B1016" s="154" t="str" cm="1">
        <f t="array" ref="B1016">_xlfn.XLOOKUP(TRUE, ISNUMBER(SEARCH(工作表5!$A$1:$A$23, C1016)), 工作表5!$B$1:$B$23, "其他")</f>
        <v>其他</v>
      </c>
      <c r="C1016" s="145" t="s">
        <v>478</v>
      </c>
      <c r="D1016" s="156"/>
      <c r="E1016" s="156" t="s">
        <v>1533</v>
      </c>
      <c r="F1016" s="156" t="s">
        <v>662</v>
      </c>
      <c r="G1016" s="154">
        <v>600000</v>
      </c>
    </row>
    <row r="1017" spans="1:7" ht="21.6" customHeight="1">
      <c r="A1017" s="154">
        <v>857</v>
      </c>
      <c r="B1017" s="154" t="str" cm="1">
        <f t="array" ref="B1017">_xlfn.XLOOKUP(TRUE, ISNUMBER(SEARCH(工作表5!$A$1:$A$23, C1017)), 工作表5!$B$1:$B$23, "其他")</f>
        <v>其他</v>
      </c>
      <c r="C1017" s="144" t="s">
        <v>1803</v>
      </c>
      <c r="D1017" s="156"/>
      <c r="E1017" s="156" t="s">
        <v>1461</v>
      </c>
      <c r="F1017" s="156" t="s">
        <v>480</v>
      </c>
      <c r="G1017" s="154">
        <v>600000</v>
      </c>
    </row>
    <row r="1018" spans="1:7" ht="21.6" customHeight="1">
      <c r="A1018" s="154">
        <v>857</v>
      </c>
      <c r="B1018" s="154" t="str" cm="1">
        <f t="array" ref="B1018">_xlfn.XLOOKUP(TRUE, ISNUMBER(SEARCH(工作表5!$A$1:$A$23, C1018)), 工作表5!$B$1:$B$23, "其他")</f>
        <v>取紙組</v>
      </c>
      <c r="C1018" s="144" t="s">
        <v>483</v>
      </c>
      <c r="D1018" s="156"/>
      <c r="E1018" s="156" t="s">
        <v>1462</v>
      </c>
      <c r="F1018" s="156" t="s">
        <v>482</v>
      </c>
      <c r="G1018" s="154" t="e">
        <v>#VALUE!</v>
      </c>
    </row>
    <row r="1019" spans="1:7" ht="21.6" customHeight="1">
      <c r="A1019" s="154">
        <v>857</v>
      </c>
      <c r="B1019" s="154" t="str" cm="1">
        <f t="array" ref="B1019">_xlfn.XLOOKUP(TRUE, ISNUMBER(SEARCH(工作表5!$A$1:$A$23, C1019)), 工作表5!$B$1:$B$23, "其他")</f>
        <v>其他</v>
      </c>
      <c r="C1019" s="144" t="s">
        <v>486</v>
      </c>
      <c r="D1019" s="156"/>
      <c r="E1019" s="156" t="s">
        <v>1463</v>
      </c>
      <c r="F1019" s="156" t="s">
        <v>485</v>
      </c>
      <c r="G1019" s="154">
        <v>500000</v>
      </c>
    </row>
    <row r="1020" spans="1:7" ht="21.6" customHeight="1">
      <c r="A1020" s="154">
        <v>857</v>
      </c>
      <c r="B1020" s="154" t="str" cm="1">
        <f t="array" ref="B1020">_xlfn.XLOOKUP(TRUE, ISNUMBER(SEARCH(工作表5!$A$1:$A$23, C1020)), 工作表5!$B$1:$B$23, "其他")</f>
        <v>送稿機</v>
      </c>
      <c r="C1020" s="144" t="s">
        <v>1804</v>
      </c>
      <c r="D1020" s="156"/>
      <c r="E1020" s="156" t="s">
        <v>1383</v>
      </c>
      <c r="F1020" s="156" t="s">
        <v>249</v>
      </c>
      <c r="G1020" s="154" t="e">
        <v>#VALUE!</v>
      </c>
    </row>
    <row r="1021" spans="1:7" ht="21.6" customHeight="1">
      <c r="A1021" s="154">
        <v>857</v>
      </c>
      <c r="B1021" s="154" t="str" cm="1">
        <f t="array" ref="B1021">_xlfn.XLOOKUP(TRUE, ISNUMBER(SEARCH(工作表5!$A$1:$A$23, C1021)), 工作表5!$B$1:$B$23, "其他")</f>
        <v>顯像組</v>
      </c>
      <c r="C1021" s="145" t="s">
        <v>129</v>
      </c>
      <c r="D1021" s="156"/>
      <c r="E1021" s="156" t="s">
        <v>1537</v>
      </c>
      <c r="F1021" s="156" t="s">
        <v>679</v>
      </c>
      <c r="G1021" s="154" t="e">
        <v>#VALUE!</v>
      </c>
    </row>
    <row r="1022" spans="1:7" ht="21.6" customHeight="1">
      <c r="A1022" s="154">
        <v>857</v>
      </c>
      <c r="B1022" s="154" t="str" cm="1">
        <f t="array" ref="B1022">_xlfn.XLOOKUP(TRUE, ISNUMBER(SEARCH(工作表5!$A$1:$A$23, C1022)), 工作表5!$B$1:$B$23, "其他")</f>
        <v>滾筒組</v>
      </c>
      <c r="C1022" s="145" t="s">
        <v>132</v>
      </c>
      <c r="D1022" s="156"/>
      <c r="E1022" s="156" t="s">
        <v>1465</v>
      </c>
      <c r="F1022" s="156" t="s">
        <v>490</v>
      </c>
      <c r="G1022" s="154" t="e">
        <v>#VALUE!</v>
      </c>
    </row>
    <row r="1023" spans="1:7" ht="21.6" customHeight="1">
      <c r="A1023" s="154">
        <v>857</v>
      </c>
      <c r="B1023" s="154" t="str" cm="1">
        <f t="array" ref="B1023">_xlfn.XLOOKUP(TRUE, ISNUMBER(SEARCH(工作表5!$A$1:$A$23, C1023)), 工作表5!$B$1:$B$23, "其他")</f>
        <v>顯像組</v>
      </c>
      <c r="C1023" s="144" t="s">
        <v>135</v>
      </c>
      <c r="D1023" s="156"/>
      <c r="E1023" s="156" t="s">
        <v>1466</v>
      </c>
      <c r="F1023" s="156" t="s">
        <v>492</v>
      </c>
      <c r="G1023" s="154" t="e">
        <v>#VALUE!</v>
      </c>
    </row>
    <row r="1024" spans="1:7" ht="21.6" customHeight="1">
      <c r="A1024" s="154">
        <v>857</v>
      </c>
      <c r="B1024" s="154" t="str" cm="1">
        <f t="array" ref="B1024">_xlfn.XLOOKUP(TRUE, ISNUMBER(SEARCH(工作表5!$A$1:$A$23, C1024)), 工作表5!$B$1:$B$23, "其他")</f>
        <v>轉寫組</v>
      </c>
      <c r="C1024" s="144" t="s">
        <v>1805</v>
      </c>
      <c r="D1024" s="156"/>
      <c r="E1024" s="156" t="s">
        <v>1467</v>
      </c>
      <c r="F1024" s="156" t="s">
        <v>494</v>
      </c>
      <c r="G1024" s="154" t="e">
        <v>#VALUE!</v>
      </c>
    </row>
    <row r="1025" spans="1:7" ht="21.6" customHeight="1">
      <c r="A1025" s="154">
        <v>857</v>
      </c>
      <c r="B1025" s="154" t="str" cm="1">
        <f t="array" ref="B1025">_xlfn.XLOOKUP(TRUE, ISNUMBER(SEARCH(工作表5!$A$1:$A$23, C1025)), 工作表5!$B$1:$B$23, "其他")</f>
        <v>定著組</v>
      </c>
      <c r="C1025" s="149" t="s">
        <v>682</v>
      </c>
      <c r="D1025" s="156"/>
      <c r="E1025" s="156" t="s">
        <v>1538</v>
      </c>
      <c r="F1025" s="156" t="s">
        <v>681</v>
      </c>
      <c r="G1025" s="154" t="e">
        <v>#VALUE!</v>
      </c>
    </row>
    <row r="1026" spans="1:7" ht="21.6" customHeight="1">
      <c r="A1026" s="154" t="s">
        <v>1303</v>
      </c>
      <c r="B1026" s="154" t="str" cm="1">
        <f t="array" ref="B1026">_xlfn.XLOOKUP(TRUE, ISNUMBER(SEARCH(工作表5!$A$1:$A$23, C1026)), 工作表5!$B$1:$B$23, "其他")</f>
        <v>滾筒組</v>
      </c>
      <c r="C1026" s="143" t="s">
        <v>71</v>
      </c>
      <c r="D1026" s="156"/>
      <c r="E1026" s="156" t="s">
        <v>1469</v>
      </c>
      <c r="F1026" s="156" t="s">
        <v>499</v>
      </c>
      <c r="G1026" s="154">
        <v>720000</v>
      </c>
    </row>
    <row r="1027" spans="1:7" ht="21.6" customHeight="1">
      <c r="A1027" s="154" t="s">
        <v>1303</v>
      </c>
      <c r="B1027" s="154" t="str" cm="1">
        <f t="array" ref="B1027">_xlfn.XLOOKUP(TRUE, ISNUMBER(SEARCH(工作表5!$A$1:$A$23, C1027)), 工作表5!$B$1:$B$23, "其他")</f>
        <v>顯像組</v>
      </c>
      <c r="C1027" s="145" t="s">
        <v>502</v>
      </c>
      <c r="D1027" s="156"/>
      <c r="E1027" s="156" t="s">
        <v>1470</v>
      </c>
      <c r="F1027" s="156" t="s">
        <v>501</v>
      </c>
      <c r="G1027" s="154" t="e">
        <v>#VALUE!</v>
      </c>
    </row>
    <row r="1028" spans="1:7" ht="21.6" customHeight="1">
      <c r="A1028" s="154" t="s">
        <v>1303</v>
      </c>
      <c r="B1028" s="154" t="str" cm="1">
        <f t="array" ref="B1028">_xlfn.XLOOKUP(TRUE, ISNUMBER(SEARCH(工作表5!$A$1:$A$23, C1028)), 工作表5!$B$1:$B$23, "其他")</f>
        <v>滾筒組</v>
      </c>
      <c r="C1028" s="145" t="s">
        <v>415</v>
      </c>
      <c r="D1028" s="156"/>
      <c r="E1028" s="156" t="s">
        <v>1471</v>
      </c>
      <c r="F1028" s="156" t="s">
        <v>505</v>
      </c>
      <c r="G1028" s="154">
        <v>720000</v>
      </c>
    </row>
    <row r="1029" spans="1:7" ht="21.6" customHeight="1">
      <c r="A1029" s="154" t="s">
        <v>1303</v>
      </c>
      <c r="B1029" s="154" t="str" cm="1">
        <f t="array" ref="B1029">_xlfn.XLOOKUP(TRUE, ISNUMBER(SEARCH(工作表5!$A$1:$A$23, C1029)), 工作表5!$B$1:$B$23, "其他")</f>
        <v>滾筒組</v>
      </c>
      <c r="C1029" s="144" t="s">
        <v>107</v>
      </c>
      <c r="D1029" s="156"/>
      <c r="E1029" s="156" t="s">
        <v>1539</v>
      </c>
      <c r="F1029" s="156" t="s">
        <v>692</v>
      </c>
      <c r="G1029" s="154">
        <v>720000</v>
      </c>
    </row>
    <row r="1030" spans="1:7" ht="21.6" customHeight="1">
      <c r="A1030" s="154" t="s">
        <v>1303</v>
      </c>
      <c r="B1030" s="154" t="str" cm="1">
        <f t="array" ref="B1030">_xlfn.XLOOKUP(TRUE, ISNUMBER(SEARCH(工作表5!$A$1:$A$23, C1030)), 工作表5!$B$1:$B$23, "其他")</f>
        <v>顯像組</v>
      </c>
      <c r="C1030" s="145" t="s">
        <v>104</v>
      </c>
      <c r="D1030" s="156"/>
      <c r="E1030" s="156" t="s">
        <v>1473</v>
      </c>
      <c r="F1030" s="156" t="s">
        <v>509</v>
      </c>
      <c r="G1030" s="154">
        <v>720000</v>
      </c>
    </row>
    <row r="1031" spans="1:7" ht="21.6" customHeight="1">
      <c r="A1031" s="154" t="s">
        <v>1303</v>
      </c>
      <c r="B1031" s="154" t="str" cm="1">
        <f t="array" ref="B1031">_xlfn.XLOOKUP(TRUE, ISNUMBER(SEARCH(工作表5!$A$1:$A$23, C1031)), 工作表5!$B$1:$B$23, "其他")</f>
        <v>顯像組</v>
      </c>
      <c r="C1031" s="145" t="s">
        <v>1806</v>
      </c>
      <c r="D1031" s="156"/>
      <c r="E1031" s="156" t="s">
        <v>1474</v>
      </c>
      <c r="F1031" s="156" t="s">
        <v>511</v>
      </c>
      <c r="G1031" s="154">
        <v>720000</v>
      </c>
    </row>
    <row r="1032" spans="1:7" ht="21.6" customHeight="1">
      <c r="A1032" s="154" t="s">
        <v>1303</v>
      </c>
      <c r="B1032" s="154" t="str" cm="1">
        <f t="array" ref="B1032">_xlfn.XLOOKUP(TRUE, ISNUMBER(SEARCH(工作表5!$A$1:$A$23, C1032)), 工作表5!$B$1:$B$23, "其他")</f>
        <v>滾筒組</v>
      </c>
      <c r="C1032" s="145" t="s">
        <v>1807</v>
      </c>
      <c r="D1032" s="156"/>
      <c r="E1032" s="156" t="s">
        <v>1475</v>
      </c>
      <c r="F1032" s="156" t="s">
        <v>513</v>
      </c>
      <c r="G1032" s="154">
        <v>720000</v>
      </c>
    </row>
    <row r="1033" spans="1:7" ht="21.6" customHeight="1">
      <c r="A1033" s="154" t="s">
        <v>1303</v>
      </c>
      <c r="B1033" s="154" t="str" cm="1">
        <f t="array" ref="B1033">_xlfn.XLOOKUP(TRUE, ISNUMBER(SEARCH(工作表5!$A$1:$A$23, C1033)), 工作表5!$B$1:$B$23, "其他")</f>
        <v>滾筒組</v>
      </c>
      <c r="C1033" s="145" t="s">
        <v>516</v>
      </c>
      <c r="D1033" s="156"/>
      <c r="E1033" s="156" t="s">
        <v>1476</v>
      </c>
      <c r="F1033" s="156" t="s">
        <v>515</v>
      </c>
      <c r="G1033" s="154">
        <v>720000</v>
      </c>
    </row>
    <row r="1034" spans="1:7" ht="21.6" customHeight="1">
      <c r="A1034" s="154" t="s">
        <v>1303</v>
      </c>
      <c r="B1034" s="154" t="str" cm="1">
        <f t="array" ref="B1034">_xlfn.XLOOKUP(TRUE, ISNUMBER(SEARCH(工作表5!$A$1:$A$23, C1034)), 工作表5!$B$1:$B$23, "其他")</f>
        <v>其他</v>
      </c>
      <c r="C1034" s="145" t="s">
        <v>1808</v>
      </c>
      <c r="D1034" s="156"/>
      <c r="E1034" s="156" t="s">
        <v>1477</v>
      </c>
      <c r="F1034" s="156" t="s">
        <v>518</v>
      </c>
      <c r="G1034" s="154">
        <v>720000</v>
      </c>
    </row>
    <row r="1035" spans="1:7" ht="21.6" customHeight="1">
      <c r="A1035" s="154" t="s">
        <v>1303</v>
      </c>
      <c r="B1035" s="154" t="str" cm="1">
        <f t="array" ref="B1035">_xlfn.XLOOKUP(TRUE, ISNUMBER(SEARCH(工作表5!$A$1:$A$23, C1035)), 工作表5!$B$1:$B$23, "其他")</f>
        <v>其他</v>
      </c>
      <c r="C1035" s="144" t="s">
        <v>101</v>
      </c>
      <c r="D1035" s="156"/>
      <c r="E1035" s="156" t="s">
        <v>1478</v>
      </c>
      <c r="F1035" s="156" t="s">
        <v>520</v>
      </c>
      <c r="G1035" s="154">
        <v>720000</v>
      </c>
    </row>
    <row r="1036" spans="1:7" ht="21.6" customHeight="1">
      <c r="A1036" s="154" t="s">
        <v>1303</v>
      </c>
      <c r="B1036" s="154" t="str" cm="1">
        <f t="array" ref="B1036">_xlfn.XLOOKUP(TRUE, ISNUMBER(SEARCH(工作表5!$A$1:$A$23, C1036)), 工作表5!$B$1:$B$23, "其他")</f>
        <v>其他</v>
      </c>
      <c r="C1036" s="145" t="s">
        <v>523</v>
      </c>
      <c r="D1036" s="156"/>
      <c r="E1036" s="156" t="s">
        <v>1479</v>
      </c>
      <c r="F1036" s="156" t="s">
        <v>522</v>
      </c>
      <c r="G1036" s="154">
        <v>720000</v>
      </c>
    </row>
    <row r="1037" spans="1:7" ht="21.6" customHeight="1">
      <c r="A1037" s="154" t="s">
        <v>1303</v>
      </c>
      <c r="B1037" s="154" t="str" cm="1">
        <f t="array" ref="B1037">_xlfn.XLOOKUP(TRUE, ISNUMBER(SEARCH(工作表5!$A$1:$A$23, C1037)), 工作表5!$B$1:$B$23, "其他")</f>
        <v>定著組</v>
      </c>
      <c r="C1037" s="144" t="s">
        <v>1809</v>
      </c>
      <c r="D1037" s="156"/>
      <c r="E1037" s="156" t="s">
        <v>1480</v>
      </c>
      <c r="F1037" s="156" t="s">
        <v>525</v>
      </c>
      <c r="G1037" s="154">
        <v>720000</v>
      </c>
    </row>
    <row r="1038" spans="1:7" ht="21.6" customHeight="1">
      <c r="A1038" s="154" t="s">
        <v>1303</v>
      </c>
      <c r="B1038" s="154" t="str" cm="1">
        <f t="array" ref="B1038">_xlfn.XLOOKUP(TRUE, ISNUMBER(SEARCH(工作表5!$A$1:$A$23, C1038)), 工作表5!$B$1:$B$23, "其他")</f>
        <v>定著組</v>
      </c>
      <c r="C1038" s="144" t="s">
        <v>1810</v>
      </c>
      <c r="D1038" s="156"/>
      <c r="E1038" s="156" t="s">
        <v>1481</v>
      </c>
      <c r="F1038" s="156" t="s">
        <v>528</v>
      </c>
      <c r="G1038" s="154">
        <v>720000</v>
      </c>
    </row>
    <row r="1039" spans="1:7" ht="21.6" customHeight="1">
      <c r="A1039" s="154" t="s">
        <v>1303</v>
      </c>
      <c r="B1039" s="154" t="str" cm="1">
        <f t="array" ref="B1039">_xlfn.XLOOKUP(TRUE, ISNUMBER(SEARCH(工作表5!$A$1:$A$23, C1039)), 工作表5!$B$1:$B$23, "其他")</f>
        <v>定著組</v>
      </c>
      <c r="C1039" s="144" t="s">
        <v>1811</v>
      </c>
      <c r="D1039" s="156"/>
      <c r="E1039" s="156" t="s">
        <v>1482</v>
      </c>
      <c r="F1039" s="156" t="s">
        <v>530</v>
      </c>
      <c r="G1039" s="154">
        <v>720000</v>
      </c>
    </row>
    <row r="1040" spans="1:7" ht="21.6" customHeight="1">
      <c r="A1040" s="154" t="s">
        <v>1303</v>
      </c>
      <c r="B1040" s="154" t="str" cm="1">
        <f t="array" ref="B1040">_xlfn.XLOOKUP(TRUE, ISNUMBER(SEARCH(工作表5!$A$1:$A$23, C1040)), 工作表5!$B$1:$B$23, "其他")</f>
        <v>轉寫組</v>
      </c>
      <c r="C1040" s="144" t="s">
        <v>533</v>
      </c>
      <c r="D1040" s="156"/>
      <c r="E1040" s="156" t="s">
        <v>1483</v>
      </c>
      <c r="F1040" s="156" t="s">
        <v>532</v>
      </c>
      <c r="G1040" s="154">
        <v>720000</v>
      </c>
    </row>
    <row r="1041" spans="1:7" ht="21.6" customHeight="1">
      <c r="A1041" s="154" t="s">
        <v>1303</v>
      </c>
      <c r="B1041" s="154" t="str" cm="1">
        <f t="array" ref="B1041">_xlfn.XLOOKUP(TRUE, ISNUMBER(SEARCH(工作表5!$A$1:$A$23, C1041)), 工作表5!$B$1:$B$23, "其他")</f>
        <v>轉寫組</v>
      </c>
      <c r="C1041" s="145" t="s">
        <v>1812</v>
      </c>
      <c r="D1041" s="156"/>
      <c r="E1041" s="156" t="s">
        <v>1484</v>
      </c>
      <c r="F1041" s="156" t="s">
        <v>535</v>
      </c>
      <c r="G1041" s="154">
        <v>720000</v>
      </c>
    </row>
    <row r="1042" spans="1:7" ht="21.6" customHeight="1">
      <c r="A1042" s="154" t="s">
        <v>1303</v>
      </c>
      <c r="B1042" s="154" t="str" cm="1">
        <f t="array" ref="B1042">_xlfn.XLOOKUP(TRUE, ISNUMBER(SEARCH(工作表5!$A$1:$A$23, C1042)), 工作表5!$B$1:$B$23, "其他")</f>
        <v>轉寫組</v>
      </c>
      <c r="C1042" s="145" t="s">
        <v>1813</v>
      </c>
      <c r="D1042" s="156"/>
      <c r="E1042" s="156" t="s">
        <v>1485</v>
      </c>
      <c r="F1042" s="156" t="s">
        <v>537</v>
      </c>
      <c r="G1042" s="154">
        <v>720000</v>
      </c>
    </row>
    <row r="1043" spans="1:7" ht="21.6" customHeight="1">
      <c r="A1043" s="154" t="s">
        <v>1303</v>
      </c>
      <c r="B1043" s="154" t="str" cm="1">
        <f t="array" ref="B1043">_xlfn.XLOOKUP(TRUE, ISNUMBER(SEARCH(工作表5!$A$1:$A$23, C1043)), 工作表5!$B$1:$B$23, "其他")</f>
        <v>轉寫組</v>
      </c>
      <c r="C1043" s="145" t="s">
        <v>1814</v>
      </c>
      <c r="D1043" s="156"/>
      <c r="E1043" s="156" t="s">
        <v>1486</v>
      </c>
      <c r="F1043" s="156" t="s">
        <v>539</v>
      </c>
      <c r="G1043" s="154">
        <v>720000</v>
      </c>
    </row>
    <row r="1044" spans="1:7" ht="21.6" customHeight="1">
      <c r="A1044" s="154" t="s">
        <v>1303</v>
      </c>
      <c r="B1044" s="154" t="str" cm="1">
        <f t="array" ref="B1044">_xlfn.XLOOKUP(TRUE, ISNUMBER(SEARCH(工作表5!$A$1:$A$23, C1044)), 工作表5!$B$1:$B$23, "其他")</f>
        <v>轉寫組</v>
      </c>
      <c r="C1044" s="145" t="s">
        <v>1815</v>
      </c>
      <c r="D1044" s="156"/>
      <c r="E1044" s="156" t="s">
        <v>1487</v>
      </c>
      <c r="F1044" s="156" t="s">
        <v>541</v>
      </c>
      <c r="G1044" s="154">
        <v>720000</v>
      </c>
    </row>
    <row r="1045" spans="1:7" ht="21.6" customHeight="1">
      <c r="A1045" s="154" t="s">
        <v>1303</v>
      </c>
      <c r="B1045" s="154" t="str" cm="1">
        <f t="array" ref="B1045">_xlfn.XLOOKUP(TRUE, ISNUMBER(SEARCH(工作表5!$A$1:$A$23, C1045)), 工作表5!$B$1:$B$23, "其他")</f>
        <v>取紙組</v>
      </c>
      <c r="C1045" s="144" t="s">
        <v>1816</v>
      </c>
      <c r="D1045" s="156"/>
      <c r="E1045" s="156" t="s">
        <v>1488</v>
      </c>
      <c r="F1045" s="156" t="s">
        <v>543</v>
      </c>
      <c r="G1045" s="154" t="e">
        <v>#VALUE!</v>
      </c>
    </row>
    <row r="1046" spans="1:7" ht="21.6" customHeight="1">
      <c r="A1046" s="154" t="s">
        <v>1303</v>
      </c>
      <c r="B1046" s="154" t="str" cm="1">
        <f t="array" ref="B1046">_xlfn.XLOOKUP(TRUE, ISNUMBER(SEARCH(工作表5!$A$1:$A$23, C1046)), 工作表5!$B$1:$B$23, "其他")</f>
        <v>取紙組</v>
      </c>
      <c r="C1046" s="144" t="s">
        <v>1816</v>
      </c>
      <c r="D1046" s="156"/>
      <c r="E1046" s="156" t="s">
        <v>1488</v>
      </c>
      <c r="F1046" s="156" t="s">
        <v>543</v>
      </c>
      <c r="G1046" s="154" t="e">
        <v>#VALUE!</v>
      </c>
    </row>
    <row r="1047" spans="1:7" ht="21.6" customHeight="1">
      <c r="A1047" s="154" t="s">
        <v>1303</v>
      </c>
      <c r="B1047" s="154" t="str" cm="1">
        <f t="array" ref="B1047">_xlfn.XLOOKUP(TRUE, ISNUMBER(SEARCH(工作表5!$A$1:$A$23, C1047)), 工作表5!$B$1:$B$23, "其他")</f>
        <v>取紙組</v>
      </c>
      <c r="C1047" s="144" t="s">
        <v>1817</v>
      </c>
      <c r="D1047" s="156"/>
      <c r="E1047" s="156" t="s">
        <v>1453</v>
      </c>
      <c r="F1047" s="156" t="s">
        <v>458</v>
      </c>
      <c r="G1047" s="154" t="e">
        <v>#VALUE!</v>
      </c>
    </row>
    <row r="1048" spans="1:7" ht="21.6" customHeight="1">
      <c r="A1048" s="154" t="s">
        <v>1303</v>
      </c>
      <c r="B1048" s="154" t="str" cm="1">
        <f t="array" ref="B1048">_xlfn.XLOOKUP(TRUE, ISNUMBER(SEARCH(工作表5!$A$1:$A$23, C1048)), 工作表5!$B$1:$B$23, "其他")</f>
        <v>送稿機</v>
      </c>
      <c r="C1048" s="145" t="s">
        <v>1782</v>
      </c>
      <c r="D1048" s="156"/>
      <c r="E1048" s="156" t="s">
        <v>1394</v>
      </c>
      <c r="F1048" s="156" t="s">
        <v>281</v>
      </c>
      <c r="G1048" s="154" t="e">
        <v>#VALUE!</v>
      </c>
    </row>
    <row r="1049" spans="1:7" ht="21.6" customHeight="1">
      <c r="A1049" s="154" t="s">
        <v>1303</v>
      </c>
      <c r="B1049" s="154" t="str" cm="1">
        <f t="array" ref="B1049">_xlfn.XLOOKUP(TRUE, ISNUMBER(SEARCH(工作表5!$A$1:$A$23, C1049)), 工作表5!$B$1:$B$23, "其他")</f>
        <v>送稿機</v>
      </c>
      <c r="C1049" s="144" t="s">
        <v>285</v>
      </c>
      <c r="D1049" s="156"/>
      <c r="E1049" s="156" t="s">
        <v>1395</v>
      </c>
      <c r="F1049" s="156" t="s">
        <v>226</v>
      </c>
      <c r="G1049" s="154" t="e">
        <v>#VALUE!</v>
      </c>
    </row>
    <row r="1050" spans="1:7" ht="21.6" customHeight="1">
      <c r="A1050" s="154" t="s">
        <v>1303</v>
      </c>
      <c r="B1050" s="154" t="str" cm="1">
        <f t="array" ref="B1050">_xlfn.XLOOKUP(TRUE, ISNUMBER(SEARCH(工作表5!$A$1:$A$23, C1050)), 工作表5!$B$1:$B$23, "其他")</f>
        <v>送稿機</v>
      </c>
      <c r="C1050" s="145" t="s">
        <v>282</v>
      </c>
      <c r="D1050" s="156"/>
      <c r="E1050" s="156" t="s">
        <v>1396</v>
      </c>
      <c r="F1050" s="156" t="s">
        <v>288</v>
      </c>
      <c r="G1050" s="154" t="e">
        <v>#VALUE!</v>
      </c>
    </row>
    <row r="1051" spans="1:7" ht="21.6" customHeight="1">
      <c r="A1051" s="154" t="s">
        <v>1303</v>
      </c>
      <c r="B1051" s="154" t="str" cm="1">
        <f t="array" ref="B1051">_xlfn.XLOOKUP(TRUE, ISNUMBER(SEARCH(工作表5!$A$1:$A$23, C1051)), 工作表5!$B$1:$B$23, "其他")</f>
        <v>其他</v>
      </c>
      <c r="C1051" s="144" t="s">
        <v>1818</v>
      </c>
      <c r="D1051" s="156"/>
      <c r="E1051" s="156" t="s">
        <v>1410</v>
      </c>
      <c r="F1051" s="156" t="s">
        <v>333</v>
      </c>
      <c r="G1051" s="154">
        <v>500000</v>
      </c>
    </row>
    <row r="1052" spans="1:7" ht="21.6" customHeight="1">
      <c r="A1052" s="154" t="s">
        <v>1303</v>
      </c>
      <c r="B1052" s="154" t="str" cm="1">
        <f t="array" ref="B1052">_xlfn.XLOOKUP(TRUE, ISNUMBER(SEARCH(工作表5!$A$1:$A$23, C1052)), 工作表5!$B$1:$B$23, "其他")</f>
        <v>送稿機</v>
      </c>
      <c r="C1052" s="144" t="s">
        <v>546</v>
      </c>
      <c r="D1052" s="156"/>
      <c r="E1052" s="156" t="s">
        <v>1411</v>
      </c>
      <c r="F1052" s="156" t="s">
        <v>336</v>
      </c>
      <c r="G1052" s="154">
        <v>500000</v>
      </c>
    </row>
    <row r="1053" spans="1:7" ht="21.6" customHeight="1">
      <c r="A1053" s="154" t="s">
        <v>1303</v>
      </c>
      <c r="B1053" s="154" t="str" cm="1">
        <f t="array" ref="B1053">_xlfn.XLOOKUP(TRUE, ISNUMBER(SEARCH(工作表5!$A$1:$A$23, C1053)), 工作表5!$B$1:$B$23, "其他")</f>
        <v>送稿機</v>
      </c>
      <c r="C1053" s="145" t="s">
        <v>547</v>
      </c>
      <c r="D1053" s="156"/>
      <c r="E1053" s="156" t="s">
        <v>1412</v>
      </c>
      <c r="F1053" s="156" t="s">
        <v>340</v>
      </c>
      <c r="G1053" s="154">
        <v>500000</v>
      </c>
    </row>
    <row r="1054" spans="1:7" ht="21.6" customHeight="1">
      <c r="A1054" s="154" t="s">
        <v>1303</v>
      </c>
      <c r="B1054" s="154" t="str" cm="1">
        <f t="array" ref="B1054">_xlfn.XLOOKUP(TRUE, ISNUMBER(SEARCH(工作表5!$A$1:$A$23, C1054)), 工作表5!$B$1:$B$23, "其他")</f>
        <v>手送台</v>
      </c>
      <c r="C1054" s="145" t="s">
        <v>1819</v>
      </c>
      <c r="D1054" s="156"/>
      <c r="E1054" s="156" t="s">
        <v>1489</v>
      </c>
      <c r="F1054" s="156" t="s">
        <v>549</v>
      </c>
      <c r="G1054" s="154">
        <v>100000</v>
      </c>
    </row>
    <row r="1055" spans="1:7" ht="21.6" customHeight="1">
      <c r="A1055" s="154" t="s">
        <v>1303</v>
      </c>
      <c r="B1055" s="154" t="str" cm="1">
        <f t="array" ref="B1055">_xlfn.XLOOKUP(TRUE, ISNUMBER(SEARCH(工作表5!$A$1:$A$23, C1055)), 工作表5!$B$1:$B$23, "其他")</f>
        <v>手送台</v>
      </c>
      <c r="C1055" s="144" t="s">
        <v>553</v>
      </c>
      <c r="D1055" s="156"/>
      <c r="E1055" s="156" t="s">
        <v>1490</v>
      </c>
      <c r="F1055" s="156" t="s">
        <v>552</v>
      </c>
      <c r="G1055" s="154">
        <v>100000</v>
      </c>
    </row>
    <row r="1056" spans="1:7" ht="21.6" customHeight="1">
      <c r="A1056" s="154" t="s">
        <v>1303</v>
      </c>
      <c r="B1056" s="154" t="str" cm="1">
        <f t="array" ref="B1056">_xlfn.XLOOKUP(TRUE, ISNUMBER(SEARCH(工作表5!$A$1:$A$23, C1056)), 工作表5!$B$1:$B$23, "其他")</f>
        <v>手送台</v>
      </c>
      <c r="C1056" s="144" t="s">
        <v>550</v>
      </c>
      <c r="D1056" s="156"/>
      <c r="E1056" s="156" t="s">
        <v>1491</v>
      </c>
      <c r="F1056" s="156" t="s">
        <v>555</v>
      </c>
      <c r="G1056" s="154">
        <v>100000</v>
      </c>
    </row>
    <row r="1057" spans="1:7" ht="21.6" customHeight="1">
      <c r="A1057" s="154" t="s">
        <v>1303</v>
      </c>
      <c r="B1057" s="154" t="str" cm="1">
        <f t="array" ref="B1057">_xlfn.XLOOKUP(TRUE, ISNUMBER(SEARCH(工作表5!$A$1:$A$23, C1057)), 工作表5!$B$1:$B$23, "其他")</f>
        <v>其他</v>
      </c>
      <c r="C1057" s="145" t="s">
        <v>558</v>
      </c>
      <c r="D1057" s="156"/>
      <c r="E1057" s="156" t="s">
        <v>1540</v>
      </c>
      <c r="F1057" s="156" t="s">
        <v>694</v>
      </c>
      <c r="G1057" s="154">
        <v>720000</v>
      </c>
    </row>
    <row r="1058" spans="1:7" ht="21.6" customHeight="1">
      <c r="A1058" s="154" t="s">
        <v>1303</v>
      </c>
      <c r="B1058" s="154" t="str" cm="1">
        <f t="array" ref="B1058">_xlfn.XLOOKUP(TRUE, ISNUMBER(SEARCH(工作表5!$A$1:$A$23, C1058)), 工作表5!$B$1:$B$23, "其他")</f>
        <v>轉寫組</v>
      </c>
      <c r="C1058" s="145" t="s">
        <v>1820</v>
      </c>
      <c r="D1058" s="156"/>
      <c r="E1058" s="156" t="s">
        <v>1493</v>
      </c>
      <c r="F1058" s="156" t="s">
        <v>560</v>
      </c>
      <c r="G1058" s="154">
        <v>720000</v>
      </c>
    </row>
    <row r="1059" spans="1:7" ht="21.6" customHeight="1">
      <c r="A1059" s="154" t="s">
        <v>1303</v>
      </c>
      <c r="B1059" s="154" t="str" cm="1">
        <f t="array" ref="B1059">_xlfn.XLOOKUP(TRUE, ISNUMBER(SEARCH(工作表5!$A$1:$A$23, C1059)), 工作表5!$B$1:$B$23, "其他")</f>
        <v>定著組</v>
      </c>
      <c r="C1059" s="145" t="s">
        <v>244</v>
      </c>
      <c r="D1059" s="156"/>
      <c r="E1059" s="156" t="s">
        <v>1494</v>
      </c>
      <c r="F1059" s="156" t="s">
        <v>562</v>
      </c>
      <c r="G1059" s="154">
        <v>720000</v>
      </c>
    </row>
    <row r="1060" spans="1:7" ht="21.6" customHeight="1">
      <c r="A1060" s="154" t="s">
        <v>1303</v>
      </c>
      <c r="B1060" s="154" t="str" cm="1">
        <f t="array" ref="B1060">_xlfn.XLOOKUP(TRUE, ISNUMBER(SEARCH(工作表5!$A$1:$A$23, C1060)), 工作表5!$B$1:$B$23, "其他")</f>
        <v>其他</v>
      </c>
      <c r="C1060" s="145" t="s">
        <v>1803</v>
      </c>
      <c r="D1060" s="156"/>
      <c r="E1060" s="156" t="s">
        <v>1495</v>
      </c>
      <c r="F1060" s="156" t="s">
        <v>564</v>
      </c>
      <c r="G1060" s="154">
        <v>720000</v>
      </c>
    </row>
    <row r="1061" spans="1:7" ht="21.6" customHeight="1">
      <c r="A1061" s="154" t="s">
        <v>1303</v>
      </c>
      <c r="B1061" s="154" t="str" cm="1">
        <f t="array" ref="B1061">_xlfn.XLOOKUP(TRUE, ISNUMBER(SEARCH(工作表5!$A$1:$A$23, C1061)), 工作表5!$B$1:$B$23, "其他")</f>
        <v>取紙組</v>
      </c>
      <c r="C1061" s="144" t="s">
        <v>567</v>
      </c>
      <c r="D1061" s="156"/>
      <c r="E1061" s="156" t="s">
        <v>1496</v>
      </c>
      <c r="F1061" s="156" t="s">
        <v>566</v>
      </c>
      <c r="G1061" s="154" t="e">
        <v>#VALUE!</v>
      </c>
    </row>
    <row r="1062" spans="1:7" ht="21.6" customHeight="1">
      <c r="A1062" s="154" t="s">
        <v>1303</v>
      </c>
      <c r="B1062" s="154" t="str" cm="1">
        <f t="array" ref="B1062">_xlfn.XLOOKUP(TRUE, ISNUMBER(SEARCH(工作表5!$A$1:$A$23, C1062)), 工作表5!$B$1:$B$23, "其他")</f>
        <v>其他</v>
      </c>
      <c r="C1062" s="144" t="s">
        <v>570</v>
      </c>
      <c r="D1062" s="156"/>
      <c r="E1062" s="156" t="s">
        <v>1497</v>
      </c>
      <c r="F1062" s="156" t="s">
        <v>569</v>
      </c>
      <c r="G1062" s="154">
        <v>500000</v>
      </c>
    </row>
    <row r="1063" spans="1:7" ht="21.6" customHeight="1">
      <c r="A1063" s="154" t="s">
        <v>1303</v>
      </c>
      <c r="B1063" s="154" t="str" cm="1">
        <f t="array" ref="B1063">_xlfn.XLOOKUP(TRUE, ISNUMBER(SEARCH(工作表5!$A$1:$A$23, C1063)), 工作表5!$B$1:$B$23, "其他")</f>
        <v>送稿機</v>
      </c>
      <c r="C1063" s="145" t="s">
        <v>303</v>
      </c>
      <c r="D1063" s="156"/>
      <c r="E1063" s="156" t="s">
        <v>1401</v>
      </c>
      <c r="F1063" s="156" t="s">
        <v>302</v>
      </c>
      <c r="G1063" s="154" t="e">
        <v>#VALUE!</v>
      </c>
    </row>
    <row r="1064" spans="1:7" ht="21.6" customHeight="1">
      <c r="A1064" s="154" t="s">
        <v>1303</v>
      </c>
      <c r="B1064" s="154" t="str" cm="1">
        <f t="array" ref="B1064">_xlfn.XLOOKUP(TRUE, ISNUMBER(SEARCH(工作表5!$A$1:$A$23, C1064)), 工作表5!$B$1:$B$23, "其他")</f>
        <v>滾筒組</v>
      </c>
      <c r="C1064" s="145" t="s">
        <v>132</v>
      </c>
      <c r="D1064" s="156"/>
      <c r="E1064" s="156" t="s">
        <v>1498</v>
      </c>
      <c r="F1064" s="156" t="s">
        <v>572</v>
      </c>
      <c r="G1064" s="154" t="e">
        <v>#VALUE!</v>
      </c>
    </row>
    <row r="1065" spans="1:7" ht="21.6" customHeight="1">
      <c r="A1065" s="154" t="s">
        <v>1303</v>
      </c>
      <c r="B1065" s="154" t="str" cm="1">
        <f t="array" ref="B1065">_xlfn.XLOOKUP(TRUE, ISNUMBER(SEARCH(工作表5!$A$1:$A$23, C1065)), 工作表5!$B$1:$B$23, "其他")</f>
        <v>顯像組</v>
      </c>
      <c r="C1065" s="145" t="s">
        <v>575</v>
      </c>
      <c r="D1065" s="156"/>
      <c r="E1065" s="156" t="s">
        <v>1499</v>
      </c>
      <c r="F1065" s="156" t="s">
        <v>574</v>
      </c>
      <c r="G1065" s="154" t="e">
        <v>#VALUE!</v>
      </c>
    </row>
    <row r="1066" spans="1:7" ht="21.6" customHeight="1">
      <c r="A1066" s="154" t="s">
        <v>1303</v>
      </c>
      <c r="B1066" s="154" t="str" cm="1">
        <f t="array" ref="B1066">_xlfn.XLOOKUP(TRUE, ISNUMBER(SEARCH(工作表5!$A$1:$A$23, C1066)), 工作表5!$B$1:$B$23, "其他")</f>
        <v>顯像組</v>
      </c>
      <c r="C1066" s="144" t="s">
        <v>135</v>
      </c>
      <c r="D1066" s="156"/>
      <c r="E1066" s="156" t="s">
        <v>1541</v>
      </c>
      <c r="F1066" s="156" t="s">
        <v>696</v>
      </c>
      <c r="G1066" s="154" t="e">
        <v>#VALUE!</v>
      </c>
    </row>
    <row r="1067" spans="1:7" ht="21.6" customHeight="1">
      <c r="A1067" s="154" t="s">
        <v>1303</v>
      </c>
      <c r="B1067" s="154" t="str" cm="1">
        <f t="array" ref="B1067">_xlfn.XLOOKUP(TRUE, ISNUMBER(SEARCH(工作表5!$A$1:$A$23, C1067)), 工作表5!$B$1:$B$23, "其他")</f>
        <v>轉寫組</v>
      </c>
      <c r="C1067" s="144" t="s">
        <v>1821</v>
      </c>
      <c r="D1067" s="156"/>
      <c r="E1067" s="156" t="s">
        <v>1501</v>
      </c>
      <c r="F1067" s="156" t="s">
        <v>579</v>
      </c>
      <c r="G1067" s="154" t="e">
        <v>#VALUE!</v>
      </c>
    </row>
    <row r="1068" spans="1:7" ht="21.6" customHeight="1">
      <c r="A1068" s="154" t="s">
        <v>1303</v>
      </c>
      <c r="B1068" s="154" t="str" cm="1">
        <f t="array" ref="B1068">_xlfn.XLOOKUP(TRUE, ISNUMBER(SEARCH(工作表5!$A$1:$A$23, C1068)), 工作表5!$B$1:$B$23, "其他")</f>
        <v>轉寫組</v>
      </c>
      <c r="C1068" s="144" t="s">
        <v>582</v>
      </c>
      <c r="D1068" s="156"/>
      <c r="E1068" s="156" t="s">
        <v>1502</v>
      </c>
      <c r="F1068" s="156" t="s">
        <v>581</v>
      </c>
      <c r="G1068" s="154" t="e">
        <v>#VALUE!</v>
      </c>
    </row>
    <row r="1069" spans="1:7" ht="21.6" customHeight="1">
      <c r="A1069" s="154" t="s">
        <v>1303</v>
      </c>
      <c r="B1069" s="154" t="str" cm="1">
        <f t="array" ref="B1069">_xlfn.XLOOKUP(TRUE, ISNUMBER(SEARCH(工作表5!$A$1:$A$23, C1069)), 工作表5!$B$1:$B$23, "其他")</f>
        <v>定著組</v>
      </c>
      <c r="C1069" s="145" t="s">
        <v>585</v>
      </c>
      <c r="D1069" s="156"/>
      <c r="E1069" s="156" t="s">
        <v>1503</v>
      </c>
      <c r="F1069" s="156" t="s">
        <v>584</v>
      </c>
      <c r="G1069" s="154" t="e">
        <v>#VALUE!</v>
      </c>
    </row>
    <row r="1070" spans="1:7" ht="21.6" customHeight="1">
      <c r="A1070" s="154" t="s">
        <v>1304</v>
      </c>
      <c r="B1070" s="154" t="str" cm="1">
        <f t="array" ref="B1070">_xlfn.XLOOKUP(TRUE, ISNUMBER(SEARCH(工作表5!$A$1:$A$23, C1070)), 工作表5!$B$1:$B$23, "其他")</f>
        <v>滾筒組</v>
      </c>
      <c r="C1070" s="143" t="s">
        <v>71</v>
      </c>
      <c r="D1070" s="156"/>
      <c r="E1070" s="156" t="s">
        <v>1469</v>
      </c>
      <c r="F1070" s="156" t="s">
        <v>499</v>
      </c>
      <c r="G1070" s="154">
        <v>740000</v>
      </c>
    </row>
    <row r="1071" spans="1:7" ht="21.6" customHeight="1">
      <c r="A1071" s="154" t="s">
        <v>1304</v>
      </c>
      <c r="B1071" s="154" t="str" cm="1">
        <f t="array" ref="B1071">_xlfn.XLOOKUP(TRUE, ISNUMBER(SEARCH(工作表5!$A$1:$A$23, C1071)), 工作表5!$B$1:$B$23, "其他")</f>
        <v>顯像組</v>
      </c>
      <c r="C1071" s="145" t="s">
        <v>502</v>
      </c>
      <c r="D1071" s="156"/>
      <c r="E1071" s="156" t="s">
        <v>1470</v>
      </c>
      <c r="F1071" s="156" t="s">
        <v>501</v>
      </c>
      <c r="G1071" s="154" t="e">
        <v>#VALUE!</v>
      </c>
    </row>
    <row r="1072" spans="1:7" ht="21.6" customHeight="1">
      <c r="A1072" s="154" t="s">
        <v>1304</v>
      </c>
      <c r="B1072" s="154" t="str" cm="1">
        <f t="array" ref="B1072">_xlfn.XLOOKUP(TRUE, ISNUMBER(SEARCH(工作表5!$A$1:$A$23, C1072)), 工作表5!$B$1:$B$23, "其他")</f>
        <v>滾筒組</v>
      </c>
      <c r="C1072" s="145" t="s">
        <v>415</v>
      </c>
      <c r="D1072" s="156"/>
      <c r="E1072" s="156" t="s">
        <v>1471</v>
      </c>
      <c r="F1072" s="156" t="s">
        <v>505</v>
      </c>
      <c r="G1072" s="154">
        <v>740000</v>
      </c>
    </row>
    <row r="1073" spans="1:7" ht="21.6" customHeight="1">
      <c r="A1073" s="154" t="s">
        <v>1304</v>
      </c>
      <c r="B1073" s="154" t="str" cm="1">
        <f t="array" ref="B1073">_xlfn.XLOOKUP(TRUE, ISNUMBER(SEARCH(工作表5!$A$1:$A$23, C1073)), 工作表5!$B$1:$B$23, "其他")</f>
        <v>滾筒組</v>
      </c>
      <c r="C1073" s="144" t="s">
        <v>107</v>
      </c>
      <c r="D1073" s="156"/>
      <c r="E1073" s="156" t="s">
        <v>1539</v>
      </c>
      <c r="F1073" s="156" t="s">
        <v>692</v>
      </c>
      <c r="G1073" s="154">
        <v>740000</v>
      </c>
    </row>
    <row r="1074" spans="1:7" ht="21.6" customHeight="1">
      <c r="A1074" s="154" t="s">
        <v>1304</v>
      </c>
      <c r="B1074" s="154" t="str" cm="1">
        <f t="array" ref="B1074">_xlfn.XLOOKUP(TRUE, ISNUMBER(SEARCH(工作表5!$A$1:$A$23, C1074)), 工作表5!$B$1:$B$23, "其他")</f>
        <v>顯像組</v>
      </c>
      <c r="C1074" s="145" t="s">
        <v>104</v>
      </c>
      <c r="D1074" s="156"/>
      <c r="E1074" s="156" t="s">
        <v>1473</v>
      </c>
      <c r="F1074" s="156" t="s">
        <v>509</v>
      </c>
      <c r="G1074" s="154">
        <v>740000</v>
      </c>
    </row>
    <row r="1075" spans="1:7" ht="21.6" customHeight="1">
      <c r="A1075" s="154" t="s">
        <v>1304</v>
      </c>
      <c r="B1075" s="154" t="str" cm="1">
        <f t="array" ref="B1075">_xlfn.XLOOKUP(TRUE, ISNUMBER(SEARCH(工作表5!$A$1:$A$23, C1075)), 工作表5!$B$1:$B$23, "其他")</f>
        <v>顯像組</v>
      </c>
      <c r="C1075" s="145" t="s">
        <v>1806</v>
      </c>
      <c r="D1075" s="156"/>
      <c r="E1075" s="156" t="s">
        <v>1474</v>
      </c>
      <c r="F1075" s="156" t="s">
        <v>511</v>
      </c>
      <c r="G1075" s="154">
        <v>740000</v>
      </c>
    </row>
    <row r="1076" spans="1:7" ht="21.6" customHeight="1">
      <c r="A1076" s="154" t="s">
        <v>1304</v>
      </c>
      <c r="B1076" s="154" t="str" cm="1">
        <f t="array" ref="B1076">_xlfn.XLOOKUP(TRUE, ISNUMBER(SEARCH(工作表5!$A$1:$A$23, C1076)), 工作表5!$B$1:$B$23, "其他")</f>
        <v>滾筒組</v>
      </c>
      <c r="C1076" s="145" t="s">
        <v>1807</v>
      </c>
      <c r="D1076" s="156"/>
      <c r="E1076" s="156" t="s">
        <v>1475</v>
      </c>
      <c r="F1076" s="156" t="s">
        <v>513</v>
      </c>
      <c r="G1076" s="154">
        <v>740000</v>
      </c>
    </row>
    <row r="1077" spans="1:7" ht="21.6" customHeight="1">
      <c r="A1077" s="154" t="s">
        <v>1304</v>
      </c>
      <c r="B1077" s="154" t="str" cm="1">
        <f t="array" ref="B1077">_xlfn.XLOOKUP(TRUE, ISNUMBER(SEARCH(工作表5!$A$1:$A$23, C1077)), 工作表5!$B$1:$B$23, "其他")</f>
        <v>滾筒組</v>
      </c>
      <c r="C1077" s="145" t="s">
        <v>516</v>
      </c>
      <c r="D1077" s="156"/>
      <c r="E1077" s="156" t="s">
        <v>1476</v>
      </c>
      <c r="F1077" s="156" t="s">
        <v>515</v>
      </c>
      <c r="G1077" s="154">
        <v>740000</v>
      </c>
    </row>
    <row r="1078" spans="1:7" ht="21.6" customHeight="1">
      <c r="A1078" s="154" t="s">
        <v>1304</v>
      </c>
      <c r="B1078" s="154" t="str" cm="1">
        <f t="array" ref="B1078">_xlfn.XLOOKUP(TRUE, ISNUMBER(SEARCH(工作表5!$A$1:$A$23, C1078)), 工作表5!$B$1:$B$23, "其他")</f>
        <v>其他</v>
      </c>
      <c r="C1078" s="145" t="s">
        <v>1808</v>
      </c>
      <c r="D1078" s="156"/>
      <c r="E1078" s="156" t="s">
        <v>1477</v>
      </c>
      <c r="F1078" s="156" t="s">
        <v>518</v>
      </c>
      <c r="G1078" s="154">
        <v>740000</v>
      </c>
    </row>
    <row r="1079" spans="1:7" ht="21.6" customHeight="1">
      <c r="A1079" s="154" t="s">
        <v>1304</v>
      </c>
      <c r="B1079" s="154" t="str" cm="1">
        <f t="array" ref="B1079">_xlfn.XLOOKUP(TRUE, ISNUMBER(SEARCH(工作表5!$A$1:$A$23, C1079)), 工作表5!$B$1:$B$23, "其他")</f>
        <v>其他</v>
      </c>
      <c r="C1079" s="144" t="s">
        <v>101</v>
      </c>
      <c r="D1079" s="156"/>
      <c r="E1079" s="156" t="s">
        <v>1478</v>
      </c>
      <c r="F1079" s="156" t="s">
        <v>520</v>
      </c>
      <c r="G1079" s="154">
        <v>740000</v>
      </c>
    </row>
    <row r="1080" spans="1:7" ht="21.6" customHeight="1">
      <c r="A1080" s="154" t="s">
        <v>1304</v>
      </c>
      <c r="B1080" s="154" t="str" cm="1">
        <f t="array" ref="B1080">_xlfn.XLOOKUP(TRUE, ISNUMBER(SEARCH(工作表5!$A$1:$A$23, C1080)), 工作表5!$B$1:$B$23, "其他")</f>
        <v>其他</v>
      </c>
      <c r="C1080" s="145" t="s">
        <v>523</v>
      </c>
      <c r="D1080" s="156"/>
      <c r="E1080" s="156" t="s">
        <v>1479</v>
      </c>
      <c r="F1080" s="156" t="s">
        <v>522</v>
      </c>
      <c r="G1080" s="154">
        <v>740000</v>
      </c>
    </row>
    <row r="1081" spans="1:7" ht="21.6" customHeight="1">
      <c r="A1081" s="154" t="s">
        <v>1304</v>
      </c>
      <c r="B1081" s="154" t="str" cm="1">
        <f t="array" ref="B1081">_xlfn.XLOOKUP(TRUE, ISNUMBER(SEARCH(工作表5!$A$1:$A$23, C1081)), 工作表5!$B$1:$B$23, "其他")</f>
        <v>定著組</v>
      </c>
      <c r="C1081" s="144" t="s">
        <v>1809</v>
      </c>
      <c r="D1081" s="156"/>
      <c r="E1081" s="156" t="s">
        <v>1480</v>
      </c>
      <c r="F1081" s="156" t="s">
        <v>525</v>
      </c>
      <c r="G1081" s="154">
        <v>740000</v>
      </c>
    </row>
    <row r="1082" spans="1:7" ht="21.6" customHeight="1">
      <c r="A1082" s="154" t="s">
        <v>1304</v>
      </c>
      <c r="B1082" s="154" t="str" cm="1">
        <f t="array" ref="B1082">_xlfn.XLOOKUP(TRUE, ISNUMBER(SEARCH(工作表5!$A$1:$A$23, C1082)), 工作表5!$B$1:$B$23, "其他")</f>
        <v>定著組</v>
      </c>
      <c r="C1082" s="144" t="s">
        <v>1810</v>
      </c>
      <c r="D1082" s="156"/>
      <c r="E1082" s="156" t="s">
        <v>1481</v>
      </c>
      <c r="F1082" s="156" t="s">
        <v>528</v>
      </c>
      <c r="G1082" s="154">
        <v>740000</v>
      </c>
    </row>
    <row r="1083" spans="1:7" ht="21.6" customHeight="1">
      <c r="A1083" s="154" t="s">
        <v>1304</v>
      </c>
      <c r="B1083" s="154" t="str" cm="1">
        <f t="array" ref="B1083">_xlfn.XLOOKUP(TRUE, ISNUMBER(SEARCH(工作表5!$A$1:$A$23, C1083)), 工作表5!$B$1:$B$23, "其他")</f>
        <v>定著組</v>
      </c>
      <c r="C1083" s="144" t="s">
        <v>1811</v>
      </c>
      <c r="D1083" s="156"/>
      <c r="E1083" s="156" t="s">
        <v>1482</v>
      </c>
      <c r="F1083" s="156" t="s">
        <v>530</v>
      </c>
      <c r="G1083" s="154">
        <v>740000</v>
      </c>
    </row>
    <row r="1084" spans="1:7" ht="21.6" customHeight="1">
      <c r="A1084" s="154" t="s">
        <v>1304</v>
      </c>
      <c r="B1084" s="154" t="str" cm="1">
        <f t="array" ref="B1084">_xlfn.XLOOKUP(TRUE, ISNUMBER(SEARCH(工作表5!$A$1:$A$23, C1084)), 工作表5!$B$1:$B$23, "其他")</f>
        <v>轉寫組</v>
      </c>
      <c r="C1084" s="144" t="s">
        <v>533</v>
      </c>
      <c r="D1084" s="156"/>
      <c r="E1084" s="156" t="s">
        <v>1483</v>
      </c>
      <c r="F1084" s="156" t="s">
        <v>532</v>
      </c>
      <c r="G1084" s="154">
        <v>740000</v>
      </c>
    </row>
    <row r="1085" spans="1:7" ht="21.6" customHeight="1">
      <c r="A1085" s="154" t="s">
        <v>1304</v>
      </c>
      <c r="B1085" s="154" t="str" cm="1">
        <f t="array" ref="B1085">_xlfn.XLOOKUP(TRUE, ISNUMBER(SEARCH(工作表5!$A$1:$A$23, C1085)), 工作表5!$B$1:$B$23, "其他")</f>
        <v>轉寫組</v>
      </c>
      <c r="C1085" s="145" t="s">
        <v>1812</v>
      </c>
      <c r="D1085" s="156"/>
      <c r="E1085" s="156" t="s">
        <v>1484</v>
      </c>
      <c r="F1085" s="156" t="s">
        <v>535</v>
      </c>
      <c r="G1085" s="154">
        <v>740000</v>
      </c>
    </row>
    <row r="1086" spans="1:7" ht="21.6" customHeight="1">
      <c r="A1086" s="154" t="s">
        <v>1304</v>
      </c>
      <c r="B1086" s="154" t="str" cm="1">
        <f t="array" ref="B1086">_xlfn.XLOOKUP(TRUE, ISNUMBER(SEARCH(工作表5!$A$1:$A$23, C1086)), 工作表5!$B$1:$B$23, "其他")</f>
        <v>轉寫組</v>
      </c>
      <c r="C1086" s="145" t="s">
        <v>1813</v>
      </c>
      <c r="D1086" s="156"/>
      <c r="E1086" s="156" t="s">
        <v>1485</v>
      </c>
      <c r="F1086" s="156" t="s">
        <v>537</v>
      </c>
      <c r="G1086" s="154">
        <v>740000</v>
      </c>
    </row>
    <row r="1087" spans="1:7" ht="21.6" customHeight="1">
      <c r="A1087" s="154" t="s">
        <v>1304</v>
      </c>
      <c r="B1087" s="154" t="str" cm="1">
        <f t="array" ref="B1087">_xlfn.XLOOKUP(TRUE, ISNUMBER(SEARCH(工作表5!$A$1:$A$23, C1087)), 工作表5!$B$1:$B$23, "其他")</f>
        <v>轉寫組</v>
      </c>
      <c r="C1087" s="145" t="s">
        <v>1814</v>
      </c>
      <c r="D1087" s="156"/>
      <c r="E1087" s="156" t="s">
        <v>1486</v>
      </c>
      <c r="F1087" s="156" t="s">
        <v>539</v>
      </c>
      <c r="G1087" s="154">
        <v>740000</v>
      </c>
    </row>
    <row r="1088" spans="1:7" ht="21.6" customHeight="1">
      <c r="A1088" s="154" t="s">
        <v>1304</v>
      </c>
      <c r="B1088" s="154" t="str" cm="1">
        <f t="array" ref="B1088">_xlfn.XLOOKUP(TRUE, ISNUMBER(SEARCH(工作表5!$A$1:$A$23, C1088)), 工作表5!$B$1:$B$23, "其他")</f>
        <v>轉寫組</v>
      </c>
      <c r="C1088" s="145" t="s">
        <v>1815</v>
      </c>
      <c r="D1088" s="156"/>
      <c r="E1088" s="156" t="s">
        <v>1487</v>
      </c>
      <c r="F1088" s="156" t="s">
        <v>541</v>
      </c>
      <c r="G1088" s="154">
        <v>740000</v>
      </c>
    </row>
    <row r="1089" spans="1:7" ht="21.6" customHeight="1">
      <c r="A1089" s="154" t="s">
        <v>1304</v>
      </c>
      <c r="B1089" s="154" t="str" cm="1">
        <f t="array" ref="B1089">_xlfn.XLOOKUP(TRUE, ISNUMBER(SEARCH(工作表5!$A$1:$A$23, C1089)), 工作表5!$B$1:$B$23, "其他")</f>
        <v>取紙組</v>
      </c>
      <c r="C1089" s="144" t="s">
        <v>1832</v>
      </c>
      <c r="D1089" s="156"/>
      <c r="E1089" s="156" t="s">
        <v>1488</v>
      </c>
      <c r="F1089" s="156" t="s">
        <v>543</v>
      </c>
      <c r="G1089" s="154">
        <v>200000</v>
      </c>
    </row>
    <row r="1090" spans="1:7" ht="21.6" customHeight="1">
      <c r="A1090" s="154" t="s">
        <v>1304</v>
      </c>
      <c r="B1090" s="154" t="str" cm="1">
        <f t="array" ref="B1090">_xlfn.XLOOKUP(TRUE, ISNUMBER(SEARCH(工作表5!$A$1:$A$23, C1090)), 工作表5!$B$1:$B$23, "其他")</f>
        <v>取紙組</v>
      </c>
      <c r="C1090" s="144" t="s">
        <v>110</v>
      </c>
      <c r="D1090" s="156"/>
      <c r="E1090" s="156" t="s">
        <v>1488</v>
      </c>
      <c r="F1090" s="156" t="s">
        <v>543</v>
      </c>
      <c r="G1090" s="154">
        <v>200000</v>
      </c>
    </row>
    <row r="1091" spans="1:7" ht="21.6" customHeight="1">
      <c r="A1091" s="154" t="s">
        <v>1304</v>
      </c>
      <c r="B1091" s="154" t="str" cm="1">
        <f t="array" ref="B1091">_xlfn.XLOOKUP(TRUE, ISNUMBER(SEARCH(工作表5!$A$1:$A$23, C1091)), 工作表5!$B$1:$B$23, "其他")</f>
        <v>手送台</v>
      </c>
      <c r="C1091" s="144" t="s">
        <v>114</v>
      </c>
      <c r="D1091" s="156"/>
      <c r="E1091" s="156" t="s">
        <v>1453</v>
      </c>
      <c r="F1091" s="156" t="s">
        <v>458</v>
      </c>
      <c r="G1091" s="154">
        <v>200000</v>
      </c>
    </row>
    <row r="1092" spans="1:7" ht="21.6" customHeight="1">
      <c r="A1092" s="154" t="s">
        <v>1304</v>
      </c>
      <c r="B1092" s="154" t="str" cm="1">
        <f t="array" ref="B1092">_xlfn.XLOOKUP(TRUE, ISNUMBER(SEARCH(工作表5!$A$1:$A$23, C1092)), 工作表5!$B$1:$B$23, "其他")</f>
        <v>大容量取紙組</v>
      </c>
      <c r="C1092" s="144" t="s">
        <v>1833</v>
      </c>
      <c r="D1092" s="156"/>
      <c r="E1092" s="156" t="s">
        <v>1488</v>
      </c>
      <c r="F1092" s="156" t="s">
        <v>543</v>
      </c>
      <c r="G1092" s="154">
        <v>500000</v>
      </c>
    </row>
    <row r="1093" spans="1:7" ht="21.6" customHeight="1">
      <c r="A1093" s="154" t="s">
        <v>1304</v>
      </c>
      <c r="B1093" s="154" t="str" cm="1">
        <f t="array" ref="B1093">_xlfn.XLOOKUP(TRUE, ISNUMBER(SEARCH(工作表5!$A$1:$A$23, C1093)), 工作表5!$B$1:$B$23, "其他")</f>
        <v>大容量取紙組</v>
      </c>
      <c r="C1093" s="144" t="s">
        <v>1833</v>
      </c>
      <c r="D1093" s="156"/>
      <c r="E1093" s="156" t="s">
        <v>1411</v>
      </c>
      <c r="F1093" s="156" t="s">
        <v>336</v>
      </c>
      <c r="G1093" s="154">
        <v>500000</v>
      </c>
    </row>
    <row r="1094" spans="1:7" ht="21.6" customHeight="1">
      <c r="A1094" s="154" t="s">
        <v>1304</v>
      </c>
      <c r="B1094" s="154" t="str" cm="1">
        <f t="array" ref="B1094">_xlfn.XLOOKUP(TRUE, ISNUMBER(SEARCH(工作表5!$A$1:$A$23, C1094)), 工作表5!$B$1:$B$23, "其他")</f>
        <v>大容量取紙組</v>
      </c>
      <c r="C1094" s="144" t="s">
        <v>1834</v>
      </c>
      <c r="D1094" s="156"/>
      <c r="E1094" s="156" t="s">
        <v>1412</v>
      </c>
      <c r="F1094" s="156" t="s">
        <v>340</v>
      </c>
      <c r="G1094" s="154">
        <v>500000</v>
      </c>
    </row>
    <row r="1095" spans="1:7" ht="21.6" customHeight="1">
      <c r="A1095" s="154" t="s">
        <v>1304</v>
      </c>
      <c r="B1095" s="154" t="str" cm="1">
        <f t="array" ref="B1095">_xlfn.XLOOKUP(TRUE, ISNUMBER(SEARCH(工作表5!$A$1:$A$23, C1095)), 工作表5!$B$1:$B$23, "其他")</f>
        <v>送稿機</v>
      </c>
      <c r="C1095" s="145" t="s">
        <v>1782</v>
      </c>
      <c r="D1095" s="156"/>
      <c r="E1095" s="156" t="s">
        <v>1394</v>
      </c>
      <c r="F1095" s="156" t="s">
        <v>281</v>
      </c>
      <c r="G1095" s="154" t="e">
        <v>#VALUE!</v>
      </c>
    </row>
    <row r="1096" spans="1:7" ht="21.6" customHeight="1">
      <c r="A1096" s="154" t="s">
        <v>1304</v>
      </c>
      <c r="B1096" s="154" t="str" cm="1">
        <f t="array" ref="B1096">_xlfn.XLOOKUP(TRUE, ISNUMBER(SEARCH(工作表5!$A$1:$A$23, C1096)), 工作表5!$B$1:$B$23, "其他")</f>
        <v>送稿機</v>
      </c>
      <c r="C1096" s="144" t="s">
        <v>285</v>
      </c>
      <c r="D1096" s="156"/>
      <c r="E1096" s="156" t="s">
        <v>1395</v>
      </c>
      <c r="F1096" s="156" t="s">
        <v>226</v>
      </c>
      <c r="G1096" s="154" t="e">
        <v>#VALUE!</v>
      </c>
    </row>
    <row r="1097" spans="1:7" ht="21.6" customHeight="1">
      <c r="A1097" s="154" t="s">
        <v>1304</v>
      </c>
      <c r="B1097" s="154" t="str" cm="1">
        <f t="array" ref="B1097">_xlfn.XLOOKUP(TRUE, ISNUMBER(SEARCH(工作表5!$A$1:$A$23, C1097)), 工作表5!$B$1:$B$23, "其他")</f>
        <v>送稿機</v>
      </c>
      <c r="C1097" s="145" t="s">
        <v>282</v>
      </c>
      <c r="D1097" s="156"/>
      <c r="E1097" s="156" t="s">
        <v>1396</v>
      </c>
      <c r="F1097" s="156" t="s">
        <v>288</v>
      </c>
      <c r="G1097" s="154" t="e">
        <v>#VALUE!</v>
      </c>
    </row>
    <row r="1098" spans="1:7" ht="21.6" customHeight="1">
      <c r="A1098" s="154" t="s">
        <v>1304</v>
      </c>
      <c r="B1098" s="154" t="str" cm="1">
        <f t="array" ref="B1098">_xlfn.XLOOKUP(TRUE, ISNUMBER(SEARCH(工作表5!$A$1:$A$23, C1098)), 工作表5!$B$1:$B$23, "其他")</f>
        <v>其他</v>
      </c>
      <c r="C1098" s="144" t="s">
        <v>1784</v>
      </c>
      <c r="D1098" s="156"/>
      <c r="E1098" s="156" t="s">
        <v>1452</v>
      </c>
      <c r="F1098" s="156" t="s">
        <v>226</v>
      </c>
      <c r="G1098" s="154">
        <v>500000</v>
      </c>
    </row>
    <row r="1099" spans="1:7" ht="21.6" customHeight="1">
      <c r="A1099" s="154" t="s">
        <v>1304</v>
      </c>
      <c r="B1099" s="154" t="str" cm="1">
        <f t="array" ref="B1099">_xlfn.XLOOKUP(TRUE, ISNUMBER(SEARCH(工作表5!$A$1:$A$23, C1099)), 工作表5!$B$1:$B$23, "其他")</f>
        <v>送稿機</v>
      </c>
      <c r="C1099" s="144" t="s">
        <v>337</v>
      </c>
      <c r="D1099" s="156"/>
      <c r="E1099" s="156" t="s">
        <v>1411</v>
      </c>
      <c r="F1099" s="156" t="s">
        <v>336</v>
      </c>
      <c r="G1099" s="154">
        <v>500000</v>
      </c>
    </row>
    <row r="1100" spans="1:7" ht="21.6" customHeight="1">
      <c r="A1100" s="154" t="s">
        <v>1304</v>
      </c>
      <c r="B1100" s="154" t="str" cm="1">
        <f t="array" ref="B1100">_xlfn.XLOOKUP(TRUE, ISNUMBER(SEARCH(工作表5!$A$1:$A$23, C1100)), 工作表5!$B$1:$B$23, "其他")</f>
        <v>送稿機</v>
      </c>
      <c r="C1100" s="145" t="s">
        <v>341</v>
      </c>
      <c r="D1100" s="156"/>
      <c r="E1100" s="156" t="s">
        <v>1412</v>
      </c>
      <c r="F1100" s="156" t="s">
        <v>340</v>
      </c>
      <c r="G1100" s="154">
        <v>500000</v>
      </c>
    </row>
    <row r="1101" spans="1:7" ht="21.6" customHeight="1">
      <c r="A1101" s="154" t="s">
        <v>1304</v>
      </c>
      <c r="B1101" s="154" t="str" cm="1">
        <f t="array" ref="B1101">_xlfn.XLOOKUP(TRUE, ISNUMBER(SEARCH(工作表5!$A$1:$A$23, C1101)), 工作表5!$B$1:$B$23, "其他")</f>
        <v>其他</v>
      </c>
      <c r="C1101" s="144" t="s">
        <v>1818</v>
      </c>
      <c r="D1101" s="156"/>
      <c r="E1101" s="156" t="s">
        <v>1410</v>
      </c>
      <c r="F1101" s="156" t="s">
        <v>333</v>
      </c>
      <c r="G1101" s="154">
        <v>500000</v>
      </c>
    </row>
    <row r="1102" spans="1:7" ht="21.6" customHeight="1">
      <c r="A1102" s="154" t="s">
        <v>1304</v>
      </c>
      <c r="B1102" s="154" t="str" cm="1">
        <f t="array" ref="B1102">_xlfn.XLOOKUP(TRUE, ISNUMBER(SEARCH(工作表5!$A$1:$A$23, C1102)), 工作表5!$B$1:$B$23, "其他")</f>
        <v>送稿機</v>
      </c>
      <c r="C1102" s="144" t="s">
        <v>546</v>
      </c>
      <c r="D1102" s="156"/>
      <c r="E1102" s="156" t="s">
        <v>1411</v>
      </c>
      <c r="F1102" s="156" t="s">
        <v>336</v>
      </c>
      <c r="G1102" s="154">
        <v>500000</v>
      </c>
    </row>
    <row r="1103" spans="1:7" ht="21.6" customHeight="1">
      <c r="A1103" s="154" t="s">
        <v>1304</v>
      </c>
      <c r="B1103" s="154" t="str" cm="1">
        <f t="array" ref="B1103">_xlfn.XLOOKUP(TRUE, ISNUMBER(SEARCH(工作表5!$A$1:$A$23, C1103)), 工作表5!$B$1:$B$23, "其他")</f>
        <v>送稿機</v>
      </c>
      <c r="C1103" s="145" t="s">
        <v>547</v>
      </c>
      <c r="D1103" s="156"/>
      <c r="E1103" s="156" t="s">
        <v>1412</v>
      </c>
      <c r="F1103" s="156" t="s">
        <v>340</v>
      </c>
      <c r="G1103" s="154">
        <v>500000</v>
      </c>
    </row>
    <row r="1104" spans="1:7" ht="21.6" customHeight="1">
      <c r="A1104" s="154" t="s">
        <v>1304</v>
      </c>
      <c r="B1104" s="154" t="str" cm="1">
        <f t="array" ref="B1104">_xlfn.XLOOKUP(TRUE, ISNUMBER(SEARCH(工作表5!$A$1:$A$23, C1104)), 工作表5!$B$1:$B$23, "其他")</f>
        <v>手送台</v>
      </c>
      <c r="C1104" s="145" t="s">
        <v>1819</v>
      </c>
      <c r="D1104" s="156"/>
      <c r="E1104" s="156" t="s">
        <v>1489</v>
      </c>
      <c r="F1104" s="156" t="s">
        <v>549</v>
      </c>
      <c r="G1104" s="154">
        <v>120000</v>
      </c>
    </row>
    <row r="1105" spans="1:7" ht="21.6" customHeight="1">
      <c r="A1105" s="154" t="s">
        <v>1304</v>
      </c>
      <c r="B1105" s="154" t="str" cm="1">
        <f t="array" ref="B1105">_xlfn.XLOOKUP(TRUE, ISNUMBER(SEARCH(工作表5!$A$1:$A$23, C1105)), 工作表5!$B$1:$B$23, "其他")</f>
        <v>手送台</v>
      </c>
      <c r="C1105" s="144" t="s">
        <v>553</v>
      </c>
      <c r="D1105" s="156"/>
      <c r="E1105" s="156" t="s">
        <v>1390</v>
      </c>
      <c r="F1105" s="156" t="s">
        <v>269</v>
      </c>
      <c r="G1105" s="154">
        <v>120000</v>
      </c>
    </row>
    <row r="1106" spans="1:7" ht="21.6" customHeight="1">
      <c r="A1106" s="154" t="s">
        <v>1304</v>
      </c>
      <c r="B1106" s="154" t="str" cm="1">
        <f t="array" ref="B1106">_xlfn.XLOOKUP(TRUE, ISNUMBER(SEARCH(工作表5!$A$1:$A$23, C1106)), 工作表5!$B$1:$B$23, "其他")</f>
        <v>手送台</v>
      </c>
      <c r="C1106" s="144" t="s">
        <v>550</v>
      </c>
      <c r="D1106" s="156"/>
      <c r="E1106" s="156" t="s">
        <v>1391</v>
      </c>
      <c r="F1106" s="156" t="s">
        <v>272</v>
      </c>
      <c r="G1106" s="154">
        <v>120000</v>
      </c>
    </row>
    <row r="1107" spans="1:7" ht="21.6" customHeight="1">
      <c r="A1107" s="154" t="s">
        <v>1304</v>
      </c>
      <c r="B1107" s="154" t="str" cm="1">
        <f t="array" ref="B1107">_xlfn.XLOOKUP(TRUE, ISNUMBER(SEARCH(工作表5!$A$1:$A$23, C1107)), 工作表5!$B$1:$B$23, "其他")</f>
        <v>其他</v>
      </c>
      <c r="C1107" s="145" t="s">
        <v>558</v>
      </c>
      <c r="D1107" s="156"/>
      <c r="E1107" s="156" t="s">
        <v>1540</v>
      </c>
      <c r="F1107" s="156" t="s">
        <v>694</v>
      </c>
      <c r="G1107" s="154">
        <v>740000</v>
      </c>
    </row>
    <row r="1108" spans="1:7" ht="21.6" customHeight="1">
      <c r="A1108" s="154" t="s">
        <v>1304</v>
      </c>
      <c r="B1108" s="154" t="str" cm="1">
        <f t="array" ref="B1108">_xlfn.XLOOKUP(TRUE, ISNUMBER(SEARCH(工作表5!$A$1:$A$23, C1108)), 工作表5!$B$1:$B$23, "其他")</f>
        <v>轉寫組</v>
      </c>
      <c r="C1108" s="145" t="s">
        <v>1820</v>
      </c>
      <c r="D1108" s="156"/>
      <c r="E1108" s="156" t="s">
        <v>1493</v>
      </c>
      <c r="F1108" s="156" t="s">
        <v>560</v>
      </c>
      <c r="G1108" s="154">
        <v>740000</v>
      </c>
    </row>
    <row r="1109" spans="1:7" ht="21.6" customHeight="1">
      <c r="A1109" s="154" t="s">
        <v>1304</v>
      </c>
      <c r="B1109" s="154" t="str" cm="1">
        <f t="array" ref="B1109">_xlfn.XLOOKUP(TRUE, ISNUMBER(SEARCH(工作表5!$A$1:$A$23, C1109)), 工作表5!$B$1:$B$23, "其他")</f>
        <v>定著組</v>
      </c>
      <c r="C1109" s="145" t="s">
        <v>244</v>
      </c>
      <c r="D1109" s="156"/>
      <c r="E1109" s="156" t="s">
        <v>1494</v>
      </c>
      <c r="F1109" s="156" t="s">
        <v>562</v>
      </c>
      <c r="G1109" s="154">
        <v>740000</v>
      </c>
    </row>
    <row r="1110" spans="1:7" ht="21.6" customHeight="1">
      <c r="A1110" s="154" t="s">
        <v>1304</v>
      </c>
      <c r="B1110" s="154" t="str" cm="1">
        <f t="array" ref="B1110">_xlfn.XLOOKUP(TRUE, ISNUMBER(SEARCH(工作表5!$A$1:$A$23, C1110)), 工作表5!$B$1:$B$23, "其他")</f>
        <v>其他</v>
      </c>
      <c r="C1110" s="145" t="s">
        <v>1803</v>
      </c>
      <c r="D1110" s="156"/>
      <c r="E1110" s="156" t="s">
        <v>1495</v>
      </c>
      <c r="F1110" s="156" t="s">
        <v>564</v>
      </c>
      <c r="G1110" s="154">
        <v>740000</v>
      </c>
    </row>
    <row r="1111" spans="1:7" ht="21.6" customHeight="1">
      <c r="A1111" s="154" t="s">
        <v>1304</v>
      </c>
      <c r="B1111" s="154" t="str" cm="1">
        <f t="array" ref="B1111">_xlfn.XLOOKUP(TRUE, ISNUMBER(SEARCH(工作表5!$A$1:$A$23, C1111)), 工作表5!$B$1:$B$23, "其他")</f>
        <v>取紙組</v>
      </c>
      <c r="C1111" s="144" t="s">
        <v>567</v>
      </c>
      <c r="D1111" s="156"/>
      <c r="E1111" s="156" t="s">
        <v>1496</v>
      </c>
      <c r="F1111" s="156" t="s">
        <v>566</v>
      </c>
      <c r="G1111" s="154">
        <v>200000</v>
      </c>
    </row>
    <row r="1112" spans="1:7" ht="21.6" customHeight="1">
      <c r="A1112" s="154" t="s">
        <v>1304</v>
      </c>
      <c r="B1112" s="154" t="str" cm="1">
        <f t="array" ref="B1112">_xlfn.XLOOKUP(TRUE, ISNUMBER(SEARCH(工作表5!$A$1:$A$23, C1112)), 工作表5!$B$1:$B$23, "其他")</f>
        <v>取紙組</v>
      </c>
      <c r="C1112" s="144" t="s">
        <v>567</v>
      </c>
      <c r="D1112" s="156"/>
      <c r="E1112" s="156" t="s">
        <v>1535</v>
      </c>
      <c r="F1112" s="156" t="s">
        <v>673</v>
      </c>
      <c r="G1112" s="154">
        <v>400000</v>
      </c>
    </row>
    <row r="1113" spans="1:7" ht="21.6" customHeight="1">
      <c r="A1113" s="154" t="s">
        <v>1304</v>
      </c>
      <c r="B1113" s="154" t="str" cm="1">
        <f t="array" ref="B1113">_xlfn.XLOOKUP(TRUE, ISNUMBER(SEARCH(工作表5!$A$1:$A$23, C1113)), 工作表5!$B$1:$B$23, "其他")</f>
        <v>其他</v>
      </c>
      <c r="C1113" s="144" t="s">
        <v>349</v>
      </c>
      <c r="D1113" s="156"/>
      <c r="E1113" s="156" t="s">
        <v>1415</v>
      </c>
      <c r="F1113" s="156" t="s">
        <v>348</v>
      </c>
      <c r="G1113" s="154">
        <v>500000</v>
      </c>
    </row>
    <row r="1114" spans="1:7" ht="21.6" customHeight="1">
      <c r="A1114" s="154" t="s">
        <v>1304</v>
      </c>
      <c r="B1114" s="154" t="str" cm="1">
        <f t="array" ref="B1114">_xlfn.XLOOKUP(TRUE, ISNUMBER(SEARCH(工作表5!$A$1:$A$23, C1114)), 工作表5!$B$1:$B$23, "其他")</f>
        <v>其他</v>
      </c>
      <c r="C1114" s="144" t="s">
        <v>570</v>
      </c>
      <c r="D1114" s="156"/>
      <c r="E1114" s="156" t="s">
        <v>1497</v>
      </c>
      <c r="F1114" s="156" t="s">
        <v>569</v>
      </c>
      <c r="G1114" s="154">
        <v>500000</v>
      </c>
    </row>
    <row r="1115" spans="1:7" ht="21.6" customHeight="1">
      <c r="A1115" s="154" t="s">
        <v>1304</v>
      </c>
      <c r="B1115" s="154" t="str" cm="1">
        <f t="array" ref="B1115">_xlfn.XLOOKUP(TRUE, ISNUMBER(SEARCH(工作表5!$A$1:$A$23, C1115)), 工作表5!$B$1:$B$23, "其他")</f>
        <v>送稿機</v>
      </c>
      <c r="C1115" s="145" t="s">
        <v>303</v>
      </c>
      <c r="D1115" s="156"/>
      <c r="E1115" s="156" t="s">
        <v>1401</v>
      </c>
      <c r="F1115" s="156" t="s">
        <v>302</v>
      </c>
      <c r="G1115" s="154" t="e">
        <v>#VALUE!</v>
      </c>
    </row>
    <row r="1116" spans="1:7" ht="21.6" customHeight="1">
      <c r="A1116" s="154" t="s">
        <v>1304</v>
      </c>
      <c r="B1116" s="154" t="str" cm="1">
        <f t="array" ref="B1116">_xlfn.XLOOKUP(TRUE, ISNUMBER(SEARCH(工作表5!$A$1:$A$23, C1116)), 工作表5!$B$1:$B$23, "其他")</f>
        <v>滾筒組</v>
      </c>
      <c r="C1116" s="145" t="s">
        <v>132</v>
      </c>
      <c r="D1116" s="156"/>
      <c r="E1116" s="156" t="s">
        <v>1498</v>
      </c>
      <c r="F1116" s="156" t="s">
        <v>572</v>
      </c>
      <c r="G1116" s="154" t="e">
        <v>#VALUE!</v>
      </c>
    </row>
    <row r="1117" spans="1:7" ht="21.6" customHeight="1">
      <c r="A1117" s="154" t="s">
        <v>1304</v>
      </c>
      <c r="B1117" s="154" t="str" cm="1">
        <f t="array" ref="B1117">_xlfn.XLOOKUP(TRUE, ISNUMBER(SEARCH(工作表5!$A$1:$A$23, C1117)), 工作表5!$B$1:$B$23, "其他")</f>
        <v>顯像組</v>
      </c>
      <c r="C1117" s="145" t="s">
        <v>575</v>
      </c>
      <c r="D1117" s="156"/>
      <c r="E1117" s="156" t="s">
        <v>1499</v>
      </c>
      <c r="F1117" s="156" t="s">
        <v>574</v>
      </c>
      <c r="G1117" s="154" t="e">
        <v>#VALUE!</v>
      </c>
    </row>
    <row r="1118" spans="1:7" ht="21.6" customHeight="1">
      <c r="A1118" s="154" t="s">
        <v>1304</v>
      </c>
      <c r="B1118" s="154" t="str" cm="1">
        <f t="array" ref="B1118">_xlfn.XLOOKUP(TRUE, ISNUMBER(SEARCH(工作表5!$A$1:$A$23, C1118)), 工作表5!$B$1:$B$23, "其他")</f>
        <v>顯像組</v>
      </c>
      <c r="C1118" s="144" t="s">
        <v>135</v>
      </c>
      <c r="D1118" s="156"/>
      <c r="E1118" s="156" t="s">
        <v>1541</v>
      </c>
      <c r="F1118" s="156" t="s">
        <v>696</v>
      </c>
      <c r="G1118" s="154" t="e">
        <v>#VALUE!</v>
      </c>
    </row>
    <row r="1119" spans="1:7" ht="21.6" customHeight="1">
      <c r="A1119" s="154" t="s">
        <v>1304</v>
      </c>
      <c r="B1119" s="154" t="str" cm="1">
        <f t="array" ref="B1119">_xlfn.XLOOKUP(TRUE, ISNUMBER(SEARCH(工作表5!$A$1:$A$23, C1119)), 工作表5!$B$1:$B$23, "其他")</f>
        <v>轉寫組</v>
      </c>
      <c r="C1119" s="144" t="s">
        <v>1821</v>
      </c>
      <c r="D1119" s="156"/>
      <c r="E1119" s="156" t="s">
        <v>1501</v>
      </c>
      <c r="F1119" s="156" t="s">
        <v>579</v>
      </c>
      <c r="G1119" s="154" t="e">
        <v>#VALUE!</v>
      </c>
    </row>
    <row r="1120" spans="1:7" ht="21.6" customHeight="1">
      <c r="A1120" s="154" t="s">
        <v>1304</v>
      </c>
      <c r="B1120" s="154" t="str" cm="1">
        <f t="array" ref="B1120">_xlfn.XLOOKUP(TRUE, ISNUMBER(SEARCH(工作表5!$A$1:$A$23, C1120)), 工作表5!$B$1:$B$23, "其他")</f>
        <v>轉寫組</v>
      </c>
      <c r="C1120" s="144" t="s">
        <v>582</v>
      </c>
      <c r="D1120" s="156"/>
      <c r="E1120" s="156" t="s">
        <v>1502</v>
      </c>
      <c r="F1120" s="156" t="s">
        <v>581</v>
      </c>
      <c r="G1120" s="154" t="e">
        <v>#VALUE!</v>
      </c>
    </row>
    <row r="1121" spans="1:7" ht="21.6" customHeight="1">
      <c r="A1121" s="154" t="s">
        <v>1304</v>
      </c>
      <c r="B1121" s="154" t="str" cm="1">
        <f t="array" ref="B1121">_xlfn.XLOOKUP(TRUE, ISNUMBER(SEARCH(工作表5!$A$1:$A$23, C1121)), 工作表5!$B$1:$B$23, "其他")</f>
        <v>定著組</v>
      </c>
      <c r="C1121" s="145" t="s">
        <v>585</v>
      </c>
      <c r="D1121" s="156"/>
      <c r="E1121" s="156" t="s">
        <v>1536</v>
      </c>
      <c r="F1121" s="156" t="s">
        <v>676</v>
      </c>
      <c r="G1121" s="154" t="e">
        <v>#VALUE!</v>
      </c>
    </row>
    <row r="1122" spans="1:7" ht="21.6" customHeight="1">
      <c r="A1122" s="154" t="s">
        <v>1305</v>
      </c>
      <c r="B1122" s="154" t="str" cm="1">
        <f t="array" ref="B1122">_xlfn.XLOOKUP(TRUE, ISNUMBER(SEARCH(工作表5!$A$1:$A$23, C1122)), 工作表5!$B$1:$B$23, "其他")</f>
        <v>滾筒組</v>
      </c>
      <c r="C1122" s="143" t="s">
        <v>193</v>
      </c>
      <c r="D1122" s="156"/>
      <c r="E1122" s="156" t="s">
        <v>1542</v>
      </c>
      <c r="F1122" s="156" t="s">
        <v>698</v>
      </c>
      <c r="G1122" s="154">
        <v>56000</v>
      </c>
    </row>
    <row r="1123" spans="1:7" ht="21.6" customHeight="1">
      <c r="A1123" s="154" t="s">
        <v>1305</v>
      </c>
      <c r="B1123" s="154" t="str" cm="1">
        <f t="array" ref="B1123">_xlfn.XLOOKUP(TRUE, ISNUMBER(SEARCH(工作表5!$A$1:$A$23, C1123)), 工作表5!$B$1:$B$23, "其他")</f>
        <v>顯像組</v>
      </c>
      <c r="C1123" s="145" t="s">
        <v>502</v>
      </c>
      <c r="D1123" s="156"/>
      <c r="E1123" s="156" t="s">
        <v>1543</v>
      </c>
      <c r="F1123" s="156" t="s">
        <v>700</v>
      </c>
      <c r="G1123" s="154">
        <v>56000</v>
      </c>
    </row>
    <row r="1124" spans="1:7" ht="21.6" customHeight="1">
      <c r="A1124" s="154" t="s">
        <v>1305</v>
      </c>
      <c r="B1124" s="154" t="str" cm="1">
        <f t="array" ref="B1124">_xlfn.XLOOKUP(TRUE, ISNUMBER(SEARCH(工作表5!$A$1:$A$23, C1124)), 工作表5!$B$1:$B$23, "其他")</f>
        <v>顯像組</v>
      </c>
      <c r="C1124" s="145" t="s">
        <v>703</v>
      </c>
      <c r="D1124" s="156"/>
      <c r="E1124" s="156" t="s">
        <v>1544</v>
      </c>
      <c r="F1124" s="156" t="s">
        <v>702</v>
      </c>
      <c r="G1124" s="154">
        <v>56000</v>
      </c>
    </row>
    <row r="1125" spans="1:7" ht="21.6" customHeight="1">
      <c r="A1125" s="154" t="s">
        <v>1305</v>
      </c>
      <c r="B1125" s="154" t="str" cm="1">
        <f t="array" ref="B1125">_xlfn.XLOOKUP(TRUE, ISNUMBER(SEARCH(工作表5!$A$1:$A$23, C1125)), 工作表5!$B$1:$B$23, "其他")</f>
        <v>顯像組</v>
      </c>
      <c r="C1125" s="144" t="s">
        <v>706</v>
      </c>
      <c r="D1125" s="156"/>
      <c r="E1125" s="156" t="s">
        <v>1545</v>
      </c>
      <c r="F1125" s="156" t="s">
        <v>705</v>
      </c>
      <c r="G1125" s="154">
        <v>56000</v>
      </c>
    </row>
    <row r="1126" spans="1:7" ht="21.6" customHeight="1">
      <c r="A1126" s="154" t="s">
        <v>1305</v>
      </c>
      <c r="B1126" s="154" t="str" cm="1">
        <f t="array" ref="B1126">_xlfn.XLOOKUP(TRUE, ISNUMBER(SEARCH(工作表5!$A$1:$A$23, C1126)), 工作表5!$B$1:$B$23, "其他")</f>
        <v>顯像組</v>
      </c>
      <c r="C1126" s="145" t="s">
        <v>709</v>
      </c>
      <c r="D1126" s="156"/>
      <c r="E1126" s="156" t="s">
        <v>1546</v>
      </c>
      <c r="F1126" s="156" t="s">
        <v>708</v>
      </c>
      <c r="G1126" s="154">
        <v>56000</v>
      </c>
    </row>
    <row r="1127" spans="1:7" ht="21.6" customHeight="1">
      <c r="A1127" s="154" t="s">
        <v>1305</v>
      </c>
      <c r="B1127" s="154" t="str" cm="1">
        <f t="array" ref="B1127">_xlfn.XLOOKUP(TRUE, ISNUMBER(SEARCH(工作表5!$A$1:$A$23, C1127)), 工作表5!$B$1:$B$23, "其他")</f>
        <v>滾筒組</v>
      </c>
      <c r="C1127" s="145" t="s">
        <v>415</v>
      </c>
      <c r="D1127" s="156"/>
      <c r="E1127" s="156" t="s">
        <v>1547</v>
      </c>
      <c r="F1127" s="156" t="s">
        <v>711</v>
      </c>
      <c r="G1127" s="154">
        <v>56000</v>
      </c>
    </row>
    <row r="1128" spans="1:7" ht="21.6" customHeight="1">
      <c r="A1128" s="154" t="s">
        <v>1305</v>
      </c>
      <c r="B1128" s="154" t="str" cm="1">
        <f t="array" ref="B1128">_xlfn.XLOOKUP(TRUE, ISNUMBER(SEARCH(工作表5!$A$1:$A$23, C1128)), 工作表5!$B$1:$B$23, "其他")</f>
        <v>轉寫組</v>
      </c>
      <c r="C1128" s="145" t="s">
        <v>533</v>
      </c>
      <c r="D1128" s="156"/>
      <c r="E1128" s="156" t="s">
        <v>1511</v>
      </c>
      <c r="F1128" s="156" t="s">
        <v>606</v>
      </c>
      <c r="G1128" s="154">
        <v>112000</v>
      </c>
    </row>
    <row r="1129" spans="1:7" ht="21.6" customHeight="1">
      <c r="A1129" s="154" t="s">
        <v>1305</v>
      </c>
      <c r="B1129" s="154" t="str" cm="1">
        <f t="array" ref="B1129">_xlfn.XLOOKUP(TRUE, ISNUMBER(SEARCH(工作表5!$A$1:$A$23, C1129)), 工作表5!$B$1:$B$23, "其他")</f>
        <v>定著組</v>
      </c>
      <c r="C1129" s="145" t="s">
        <v>1775</v>
      </c>
      <c r="D1129" s="156"/>
      <c r="E1129" s="156" t="s">
        <v>1548</v>
      </c>
      <c r="F1129" s="156" t="s">
        <v>713</v>
      </c>
      <c r="G1129" s="154">
        <v>168000</v>
      </c>
    </row>
    <row r="1130" spans="1:7" ht="21.6" customHeight="1">
      <c r="A1130" s="154" t="s">
        <v>1305</v>
      </c>
      <c r="B1130" s="154" t="str" cm="1">
        <f t="array" ref="B1130">_xlfn.XLOOKUP(TRUE, ISNUMBER(SEARCH(工作表5!$A$1:$A$23, C1130)), 工作表5!$B$1:$B$23, "其他")</f>
        <v>定著組</v>
      </c>
      <c r="C1130" s="145" t="s">
        <v>87</v>
      </c>
      <c r="D1130" s="156"/>
      <c r="E1130" s="156" t="s">
        <v>1549</v>
      </c>
      <c r="F1130" s="156" t="s">
        <v>715</v>
      </c>
      <c r="G1130" s="154">
        <v>168000</v>
      </c>
    </row>
    <row r="1131" spans="1:7" ht="21.6" customHeight="1">
      <c r="A1131" s="154" t="s">
        <v>1305</v>
      </c>
      <c r="B1131" s="154" t="str" cm="1">
        <f t="array" ref="B1131">_xlfn.XLOOKUP(TRUE, ISNUMBER(SEARCH(工作表5!$A$1:$A$23, C1131)), 工作表5!$B$1:$B$23, "其他")</f>
        <v>定著組</v>
      </c>
      <c r="C1131" s="145" t="s">
        <v>718</v>
      </c>
      <c r="D1131" s="156"/>
      <c r="E1131" s="156" t="s">
        <v>1550</v>
      </c>
      <c r="F1131" s="156" t="s">
        <v>717</v>
      </c>
      <c r="G1131" s="154">
        <v>168000</v>
      </c>
    </row>
    <row r="1132" spans="1:7" ht="21.6" customHeight="1">
      <c r="A1132" s="154" t="s">
        <v>1305</v>
      </c>
      <c r="B1132" s="154" t="str" cm="1">
        <f t="array" ref="B1132">_xlfn.XLOOKUP(TRUE, ISNUMBER(SEARCH(工作表5!$A$1:$A$23, C1132)), 工作表5!$B$1:$B$23, "其他")</f>
        <v>其他</v>
      </c>
      <c r="C1132" s="145" t="s">
        <v>101</v>
      </c>
      <c r="D1132" s="156"/>
      <c r="E1132" s="156" t="s">
        <v>1551</v>
      </c>
      <c r="F1132" s="156" t="s">
        <v>720</v>
      </c>
      <c r="G1132" s="154">
        <v>168000</v>
      </c>
    </row>
    <row r="1133" spans="1:7" ht="21.6" customHeight="1">
      <c r="A1133" s="154" t="s">
        <v>1305</v>
      </c>
      <c r="B1133" s="154" t="str" cm="1">
        <f t="array" ref="B1133">_xlfn.XLOOKUP(TRUE, ISNUMBER(SEARCH(工作表5!$A$1:$A$23, C1133)), 工作表5!$B$1:$B$23, "其他")</f>
        <v>轉寫組</v>
      </c>
      <c r="C1133" s="145" t="s">
        <v>723</v>
      </c>
      <c r="D1133" s="156"/>
      <c r="E1133" s="156" t="s">
        <v>1552</v>
      </c>
      <c r="F1133" s="156" t="s">
        <v>722</v>
      </c>
      <c r="G1133" s="154">
        <v>168000</v>
      </c>
    </row>
    <row r="1134" spans="1:7" ht="21.6" customHeight="1">
      <c r="A1134" s="154" t="s">
        <v>1305</v>
      </c>
      <c r="B1134" s="154" t="str" cm="1">
        <f t="array" ref="B1134">_xlfn.XLOOKUP(TRUE, ISNUMBER(SEARCH(工作表5!$A$1:$A$23, C1134)), 工作表5!$B$1:$B$23, "其他")</f>
        <v>轉寫組</v>
      </c>
      <c r="C1134" s="145" t="s">
        <v>726</v>
      </c>
      <c r="D1134" s="156"/>
      <c r="E1134" s="156" t="s">
        <v>1553</v>
      </c>
      <c r="F1134" s="156" t="s">
        <v>725</v>
      </c>
      <c r="G1134" s="154">
        <v>168000</v>
      </c>
    </row>
    <row r="1135" spans="1:7" ht="21.6" customHeight="1">
      <c r="A1135" s="154" t="s">
        <v>1305</v>
      </c>
      <c r="B1135" s="154" t="str" cm="1">
        <f t="array" ref="B1135">_xlfn.XLOOKUP(TRUE, ISNUMBER(SEARCH(工作表5!$A$1:$A$23, C1135)), 工作表5!$B$1:$B$23, "其他")</f>
        <v>轉寫組</v>
      </c>
      <c r="C1135" s="145" t="s">
        <v>1824</v>
      </c>
      <c r="D1135" s="156"/>
      <c r="E1135" s="156" t="s">
        <v>1513</v>
      </c>
      <c r="F1135" s="156" t="s">
        <v>610</v>
      </c>
      <c r="G1135" s="154">
        <v>168000</v>
      </c>
    </row>
    <row r="1136" spans="1:7" ht="21.6" customHeight="1">
      <c r="A1136" s="154" t="s">
        <v>1305</v>
      </c>
      <c r="B1136" s="154" t="str" cm="1">
        <f t="array" ref="B1136">_xlfn.XLOOKUP(TRUE, ISNUMBER(SEARCH(工作表5!$A$1:$A$23, C1136)), 工作表5!$B$1:$B$23, "其他")</f>
        <v>轉寫組</v>
      </c>
      <c r="C1136" s="145" t="s">
        <v>1825</v>
      </c>
      <c r="D1136" s="156"/>
      <c r="E1136" s="156" t="s">
        <v>1514</v>
      </c>
      <c r="F1136" s="156" t="s">
        <v>612</v>
      </c>
      <c r="G1136" s="154">
        <v>168000</v>
      </c>
    </row>
    <row r="1137" spans="1:7" ht="21.6" customHeight="1">
      <c r="A1137" s="154" t="s">
        <v>1305</v>
      </c>
      <c r="B1137" s="154" t="str" cm="1">
        <f t="array" ref="B1137">_xlfn.XLOOKUP(TRUE, ISNUMBER(SEARCH(工作表5!$A$1:$A$23, C1137)), 工作表5!$B$1:$B$23, "其他")</f>
        <v>轉寫組</v>
      </c>
      <c r="C1137" s="145" t="s">
        <v>1826</v>
      </c>
      <c r="D1137" s="156"/>
      <c r="E1137" s="156" t="s">
        <v>1515</v>
      </c>
      <c r="F1137" s="156" t="s">
        <v>614</v>
      </c>
      <c r="G1137" s="154">
        <v>168000</v>
      </c>
    </row>
    <row r="1138" spans="1:7" ht="21.6" customHeight="1">
      <c r="A1138" s="154" t="s">
        <v>1305</v>
      </c>
      <c r="B1138" s="154" t="str" cm="1">
        <f t="array" ref="B1138">_xlfn.XLOOKUP(TRUE, ISNUMBER(SEARCH(工作表5!$A$1:$A$23, C1138)), 工作表5!$B$1:$B$23, "其他")</f>
        <v>轉寫組</v>
      </c>
      <c r="C1138" s="145" t="s">
        <v>1812</v>
      </c>
      <c r="D1138" s="156"/>
      <c r="E1138" s="156" t="s">
        <v>1512</v>
      </c>
      <c r="F1138" s="156" t="s">
        <v>608</v>
      </c>
      <c r="G1138" s="154">
        <v>168000</v>
      </c>
    </row>
    <row r="1139" spans="1:7" ht="21.6" customHeight="1">
      <c r="A1139" s="154" t="s">
        <v>1305</v>
      </c>
      <c r="B1139" s="154" t="str" cm="1">
        <f t="array" ref="B1139">_xlfn.XLOOKUP(TRUE, ISNUMBER(SEARCH(工作表5!$A$1:$A$23, C1139)), 工作表5!$B$1:$B$23, "其他")</f>
        <v>滾筒組</v>
      </c>
      <c r="C1139" s="144" t="s">
        <v>107</v>
      </c>
      <c r="D1139" s="156"/>
      <c r="E1139" s="156" t="s">
        <v>1554</v>
      </c>
      <c r="F1139" s="156" t="s">
        <v>728</v>
      </c>
      <c r="G1139" s="154">
        <v>56000</v>
      </c>
    </row>
    <row r="1140" spans="1:7" ht="21.6" customHeight="1">
      <c r="A1140" s="154" t="s">
        <v>1305</v>
      </c>
      <c r="B1140" s="154" t="str" cm="1">
        <f t="array" ref="B1140">_xlfn.XLOOKUP(TRUE, ISNUMBER(SEARCH(工作表5!$A$1:$A$23, C1140)), 工作表5!$B$1:$B$23, "其他")</f>
        <v>顯像組</v>
      </c>
      <c r="C1140" s="145" t="s">
        <v>104</v>
      </c>
      <c r="D1140" s="156"/>
      <c r="E1140" s="156" t="s">
        <v>1508</v>
      </c>
      <c r="F1140" s="156" t="s">
        <v>599</v>
      </c>
      <c r="G1140" s="154">
        <v>56000</v>
      </c>
    </row>
    <row r="1141" spans="1:7" ht="21.6" customHeight="1">
      <c r="A1141" s="154" t="s">
        <v>1305</v>
      </c>
      <c r="B1141" s="154" t="str" cm="1">
        <f t="array" ref="B1141">_xlfn.XLOOKUP(TRUE, ISNUMBER(SEARCH(工作表5!$A$1:$A$23, C1141)), 工作表5!$B$1:$B$23, "其他")</f>
        <v>顯像組</v>
      </c>
      <c r="C1141" s="144" t="s">
        <v>1822</v>
      </c>
      <c r="D1141" s="156"/>
      <c r="E1141" s="156" t="s">
        <v>1555</v>
      </c>
      <c r="F1141" s="156" t="s">
        <v>730</v>
      </c>
      <c r="G1141" s="154">
        <v>56000</v>
      </c>
    </row>
    <row r="1142" spans="1:7" ht="21.6" customHeight="1">
      <c r="A1142" s="154" t="s">
        <v>1305</v>
      </c>
      <c r="B1142" s="154" t="str" cm="1">
        <f t="array" ref="B1142">_xlfn.XLOOKUP(TRUE, ISNUMBER(SEARCH(工作表5!$A$1:$A$23, C1142)), 工作表5!$B$1:$B$23, "其他")</f>
        <v>定著組</v>
      </c>
      <c r="C1142" s="144" t="s">
        <v>733</v>
      </c>
      <c r="D1142" s="156"/>
      <c r="E1142" s="156" t="s">
        <v>1556</v>
      </c>
      <c r="F1142" s="156" t="s">
        <v>732</v>
      </c>
      <c r="G1142" s="154">
        <v>56000</v>
      </c>
    </row>
    <row r="1143" spans="1:7" ht="21.6" customHeight="1">
      <c r="A1143" s="154" t="s">
        <v>1305</v>
      </c>
      <c r="B1143" s="154" t="str" cm="1">
        <f t="array" ref="B1143">_xlfn.XLOOKUP(TRUE, ISNUMBER(SEARCH(工作表5!$A$1:$A$23, C1143)), 工作表5!$B$1:$B$23, "其他")</f>
        <v>定著組</v>
      </c>
      <c r="C1143" s="144" t="s">
        <v>736</v>
      </c>
      <c r="D1143" s="156"/>
      <c r="E1143" s="156" t="s">
        <v>1557</v>
      </c>
      <c r="F1143" s="156" t="s">
        <v>735</v>
      </c>
      <c r="G1143" s="154">
        <v>56000</v>
      </c>
    </row>
    <row r="1144" spans="1:7" ht="21.6" customHeight="1">
      <c r="A1144" s="154" t="s">
        <v>1305</v>
      </c>
      <c r="B1144" s="154" t="str" cm="1">
        <f t="array" ref="B1144">_xlfn.XLOOKUP(TRUE, ISNUMBER(SEARCH(工作表5!$A$1:$A$23, C1144)), 工作表5!$B$1:$B$23, "其他")</f>
        <v>取紙組</v>
      </c>
      <c r="C1144" s="144" t="s">
        <v>399</v>
      </c>
      <c r="D1144" s="156"/>
      <c r="E1144" s="156" t="s">
        <v>1558</v>
      </c>
      <c r="F1144" s="156" t="s">
        <v>738</v>
      </c>
      <c r="G1144" s="154">
        <v>80000</v>
      </c>
    </row>
    <row r="1145" spans="1:7" ht="21.6" customHeight="1">
      <c r="A1145" s="154" t="s">
        <v>1305</v>
      </c>
      <c r="B1145" s="154" t="str" cm="1">
        <f t="array" ref="B1145">_xlfn.XLOOKUP(TRUE, ISNUMBER(SEARCH(工作表5!$A$1:$A$23, C1145)), 工作表5!$B$1:$B$23, "其他")</f>
        <v>取紙組</v>
      </c>
      <c r="C1145" s="144" t="s">
        <v>741</v>
      </c>
      <c r="D1145" s="156"/>
      <c r="E1145" s="156" t="s">
        <v>1559</v>
      </c>
      <c r="F1145" s="156" t="s">
        <v>740</v>
      </c>
      <c r="G1145" s="154">
        <v>80000</v>
      </c>
    </row>
    <row r="1146" spans="1:7" ht="21.6" customHeight="1">
      <c r="A1146" s="154" t="s">
        <v>1305</v>
      </c>
      <c r="B1146" s="154" t="str" cm="1">
        <f t="array" ref="B1146">_xlfn.XLOOKUP(TRUE, ISNUMBER(SEARCH(工作表5!$A$1:$A$23, C1146)), 工作表5!$B$1:$B$23, "其他")</f>
        <v>手送台</v>
      </c>
      <c r="C1146" s="144" t="s">
        <v>631</v>
      </c>
      <c r="D1146" s="156"/>
      <c r="E1146" s="156" t="s">
        <v>1392</v>
      </c>
      <c r="F1146" s="156" t="s">
        <v>274</v>
      </c>
      <c r="G1146" s="154">
        <v>80000</v>
      </c>
    </row>
    <row r="1147" spans="1:7" ht="21.6" customHeight="1">
      <c r="A1147" s="154" t="s">
        <v>1305</v>
      </c>
      <c r="B1147" s="154" t="str" cm="1">
        <f t="array" ref="B1147">_xlfn.XLOOKUP(TRUE, ISNUMBER(SEARCH(工作表5!$A$1:$A$23, C1147)), 工作表5!$B$1:$B$23, "其他")</f>
        <v>手送台</v>
      </c>
      <c r="C1147" s="144" t="s">
        <v>119</v>
      </c>
      <c r="D1147" s="156"/>
      <c r="E1147" s="156" t="s">
        <v>1560</v>
      </c>
      <c r="F1147" s="156" t="s">
        <v>743</v>
      </c>
      <c r="G1147" s="154">
        <v>80000</v>
      </c>
    </row>
    <row r="1148" spans="1:7" ht="21.6" customHeight="1">
      <c r="A1148" s="154" t="s">
        <v>1305</v>
      </c>
      <c r="B1148" s="154" t="str" cm="1">
        <f t="array" ref="B1148">_xlfn.XLOOKUP(TRUE, ISNUMBER(SEARCH(工作表5!$A$1:$A$23, C1148)), 工作表5!$B$1:$B$23, "其他")</f>
        <v>取紙組</v>
      </c>
      <c r="C1148" s="144" t="s">
        <v>1836</v>
      </c>
      <c r="D1148" s="156"/>
      <c r="E1148" s="156" t="s">
        <v>1389</v>
      </c>
      <c r="F1148" s="156" t="s">
        <v>265</v>
      </c>
      <c r="G1148" s="154">
        <v>80000</v>
      </c>
    </row>
    <row r="1149" spans="1:7" ht="21.6" customHeight="1">
      <c r="A1149" s="154" t="s">
        <v>1305</v>
      </c>
      <c r="B1149" s="154" t="str" cm="1">
        <f t="array" ref="B1149">_xlfn.XLOOKUP(TRUE, ISNUMBER(SEARCH(工作表5!$A$1:$A$23, C1149)), 工作表5!$B$1:$B$23, "其他")</f>
        <v>取紙組</v>
      </c>
      <c r="C1149" s="144" t="s">
        <v>745</v>
      </c>
      <c r="D1149" s="156"/>
      <c r="E1149" s="156" t="s">
        <v>1389</v>
      </c>
      <c r="F1149" s="156" t="s">
        <v>265</v>
      </c>
      <c r="G1149" s="154">
        <v>80000</v>
      </c>
    </row>
    <row r="1150" spans="1:7" ht="21.6" customHeight="1">
      <c r="A1150" s="154" t="s">
        <v>1305</v>
      </c>
      <c r="B1150" s="154" t="str" cm="1">
        <f t="array" ref="B1150">_xlfn.XLOOKUP(TRUE, ISNUMBER(SEARCH(工作表5!$A$1:$A$23, C1150)), 工作表5!$B$1:$B$23, "其他")</f>
        <v>取紙組</v>
      </c>
      <c r="C1150" s="144" t="s">
        <v>1837</v>
      </c>
      <c r="D1150" s="156"/>
      <c r="E1150" s="156" t="s">
        <v>1561</v>
      </c>
      <c r="F1150" s="156" t="s">
        <v>747</v>
      </c>
      <c r="G1150" s="154">
        <v>80000</v>
      </c>
    </row>
    <row r="1151" spans="1:7" ht="21.6" customHeight="1">
      <c r="A1151" s="154" t="s">
        <v>1305</v>
      </c>
      <c r="B1151" s="154" t="str" cm="1">
        <f t="array" ref="B1151">_xlfn.XLOOKUP(TRUE, ISNUMBER(SEARCH(工作表5!$A$1:$A$23, C1151)), 工作表5!$B$1:$B$23, "其他")</f>
        <v>送稿機</v>
      </c>
      <c r="C1151" s="145" t="s">
        <v>1838</v>
      </c>
      <c r="D1151" s="156"/>
      <c r="E1151" s="156" t="s">
        <v>1375</v>
      </c>
      <c r="F1151" s="156" t="s">
        <v>226</v>
      </c>
      <c r="G1151" s="154">
        <v>120000</v>
      </c>
    </row>
    <row r="1152" spans="1:7" ht="21.6" customHeight="1">
      <c r="A1152" s="154" t="s">
        <v>1305</v>
      </c>
      <c r="B1152" s="154" t="str" cm="1">
        <f t="array" ref="B1152">_xlfn.XLOOKUP(TRUE, ISNUMBER(SEARCH(工作表5!$A$1:$A$23, C1152)), 工作表5!$B$1:$B$23, "其他")</f>
        <v>送稿機</v>
      </c>
      <c r="C1152" s="145" t="s">
        <v>1839</v>
      </c>
      <c r="D1152" s="156"/>
      <c r="E1152" s="156" t="s">
        <v>1376</v>
      </c>
      <c r="F1152" s="156" t="s">
        <v>230</v>
      </c>
      <c r="G1152" s="154">
        <v>120000</v>
      </c>
    </row>
    <row r="1153" spans="1:7" ht="21.6" customHeight="1">
      <c r="A1153" s="154" t="s">
        <v>1305</v>
      </c>
      <c r="B1153" s="154" t="str" cm="1">
        <f t="array" ref="B1153">_xlfn.XLOOKUP(TRUE, ISNUMBER(SEARCH(工作表5!$A$1:$A$23, C1153)), 工作表5!$B$1:$B$23, "其他")</f>
        <v>取紙組</v>
      </c>
      <c r="C1153" s="144" t="s">
        <v>1840</v>
      </c>
      <c r="D1153" s="156"/>
      <c r="E1153" s="156" t="s">
        <v>1377</v>
      </c>
      <c r="F1153" s="156" t="s">
        <v>232</v>
      </c>
      <c r="G1153" s="154">
        <v>160000</v>
      </c>
    </row>
    <row r="1154" spans="1:7" ht="21.6" customHeight="1">
      <c r="A1154" s="154" t="s">
        <v>1305</v>
      </c>
      <c r="B1154" s="154" t="str" cm="1">
        <f t="array" ref="B1154">_xlfn.XLOOKUP(TRUE, ISNUMBER(SEARCH(工作表5!$A$1:$A$23, C1154)), 工作表5!$B$1:$B$23, "其他")</f>
        <v>大容量取紙組</v>
      </c>
      <c r="C1154" s="144" t="s">
        <v>237</v>
      </c>
      <c r="D1154" s="156"/>
      <c r="E1154" s="156" t="s">
        <v>1378</v>
      </c>
      <c r="F1154" s="156" t="s">
        <v>236</v>
      </c>
      <c r="G1154" s="154">
        <v>160000</v>
      </c>
    </row>
    <row r="1155" spans="1:7" ht="21.6" customHeight="1">
      <c r="A1155" s="154" t="s">
        <v>1305</v>
      </c>
      <c r="B1155" s="154" t="str" cm="1">
        <f t="array" ref="B1155">_xlfn.XLOOKUP(TRUE, ISNUMBER(SEARCH(工作表5!$A$1:$A$23, C1155)), 工作表5!$B$1:$B$23, "其他")</f>
        <v>取紙組</v>
      </c>
      <c r="C1155" s="144" t="s">
        <v>749</v>
      </c>
      <c r="D1155" s="156"/>
      <c r="E1155" s="156" t="s">
        <v>1379</v>
      </c>
      <c r="F1155" s="156" t="s">
        <v>239</v>
      </c>
      <c r="G1155" s="154">
        <v>160000</v>
      </c>
    </row>
    <row r="1156" spans="1:7" ht="21.6" customHeight="1">
      <c r="A1156" s="154" t="s">
        <v>1305</v>
      </c>
      <c r="B1156" s="154" t="str" cm="1">
        <f t="array" ref="B1156">_xlfn.XLOOKUP(TRUE, ISNUMBER(SEARCH(工作表5!$A$1:$A$23, C1156)), 工作表5!$B$1:$B$23, "其他")</f>
        <v>顯像組</v>
      </c>
      <c r="C1156" s="144" t="s">
        <v>637</v>
      </c>
      <c r="D1156" s="156"/>
      <c r="E1156" s="156" t="s">
        <v>1562</v>
      </c>
      <c r="F1156" s="156" t="s">
        <v>752</v>
      </c>
      <c r="G1156" s="154">
        <v>56000</v>
      </c>
    </row>
    <row r="1157" spans="1:7" ht="21.6" customHeight="1">
      <c r="A1157" s="154" t="s">
        <v>1305</v>
      </c>
      <c r="B1157" s="154" t="str" cm="1">
        <f t="array" ref="B1157">_xlfn.XLOOKUP(TRUE, ISNUMBER(SEARCH(工作表5!$A$1:$A$23, C1157)), 工作表5!$B$1:$B$23, "其他")</f>
        <v>顯像組</v>
      </c>
      <c r="C1157" s="144" t="s">
        <v>755</v>
      </c>
      <c r="D1157" s="156"/>
      <c r="E1157" s="156" t="s">
        <v>1563</v>
      </c>
      <c r="F1157" s="156" t="s">
        <v>754</v>
      </c>
      <c r="G1157" s="154">
        <v>56000</v>
      </c>
    </row>
    <row r="1158" spans="1:7" ht="21.6" customHeight="1">
      <c r="A1158" s="154" t="s">
        <v>1305</v>
      </c>
      <c r="B1158" s="154" t="str" cm="1">
        <f t="array" ref="B1158">_xlfn.XLOOKUP(TRUE, ISNUMBER(SEARCH(工作表5!$A$1:$A$23, C1158)), 工作表5!$B$1:$B$23, "其他")</f>
        <v>取紙組</v>
      </c>
      <c r="C1158" s="144" t="s">
        <v>758</v>
      </c>
      <c r="D1158" s="156"/>
      <c r="E1158" s="156" t="s">
        <v>1564</v>
      </c>
      <c r="F1158" s="156" t="s">
        <v>757</v>
      </c>
      <c r="G1158" s="154">
        <v>80000</v>
      </c>
    </row>
    <row r="1159" spans="1:7" ht="21.6" customHeight="1">
      <c r="A1159" s="154" t="s">
        <v>1305</v>
      </c>
      <c r="B1159" s="154" t="str" cm="1">
        <f t="array" ref="B1159">_xlfn.XLOOKUP(TRUE, ISNUMBER(SEARCH(工作表5!$A$1:$A$23, C1159)), 工作表5!$B$1:$B$23, "其他")</f>
        <v>送稿機</v>
      </c>
      <c r="C1159" s="144" t="s">
        <v>759</v>
      </c>
      <c r="D1159" s="156"/>
      <c r="E1159" s="156" t="s">
        <v>1383</v>
      </c>
      <c r="F1159" s="156" t="s">
        <v>249</v>
      </c>
      <c r="G1159" s="154">
        <v>120000</v>
      </c>
    </row>
    <row r="1160" spans="1:7" ht="21.6" customHeight="1">
      <c r="A1160" s="154" t="s">
        <v>1305</v>
      </c>
      <c r="B1160" s="154" t="str" cm="1">
        <f t="array" ref="B1160">_xlfn.XLOOKUP(TRUE, ISNUMBER(SEARCH(工作表5!$A$1:$A$23, C1160)), 工作表5!$B$1:$B$23, "其他")</f>
        <v>其他</v>
      </c>
      <c r="C1160" s="144" t="s">
        <v>760</v>
      </c>
      <c r="D1160" s="156"/>
      <c r="E1160" s="156" t="s">
        <v>1384</v>
      </c>
      <c r="F1160" s="156" t="s">
        <v>252</v>
      </c>
      <c r="G1160" s="154">
        <v>160000</v>
      </c>
    </row>
    <row r="1161" spans="1:7" ht="21.6" customHeight="1">
      <c r="A1161" s="154" t="s">
        <v>1305</v>
      </c>
      <c r="B1161" s="154" t="str" cm="1">
        <f t="array" ref="B1161">_xlfn.XLOOKUP(TRUE, ISNUMBER(SEARCH(工作表5!$A$1:$A$23, C1161)), 工作表5!$B$1:$B$23, "其他")</f>
        <v>定著組</v>
      </c>
      <c r="C1161" s="144" t="s">
        <v>642</v>
      </c>
      <c r="D1161" s="156"/>
      <c r="E1161" s="156" t="s">
        <v>1565</v>
      </c>
      <c r="F1161" s="156" t="s">
        <v>762</v>
      </c>
      <c r="G1161" s="154">
        <v>168000</v>
      </c>
    </row>
    <row r="1162" spans="1:7" ht="21.6" customHeight="1">
      <c r="A1162" s="154" t="s">
        <v>1305</v>
      </c>
      <c r="B1162" s="154" t="str" cm="1">
        <f t="array" ref="B1162">_xlfn.XLOOKUP(TRUE, ISNUMBER(SEARCH(工作表5!$A$1:$A$23, C1162)), 工作表5!$B$1:$B$23, "其他")</f>
        <v>轉寫組</v>
      </c>
      <c r="C1162" s="144" t="s">
        <v>645</v>
      </c>
      <c r="D1162" s="156"/>
      <c r="E1162" s="156" t="s">
        <v>1566</v>
      </c>
      <c r="F1162" s="156" t="s">
        <v>764</v>
      </c>
      <c r="G1162" s="154">
        <v>168000</v>
      </c>
    </row>
    <row r="1163" spans="1:7" ht="21.6" customHeight="1">
      <c r="A1163" s="154" t="s">
        <v>1305</v>
      </c>
      <c r="B1163" s="154" t="str" cm="1">
        <f t="array" ref="B1163">_xlfn.XLOOKUP(TRUE, ISNUMBER(SEARCH(工作表5!$A$1:$A$23, C1163)), 工作表5!$B$1:$B$23, "其他")</f>
        <v>定著組</v>
      </c>
      <c r="C1163" s="145" t="s">
        <v>767</v>
      </c>
      <c r="D1163" s="156"/>
      <c r="E1163" s="156" t="s">
        <v>1567</v>
      </c>
      <c r="F1163" s="156" t="s">
        <v>766</v>
      </c>
      <c r="G1163" s="154" t="e">
        <v>#VALUE!</v>
      </c>
    </row>
    <row r="1164" spans="1:7" ht="21.6" customHeight="1">
      <c r="A1164" s="154" t="s">
        <v>1305</v>
      </c>
      <c r="B1164" s="154" t="str" cm="1">
        <f t="array" ref="B1164">_xlfn.XLOOKUP(TRUE, ISNUMBER(SEARCH(工作表5!$A$1:$A$23, C1164)), 工作表5!$B$1:$B$23, "其他")</f>
        <v>顯像組</v>
      </c>
      <c r="C1164" s="145" t="s">
        <v>129</v>
      </c>
      <c r="D1164" s="156"/>
      <c r="E1164" s="156" t="s">
        <v>1568</v>
      </c>
      <c r="F1164" s="156" t="s">
        <v>769</v>
      </c>
      <c r="G1164" s="154" t="e">
        <v>#VALUE!</v>
      </c>
    </row>
    <row r="1165" spans="1:7" ht="21.6" customHeight="1">
      <c r="A1165" s="154" t="s">
        <v>1305</v>
      </c>
      <c r="B1165" s="154" t="str" cm="1">
        <f t="array" ref="B1165">_xlfn.XLOOKUP(TRUE, ISNUMBER(SEARCH(工作表5!$A$1:$A$23, C1165)), 工作表5!$B$1:$B$23, "其他")</f>
        <v>顯像組</v>
      </c>
      <c r="C1165" s="145" t="s">
        <v>772</v>
      </c>
      <c r="D1165" s="156"/>
      <c r="E1165" s="156" t="s">
        <v>1569</v>
      </c>
      <c r="F1165" s="156" t="s">
        <v>771</v>
      </c>
      <c r="G1165" s="154" t="e">
        <v>#VALUE!</v>
      </c>
    </row>
    <row r="1166" spans="1:7" ht="21.6" customHeight="1">
      <c r="A1166" s="154" t="s">
        <v>1305</v>
      </c>
      <c r="B1166" s="154" t="str" cm="1">
        <f t="array" ref="B1166">_xlfn.XLOOKUP(TRUE, ISNUMBER(SEARCH(工作表5!$A$1:$A$23, C1166)), 工作表5!$B$1:$B$23, "其他")</f>
        <v>顯像組</v>
      </c>
      <c r="C1166" s="145" t="s">
        <v>775</v>
      </c>
      <c r="D1166" s="156"/>
      <c r="E1166" s="156" t="s">
        <v>1570</v>
      </c>
      <c r="F1166" s="156" t="s">
        <v>774</v>
      </c>
      <c r="G1166" s="154" t="e">
        <v>#VALUE!</v>
      </c>
    </row>
    <row r="1167" spans="1:7" ht="21.6" customHeight="1">
      <c r="A1167" s="154" t="s">
        <v>1305</v>
      </c>
      <c r="B1167" s="154" t="str" cm="1">
        <f t="array" ref="B1167">_xlfn.XLOOKUP(TRUE, ISNUMBER(SEARCH(工作表5!$A$1:$A$23, C1167)), 工作表5!$B$1:$B$23, "其他")</f>
        <v>顯像組</v>
      </c>
      <c r="C1167" s="145" t="s">
        <v>778</v>
      </c>
      <c r="D1167" s="156"/>
      <c r="E1167" s="156" t="s">
        <v>1571</v>
      </c>
      <c r="F1167" s="156" t="s">
        <v>777</v>
      </c>
      <c r="G1167" s="154" t="e">
        <v>#VALUE!</v>
      </c>
    </row>
    <row r="1168" spans="1:7" ht="21.6" customHeight="1">
      <c r="A1168" s="154" t="s">
        <v>1305</v>
      </c>
      <c r="B1168" s="154" t="str" cm="1">
        <f t="array" ref="B1168">_xlfn.XLOOKUP(TRUE, ISNUMBER(SEARCH(工作表5!$A$1:$A$23, C1168)), 工作表5!$B$1:$B$23, "其他")</f>
        <v>滾筒組</v>
      </c>
      <c r="C1168" s="145" t="s">
        <v>781</v>
      </c>
      <c r="D1168" s="156"/>
      <c r="E1168" s="156" t="s">
        <v>1572</v>
      </c>
      <c r="F1168" s="156" t="s">
        <v>780</v>
      </c>
      <c r="G1168" s="154" t="e">
        <v>#VALUE!</v>
      </c>
    </row>
    <row r="1169" spans="1:7" ht="21.6" customHeight="1">
      <c r="A1169" s="154" t="s">
        <v>1305</v>
      </c>
      <c r="B1169" s="154" t="str" cm="1">
        <f t="array" ref="B1169">_xlfn.XLOOKUP(TRUE, ISNUMBER(SEARCH(工作表5!$A$1:$A$23, C1169)), 工作表5!$B$1:$B$23, "其他")</f>
        <v>滾筒組</v>
      </c>
      <c r="C1169" s="145" t="s">
        <v>784</v>
      </c>
      <c r="D1169" s="156"/>
      <c r="E1169" s="156" t="s">
        <v>1573</v>
      </c>
      <c r="F1169" s="156" t="s">
        <v>783</v>
      </c>
      <c r="G1169" s="154" t="e">
        <v>#VALUE!</v>
      </c>
    </row>
    <row r="1170" spans="1:7" ht="21.6" customHeight="1">
      <c r="A1170" s="154" t="s">
        <v>1305</v>
      </c>
      <c r="B1170" s="154" t="str" cm="1">
        <f t="array" ref="B1170">_xlfn.XLOOKUP(TRUE, ISNUMBER(SEARCH(工作表5!$A$1:$A$23, C1170)), 工作表5!$B$1:$B$23, "其他")</f>
        <v>滾筒組</v>
      </c>
      <c r="C1170" s="145" t="s">
        <v>787</v>
      </c>
      <c r="D1170" s="156"/>
      <c r="E1170" s="156" t="s">
        <v>1574</v>
      </c>
      <c r="F1170" s="156" t="s">
        <v>786</v>
      </c>
      <c r="G1170" s="154" t="e">
        <v>#VALUE!</v>
      </c>
    </row>
    <row r="1171" spans="1:7" ht="21.6" customHeight="1">
      <c r="A1171" s="154" t="s">
        <v>1305</v>
      </c>
      <c r="B1171" s="154" t="str" cm="1">
        <f t="array" ref="B1171">_xlfn.XLOOKUP(TRUE, ISNUMBER(SEARCH(工作表5!$A$1:$A$23, C1171)), 工作表5!$B$1:$B$23, "其他")</f>
        <v>滾筒組</v>
      </c>
      <c r="C1171" s="145" t="s">
        <v>790</v>
      </c>
      <c r="D1171" s="156"/>
      <c r="E1171" s="156" t="s">
        <v>1575</v>
      </c>
      <c r="F1171" s="156" t="s">
        <v>789</v>
      </c>
      <c r="G1171" s="154" t="e">
        <v>#VALUE!</v>
      </c>
    </row>
    <row r="1172" spans="1:7" ht="21.6" customHeight="1">
      <c r="A1172" s="154" t="s">
        <v>1305</v>
      </c>
      <c r="B1172" s="154" t="str" cm="1">
        <f t="array" ref="B1172">_xlfn.XLOOKUP(TRUE, ISNUMBER(SEARCH(工作表5!$A$1:$A$23, C1172)), 工作表5!$B$1:$B$23, "其他")</f>
        <v>轉寫組</v>
      </c>
      <c r="C1172" s="147" t="s">
        <v>1821</v>
      </c>
      <c r="D1172" s="156"/>
      <c r="E1172" s="156" t="s">
        <v>1576</v>
      </c>
      <c r="F1172" s="156" t="s">
        <v>792</v>
      </c>
      <c r="G1172" s="154" t="e">
        <v>#VALUE!</v>
      </c>
    </row>
    <row r="1173" spans="1:7" ht="21.6" customHeight="1">
      <c r="A1173" s="154" t="s">
        <v>37</v>
      </c>
      <c r="B1173" s="154" t="str" cm="1">
        <f t="array" ref="B1173">_xlfn.XLOOKUP(TRUE, ISNUMBER(SEARCH(工作表5!$A$1:$A$23, C1173)), 工作表5!$B$1:$B$23, "其他")</f>
        <v>滾筒組</v>
      </c>
      <c r="C1173" s="143" t="s">
        <v>193</v>
      </c>
      <c r="D1173" s="156"/>
      <c r="E1173" s="156" t="s">
        <v>1542</v>
      </c>
      <c r="F1173" s="156" t="s">
        <v>698</v>
      </c>
      <c r="G1173" s="154">
        <v>67200</v>
      </c>
    </row>
    <row r="1174" spans="1:7" ht="21.6" customHeight="1">
      <c r="A1174" s="154" t="s">
        <v>37</v>
      </c>
      <c r="B1174" s="154" t="str" cm="1">
        <f t="array" ref="B1174">_xlfn.XLOOKUP(TRUE, ISNUMBER(SEARCH(工作表5!$A$1:$A$23, C1174)), 工作表5!$B$1:$B$23, "其他")</f>
        <v>顯像組</v>
      </c>
      <c r="C1174" s="145" t="s">
        <v>502</v>
      </c>
      <c r="D1174" s="156"/>
      <c r="E1174" s="156" t="s">
        <v>1543</v>
      </c>
      <c r="F1174" s="156" t="s">
        <v>700</v>
      </c>
      <c r="G1174" s="154">
        <v>67200</v>
      </c>
    </row>
    <row r="1175" spans="1:7" ht="21.6" customHeight="1">
      <c r="A1175" s="154" t="s">
        <v>37</v>
      </c>
      <c r="B1175" s="154" t="str" cm="1">
        <f t="array" ref="B1175">_xlfn.XLOOKUP(TRUE, ISNUMBER(SEARCH(工作表5!$A$1:$A$23, C1175)), 工作表5!$B$1:$B$23, "其他")</f>
        <v>顯像組</v>
      </c>
      <c r="C1175" s="145" t="s">
        <v>703</v>
      </c>
      <c r="D1175" s="156"/>
      <c r="E1175" s="156" t="s">
        <v>1544</v>
      </c>
      <c r="F1175" s="156" t="s">
        <v>702</v>
      </c>
      <c r="G1175" s="154">
        <v>67200</v>
      </c>
    </row>
    <row r="1176" spans="1:7" ht="21.6" customHeight="1">
      <c r="A1176" s="154" t="s">
        <v>37</v>
      </c>
      <c r="B1176" s="154" t="str" cm="1">
        <f t="array" ref="B1176">_xlfn.XLOOKUP(TRUE, ISNUMBER(SEARCH(工作表5!$A$1:$A$23, C1176)), 工作表5!$B$1:$B$23, "其他")</f>
        <v>顯像組</v>
      </c>
      <c r="C1176" s="144" t="s">
        <v>706</v>
      </c>
      <c r="D1176" s="156"/>
      <c r="E1176" s="156" t="s">
        <v>1545</v>
      </c>
      <c r="F1176" s="156" t="s">
        <v>705</v>
      </c>
      <c r="G1176" s="154">
        <v>67200</v>
      </c>
    </row>
    <row r="1177" spans="1:7" ht="21.6" customHeight="1">
      <c r="A1177" s="154" t="s">
        <v>37</v>
      </c>
      <c r="B1177" s="154" t="str" cm="1">
        <f t="array" ref="B1177">_xlfn.XLOOKUP(TRUE, ISNUMBER(SEARCH(工作表5!$A$1:$A$23, C1177)), 工作表5!$B$1:$B$23, "其他")</f>
        <v>顯像組</v>
      </c>
      <c r="C1177" s="145" t="s">
        <v>709</v>
      </c>
      <c r="D1177" s="156"/>
      <c r="E1177" s="156" t="s">
        <v>1546</v>
      </c>
      <c r="F1177" s="156" t="s">
        <v>708</v>
      </c>
      <c r="G1177" s="154">
        <v>67200</v>
      </c>
    </row>
    <row r="1178" spans="1:7" ht="21.6" customHeight="1">
      <c r="A1178" s="154" t="s">
        <v>37</v>
      </c>
      <c r="B1178" s="154" t="str" cm="1">
        <f t="array" ref="B1178">_xlfn.XLOOKUP(TRUE, ISNUMBER(SEARCH(工作表5!$A$1:$A$23, C1178)), 工作表5!$B$1:$B$23, "其他")</f>
        <v>滾筒組</v>
      </c>
      <c r="C1178" s="145" t="s">
        <v>415</v>
      </c>
      <c r="D1178" s="156"/>
      <c r="E1178" s="156" t="s">
        <v>1547</v>
      </c>
      <c r="F1178" s="156" t="s">
        <v>711</v>
      </c>
      <c r="G1178" s="154">
        <v>67200</v>
      </c>
    </row>
    <row r="1179" spans="1:7" ht="21.6" customHeight="1">
      <c r="A1179" s="154" t="s">
        <v>37</v>
      </c>
      <c r="B1179" s="154" t="str" cm="1">
        <f t="array" ref="B1179">_xlfn.XLOOKUP(TRUE, ISNUMBER(SEARCH(工作表5!$A$1:$A$23, C1179)), 工作表5!$B$1:$B$23, "其他")</f>
        <v>轉寫組</v>
      </c>
      <c r="C1179" s="145" t="s">
        <v>533</v>
      </c>
      <c r="D1179" s="156"/>
      <c r="E1179" s="156" t="s">
        <v>1511</v>
      </c>
      <c r="F1179" s="156" t="s">
        <v>606</v>
      </c>
      <c r="G1179" s="154">
        <v>168000</v>
      </c>
    </row>
    <row r="1180" spans="1:7" ht="21.6" customHeight="1">
      <c r="A1180" s="154" t="s">
        <v>37</v>
      </c>
      <c r="B1180" s="154" t="str" cm="1">
        <f t="array" ref="B1180">_xlfn.XLOOKUP(TRUE, ISNUMBER(SEARCH(工作表5!$A$1:$A$23, C1180)), 工作表5!$B$1:$B$23, "其他")</f>
        <v>定著組</v>
      </c>
      <c r="C1180" s="145" t="s">
        <v>1775</v>
      </c>
      <c r="D1180" s="156"/>
      <c r="E1180" s="156" t="s">
        <v>1548</v>
      </c>
      <c r="F1180" s="156" t="s">
        <v>713</v>
      </c>
      <c r="G1180" s="154">
        <v>168000</v>
      </c>
    </row>
    <row r="1181" spans="1:7" ht="21.6" customHeight="1">
      <c r="A1181" s="154" t="s">
        <v>37</v>
      </c>
      <c r="B1181" s="154" t="str" cm="1">
        <f t="array" ref="B1181">_xlfn.XLOOKUP(TRUE, ISNUMBER(SEARCH(工作表5!$A$1:$A$23, C1181)), 工作表5!$B$1:$B$23, "其他")</f>
        <v>定著組</v>
      </c>
      <c r="C1181" s="145" t="s">
        <v>87</v>
      </c>
      <c r="D1181" s="156"/>
      <c r="E1181" s="156" t="s">
        <v>1549</v>
      </c>
      <c r="F1181" s="156" t="s">
        <v>715</v>
      </c>
      <c r="G1181" s="154">
        <v>168000</v>
      </c>
    </row>
    <row r="1182" spans="1:7" ht="21.6" customHeight="1">
      <c r="A1182" s="154" t="s">
        <v>37</v>
      </c>
      <c r="B1182" s="154" t="str" cm="1">
        <f t="array" ref="B1182">_xlfn.XLOOKUP(TRUE, ISNUMBER(SEARCH(工作表5!$A$1:$A$23, C1182)), 工作表5!$B$1:$B$23, "其他")</f>
        <v>定著組</v>
      </c>
      <c r="C1182" s="145" t="s">
        <v>718</v>
      </c>
      <c r="D1182" s="156"/>
      <c r="E1182" s="156" t="s">
        <v>1577</v>
      </c>
      <c r="F1182" s="156" t="s">
        <v>794</v>
      </c>
      <c r="G1182" s="154">
        <v>168000</v>
      </c>
    </row>
    <row r="1183" spans="1:7" ht="21.6" customHeight="1">
      <c r="A1183" s="154" t="s">
        <v>37</v>
      </c>
      <c r="B1183" s="154" t="str" cm="1">
        <f t="array" ref="B1183">_xlfn.XLOOKUP(TRUE, ISNUMBER(SEARCH(工作表5!$A$1:$A$23, C1183)), 工作表5!$B$1:$B$23, "其他")</f>
        <v>其他</v>
      </c>
      <c r="C1183" s="145" t="s">
        <v>101</v>
      </c>
      <c r="D1183" s="156"/>
      <c r="E1183" s="156" t="s">
        <v>1551</v>
      </c>
      <c r="F1183" s="156" t="s">
        <v>720</v>
      </c>
      <c r="G1183" s="154">
        <v>168000</v>
      </c>
    </row>
    <row r="1184" spans="1:7" ht="21.6" customHeight="1">
      <c r="A1184" s="154" t="s">
        <v>37</v>
      </c>
      <c r="B1184" s="154" t="str" cm="1">
        <f t="array" ref="B1184">_xlfn.XLOOKUP(TRUE, ISNUMBER(SEARCH(工作表5!$A$1:$A$23, C1184)), 工作表5!$B$1:$B$23, "其他")</f>
        <v>轉寫組</v>
      </c>
      <c r="C1184" s="145" t="s">
        <v>1824</v>
      </c>
      <c r="D1184" s="156"/>
      <c r="E1184" s="156" t="s">
        <v>1513</v>
      </c>
      <c r="F1184" s="156" t="s">
        <v>610</v>
      </c>
      <c r="G1184" s="154">
        <v>168000</v>
      </c>
    </row>
    <row r="1185" spans="1:7" ht="21.6" customHeight="1">
      <c r="A1185" s="154" t="s">
        <v>37</v>
      </c>
      <c r="B1185" s="154" t="str" cm="1">
        <f t="array" ref="B1185">_xlfn.XLOOKUP(TRUE, ISNUMBER(SEARCH(工作表5!$A$1:$A$23, C1185)), 工作表5!$B$1:$B$23, "其他")</f>
        <v>轉寫組</v>
      </c>
      <c r="C1185" s="145" t="s">
        <v>1825</v>
      </c>
      <c r="D1185" s="156"/>
      <c r="E1185" s="156" t="s">
        <v>1514</v>
      </c>
      <c r="F1185" s="156" t="s">
        <v>612</v>
      </c>
      <c r="G1185" s="154">
        <v>168000</v>
      </c>
    </row>
    <row r="1186" spans="1:7" ht="21.6" customHeight="1">
      <c r="A1186" s="154" t="s">
        <v>37</v>
      </c>
      <c r="B1186" s="154" t="str" cm="1">
        <f t="array" ref="B1186">_xlfn.XLOOKUP(TRUE, ISNUMBER(SEARCH(工作表5!$A$1:$A$23, C1186)), 工作表5!$B$1:$B$23, "其他")</f>
        <v>轉寫組</v>
      </c>
      <c r="C1186" s="145" t="s">
        <v>1826</v>
      </c>
      <c r="D1186" s="156"/>
      <c r="E1186" s="156" t="s">
        <v>1515</v>
      </c>
      <c r="F1186" s="156" t="s">
        <v>614</v>
      </c>
      <c r="G1186" s="154">
        <v>168000</v>
      </c>
    </row>
    <row r="1187" spans="1:7" ht="21.6" customHeight="1">
      <c r="A1187" s="154" t="s">
        <v>37</v>
      </c>
      <c r="B1187" s="154" t="str" cm="1">
        <f t="array" ref="B1187">_xlfn.XLOOKUP(TRUE, ISNUMBER(SEARCH(工作表5!$A$1:$A$23, C1187)), 工作表5!$B$1:$B$23, "其他")</f>
        <v>轉寫組</v>
      </c>
      <c r="C1187" s="145" t="s">
        <v>1812</v>
      </c>
      <c r="D1187" s="156"/>
      <c r="E1187" s="156" t="s">
        <v>1512</v>
      </c>
      <c r="F1187" s="156" t="s">
        <v>608</v>
      </c>
      <c r="G1187" s="154">
        <v>168000</v>
      </c>
    </row>
    <row r="1188" spans="1:7" ht="21.6" customHeight="1">
      <c r="A1188" s="154" t="s">
        <v>37</v>
      </c>
      <c r="B1188" s="154" t="str" cm="1">
        <f t="array" ref="B1188">_xlfn.XLOOKUP(TRUE, ISNUMBER(SEARCH(工作表5!$A$1:$A$23, C1188)), 工作表5!$B$1:$B$23, "其他")</f>
        <v>滾筒組</v>
      </c>
      <c r="C1188" s="144" t="s">
        <v>107</v>
      </c>
      <c r="D1188" s="156"/>
      <c r="E1188" s="156" t="s">
        <v>1554</v>
      </c>
      <c r="F1188" s="156" t="s">
        <v>728</v>
      </c>
      <c r="G1188" s="154">
        <v>67200</v>
      </c>
    </row>
    <row r="1189" spans="1:7" ht="21.6" customHeight="1">
      <c r="A1189" s="154" t="s">
        <v>37</v>
      </c>
      <c r="B1189" s="154" t="str" cm="1">
        <f t="array" ref="B1189">_xlfn.XLOOKUP(TRUE, ISNUMBER(SEARCH(工作表5!$A$1:$A$23, C1189)), 工作表5!$B$1:$B$23, "其他")</f>
        <v>顯像組</v>
      </c>
      <c r="C1189" s="145" t="s">
        <v>104</v>
      </c>
      <c r="D1189" s="156"/>
      <c r="E1189" s="156" t="s">
        <v>1508</v>
      </c>
      <c r="F1189" s="156" t="s">
        <v>599</v>
      </c>
      <c r="G1189" s="154">
        <v>67200</v>
      </c>
    </row>
    <row r="1190" spans="1:7" ht="21.6" customHeight="1">
      <c r="A1190" s="154" t="s">
        <v>37</v>
      </c>
      <c r="B1190" s="154" t="str" cm="1">
        <f t="array" ref="B1190">_xlfn.XLOOKUP(TRUE, ISNUMBER(SEARCH(工作表5!$A$1:$A$23, C1190)), 工作表5!$B$1:$B$23, "其他")</f>
        <v>顯像組</v>
      </c>
      <c r="C1190" s="144" t="s">
        <v>1822</v>
      </c>
      <c r="D1190" s="156"/>
      <c r="E1190" s="156" t="s">
        <v>1555</v>
      </c>
      <c r="F1190" s="156" t="s">
        <v>730</v>
      </c>
      <c r="G1190" s="154">
        <v>67200</v>
      </c>
    </row>
    <row r="1191" spans="1:7" ht="21.6" customHeight="1">
      <c r="A1191" s="154" t="s">
        <v>37</v>
      </c>
      <c r="B1191" s="154" t="str" cm="1">
        <f t="array" ref="B1191">_xlfn.XLOOKUP(TRUE, ISNUMBER(SEARCH(工作表5!$A$1:$A$23, C1191)), 工作表5!$B$1:$B$23, "其他")</f>
        <v>定著組</v>
      </c>
      <c r="C1191" s="144" t="s">
        <v>733</v>
      </c>
      <c r="D1191" s="156"/>
      <c r="E1191" s="156" t="s">
        <v>1556</v>
      </c>
      <c r="F1191" s="156" t="s">
        <v>732</v>
      </c>
      <c r="G1191" s="154">
        <v>67200</v>
      </c>
    </row>
    <row r="1192" spans="1:7" ht="21.6" customHeight="1">
      <c r="A1192" s="154" t="s">
        <v>37</v>
      </c>
      <c r="B1192" s="154" t="str" cm="1">
        <f t="array" ref="B1192">_xlfn.XLOOKUP(TRUE, ISNUMBER(SEARCH(工作表5!$A$1:$A$23, C1192)), 工作表5!$B$1:$B$23, "其他")</f>
        <v>定著組</v>
      </c>
      <c r="C1192" s="144" t="s">
        <v>736</v>
      </c>
      <c r="D1192" s="156"/>
      <c r="E1192" s="156" t="s">
        <v>1557</v>
      </c>
      <c r="F1192" s="156" t="s">
        <v>735</v>
      </c>
      <c r="G1192" s="154">
        <v>67200</v>
      </c>
    </row>
    <row r="1193" spans="1:7" ht="21.6" customHeight="1">
      <c r="A1193" s="154" t="s">
        <v>37</v>
      </c>
      <c r="B1193" s="154" t="str" cm="1">
        <f t="array" ref="B1193">_xlfn.XLOOKUP(TRUE, ISNUMBER(SEARCH(工作表5!$A$1:$A$23, C1193)), 工作表5!$B$1:$B$23, "其他")</f>
        <v>取紙組</v>
      </c>
      <c r="C1193" s="144" t="s">
        <v>399</v>
      </c>
      <c r="D1193" s="156"/>
      <c r="E1193" s="156" t="s">
        <v>1558</v>
      </c>
      <c r="F1193" s="156" t="s">
        <v>738</v>
      </c>
      <c r="G1193" s="154">
        <v>80000</v>
      </c>
    </row>
    <row r="1194" spans="1:7" ht="21.6" customHeight="1">
      <c r="A1194" s="154" t="s">
        <v>37</v>
      </c>
      <c r="B1194" s="154" t="str" cm="1">
        <f t="array" ref="B1194">_xlfn.XLOOKUP(TRUE, ISNUMBER(SEARCH(工作表5!$A$1:$A$23, C1194)), 工作表5!$B$1:$B$23, "其他")</f>
        <v>取紙組</v>
      </c>
      <c r="C1194" s="144" t="s">
        <v>741</v>
      </c>
      <c r="D1194" s="156"/>
      <c r="E1194" s="156" t="s">
        <v>1559</v>
      </c>
      <c r="F1194" s="156" t="s">
        <v>740</v>
      </c>
      <c r="G1194" s="154">
        <v>80000</v>
      </c>
    </row>
    <row r="1195" spans="1:7" ht="21.6" customHeight="1">
      <c r="A1195" s="154" t="s">
        <v>37</v>
      </c>
      <c r="B1195" s="154" t="str" cm="1">
        <f t="array" ref="B1195">_xlfn.XLOOKUP(TRUE, ISNUMBER(SEARCH(工作表5!$A$1:$A$23, C1195)), 工作表5!$B$1:$B$23, "其他")</f>
        <v>手送台</v>
      </c>
      <c r="C1195" s="144" t="s">
        <v>631</v>
      </c>
      <c r="D1195" s="156"/>
      <c r="E1195" s="156" t="s">
        <v>1392</v>
      </c>
      <c r="F1195" s="156" t="s">
        <v>274</v>
      </c>
      <c r="G1195" s="154">
        <v>80000</v>
      </c>
    </row>
    <row r="1196" spans="1:7" ht="21.6" customHeight="1">
      <c r="A1196" s="154" t="s">
        <v>37</v>
      </c>
      <c r="B1196" s="154" t="str" cm="1">
        <f t="array" ref="B1196">_xlfn.XLOOKUP(TRUE, ISNUMBER(SEARCH(工作表5!$A$1:$A$23, C1196)), 工作表5!$B$1:$B$23, "其他")</f>
        <v>手送台</v>
      </c>
      <c r="C1196" s="144" t="s">
        <v>115</v>
      </c>
      <c r="D1196" s="156"/>
      <c r="E1196" s="156" t="s">
        <v>1393</v>
      </c>
      <c r="F1196" s="156" t="s">
        <v>277</v>
      </c>
      <c r="G1196" s="154">
        <v>80000</v>
      </c>
    </row>
    <row r="1197" spans="1:7" ht="21.6" customHeight="1">
      <c r="A1197" s="154" t="s">
        <v>37</v>
      </c>
      <c r="B1197" s="154" t="str" cm="1">
        <f t="array" ref="B1197">_xlfn.XLOOKUP(TRUE, ISNUMBER(SEARCH(工作表5!$A$1:$A$23, C1197)), 工作表5!$B$1:$B$23, "其他")</f>
        <v>取紙組</v>
      </c>
      <c r="C1197" s="144" t="s">
        <v>1841</v>
      </c>
      <c r="D1197" s="156"/>
      <c r="E1197" s="156" t="s">
        <v>1389</v>
      </c>
      <c r="F1197" s="156" t="s">
        <v>265</v>
      </c>
      <c r="G1197" s="154">
        <v>80000</v>
      </c>
    </row>
    <row r="1198" spans="1:7" ht="21.6" customHeight="1">
      <c r="A1198" s="154" t="s">
        <v>37</v>
      </c>
      <c r="B1198" s="154" t="str" cm="1">
        <f t="array" ref="B1198">_xlfn.XLOOKUP(TRUE, ISNUMBER(SEARCH(工作表5!$A$1:$A$23, C1198)), 工作表5!$B$1:$B$23, "其他")</f>
        <v>取紙組</v>
      </c>
      <c r="C1198" s="144" t="s">
        <v>797</v>
      </c>
      <c r="D1198" s="156"/>
      <c r="E1198" s="156" t="s">
        <v>1390</v>
      </c>
      <c r="F1198" s="156" t="s">
        <v>269</v>
      </c>
      <c r="G1198" s="154">
        <v>80000</v>
      </c>
    </row>
    <row r="1199" spans="1:7" ht="21.6" customHeight="1">
      <c r="A1199" s="154" t="s">
        <v>37</v>
      </c>
      <c r="B1199" s="154" t="str" cm="1">
        <f t="array" ref="B1199">_xlfn.XLOOKUP(TRUE, ISNUMBER(SEARCH(工作表5!$A$1:$A$23, C1199)), 工作表5!$B$1:$B$23, "其他")</f>
        <v>取紙組</v>
      </c>
      <c r="C1199" s="144" t="s">
        <v>1842</v>
      </c>
      <c r="D1199" s="156"/>
      <c r="E1199" s="156" t="s">
        <v>1391</v>
      </c>
      <c r="F1199" s="156" t="s">
        <v>272</v>
      </c>
      <c r="G1199" s="154">
        <v>80000</v>
      </c>
    </row>
    <row r="1200" spans="1:7" ht="21.6" customHeight="1">
      <c r="A1200" s="154" t="s">
        <v>37</v>
      </c>
      <c r="B1200" s="154" t="str" cm="1">
        <f t="array" ref="B1200">_xlfn.XLOOKUP(TRUE, ISNUMBER(SEARCH(工作表5!$A$1:$A$23, C1200)), 工作表5!$B$1:$B$23, "其他")</f>
        <v>送稿機</v>
      </c>
      <c r="C1200" s="144" t="s">
        <v>1781</v>
      </c>
      <c r="D1200" s="156"/>
      <c r="E1200" s="156" t="s">
        <v>1375</v>
      </c>
      <c r="F1200" s="156" t="s">
        <v>226</v>
      </c>
      <c r="G1200" s="154">
        <v>120000</v>
      </c>
    </row>
    <row r="1201" spans="1:7" ht="21.6" customHeight="1">
      <c r="A1201" s="154" t="s">
        <v>37</v>
      </c>
      <c r="B1201" s="154" t="str" cm="1">
        <f t="array" ref="B1201">_xlfn.XLOOKUP(TRUE, ISNUMBER(SEARCH(工作表5!$A$1:$A$23, C1201)), 工作表5!$B$1:$B$23, "其他")</f>
        <v>送稿機</v>
      </c>
      <c r="C1201" s="144" t="s">
        <v>278</v>
      </c>
      <c r="D1201" s="156"/>
      <c r="E1201" s="156" t="s">
        <v>1376</v>
      </c>
      <c r="F1201" s="156" t="s">
        <v>230</v>
      </c>
      <c r="G1201" s="154">
        <v>120000</v>
      </c>
    </row>
    <row r="1202" spans="1:7" ht="21.6" customHeight="1">
      <c r="A1202" s="154" t="s">
        <v>37</v>
      </c>
      <c r="B1202" s="154" t="str" cm="1">
        <f t="array" ref="B1202">_xlfn.XLOOKUP(TRUE, ISNUMBER(SEARCH(工作表5!$A$1:$A$23, C1202)), 工作表5!$B$1:$B$23, "其他")</f>
        <v>取紙組</v>
      </c>
      <c r="C1202" s="144" t="s">
        <v>1843</v>
      </c>
      <c r="D1202" s="156"/>
      <c r="E1202" s="156" t="s">
        <v>1377</v>
      </c>
      <c r="F1202" s="156" t="s">
        <v>232</v>
      </c>
      <c r="G1202" s="154">
        <v>160000</v>
      </c>
    </row>
    <row r="1203" spans="1:7" ht="21.6" customHeight="1">
      <c r="A1203" s="154" t="s">
        <v>37</v>
      </c>
      <c r="B1203" s="154" t="str" cm="1">
        <f t="array" ref="B1203">_xlfn.XLOOKUP(TRUE, ISNUMBER(SEARCH(工作表5!$A$1:$A$23, C1203)), 工作表5!$B$1:$B$23, "其他")</f>
        <v>大容量取紙組</v>
      </c>
      <c r="C1203" s="144" t="s">
        <v>237</v>
      </c>
      <c r="D1203" s="156"/>
      <c r="E1203" s="156" t="s">
        <v>1378</v>
      </c>
      <c r="F1203" s="156" t="s">
        <v>236</v>
      </c>
      <c r="G1203" s="154">
        <v>160000</v>
      </c>
    </row>
    <row r="1204" spans="1:7" ht="21.6" customHeight="1">
      <c r="A1204" s="154" t="s">
        <v>37</v>
      </c>
      <c r="B1204" s="154" t="str" cm="1">
        <f t="array" ref="B1204">_xlfn.XLOOKUP(TRUE, ISNUMBER(SEARCH(工作表5!$A$1:$A$23, C1204)), 工作表5!$B$1:$B$23, "其他")</f>
        <v>取紙組</v>
      </c>
      <c r="C1204" s="144" t="s">
        <v>798</v>
      </c>
      <c r="D1204" s="156"/>
      <c r="E1204" s="156" t="s">
        <v>1379</v>
      </c>
      <c r="F1204" s="156" t="s">
        <v>239</v>
      </c>
      <c r="G1204" s="154">
        <v>160000</v>
      </c>
    </row>
    <row r="1205" spans="1:7" ht="21.6" customHeight="1">
      <c r="A1205" s="154" t="s">
        <v>37</v>
      </c>
      <c r="B1205" s="154" t="str" cm="1">
        <f t="array" ref="B1205">_xlfn.XLOOKUP(TRUE, ISNUMBER(SEARCH(工作表5!$A$1:$A$23, C1205)), 工作表5!$B$1:$B$23, "其他")</f>
        <v>顯像組</v>
      </c>
      <c r="C1205" s="144" t="s">
        <v>637</v>
      </c>
      <c r="D1205" s="156"/>
      <c r="E1205" s="156" t="s">
        <v>1562</v>
      </c>
      <c r="F1205" s="156" t="s">
        <v>752</v>
      </c>
      <c r="G1205" s="154">
        <v>67200</v>
      </c>
    </row>
    <row r="1206" spans="1:7" ht="21.6" customHeight="1">
      <c r="A1206" s="154" t="s">
        <v>37</v>
      </c>
      <c r="B1206" s="154" t="str" cm="1">
        <f t="array" ref="B1206">_xlfn.XLOOKUP(TRUE, ISNUMBER(SEARCH(工作表5!$A$1:$A$23, C1206)), 工作表5!$B$1:$B$23, "其他")</f>
        <v>顯像組</v>
      </c>
      <c r="C1206" s="144" t="s">
        <v>755</v>
      </c>
      <c r="D1206" s="156"/>
      <c r="E1206" s="156" t="s">
        <v>1563</v>
      </c>
      <c r="F1206" s="156" t="s">
        <v>754</v>
      </c>
      <c r="G1206" s="154">
        <v>67200</v>
      </c>
    </row>
    <row r="1207" spans="1:7" ht="21.6" customHeight="1">
      <c r="A1207" s="154" t="s">
        <v>37</v>
      </c>
      <c r="B1207" s="154" t="str" cm="1">
        <f t="array" ref="B1207">_xlfn.XLOOKUP(TRUE, ISNUMBER(SEARCH(工作表5!$A$1:$A$23, C1207)), 工作表5!$B$1:$B$23, "其他")</f>
        <v>取紙組</v>
      </c>
      <c r="C1207" s="144" t="s">
        <v>799</v>
      </c>
      <c r="D1207" s="156"/>
      <c r="E1207" s="156" t="s">
        <v>1399</v>
      </c>
      <c r="F1207" s="156" t="s">
        <v>296</v>
      </c>
      <c r="G1207" s="154">
        <v>80000</v>
      </c>
    </row>
    <row r="1208" spans="1:7" ht="21.6" customHeight="1">
      <c r="A1208" s="154" t="s">
        <v>37</v>
      </c>
      <c r="B1208" s="154" t="str" cm="1">
        <f t="array" ref="B1208">_xlfn.XLOOKUP(TRUE, ISNUMBER(SEARCH(工作表5!$A$1:$A$23, C1208)), 工作表5!$B$1:$B$23, "其他")</f>
        <v>送稿機</v>
      </c>
      <c r="C1208" s="144" t="s">
        <v>300</v>
      </c>
      <c r="D1208" s="156"/>
      <c r="E1208" s="156" t="s">
        <v>1400</v>
      </c>
      <c r="F1208" s="156" t="s">
        <v>299</v>
      </c>
      <c r="G1208" s="154">
        <v>120000</v>
      </c>
    </row>
    <row r="1209" spans="1:7" ht="21.6" customHeight="1">
      <c r="A1209" s="154" t="s">
        <v>37</v>
      </c>
      <c r="B1209" s="154" t="str" cm="1">
        <f t="array" ref="B1209">_xlfn.XLOOKUP(TRUE, ISNUMBER(SEARCH(工作表5!$A$1:$A$23, C1209)), 工作表5!$B$1:$B$23, "其他")</f>
        <v>其他</v>
      </c>
      <c r="C1209" s="144" t="s">
        <v>760</v>
      </c>
      <c r="D1209" s="156"/>
      <c r="E1209" s="156" t="s">
        <v>1384</v>
      </c>
      <c r="F1209" s="156" t="s">
        <v>252</v>
      </c>
      <c r="G1209" s="154">
        <v>160000</v>
      </c>
    </row>
    <row r="1210" spans="1:7" ht="21.6" customHeight="1">
      <c r="A1210" s="154" t="s">
        <v>37</v>
      </c>
      <c r="B1210" s="154" t="str" cm="1">
        <f t="array" ref="B1210">_xlfn.XLOOKUP(TRUE, ISNUMBER(SEARCH(工作表5!$A$1:$A$23, C1210)), 工作表5!$B$1:$B$23, "其他")</f>
        <v>定著組</v>
      </c>
      <c r="C1210" s="144" t="s">
        <v>642</v>
      </c>
      <c r="D1210" s="156"/>
      <c r="E1210" s="156" t="s">
        <v>1565</v>
      </c>
      <c r="F1210" s="156" t="s">
        <v>762</v>
      </c>
      <c r="G1210" s="154">
        <v>168000</v>
      </c>
    </row>
    <row r="1211" spans="1:7" ht="21.6" customHeight="1">
      <c r="A1211" s="154" t="s">
        <v>37</v>
      </c>
      <c r="B1211" s="154" t="str" cm="1">
        <f t="array" ref="B1211">_xlfn.XLOOKUP(TRUE, ISNUMBER(SEARCH(工作表5!$A$1:$A$23, C1211)), 工作表5!$B$1:$B$23, "其他")</f>
        <v>轉寫組</v>
      </c>
      <c r="C1211" s="144" t="s">
        <v>645</v>
      </c>
      <c r="D1211" s="156"/>
      <c r="E1211" s="156" t="s">
        <v>1525</v>
      </c>
      <c r="F1211" s="156" t="s">
        <v>644</v>
      </c>
      <c r="G1211" s="154">
        <v>168000</v>
      </c>
    </row>
    <row r="1212" spans="1:7" ht="21.6" customHeight="1">
      <c r="A1212" s="154" t="s">
        <v>37</v>
      </c>
      <c r="B1212" s="154" t="str" cm="1">
        <f t="array" ref="B1212">_xlfn.XLOOKUP(TRUE, ISNUMBER(SEARCH(工作表5!$A$1:$A$23, C1212)), 工作表5!$B$1:$B$23, "其他")</f>
        <v>定著組</v>
      </c>
      <c r="C1212" s="145" t="s">
        <v>767</v>
      </c>
      <c r="D1212" s="156"/>
      <c r="E1212" s="156" t="s">
        <v>1578</v>
      </c>
      <c r="F1212" s="156" t="s">
        <v>801</v>
      </c>
      <c r="G1212" s="154" t="e">
        <v>#VALUE!</v>
      </c>
    </row>
    <row r="1213" spans="1:7" ht="21.6" customHeight="1">
      <c r="A1213" s="154" t="s">
        <v>37</v>
      </c>
      <c r="B1213" s="154" t="str" cm="1">
        <f t="array" ref="B1213">_xlfn.XLOOKUP(TRUE, ISNUMBER(SEARCH(工作表5!$A$1:$A$23, C1213)), 工作表5!$B$1:$B$23, "其他")</f>
        <v>顯像組</v>
      </c>
      <c r="C1213" s="145" t="s">
        <v>129</v>
      </c>
      <c r="D1213" s="156"/>
      <c r="E1213" s="156" t="s">
        <v>1579</v>
      </c>
      <c r="F1213" s="156" t="s">
        <v>804</v>
      </c>
      <c r="G1213" s="154" t="e">
        <v>#VALUE!</v>
      </c>
    </row>
    <row r="1214" spans="1:7" ht="21.6" customHeight="1">
      <c r="A1214" s="154" t="s">
        <v>37</v>
      </c>
      <c r="B1214" s="154" t="str" cm="1">
        <f t="array" ref="B1214">_xlfn.XLOOKUP(TRUE, ISNUMBER(SEARCH(工作表5!$A$1:$A$23, C1214)), 工作表5!$B$1:$B$23, "其他")</f>
        <v>顯像組</v>
      </c>
      <c r="C1214" s="145" t="s">
        <v>772</v>
      </c>
      <c r="D1214" s="156"/>
      <c r="E1214" s="156" t="s">
        <v>1580</v>
      </c>
      <c r="F1214" s="156" t="s">
        <v>806</v>
      </c>
      <c r="G1214" s="154" t="e">
        <v>#VALUE!</v>
      </c>
    </row>
    <row r="1215" spans="1:7" ht="21.6" customHeight="1">
      <c r="A1215" s="154" t="s">
        <v>37</v>
      </c>
      <c r="B1215" s="154" t="str" cm="1">
        <f t="array" ref="B1215">_xlfn.XLOOKUP(TRUE, ISNUMBER(SEARCH(工作表5!$A$1:$A$23, C1215)), 工作表5!$B$1:$B$23, "其他")</f>
        <v>顯像組</v>
      </c>
      <c r="C1215" s="145" t="s">
        <v>775</v>
      </c>
      <c r="D1215" s="156"/>
      <c r="E1215" s="156" t="s">
        <v>1581</v>
      </c>
      <c r="F1215" s="156" t="s">
        <v>808</v>
      </c>
      <c r="G1215" s="154" t="e">
        <v>#VALUE!</v>
      </c>
    </row>
    <row r="1216" spans="1:7" ht="21.6" customHeight="1">
      <c r="A1216" s="154" t="s">
        <v>37</v>
      </c>
      <c r="B1216" s="154" t="str" cm="1">
        <f t="array" ref="B1216">_xlfn.XLOOKUP(TRUE, ISNUMBER(SEARCH(工作表5!$A$1:$A$23, C1216)), 工作表5!$B$1:$B$23, "其他")</f>
        <v>顯像組</v>
      </c>
      <c r="C1216" s="145" t="s">
        <v>778</v>
      </c>
      <c r="D1216" s="156"/>
      <c r="E1216" s="156" t="s">
        <v>1582</v>
      </c>
      <c r="F1216" s="156" t="s">
        <v>810</v>
      </c>
      <c r="G1216" s="154" t="e">
        <v>#VALUE!</v>
      </c>
    </row>
    <row r="1217" spans="1:7" ht="21.6" customHeight="1">
      <c r="A1217" s="154" t="s">
        <v>37</v>
      </c>
      <c r="B1217" s="154" t="str" cm="1">
        <f t="array" ref="B1217">_xlfn.XLOOKUP(TRUE, ISNUMBER(SEARCH(工作表5!$A$1:$A$23, C1217)), 工作表5!$B$1:$B$23, "其他")</f>
        <v>滾筒組</v>
      </c>
      <c r="C1217" s="145" t="s">
        <v>781</v>
      </c>
      <c r="D1217" s="156"/>
      <c r="E1217" s="156" t="s">
        <v>1572</v>
      </c>
      <c r="F1217" s="156" t="s">
        <v>780</v>
      </c>
      <c r="G1217" s="154" t="e">
        <v>#VALUE!</v>
      </c>
    </row>
    <row r="1218" spans="1:7" ht="21.6" customHeight="1">
      <c r="A1218" s="154" t="s">
        <v>37</v>
      </c>
      <c r="B1218" s="154" t="str" cm="1">
        <f t="array" ref="B1218">_xlfn.XLOOKUP(TRUE, ISNUMBER(SEARCH(工作表5!$A$1:$A$23, C1218)), 工作表5!$B$1:$B$23, "其他")</f>
        <v>滾筒組</v>
      </c>
      <c r="C1218" s="145" t="s">
        <v>784</v>
      </c>
      <c r="D1218" s="156"/>
      <c r="E1218" s="156" t="s">
        <v>1573</v>
      </c>
      <c r="F1218" s="156" t="s">
        <v>783</v>
      </c>
      <c r="G1218" s="154" t="e">
        <v>#VALUE!</v>
      </c>
    </row>
    <row r="1219" spans="1:7" ht="21.6" customHeight="1">
      <c r="A1219" s="154" t="s">
        <v>37</v>
      </c>
      <c r="B1219" s="154" t="str" cm="1">
        <f t="array" ref="B1219">_xlfn.XLOOKUP(TRUE, ISNUMBER(SEARCH(工作表5!$A$1:$A$23, C1219)), 工作表5!$B$1:$B$23, "其他")</f>
        <v>滾筒組</v>
      </c>
      <c r="C1219" s="145" t="s">
        <v>787</v>
      </c>
      <c r="D1219" s="156"/>
      <c r="E1219" s="156" t="s">
        <v>1574</v>
      </c>
      <c r="F1219" s="156" t="s">
        <v>786</v>
      </c>
      <c r="G1219" s="154" t="e">
        <v>#VALUE!</v>
      </c>
    </row>
    <row r="1220" spans="1:7" ht="21.6" customHeight="1">
      <c r="A1220" s="154" t="s">
        <v>37</v>
      </c>
      <c r="B1220" s="154" t="str" cm="1">
        <f t="array" ref="B1220">_xlfn.XLOOKUP(TRUE, ISNUMBER(SEARCH(工作表5!$A$1:$A$23, C1220)), 工作表5!$B$1:$B$23, "其他")</f>
        <v>滾筒組</v>
      </c>
      <c r="C1220" s="145" t="s">
        <v>790</v>
      </c>
      <c r="D1220" s="156"/>
      <c r="E1220" s="156" t="s">
        <v>1575</v>
      </c>
      <c r="F1220" s="156" t="s">
        <v>789</v>
      </c>
      <c r="G1220" s="154" t="e">
        <v>#VALUE!</v>
      </c>
    </row>
    <row r="1221" spans="1:7" ht="21.6" customHeight="1">
      <c r="A1221" s="154" t="s">
        <v>37</v>
      </c>
      <c r="B1221" s="154" t="str" cm="1">
        <f t="array" ref="B1221">_xlfn.XLOOKUP(TRUE, ISNUMBER(SEARCH(工作表5!$A$1:$A$23, C1221)), 工作表5!$B$1:$B$23, "其他")</f>
        <v>轉寫組</v>
      </c>
      <c r="C1221" s="147" t="s">
        <v>1821</v>
      </c>
      <c r="D1221" s="156"/>
      <c r="E1221" s="156" t="s">
        <v>1528</v>
      </c>
      <c r="F1221" s="156" t="s">
        <v>651</v>
      </c>
      <c r="G1221" s="154" t="e">
        <v>#VALUE!</v>
      </c>
    </row>
    <row r="1222" spans="1:7" ht="21.6" customHeight="1">
      <c r="A1222" s="154" t="s">
        <v>1306</v>
      </c>
      <c r="B1222" s="154" t="str" cm="1">
        <f t="array" ref="B1222">_xlfn.XLOOKUP(TRUE, ISNUMBER(SEARCH(工作表5!$A$1:$A$23, C1222)), 工作表5!$B$1:$B$23, "其他")</f>
        <v>滾筒組</v>
      </c>
      <c r="C1222" s="143" t="s">
        <v>193</v>
      </c>
      <c r="D1222" s="156"/>
      <c r="E1222" s="156" t="s">
        <v>1542</v>
      </c>
      <c r="F1222" s="156" t="s">
        <v>698</v>
      </c>
      <c r="G1222" s="154">
        <v>67200</v>
      </c>
    </row>
    <row r="1223" spans="1:7" ht="21.6" customHeight="1">
      <c r="A1223" s="154" t="s">
        <v>1306</v>
      </c>
      <c r="B1223" s="154" t="str" cm="1">
        <f t="array" ref="B1223">_xlfn.XLOOKUP(TRUE, ISNUMBER(SEARCH(工作表5!$A$1:$A$23, C1223)), 工作表5!$B$1:$B$23, "其他")</f>
        <v>顯像組</v>
      </c>
      <c r="C1223" s="145" t="s">
        <v>502</v>
      </c>
      <c r="D1223" s="156"/>
      <c r="E1223" s="156" t="s">
        <v>1543</v>
      </c>
      <c r="F1223" s="156" t="s">
        <v>700</v>
      </c>
      <c r="G1223" s="154">
        <v>67200</v>
      </c>
    </row>
    <row r="1224" spans="1:7" ht="21.6" customHeight="1">
      <c r="A1224" s="154" t="s">
        <v>1306</v>
      </c>
      <c r="B1224" s="154" t="str" cm="1">
        <f t="array" ref="B1224">_xlfn.XLOOKUP(TRUE, ISNUMBER(SEARCH(工作表5!$A$1:$A$23, C1224)), 工作表5!$B$1:$B$23, "其他")</f>
        <v>顯像組</v>
      </c>
      <c r="C1224" s="145" t="s">
        <v>703</v>
      </c>
      <c r="D1224" s="156"/>
      <c r="E1224" s="156" t="s">
        <v>1544</v>
      </c>
      <c r="F1224" s="156" t="s">
        <v>702</v>
      </c>
      <c r="G1224" s="154">
        <v>67200</v>
      </c>
    </row>
    <row r="1225" spans="1:7" ht="21.6" customHeight="1">
      <c r="A1225" s="154" t="s">
        <v>1306</v>
      </c>
      <c r="B1225" s="154" t="str" cm="1">
        <f t="array" ref="B1225">_xlfn.XLOOKUP(TRUE, ISNUMBER(SEARCH(工作表5!$A$1:$A$23, C1225)), 工作表5!$B$1:$B$23, "其他")</f>
        <v>顯像組</v>
      </c>
      <c r="C1225" s="144" t="s">
        <v>706</v>
      </c>
      <c r="D1225" s="156"/>
      <c r="E1225" s="156" t="s">
        <v>1545</v>
      </c>
      <c r="F1225" s="156" t="s">
        <v>705</v>
      </c>
      <c r="G1225" s="154">
        <v>67200</v>
      </c>
    </row>
    <row r="1226" spans="1:7" ht="21.6" customHeight="1">
      <c r="A1226" s="154" t="s">
        <v>1306</v>
      </c>
      <c r="B1226" s="154" t="str" cm="1">
        <f t="array" ref="B1226">_xlfn.XLOOKUP(TRUE, ISNUMBER(SEARCH(工作表5!$A$1:$A$23, C1226)), 工作表5!$B$1:$B$23, "其他")</f>
        <v>顯像組</v>
      </c>
      <c r="C1226" s="145" t="s">
        <v>709</v>
      </c>
      <c r="D1226" s="156"/>
      <c r="E1226" s="156" t="s">
        <v>1546</v>
      </c>
      <c r="F1226" s="156" t="s">
        <v>708</v>
      </c>
      <c r="G1226" s="154">
        <v>67200</v>
      </c>
    </row>
    <row r="1227" spans="1:7" ht="21.6" customHeight="1">
      <c r="A1227" s="154" t="s">
        <v>1306</v>
      </c>
      <c r="B1227" s="154" t="str" cm="1">
        <f t="array" ref="B1227">_xlfn.XLOOKUP(TRUE, ISNUMBER(SEARCH(工作表5!$A$1:$A$23, C1227)), 工作表5!$B$1:$B$23, "其他")</f>
        <v>滾筒組</v>
      </c>
      <c r="C1227" s="145" t="s">
        <v>415</v>
      </c>
      <c r="D1227" s="156"/>
      <c r="E1227" s="156" t="s">
        <v>1547</v>
      </c>
      <c r="F1227" s="156" t="s">
        <v>711</v>
      </c>
      <c r="G1227" s="154">
        <v>67200</v>
      </c>
    </row>
    <row r="1228" spans="1:7" ht="21.6" customHeight="1">
      <c r="A1228" s="154" t="s">
        <v>1306</v>
      </c>
      <c r="B1228" s="154" t="str" cm="1">
        <f t="array" ref="B1228">_xlfn.XLOOKUP(TRUE, ISNUMBER(SEARCH(工作表5!$A$1:$A$23, C1228)), 工作表5!$B$1:$B$23, "其他")</f>
        <v>轉寫組</v>
      </c>
      <c r="C1228" s="145" t="s">
        <v>533</v>
      </c>
      <c r="D1228" s="156"/>
      <c r="E1228" s="156" t="s">
        <v>1511</v>
      </c>
      <c r="F1228" s="156" t="s">
        <v>606</v>
      </c>
      <c r="G1228" s="154">
        <v>168000</v>
      </c>
    </row>
    <row r="1229" spans="1:7" ht="21.6" customHeight="1">
      <c r="A1229" s="154" t="s">
        <v>1306</v>
      </c>
      <c r="B1229" s="154" t="str" cm="1">
        <f t="array" ref="B1229">_xlfn.XLOOKUP(TRUE, ISNUMBER(SEARCH(工作表5!$A$1:$A$23, C1229)), 工作表5!$B$1:$B$23, "其他")</f>
        <v>定著組</v>
      </c>
      <c r="C1229" s="145" t="s">
        <v>1775</v>
      </c>
      <c r="D1229" s="156"/>
      <c r="E1229" s="156" t="s">
        <v>1548</v>
      </c>
      <c r="F1229" s="156" t="s">
        <v>713</v>
      </c>
      <c r="G1229" s="154">
        <v>168000</v>
      </c>
    </row>
    <row r="1230" spans="1:7" ht="21.6" customHeight="1">
      <c r="A1230" s="154" t="s">
        <v>1306</v>
      </c>
      <c r="B1230" s="154" t="str" cm="1">
        <f t="array" ref="B1230">_xlfn.XLOOKUP(TRUE, ISNUMBER(SEARCH(工作表5!$A$1:$A$23, C1230)), 工作表5!$B$1:$B$23, "其他")</f>
        <v>定著組</v>
      </c>
      <c r="C1230" s="145" t="s">
        <v>87</v>
      </c>
      <c r="D1230" s="156"/>
      <c r="E1230" s="156" t="s">
        <v>1583</v>
      </c>
      <c r="F1230" s="156" t="s">
        <v>812</v>
      </c>
      <c r="G1230" s="154">
        <v>168000</v>
      </c>
    </row>
    <row r="1231" spans="1:7" ht="21.6" customHeight="1">
      <c r="A1231" s="154" t="s">
        <v>1306</v>
      </c>
      <c r="B1231" s="154" t="str" cm="1">
        <f t="array" ref="B1231">_xlfn.XLOOKUP(TRUE, ISNUMBER(SEARCH(工作表5!$A$1:$A$23, C1231)), 工作表5!$B$1:$B$23, "其他")</f>
        <v>定著組</v>
      </c>
      <c r="C1231" s="145" t="s">
        <v>718</v>
      </c>
      <c r="D1231" s="156"/>
      <c r="E1231" s="156" t="s">
        <v>1577</v>
      </c>
      <c r="F1231" s="156" t="s">
        <v>794</v>
      </c>
      <c r="G1231" s="154">
        <v>168000</v>
      </c>
    </row>
    <row r="1232" spans="1:7" ht="21.6" customHeight="1">
      <c r="A1232" s="154" t="s">
        <v>1306</v>
      </c>
      <c r="B1232" s="154" t="str" cm="1">
        <f t="array" ref="B1232">_xlfn.XLOOKUP(TRUE, ISNUMBER(SEARCH(工作表5!$A$1:$A$23, C1232)), 工作表5!$B$1:$B$23, "其他")</f>
        <v>其他</v>
      </c>
      <c r="C1232" s="145" t="s">
        <v>101</v>
      </c>
      <c r="D1232" s="156"/>
      <c r="E1232" s="156" t="s">
        <v>1551</v>
      </c>
      <c r="F1232" s="156" t="s">
        <v>720</v>
      </c>
      <c r="G1232" s="154">
        <v>168000</v>
      </c>
    </row>
    <row r="1233" spans="1:7" ht="21.6" customHeight="1">
      <c r="A1233" s="154" t="s">
        <v>1306</v>
      </c>
      <c r="B1233" s="154" t="str" cm="1">
        <f t="array" ref="B1233">_xlfn.XLOOKUP(TRUE, ISNUMBER(SEARCH(工作表5!$A$1:$A$23, C1233)), 工作表5!$B$1:$B$23, "其他")</f>
        <v>轉寫組</v>
      </c>
      <c r="C1233" s="145" t="s">
        <v>1824</v>
      </c>
      <c r="D1233" s="156"/>
      <c r="E1233" s="156" t="s">
        <v>1513</v>
      </c>
      <c r="F1233" s="156" t="s">
        <v>610</v>
      </c>
      <c r="G1233" s="154">
        <v>168000</v>
      </c>
    </row>
    <row r="1234" spans="1:7" ht="21.6" customHeight="1">
      <c r="A1234" s="154" t="s">
        <v>1306</v>
      </c>
      <c r="B1234" s="154" t="str" cm="1">
        <f t="array" ref="B1234">_xlfn.XLOOKUP(TRUE, ISNUMBER(SEARCH(工作表5!$A$1:$A$23, C1234)), 工作表5!$B$1:$B$23, "其他")</f>
        <v>轉寫組</v>
      </c>
      <c r="C1234" s="145" t="s">
        <v>1825</v>
      </c>
      <c r="D1234" s="156"/>
      <c r="E1234" s="156" t="s">
        <v>1514</v>
      </c>
      <c r="F1234" s="156" t="s">
        <v>612</v>
      </c>
      <c r="G1234" s="154">
        <v>168000</v>
      </c>
    </row>
    <row r="1235" spans="1:7" ht="21.6" customHeight="1">
      <c r="A1235" s="154" t="s">
        <v>1306</v>
      </c>
      <c r="B1235" s="154" t="str" cm="1">
        <f t="array" ref="B1235">_xlfn.XLOOKUP(TRUE, ISNUMBER(SEARCH(工作表5!$A$1:$A$23, C1235)), 工作表5!$B$1:$B$23, "其他")</f>
        <v>轉寫組</v>
      </c>
      <c r="C1235" s="145" t="s">
        <v>1826</v>
      </c>
      <c r="D1235" s="156"/>
      <c r="E1235" s="156" t="s">
        <v>1515</v>
      </c>
      <c r="F1235" s="156" t="s">
        <v>614</v>
      </c>
      <c r="G1235" s="154">
        <v>168000</v>
      </c>
    </row>
    <row r="1236" spans="1:7" ht="21.6" customHeight="1">
      <c r="A1236" s="154" t="s">
        <v>1306</v>
      </c>
      <c r="B1236" s="154" t="str" cm="1">
        <f t="array" ref="B1236">_xlfn.XLOOKUP(TRUE, ISNUMBER(SEARCH(工作表5!$A$1:$A$23, C1236)), 工作表5!$B$1:$B$23, "其他")</f>
        <v>轉寫組</v>
      </c>
      <c r="C1236" s="145" t="s">
        <v>1812</v>
      </c>
      <c r="D1236" s="156"/>
      <c r="E1236" s="156" t="s">
        <v>1512</v>
      </c>
      <c r="F1236" s="156" t="s">
        <v>608</v>
      </c>
      <c r="G1236" s="154">
        <v>168000</v>
      </c>
    </row>
    <row r="1237" spans="1:7" ht="21.6" customHeight="1">
      <c r="A1237" s="154" t="s">
        <v>1306</v>
      </c>
      <c r="B1237" s="154" t="str" cm="1">
        <f t="array" ref="B1237">_xlfn.XLOOKUP(TRUE, ISNUMBER(SEARCH(工作表5!$A$1:$A$23, C1237)), 工作表5!$B$1:$B$23, "其他")</f>
        <v>滾筒組</v>
      </c>
      <c r="C1237" s="144" t="s">
        <v>107</v>
      </c>
      <c r="D1237" s="156"/>
      <c r="E1237" s="156" t="s">
        <v>1554</v>
      </c>
      <c r="F1237" s="156" t="s">
        <v>728</v>
      </c>
      <c r="G1237" s="154">
        <v>67200</v>
      </c>
    </row>
    <row r="1238" spans="1:7" ht="21.6" customHeight="1">
      <c r="A1238" s="154" t="s">
        <v>1306</v>
      </c>
      <c r="B1238" s="154" t="str" cm="1">
        <f t="array" ref="B1238">_xlfn.XLOOKUP(TRUE, ISNUMBER(SEARCH(工作表5!$A$1:$A$23, C1238)), 工作表5!$B$1:$B$23, "其他")</f>
        <v>顯像組</v>
      </c>
      <c r="C1238" s="145" t="s">
        <v>104</v>
      </c>
      <c r="D1238" s="156"/>
      <c r="E1238" s="156" t="s">
        <v>1508</v>
      </c>
      <c r="F1238" s="156" t="s">
        <v>599</v>
      </c>
      <c r="G1238" s="154">
        <v>67200</v>
      </c>
    </row>
    <row r="1239" spans="1:7" ht="21.6" customHeight="1">
      <c r="A1239" s="154" t="s">
        <v>1306</v>
      </c>
      <c r="B1239" s="154" t="str" cm="1">
        <f t="array" ref="B1239">_xlfn.XLOOKUP(TRUE, ISNUMBER(SEARCH(工作表5!$A$1:$A$23, C1239)), 工作表5!$B$1:$B$23, "其他")</f>
        <v>顯像組</v>
      </c>
      <c r="C1239" s="144" t="s">
        <v>1822</v>
      </c>
      <c r="D1239" s="156"/>
      <c r="E1239" s="156" t="s">
        <v>1555</v>
      </c>
      <c r="F1239" s="156" t="s">
        <v>730</v>
      </c>
      <c r="G1239" s="154">
        <v>67200</v>
      </c>
    </row>
    <row r="1240" spans="1:7" ht="21.6" customHeight="1">
      <c r="A1240" s="154" t="s">
        <v>1306</v>
      </c>
      <c r="B1240" s="154" t="str" cm="1">
        <f t="array" ref="B1240">_xlfn.XLOOKUP(TRUE, ISNUMBER(SEARCH(工作表5!$A$1:$A$23, C1240)), 工作表5!$B$1:$B$23, "其他")</f>
        <v>定著組</v>
      </c>
      <c r="C1240" s="144" t="s">
        <v>733</v>
      </c>
      <c r="D1240" s="156"/>
      <c r="E1240" s="156" t="s">
        <v>1556</v>
      </c>
      <c r="F1240" s="156" t="s">
        <v>732</v>
      </c>
      <c r="G1240" s="154">
        <v>67200</v>
      </c>
    </row>
    <row r="1241" spans="1:7" ht="21.6" customHeight="1">
      <c r="A1241" s="154" t="s">
        <v>1306</v>
      </c>
      <c r="B1241" s="154" t="str" cm="1">
        <f t="array" ref="B1241">_xlfn.XLOOKUP(TRUE, ISNUMBER(SEARCH(工作表5!$A$1:$A$23, C1241)), 工作表5!$B$1:$B$23, "其他")</f>
        <v>定著組</v>
      </c>
      <c r="C1241" s="144" t="s">
        <v>736</v>
      </c>
      <c r="D1241" s="156"/>
      <c r="E1241" s="156" t="s">
        <v>1557</v>
      </c>
      <c r="F1241" s="156" t="s">
        <v>735</v>
      </c>
      <c r="G1241" s="154">
        <v>67200</v>
      </c>
    </row>
    <row r="1242" spans="1:7" ht="21.6" customHeight="1">
      <c r="A1242" s="154" t="s">
        <v>1306</v>
      </c>
      <c r="B1242" s="154" t="str" cm="1">
        <f t="array" ref="B1242">_xlfn.XLOOKUP(TRUE, ISNUMBER(SEARCH(工作表5!$A$1:$A$23, C1242)), 工作表5!$B$1:$B$23, "其他")</f>
        <v>取紙組</v>
      </c>
      <c r="C1242" s="144" t="s">
        <v>399</v>
      </c>
      <c r="D1242" s="156"/>
      <c r="E1242" s="156" t="s">
        <v>1558</v>
      </c>
      <c r="F1242" s="156" t="s">
        <v>738</v>
      </c>
      <c r="G1242" s="154">
        <v>80000</v>
      </c>
    </row>
    <row r="1243" spans="1:7" ht="21.6" customHeight="1">
      <c r="A1243" s="154" t="s">
        <v>1306</v>
      </c>
      <c r="B1243" s="154" t="str" cm="1">
        <f t="array" ref="B1243">_xlfn.XLOOKUP(TRUE, ISNUMBER(SEARCH(工作表5!$A$1:$A$23, C1243)), 工作表5!$B$1:$B$23, "其他")</f>
        <v>取紙組</v>
      </c>
      <c r="C1243" s="144" t="s">
        <v>741</v>
      </c>
      <c r="D1243" s="156"/>
      <c r="E1243" s="156" t="s">
        <v>1559</v>
      </c>
      <c r="F1243" s="156" t="s">
        <v>740</v>
      </c>
      <c r="G1243" s="154">
        <v>80000</v>
      </c>
    </row>
    <row r="1244" spans="1:7" ht="21.6" customHeight="1">
      <c r="A1244" s="154" t="s">
        <v>1306</v>
      </c>
      <c r="B1244" s="154" t="str" cm="1">
        <f t="array" ref="B1244">_xlfn.XLOOKUP(TRUE, ISNUMBER(SEARCH(工作表5!$A$1:$A$23, C1244)), 工作表5!$B$1:$B$23, "其他")</f>
        <v>手送台</v>
      </c>
      <c r="C1244" s="144" t="s">
        <v>631</v>
      </c>
      <c r="D1244" s="156"/>
      <c r="E1244" s="156" t="s">
        <v>1392</v>
      </c>
      <c r="F1244" s="156" t="s">
        <v>274</v>
      </c>
      <c r="G1244" s="154">
        <v>80000</v>
      </c>
    </row>
    <row r="1245" spans="1:7" ht="21.6" customHeight="1">
      <c r="A1245" s="154" t="s">
        <v>1306</v>
      </c>
      <c r="B1245" s="154" t="str" cm="1">
        <f t="array" ref="B1245">_xlfn.XLOOKUP(TRUE, ISNUMBER(SEARCH(工作表5!$A$1:$A$23, C1245)), 工作表5!$B$1:$B$23, "其他")</f>
        <v>手送台</v>
      </c>
      <c r="C1245" s="144" t="s">
        <v>115</v>
      </c>
      <c r="D1245" s="156"/>
      <c r="E1245" s="156" t="s">
        <v>1393</v>
      </c>
      <c r="F1245" s="156" t="s">
        <v>277</v>
      </c>
      <c r="G1245" s="154">
        <v>80000</v>
      </c>
    </row>
    <row r="1246" spans="1:7" ht="21.6" customHeight="1">
      <c r="A1246" s="154" t="s">
        <v>1306</v>
      </c>
      <c r="B1246" s="154" t="str" cm="1">
        <f t="array" ref="B1246">_xlfn.XLOOKUP(TRUE, ISNUMBER(SEARCH(工作表5!$A$1:$A$23, C1246)), 工作表5!$B$1:$B$23, "其他")</f>
        <v>取紙組</v>
      </c>
      <c r="C1246" s="144" t="s">
        <v>1829</v>
      </c>
      <c r="D1246" s="156"/>
      <c r="E1246" s="156" t="s">
        <v>1389</v>
      </c>
      <c r="F1246" s="156" t="s">
        <v>265</v>
      </c>
      <c r="G1246" s="154">
        <v>80000</v>
      </c>
    </row>
    <row r="1247" spans="1:7" ht="21.6" customHeight="1">
      <c r="A1247" s="154" t="s">
        <v>1306</v>
      </c>
      <c r="B1247" s="154" t="str" cm="1">
        <f t="array" ref="B1247">_xlfn.XLOOKUP(TRUE, ISNUMBER(SEARCH(工作表5!$A$1:$A$23, C1247)), 工作表5!$B$1:$B$23, "其他")</f>
        <v>取紙組</v>
      </c>
      <c r="C1247" s="144" t="s">
        <v>633</v>
      </c>
      <c r="D1247" s="156"/>
      <c r="E1247" s="156" t="s">
        <v>1390</v>
      </c>
      <c r="F1247" s="156" t="s">
        <v>269</v>
      </c>
      <c r="G1247" s="154">
        <v>80000</v>
      </c>
    </row>
    <row r="1248" spans="1:7" ht="21.6" customHeight="1">
      <c r="A1248" s="154" t="s">
        <v>1306</v>
      </c>
      <c r="B1248" s="154" t="str" cm="1">
        <f t="array" ref="B1248">_xlfn.XLOOKUP(TRUE, ISNUMBER(SEARCH(工作表5!$A$1:$A$23, C1248)), 工作表5!$B$1:$B$23, "其他")</f>
        <v>取紙組</v>
      </c>
      <c r="C1248" s="144" t="s">
        <v>1830</v>
      </c>
      <c r="D1248" s="156"/>
      <c r="E1248" s="156" t="s">
        <v>1391</v>
      </c>
      <c r="F1248" s="156" t="s">
        <v>272</v>
      </c>
      <c r="G1248" s="154">
        <v>80000</v>
      </c>
    </row>
    <row r="1249" spans="1:7" ht="21.6" customHeight="1">
      <c r="A1249" s="154" t="s">
        <v>1306</v>
      </c>
      <c r="B1249" s="154" t="str" cm="1">
        <f t="array" ref="B1249">_xlfn.XLOOKUP(TRUE, ISNUMBER(SEARCH(工作表5!$A$1:$A$23, C1249)), 工作表5!$B$1:$B$23, "其他")</f>
        <v>送稿機</v>
      </c>
      <c r="C1249" s="144" t="s">
        <v>1781</v>
      </c>
      <c r="D1249" s="156"/>
      <c r="E1249" s="156" t="s">
        <v>1375</v>
      </c>
      <c r="F1249" s="156" t="s">
        <v>226</v>
      </c>
      <c r="G1249" s="154">
        <v>120000</v>
      </c>
    </row>
    <row r="1250" spans="1:7" ht="21.6" customHeight="1">
      <c r="A1250" s="154" t="s">
        <v>1306</v>
      </c>
      <c r="B1250" s="154" t="str" cm="1">
        <f t="array" ref="B1250">_xlfn.XLOOKUP(TRUE, ISNUMBER(SEARCH(工作表5!$A$1:$A$23, C1250)), 工作表5!$B$1:$B$23, "其他")</f>
        <v>送稿機</v>
      </c>
      <c r="C1250" s="144" t="s">
        <v>278</v>
      </c>
      <c r="D1250" s="156"/>
      <c r="E1250" s="156" t="s">
        <v>1376</v>
      </c>
      <c r="F1250" s="156" t="s">
        <v>230</v>
      </c>
      <c r="G1250" s="154">
        <v>120000</v>
      </c>
    </row>
    <row r="1251" spans="1:7" ht="21.6" customHeight="1">
      <c r="A1251" s="154" t="s">
        <v>1306</v>
      </c>
      <c r="B1251" s="154" t="str" cm="1">
        <f t="array" ref="B1251">_xlfn.XLOOKUP(TRUE, ISNUMBER(SEARCH(工作表5!$A$1:$A$23, C1251)), 工作表5!$B$1:$B$23, "其他")</f>
        <v>大容量取紙組</v>
      </c>
      <c r="C1251" s="144" t="s">
        <v>237</v>
      </c>
      <c r="D1251" s="156"/>
      <c r="E1251" s="156" t="s">
        <v>1408</v>
      </c>
      <c r="F1251" s="156" t="s">
        <v>327</v>
      </c>
      <c r="G1251" s="154">
        <v>320000</v>
      </c>
    </row>
    <row r="1252" spans="1:7" ht="21.6" customHeight="1">
      <c r="A1252" s="154" t="s">
        <v>1306</v>
      </c>
      <c r="B1252" s="154" t="str" cm="1">
        <f t="array" ref="B1252">_xlfn.XLOOKUP(TRUE, ISNUMBER(SEARCH(工作表5!$A$1:$A$23, C1252)), 工作表5!$B$1:$B$23, "其他")</f>
        <v>取紙組</v>
      </c>
      <c r="C1252" s="144" t="s">
        <v>634</v>
      </c>
      <c r="D1252" s="156"/>
      <c r="E1252" s="156" t="s">
        <v>1409</v>
      </c>
      <c r="F1252" s="156" t="s">
        <v>330</v>
      </c>
      <c r="G1252" s="154">
        <v>320000</v>
      </c>
    </row>
    <row r="1253" spans="1:7" ht="21.6" customHeight="1">
      <c r="A1253" s="154" t="s">
        <v>1306</v>
      </c>
      <c r="B1253" s="154" t="str" cm="1">
        <f t="array" ref="B1253">_xlfn.XLOOKUP(TRUE, ISNUMBER(SEARCH(工作表5!$A$1:$A$23, C1253)), 工作表5!$B$1:$B$23, "其他")</f>
        <v>顯像組</v>
      </c>
      <c r="C1253" s="144" t="s">
        <v>637</v>
      </c>
      <c r="D1253" s="156"/>
      <c r="E1253" s="156" t="s">
        <v>1562</v>
      </c>
      <c r="F1253" s="156" t="s">
        <v>752</v>
      </c>
      <c r="G1253" s="154">
        <v>67200</v>
      </c>
    </row>
    <row r="1254" spans="1:7" ht="21.6" customHeight="1">
      <c r="A1254" s="154" t="s">
        <v>1306</v>
      </c>
      <c r="B1254" s="154" t="str" cm="1">
        <f t="array" ref="B1254">_xlfn.XLOOKUP(TRUE, ISNUMBER(SEARCH(工作表5!$A$1:$A$23, C1254)), 工作表5!$B$1:$B$23, "其他")</f>
        <v>顯像組</v>
      </c>
      <c r="C1254" s="144" t="s">
        <v>755</v>
      </c>
      <c r="D1254" s="156"/>
      <c r="E1254" s="156" t="s">
        <v>1563</v>
      </c>
      <c r="F1254" s="156" t="s">
        <v>754</v>
      </c>
      <c r="G1254" s="154">
        <v>67200</v>
      </c>
    </row>
    <row r="1255" spans="1:7" ht="21.6" customHeight="1">
      <c r="A1255" s="154" t="s">
        <v>1306</v>
      </c>
      <c r="B1255" s="154" t="str" cm="1">
        <f t="array" ref="B1255">_xlfn.XLOOKUP(TRUE, ISNUMBER(SEARCH(工作表5!$A$1:$A$23, C1255)), 工作表5!$B$1:$B$23, "其他")</f>
        <v>取紙組</v>
      </c>
      <c r="C1255" s="144" t="s">
        <v>638</v>
      </c>
      <c r="D1255" s="156"/>
      <c r="E1255" s="156" t="s">
        <v>1399</v>
      </c>
      <c r="F1255" s="156" t="s">
        <v>296</v>
      </c>
      <c r="G1255" s="154">
        <v>80000</v>
      </c>
    </row>
    <row r="1256" spans="1:7" ht="21.6" customHeight="1">
      <c r="A1256" s="154" t="s">
        <v>1306</v>
      </c>
      <c r="B1256" s="154" t="str" cm="1">
        <f t="array" ref="B1256">_xlfn.XLOOKUP(TRUE, ISNUMBER(SEARCH(工作表5!$A$1:$A$23, C1256)), 工作表5!$B$1:$B$23, "其他")</f>
        <v>送稿機</v>
      </c>
      <c r="C1256" s="144" t="s">
        <v>300</v>
      </c>
      <c r="D1256" s="156"/>
      <c r="E1256" s="156" t="s">
        <v>1400</v>
      </c>
      <c r="F1256" s="156" t="s">
        <v>299</v>
      </c>
      <c r="G1256" s="154">
        <v>120000</v>
      </c>
    </row>
    <row r="1257" spans="1:7" ht="21.6" customHeight="1">
      <c r="A1257" s="154" t="s">
        <v>1306</v>
      </c>
      <c r="B1257" s="154" t="str" cm="1">
        <f t="array" ref="B1257">_xlfn.XLOOKUP(TRUE, ISNUMBER(SEARCH(工作表5!$A$1:$A$23, C1257)), 工作表5!$B$1:$B$23, "其他")</f>
        <v>定著組</v>
      </c>
      <c r="C1257" s="144" t="s">
        <v>642</v>
      </c>
      <c r="D1257" s="156"/>
      <c r="E1257" s="156" t="s">
        <v>1584</v>
      </c>
      <c r="F1257" s="156" t="s">
        <v>814</v>
      </c>
      <c r="G1257" s="154">
        <v>168000</v>
      </c>
    </row>
    <row r="1258" spans="1:7" ht="21.6" customHeight="1">
      <c r="A1258" s="154" t="s">
        <v>1306</v>
      </c>
      <c r="B1258" s="154" t="str" cm="1">
        <f t="array" ref="B1258">_xlfn.XLOOKUP(TRUE, ISNUMBER(SEARCH(工作表5!$A$1:$A$23, C1258)), 工作表5!$B$1:$B$23, "其他")</f>
        <v>轉寫組</v>
      </c>
      <c r="C1258" s="144" t="s">
        <v>645</v>
      </c>
      <c r="D1258" s="156"/>
      <c r="E1258" s="156" t="s">
        <v>1525</v>
      </c>
      <c r="F1258" s="156" t="s">
        <v>644</v>
      </c>
      <c r="G1258" s="154">
        <v>168000</v>
      </c>
    </row>
    <row r="1259" spans="1:7" ht="21.6" customHeight="1">
      <c r="A1259" s="154" t="s">
        <v>1306</v>
      </c>
      <c r="B1259" s="154" t="str" cm="1">
        <f t="array" ref="B1259">_xlfn.XLOOKUP(TRUE, ISNUMBER(SEARCH(工作表5!$A$1:$A$23, C1259)), 工作表5!$B$1:$B$23, "其他")</f>
        <v>定著組</v>
      </c>
      <c r="C1259" s="145" t="s">
        <v>818</v>
      </c>
      <c r="D1259" s="156"/>
      <c r="E1259" s="156" t="s">
        <v>1585</v>
      </c>
      <c r="F1259" s="156" t="s">
        <v>817</v>
      </c>
      <c r="G1259" s="154" t="e">
        <v>#VALUE!</v>
      </c>
    </row>
    <row r="1260" spans="1:7" ht="21.6" customHeight="1">
      <c r="A1260" s="154" t="s">
        <v>1306</v>
      </c>
      <c r="B1260" s="154" t="str" cm="1">
        <f t="array" ref="B1260">_xlfn.XLOOKUP(TRUE, ISNUMBER(SEARCH(工作表5!$A$1:$A$23, C1260)), 工作表5!$B$1:$B$23, "其他")</f>
        <v>顯像組</v>
      </c>
      <c r="C1260" s="145" t="s">
        <v>129</v>
      </c>
      <c r="D1260" s="156"/>
      <c r="E1260" s="156" t="s">
        <v>1586</v>
      </c>
      <c r="F1260" s="156" t="s">
        <v>821</v>
      </c>
      <c r="G1260" s="154" t="e">
        <v>#VALUE!</v>
      </c>
    </row>
    <row r="1261" spans="1:7" ht="21.6" customHeight="1">
      <c r="A1261" s="154" t="s">
        <v>1306</v>
      </c>
      <c r="B1261" s="154" t="str" cm="1">
        <f t="array" ref="B1261">_xlfn.XLOOKUP(TRUE, ISNUMBER(SEARCH(工作表5!$A$1:$A$23, C1261)), 工作表5!$B$1:$B$23, "其他")</f>
        <v>顯像組</v>
      </c>
      <c r="C1261" s="145" t="s">
        <v>772</v>
      </c>
      <c r="D1261" s="156"/>
      <c r="E1261" s="156" t="s">
        <v>1587</v>
      </c>
      <c r="F1261" s="156" t="s">
        <v>823</v>
      </c>
      <c r="G1261" s="154" t="e">
        <v>#VALUE!</v>
      </c>
    </row>
    <row r="1262" spans="1:7" ht="21.6" customHeight="1">
      <c r="A1262" s="154" t="s">
        <v>1306</v>
      </c>
      <c r="B1262" s="154" t="str" cm="1">
        <f t="array" ref="B1262">_xlfn.XLOOKUP(TRUE, ISNUMBER(SEARCH(工作表5!$A$1:$A$23, C1262)), 工作表5!$B$1:$B$23, "其他")</f>
        <v>顯像組</v>
      </c>
      <c r="C1262" s="145" t="s">
        <v>775</v>
      </c>
      <c r="D1262" s="156"/>
      <c r="E1262" s="156" t="s">
        <v>1588</v>
      </c>
      <c r="F1262" s="156" t="s">
        <v>825</v>
      </c>
      <c r="G1262" s="154" t="e">
        <v>#VALUE!</v>
      </c>
    </row>
    <row r="1263" spans="1:7" ht="21.6" customHeight="1">
      <c r="A1263" s="154" t="s">
        <v>1306</v>
      </c>
      <c r="B1263" s="154" t="str" cm="1">
        <f t="array" ref="B1263">_xlfn.XLOOKUP(TRUE, ISNUMBER(SEARCH(工作表5!$A$1:$A$23, C1263)), 工作表5!$B$1:$B$23, "其他")</f>
        <v>顯像組</v>
      </c>
      <c r="C1263" s="145" t="s">
        <v>778</v>
      </c>
      <c r="D1263" s="156"/>
      <c r="E1263" s="156" t="s">
        <v>1589</v>
      </c>
      <c r="F1263" s="156" t="s">
        <v>827</v>
      </c>
      <c r="G1263" s="154" t="e">
        <v>#VALUE!</v>
      </c>
    </row>
    <row r="1264" spans="1:7" ht="21.6" customHeight="1">
      <c r="A1264" s="154" t="s">
        <v>1306</v>
      </c>
      <c r="B1264" s="154" t="str" cm="1">
        <f t="array" ref="B1264">_xlfn.XLOOKUP(TRUE, ISNUMBER(SEARCH(工作表5!$A$1:$A$23, C1264)), 工作表5!$B$1:$B$23, "其他")</f>
        <v>滾筒組</v>
      </c>
      <c r="C1264" s="145" t="s">
        <v>781</v>
      </c>
      <c r="D1264" s="156"/>
      <c r="E1264" s="156" t="s">
        <v>1590</v>
      </c>
      <c r="F1264" s="156" t="s">
        <v>829</v>
      </c>
      <c r="G1264" s="154" t="e">
        <v>#VALUE!</v>
      </c>
    </row>
    <row r="1265" spans="1:7" ht="21.6" customHeight="1">
      <c r="A1265" s="154" t="s">
        <v>1306</v>
      </c>
      <c r="B1265" s="154" t="str" cm="1">
        <f t="array" ref="B1265">_xlfn.XLOOKUP(TRUE, ISNUMBER(SEARCH(工作表5!$A$1:$A$23, C1265)), 工作表5!$B$1:$B$23, "其他")</f>
        <v>滾筒組</v>
      </c>
      <c r="C1265" s="145" t="s">
        <v>784</v>
      </c>
      <c r="D1265" s="156"/>
      <c r="E1265" s="156" t="s">
        <v>1591</v>
      </c>
      <c r="F1265" s="156" t="s">
        <v>831</v>
      </c>
      <c r="G1265" s="154" t="e">
        <v>#VALUE!</v>
      </c>
    </row>
    <row r="1266" spans="1:7" ht="21.6" customHeight="1">
      <c r="A1266" s="154" t="s">
        <v>1306</v>
      </c>
      <c r="B1266" s="154" t="str" cm="1">
        <f t="array" ref="B1266">_xlfn.XLOOKUP(TRUE, ISNUMBER(SEARCH(工作表5!$A$1:$A$23, C1266)), 工作表5!$B$1:$B$23, "其他")</f>
        <v>滾筒組</v>
      </c>
      <c r="C1266" s="145" t="s">
        <v>787</v>
      </c>
      <c r="D1266" s="156"/>
      <c r="E1266" s="156" t="s">
        <v>1592</v>
      </c>
      <c r="F1266" s="156" t="s">
        <v>833</v>
      </c>
      <c r="G1266" s="154" t="e">
        <v>#VALUE!</v>
      </c>
    </row>
    <row r="1267" spans="1:7" ht="21.6" customHeight="1">
      <c r="A1267" s="154" t="s">
        <v>1306</v>
      </c>
      <c r="B1267" s="154" t="str" cm="1">
        <f t="array" ref="B1267">_xlfn.XLOOKUP(TRUE, ISNUMBER(SEARCH(工作表5!$A$1:$A$23, C1267)), 工作表5!$B$1:$B$23, "其他")</f>
        <v>滾筒組</v>
      </c>
      <c r="C1267" s="145" t="s">
        <v>790</v>
      </c>
      <c r="D1267" s="156"/>
      <c r="E1267" s="156" t="s">
        <v>1593</v>
      </c>
      <c r="F1267" s="156" t="s">
        <v>835</v>
      </c>
      <c r="G1267" s="154" t="e">
        <v>#VALUE!</v>
      </c>
    </row>
    <row r="1268" spans="1:7" ht="21.6" customHeight="1">
      <c r="A1268" s="154" t="s">
        <v>1306</v>
      </c>
      <c r="B1268" s="154" t="str" cm="1">
        <f t="array" ref="B1268">_xlfn.XLOOKUP(TRUE, ISNUMBER(SEARCH(工作表5!$A$1:$A$23, C1268)), 工作表5!$B$1:$B$23, "其他")</f>
        <v>轉寫組</v>
      </c>
      <c r="C1268" s="147" t="s">
        <v>1821</v>
      </c>
      <c r="D1268" s="156"/>
      <c r="E1268" s="156" t="s">
        <v>1528</v>
      </c>
      <c r="F1268" s="156" t="s">
        <v>651</v>
      </c>
      <c r="G1268" s="154" t="e">
        <v>#VALUE!</v>
      </c>
    </row>
    <row r="1269" spans="1:7" ht="21.6" customHeight="1">
      <c r="A1269" s="154" t="s">
        <v>1307</v>
      </c>
      <c r="B1269" s="154" t="str" cm="1">
        <f t="array" ref="B1269">_xlfn.XLOOKUP(TRUE, ISNUMBER(SEARCH(工作表5!$A$1:$A$23, C1269)), 工作表5!$B$1:$B$23, "其他")</f>
        <v>滾筒組</v>
      </c>
      <c r="C1269" s="143" t="s">
        <v>193</v>
      </c>
      <c r="D1269" s="156"/>
      <c r="E1269" s="156" t="s">
        <v>1542</v>
      </c>
      <c r="F1269" s="156" t="s">
        <v>698</v>
      </c>
      <c r="G1269" s="154">
        <v>70000</v>
      </c>
    </row>
    <row r="1270" spans="1:7" ht="21.6" customHeight="1">
      <c r="A1270" s="154" t="s">
        <v>1307</v>
      </c>
      <c r="B1270" s="154" t="str" cm="1">
        <f t="array" ref="B1270">_xlfn.XLOOKUP(TRUE, ISNUMBER(SEARCH(工作表5!$A$1:$A$23, C1270)), 工作表5!$B$1:$B$23, "其他")</f>
        <v>顯像組</v>
      </c>
      <c r="C1270" s="145" t="s">
        <v>502</v>
      </c>
      <c r="D1270" s="156"/>
      <c r="E1270" s="156" t="s">
        <v>1543</v>
      </c>
      <c r="F1270" s="156" t="s">
        <v>700</v>
      </c>
      <c r="G1270" s="154">
        <v>70000</v>
      </c>
    </row>
    <row r="1271" spans="1:7" ht="21.6" customHeight="1">
      <c r="A1271" s="154" t="s">
        <v>1307</v>
      </c>
      <c r="B1271" s="154" t="str" cm="1">
        <f t="array" ref="B1271">_xlfn.XLOOKUP(TRUE, ISNUMBER(SEARCH(工作表5!$A$1:$A$23, C1271)), 工作表5!$B$1:$B$23, "其他")</f>
        <v>顯像組</v>
      </c>
      <c r="C1271" s="145" t="s">
        <v>703</v>
      </c>
      <c r="D1271" s="156"/>
      <c r="E1271" s="156" t="s">
        <v>1544</v>
      </c>
      <c r="F1271" s="156" t="s">
        <v>702</v>
      </c>
      <c r="G1271" s="154">
        <v>70000</v>
      </c>
    </row>
    <row r="1272" spans="1:7" ht="21.6" customHeight="1">
      <c r="A1272" s="154" t="s">
        <v>1307</v>
      </c>
      <c r="B1272" s="154" t="str" cm="1">
        <f t="array" ref="B1272">_xlfn.XLOOKUP(TRUE, ISNUMBER(SEARCH(工作表5!$A$1:$A$23, C1272)), 工作表5!$B$1:$B$23, "其他")</f>
        <v>顯像組</v>
      </c>
      <c r="C1272" s="144" t="s">
        <v>706</v>
      </c>
      <c r="D1272" s="156"/>
      <c r="E1272" s="156" t="s">
        <v>1545</v>
      </c>
      <c r="F1272" s="156" t="s">
        <v>705</v>
      </c>
      <c r="G1272" s="154">
        <v>70000</v>
      </c>
    </row>
    <row r="1273" spans="1:7" ht="21.6" customHeight="1">
      <c r="A1273" s="154" t="s">
        <v>1307</v>
      </c>
      <c r="B1273" s="154" t="str" cm="1">
        <f t="array" ref="B1273">_xlfn.XLOOKUP(TRUE, ISNUMBER(SEARCH(工作表5!$A$1:$A$23, C1273)), 工作表5!$B$1:$B$23, "其他")</f>
        <v>顯像組</v>
      </c>
      <c r="C1273" s="145" t="s">
        <v>709</v>
      </c>
      <c r="D1273" s="156"/>
      <c r="E1273" s="156" t="s">
        <v>1546</v>
      </c>
      <c r="F1273" s="156" t="s">
        <v>708</v>
      </c>
      <c r="G1273" s="154">
        <v>70000</v>
      </c>
    </row>
    <row r="1274" spans="1:7" ht="21.6" customHeight="1">
      <c r="A1274" s="154" t="s">
        <v>1307</v>
      </c>
      <c r="B1274" s="154" t="str" cm="1">
        <f t="array" ref="B1274">_xlfn.XLOOKUP(TRUE, ISNUMBER(SEARCH(工作表5!$A$1:$A$23, C1274)), 工作表5!$B$1:$B$23, "其他")</f>
        <v>滾筒組</v>
      </c>
      <c r="C1274" s="145" t="s">
        <v>415</v>
      </c>
      <c r="D1274" s="156"/>
      <c r="E1274" s="156" t="s">
        <v>1547</v>
      </c>
      <c r="F1274" s="156" t="s">
        <v>711</v>
      </c>
      <c r="G1274" s="154">
        <v>70000</v>
      </c>
    </row>
    <row r="1275" spans="1:7" ht="21.6" customHeight="1">
      <c r="A1275" s="154" t="s">
        <v>1307</v>
      </c>
      <c r="B1275" s="154" t="str" cm="1">
        <f t="array" ref="B1275">_xlfn.XLOOKUP(TRUE, ISNUMBER(SEARCH(工作表5!$A$1:$A$23, C1275)), 工作表5!$B$1:$B$23, "其他")</f>
        <v>轉寫組</v>
      </c>
      <c r="C1275" s="145" t="s">
        <v>533</v>
      </c>
      <c r="D1275" s="156"/>
      <c r="E1275" s="156" t="s">
        <v>1511</v>
      </c>
      <c r="F1275" s="156" t="s">
        <v>606</v>
      </c>
      <c r="G1275" s="154">
        <v>140000</v>
      </c>
    </row>
    <row r="1276" spans="1:7" ht="21.6" customHeight="1">
      <c r="A1276" s="154" t="s">
        <v>1305</v>
      </c>
      <c r="B1276" s="154" t="str" cm="1">
        <f t="array" ref="B1276">_xlfn.XLOOKUP(TRUE, ISNUMBER(SEARCH(工作表5!$A$1:$A$23, C1276)), 工作表5!$B$1:$B$23, "其他")</f>
        <v>定著組</v>
      </c>
      <c r="C1276" s="145" t="s">
        <v>1775</v>
      </c>
      <c r="D1276" s="156"/>
      <c r="E1276" s="156" t="s">
        <v>1548</v>
      </c>
      <c r="F1276" s="156" t="s">
        <v>713</v>
      </c>
      <c r="G1276" s="154">
        <v>210000</v>
      </c>
    </row>
    <row r="1277" spans="1:7" ht="21.6" customHeight="1">
      <c r="A1277" s="154" t="s">
        <v>1305</v>
      </c>
      <c r="B1277" s="154" t="str" cm="1">
        <f t="array" ref="B1277">_xlfn.XLOOKUP(TRUE, ISNUMBER(SEARCH(工作表5!$A$1:$A$23, C1277)), 工作表5!$B$1:$B$23, "其他")</f>
        <v>定著組</v>
      </c>
      <c r="C1277" s="145" t="s">
        <v>87</v>
      </c>
      <c r="D1277" s="156"/>
      <c r="E1277" s="156" t="s">
        <v>1549</v>
      </c>
      <c r="F1277" s="156" t="s">
        <v>715</v>
      </c>
      <c r="G1277" s="154">
        <v>210000</v>
      </c>
    </row>
    <row r="1278" spans="1:7" ht="21.6" customHeight="1">
      <c r="A1278" s="154" t="s">
        <v>1305</v>
      </c>
      <c r="B1278" s="154" t="str" cm="1">
        <f t="array" ref="B1278">_xlfn.XLOOKUP(TRUE, ISNUMBER(SEARCH(工作表5!$A$1:$A$23, C1278)), 工作表5!$B$1:$B$23, "其他")</f>
        <v>定著組</v>
      </c>
      <c r="C1278" s="145" t="str">
        <f>+C1131</f>
        <v>定著滾軸分離爪</v>
      </c>
      <c r="D1278" s="156"/>
      <c r="E1278" s="156" t="s">
        <v>1550</v>
      </c>
      <c r="F1278" s="156" t="s">
        <v>717</v>
      </c>
      <c r="G1278" s="154">
        <v>210000</v>
      </c>
    </row>
    <row r="1279" spans="1:7" ht="21.6" customHeight="1">
      <c r="A1279" s="154" t="s">
        <v>1305</v>
      </c>
      <c r="B1279" s="154" t="str" cm="1">
        <f t="array" ref="B1279">_xlfn.XLOOKUP(TRUE, ISNUMBER(SEARCH(工作表5!$A$1:$A$23, C1279)), 工作表5!$B$1:$B$23, "其他")</f>
        <v>其他</v>
      </c>
      <c r="C1279" s="145" t="e">
        <f>+#REF!</f>
        <v>#REF!</v>
      </c>
      <c r="D1279" s="156"/>
      <c r="E1279" s="156" t="s">
        <v>1521</v>
      </c>
      <c r="F1279" s="156" t="s">
        <v>627</v>
      </c>
      <c r="G1279" s="154">
        <v>210000</v>
      </c>
    </row>
    <row r="1280" spans="1:7" ht="21.6" customHeight="1">
      <c r="A1280" s="154" t="s">
        <v>1305</v>
      </c>
      <c r="B1280" s="154" t="str" cm="1">
        <f t="array" ref="B1280">_xlfn.XLOOKUP(TRUE, ISNUMBER(SEARCH(工作表5!$A$1:$A$23, C1280)), 工作表5!$B$1:$B$23, "其他")</f>
        <v>其他</v>
      </c>
      <c r="C1280" s="145" t="s">
        <v>101</v>
      </c>
      <c r="D1280" s="156"/>
      <c r="E1280" s="156" t="s">
        <v>1551</v>
      </c>
      <c r="F1280" s="156" t="s">
        <v>720</v>
      </c>
      <c r="G1280" s="154">
        <v>210000</v>
      </c>
    </row>
    <row r="1281" spans="1:7" ht="21.6" customHeight="1">
      <c r="A1281" s="154" t="s">
        <v>1305</v>
      </c>
      <c r="B1281" s="154" t="str" cm="1">
        <f t="array" ref="B1281">_xlfn.XLOOKUP(TRUE, ISNUMBER(SEARCH(工作表5!$A$1:$A$23, C1281)), 工作表5!$B$1:$B$23, "其他")</f>
        <v>轉寫組</v>
      </c>
      <c r="C1281" s="145" t="str">
        <f>+C1133</f>
        <v>轉寫清潔組接触滾軸</v>
      </c>
      <c r="D1281" s="156"/>
      <c r="E1281" s="156" t="s">
        <v>1552</v>
      </c>
      <c r="F1281" s="156" t="s">
        <v>722</v>
      </c>
      <c r="G1281" s="154">
        <v>210000</v>
      </c>
    </row>
    <row r="1282" spans="1:7" ht="21.6" customHeight="1">
      <c r="A1282" s="154" t="s">
        <v>1305</v>
      </c>
      <c r="B1282" s="154" t="str" cm="1">
        <f t="array" ref="B1282">_xlfn.XLOOKUP(TRUE, ISNUMBER(SEARCH(工作表5!$A$1:$A$23, C1282)), 工作表5!$B$1:$B$23, "其他")</f>
        <v>轉寫組</v>
      </c>
      <c r="C1282" s="145" t="str">
        <f>+C1134</f>
        <v>轉寫清潔組接触滾軸軸套</v>
      </c>
      <c r="D1282" s="156"/>
      <c r="E1282" s="156" t="s">
        <v>1553</v>
      </c>
      <c r="F1282" s="156" t="s">
        <v>725</v>
      </c>
      <c r="G1282" s="154">
        <v>210000</v>
      </c>
    </row>
    <row r="1283" spans="1:7" ht="21.6" customHeight="1">
      <c r="A1283" s="154" t="s">
        <v>1305</v>
      </c>
      <c r="B1283" s="154" t="str" cm="1">
        <f t="array" ref="B1283">_xlfn.XLOOKUP(TRUE, ISNUMBER(SEARCH(工作表5!$A$1:$A$23, C1283)), 工作表5!$B$1:$B$23, "其他")</f>
        <v>轉寫組</v>
      </c>
      <c r="C1283" s="145" t="s">
        <v>1824</v>
      </c>
      <c r="D1283" s="156"/>
      <c r="E1283" s="156" t="s">
        <v>1513</v>
      </c>
      <c r="F1283" s="156" t="s">
        <v>610</v>
      </c>
      <c r="G1283" s="154">
        <v>210000</v>
      </c>
    </row>
    <row r="1284" spans="1:7" ht="21.6" customHeight="1">
      <c r="A1284" s="154" t="s">
        <v>1305</v>
      </c>
      <c r="B1284" s="154" t="str" cm="1">
        <f t="array" ref="B1284">_xlfn.XLOOKUP(TRUE, ISNUMBER(SEARCH(工作表5!$A$1:$A$23, C1284)), 工作表5!$B$1:$B$23, "其他")</f>
        <v>轉寫組</v>
      </c>
      <c r="C1284" s="145" t="s">
        <v>1825</v>
      </c>
      <c r="D1284" s="156"/>
      <c r="E1284" s="156" t="s">
        <v>1514</v>
      </c>
      <c r="F1284" s="156" t="s">
        <v>612</v>
      </c>
      <c r="G1284" s="154">
        <v>210000</v>
      </c>
    </row>
    <row r="1285" spans="1:7" ht="21.6" customHeight="1">
      <c r="A1285" s="154" t="s">
        <v>1305</v>
      </c>
      <c r="B1285" s="154" t="str" cm="1">
        <f t="array" ref="B1285">_xlfn.XLOOKUP(TRUE, ISNUMBER(SEARCH(工作表5!$A$1:$A$23, C1285)), 工作表5!$B$1:$B$23, "其他")</f>
        <v>轉寫組</v>
      </c>
      <c r="C1285" s="145" t="str">
        <f>+C1137</f>
        <v>轉寫皮帶清潔刮片後側密封片</v>
      </c>
      <c r="D1285" s="156"/>
      <c r="E1285" s="156" t="s">
        <v>1515</v>
      </c>
      <c r="F1285" s="156" t="s">
        <v>614</v>
      </c>
      <c r="G1285" s="154">
        <v>210000</v>
      </c>
    </row>
    <row r="1286" spans="1:7" ht="21.6" customHeight="1">
      <c r="A1286" s="154" t="s">
        <v>1305</v>
      </c>
      <c r="B1286" s="154" t="str" cm="1">
        <f t="array" ref="B1286">_xlfn.XLOOKUP(TRUE, ISNUMBER(SEARCH(工作表5!$A$1:$A$23, C1286)), 工作表5!$B$1:$B$23, "其他")</f>
        <v>轉寫組</v>
      </c>
      <c r="C1286" s="145" t="s">
        <v>1812</v>
      </c>
      <c r="D1286" s="156"/>
      <c r="E1286" s="156" t="s">
        <v>1512</v>
      </c>
      <c r="F1286" s="156" t="s">
        <v>608</v>
      </c>
      <c r="G1286" s="154">
        <v>210000</v>
      </c>
    </row>
    <row r="1287" spans="1:7" ht="21.6" customHeight="1">
      <c r="A1287" s="154" t="s">
        <v>1307</v>
      </c>
      <c r="B1287" s="154" t="str" cm="1">
        <f t="array" ref="B1287">_xlfn.XLOOKUP(TRUE, ISNUMBER(SEARCH(工作表5!$A$1:$A$23, C1287)), 工作表5!$B$1:$B$23, "其他")</f>
        <v>滾筒組</v>
      </c>
      <c r="C1287" s="144" t="s">
        <v>107</v>
      </c>
      <c r="D1287" s="156"/>
      <c r="E1287" s="156" t="s">
        <v>1554</v>
      </c>
      <c r="F1287" s="156" t="s">
        <v>728</v>
      </c>
      <c r="G1287" s="154">
        <v>70000</v>
      </c>
    </row>
    <row r="1288" spans="1:7" ht="21.6" customHeight="1">
      <c r="A1288" s="154" t="s">
        <v>1307</v>
      </c>
      <c r="B1288" s="154" t="str" cm="1">
        <f t="array" ref="B1288">_xlfn.XLOOKUP(TRUE, ISNUMBER(SEARCH(工作表5!$A$1:$A$23, C1288)), 工作表5!$B$1:$B$23, "其他")</f>
        <v>顯像組</v>
      </c>
      <c r="C1288" s="145" t="s">
        <v>104</v>
      </c>
      <c r="D1288" s="156"/>
      <c r="E1288" s="156" t="s">
        <v>1508</v>
      </c>
      <c r="F1288" s="156" t="s">
        <v>599</v>
      </c>
      <c r="G1288" s="154">
        <v>70000</v>
      </c>
    </row>
    <row r="1289" spans="1:7" ht="21.6" customHeight="1">
      <c r="A1289" s="154" t="s">
        <v>1307</v>
      </c>
      <c r="B1289" s="154" t="str" cm="1">
        <f t="array" ref="B1289">_xlfn.XLOOKUP(TRUE, ISNUMBER(SEARCH(工作表5!$A$1:$A$23, C1289)), 工作表5!$B$1:$B$23, "其他")</f>
        <v>顯像組</v>
      </c>
      <c r="C1289" s="144" t="s">
        <v>1822</v>
      </c>
      <c r="D1289" s="156"/>
      <c r="E1289" s="156" t="s">
        <v>1555</v>
      </c>
      <c r="F1289" s="156" t="s">
        <v>730</v>
      </c>
      <c r="G1289" s="154">
        <v>70000</v>
      </c>
    </row>
    <row r="1290" spans="1:7" ht="21.6" customHeight="1">
      <c r="A1290" s="154" t="s">
        <v>1307</v>
      </c>
      <c r="B1290" s="154" t="str" cm="1">
        <f t="array" ref="B1290">_xlfn.XLOOKUP(TRUE, ISNUMBER(SEARCH(工作表5!$A$1:$A$23, C1290)), 工作表5!$B$1:$B$23, "其他")</f>
        <v>定著組</v>
      </c>
      <c r="C1290" s="144" t="s">
        <v>733</v>
      </c>
      <c r="D1290" s="156"/>
      <c r="E1290" s="156" t="s">
        <v>1556</v>
      </c>
      <c r="F1290" s="156" t="s">
        <v>732</v>
      </c>
      <c r="G1290" s="154">
        <v>70000</v>
      </c>
    </row>
    <row r="1291" spans="1:7" ht="21.6" customHeight="1">
      <c r="A1291" s="154" t="s">
        <v>1307</v>
      </c>
      <c r="B1291" s="154" t="str" cm="1">
        <f t="array" ref="B1291">_xlfn.XLOOKUP(TRUE, ISNUMBER(SEARCH(工作表5!$A$1:$A$23, C1291)), 工作表5!$B$1:$B$23, "其他")</f>
        <v>定著組</v>
      </c>
      <c r="C1291" s="144" t="s">
        <v>736</v>
      </c>
      <c r="D1291" s="156"/>
      <c r="E1291" s="156" t="s">
        <v>1557</v>
      </c>
      <c r="F1291" s="156" t="s">
        <v>735</v>
      </c>
      <c r="G1291" s="154">
        <v>70000</v>
      </c>
    </row>
    <row r="1292" spans="1:7" ht="21.6" customHeight="1">
      <c r="A1292" s="154" t="s">
        <v>1307</v>
      </c>
      <c r="B1292" s="154" t="str" cm="1">
        <f t="array" ref="B1292">_xlfn.XLOOKUP(TRUE, ISNUMBER(SEARCH(工作表5!$A$1:$A$23, C1292)), 工作表5!$B$1:$B$23, "其他")</f>
        <v>取紙組</v>
      </c>
      <c r="C1292" s="144" t="s">
        <v>399</v>
      </c>
      <c r="D1292" s="156"/>
      <c r="E1292" s="156" t="s">
        <v>1558</v>
      </c>
      <c r="F1292" s="156" t="s">
        <v>738</v>
      </c>
      <c r="G1292" s="154">
        <v>80000</v>
      </c>
    </row>
    <row r="1293" spans="1:7" ht="21.6" customHeight="1">
      <c r="A1293" s="154" t="s">
        <v>1307</v>
      </c>
      <c r="B1293" s="154" t="str" cm="1">
        <f t="array" ref="B1293">_xlfn.XLOOKUP(TRUE, ISNUMBER(SEARCH(工作表5!$A$1:$A$23, C1293)), 工作表5!$B$1:$B$23, "其他")</f>
        <v>取紙組</v>
      </c>
      <c r="C1293" s="144" t="s">
        <v>741</v>
      </c>
      <c r="D1293" s="156"/>
      <c r="E1293" s="156" t="s">
        <v>1559</v>
      </c>
      <c r="F1293" s="156" t="s">
        <v>740</v>
      </c>
      <c r="G1293" s="154">
        <v>80000</v>
      </c>
    </row>
    <row r="1294" spans="1:7" ht="21.6" customHeight="1">
      <c r="A1294" s="154" t="s">
        <v>1307</v>
      </c>
      <c r="B1294" s="154" t="str" cm="1">
        <f t="array" ref="B1294">_xlfn.XLOOKUP(TRUE, ISNUMBER(SEARCH(工作表5!$A$1:$A$23, C1294)), 工作表5!$B$1:$B$23, "其他")</f>
        <v>手送台</v>
      </c>
      <c r="C1294" s="144" t="s">
        <v>631</v>
      </c>
      <c r="D1294" s="156"/>
      <c r="E1294" s="156" t="s">
        <v>1392</v>
      </c>
      <c r="F1294" s="156" t="s">
        <v>274</v>
      </c>
      <c r="G1294" s="154">
        <v>80000</v>
      </c>
    </row>
    <row r="1295" spans="1:7" ht="21.6" customHeight="1">
      <c r="A1295" s="154" t="s">
        <v>1307</v>
      </c>
      <c r="B1295" s="154" t="str" cm="1">
        <f t="array" ref="B1295">_xlfn.XLOOKUP(TRUE, ISNUMBER(SEARCH(工作表5!$A$1:$A$23, C1295)), 工作表5!$B$1:$B$23, "其他")</f>
        <v>手送台</v>
      </c>
      <c r="C1295" s="144" t="s">
        <v>119</v>
      </c>
      <c r="D1295" s="156"/>
      <c r="E1295" s="156" t="s">
        <v>1560</v>
      </c>
      <c r="F1295" s="156" t="s">
        <v>743</v>
      </c>
      <c r="G1295" s="154">
        <v>80000</v>
      </c>
    </row>
    <row r="1296" spans="1:7" ht="21.6" customHeight="1">
      <c r="A1296" s="154" t="s">
        <v>1307</v>
      </c>
      <c r="B1296" s="154" t="str" cm="1">
        <f t="array" ref="B1296">_xlfn.XLOOKUP(TRUE, ISNUMBER(SEARCH(工作表5!$A$1:$A$23, C1296)), 工作表5!$B$1:$B$23, "其他")</f>
        <v>取紙組</v>
      </c>
      <c r="C1296" s="144" t="s">
        <v>1836</v>
      </c>
      <c r="D1296" s="156"/>
      <c r="E1296" s="156" t="s">
        <v>1389</v>
      </c>
      <c r="F1296" s="156" t="s">
        <v>265</v>
      </c>
      <c r="G1296" s="154">
        <v>80000</v>
      </c>
    </row>
    <row r="1297" spans="1:7" ht="21.6" customHeight="1">
      <c r="A1297" s="154" t="s">
        <v>1307</v>
      </c>
      <c r="B1297" s="154" t="str" cm="1">
        <f t="array" ref="B1297">_xlfn.XLOOKUP(TRUE, ISNUMBER(SEARCH(工作表5!$A$1:$A$23, C1297)), 工作表5!$B$1:$B$23, "其他")</f>
        <v>取紙組</v>
      </c>
      <c r="C1297" s="144" t="s">
        <v>745</v>
      </c>
      <c r="D1297" s="156"/>
      <c r="E1297" s="156" t="s">
        <v>1389</v>
      </c>
      <c r="F1297" s="156" t="s">
        <v>265</v>
      </c>
      <c r="G1297" s="154">
        <v>80000</v>
      </c>
    </row>
    <row r="1298" spans="1:7" ht="21.6" customHeight="1">
      <c r="A1298" s="154" t="s">
        <v>1307</v>
      </c>
      <c r="B1298" s="154" t="str" cm="1">
        <f t="array" ref="B1298">_xlfn.XLOOKUP(TRUE, ISNUMBER(SEARCH(工作表5!$A$1:$A$23, C1298)), 工作表5!$B$1:$B$23, "其他")</f>
        <v>取紙組</v>
      </c>
      <c r="C1298" s="144" t="s">
        <v>1837</v>
      </c>
      <c r="D1298" s="156"/>
      <c r="E1298" s="156" t="s">
        <v>1561</v>
      </c>
      <c r="F1298" s="156" t="s">
        <v>747</v>
      </c>
      <c r="G1298" s="154">
        <v>80000</v>
      </c>
    </row>
    <row r="1299" spans="1:7" ht="21.6" customHeight="1">
      <c r="A1299" s="154" t="s">
        <v>1307</v>
      </c>
      <c r="B1299" s="154" t="str" cm="1">
        <f t="array" ref="B1299">_xlfn.XLOOKUP(TRUE, ISNUMBER(SEARCH(工作表5!$A$1:$A$23, C1299)), 工作表5!$B$1:$B$23, "其他")</f>
        <v>送稿機</v>
      </c>
      <c r="C1299" s="145" t="s">
        <v>1838</v>
      </c>
      <c r="D1299" s="156"/>
      <c r="E1299" s="156" t="s">
        <v>1375</v>
      </c>
      <c r="F1299" s="156" t="s">
        <v>226</v>
      </c>
      <c r="G1299" s="154">
        <v>120000</v>
      </c>
    </row>
    <row r="1300" spans="1:7" ht="21.6" customHeight="1">
      <c r="A1300" s="154" t="s">
        <v>1307</v>
      </c>
      <c r="B1300" s="154" t="str" cm="1">
        <f t="array" ref="B1300">_xlfn.XLOOKUP(TRUE, ISNUMBER(SEARCH(工作表5!$A$1:$A$23, C1300)), 工作表5!$B$1:$B$23, "其他")</f>
        <v>送稿機</v>
      </c>
      <c r="C1300" s="145" t="s">
        <v>1839</v>
      </c>
      <c r="D1300" s="156"/>
      <c r="E1300" s="156" t="s">
        <v>1376</v>
      </c>
      <c r="F1300" s="156" t="s">
        <v>230</v>
      </c>
      <c r="G1300" s="154">
        <v>120000</v>
      </c>
    </row>
    <row r="1301" spans="1:7" ht="21.6" customHeight="1">
      <c r="A1301" s="154" t="s">
        <v>1307</v>
      </c>
      <c r="B1301" s="154" t="str" cm="1">
        <f t="array" ref="B1301">_xlfn.XLOOKUP(TRUE, ISNUMBER(SEARCH(工作表5!$A$1:$A$23, C1301)), 工作表5!$B$1:$B$23, "其他")</f>
        <v>取紙組</v>
      </c>
      <c r="C1301" s="144" t="s">
        <v>1840</v>
      </c>
      <c r="D1301" s="156"/>
      <c r="E1301" s="156" t="s">
        <v>1377</v>
      </c>
      <c r="F1301" s="156" t="s">
        <v>232</v>
      </c>
      <c r="G1301" s="154">
        <v>160000</v>
      </c>
    </row>
    <row r="1302" spans="1:7" ht="21.6" customHeight="1">
      <c r="A1302" s="154" t="s">
        <v>1307</v>
      </c>
      <c r="B1302" s="154" t="str" cm="1">
        <f t="array" ref="B1302">_xlfn.XLOOKUP(TRUE, ISNUMBER(SEARCH(工作表5!$A$1:$A$23, C1302)), 工作表5!$B$1:$B$23, "其他")</f>
        <v>大容量取紙組</v>
      </c>
      <c r="C1302" s="144" t="s">
        <v>237</v>
      </c>
      <c r="D1302" s="156"/>
      <c r="E1302" s="156" t="s">
        <v>1378</v>
      </c>
      <c r="F1302" s="156" t="s">
        <v>236</v>
      </c>
      <c r="G1302" s="154">
        <v>160000</v>
      </c>
    </row>
    <row r="1303" spans="1:7" ht="21.6" customHeight="1">
      <c r="A1303" s="154" t="s">
        <v>1307</v>
      </c>
      <c r="B1303" s="154" t="str" cm="1">
        <f t="array" ref="B1303">_xlfn.XLOOKUP(TRUE, ISNUMBER(SEARCH(工作表5!$A$1:$A$23, C1303)), 工作表5!$B$1:$B$23, "其他")</f>
        <v>取紙組</v>
      </c>
      <c r="C1303" s="144" t="s">
        <v>749</v>
      </c>
      <c r="D1303" s="156"/>
      <c r="E1303" s="156" t="s">
        <v>1379</v>
      </c>
      <c r="F1303" s="156" t="s">
        <v>239</v>
      </c>
      <c r="G1303" s="154">
        <v>160000</v>
      </c>
    </row>
    <row r="1304" spans="1:7" ht="21.6" customHeight="1">
      <c r="A1304" s="154" t="s">
        <v>1307</v>
      </c>
      <c r="B1304" s="154" t="str" cm="1">
        <f t="array" ref="B1304">_xlfn.XLOOKUP(TRUE, ISNUMBER(SEARCH(工作表5!$A$1:$A$23, C1304)), 工作表5!$B$1:$B$23, "其他")</f>
        <v>顯像組</v>
      </c>
      <c r="C1304" s="144" t="s">
        <v>637</v>
      </c>
      <c r="D1304" s="156"/>
      <c r="E1304" s="156" t="s">
        <v>1562</v>
      </c>
      <c r="F1304" s="156" t="s">
        <v>752</v>
      </c>
      <c r="G1304" s="154">
        <v>70000</v>
      </c>
    </row>
    <row r="1305" spans="1:7" ht="21.6" customHeight="1">
      <c r="A1305" s="154" t="s">
        <v>1307</v>
      </c>
      <c r="B1305" s="154" t="str" cm="1">
        <f t="array" ref="B1305">_xlfn.XLOOKUP(TRUE, ISNUMBER(SEARCH(工作表5!$A$1:$A$23, C1305)), 工作表5!$B$1:$B$23, "其他")</f>
        <v>顯像組</v>
      </c>
      <c r="C1305" s="144" t="s">
        <v>755</v>
      </c>
      <c r="D1305" s="156"/>
      <c r="E1305" s="156" t="s">
        <v>1563</v>
      </c>
      <c r="F1305" s="156" t="s">
        <v>754</v>
      </c>
      <c r="G1305" s="154">
        <v>70000</v>
      </c>
    </row>
    <row r="1306" spans="1:7" ht="21.6" customHeight="1">
      <c r="A1306" s="154" t="s">
        <v>1307</v>
      </c>
      <c r="B1306" s="154" t="str" cm="1">
        <f t="array" ref="B1306">_xlfn.XLOOKUP(TRUE, ISNUMBER(SEARCH(工作表5!$A$1:$A$23, C1306)), 工作表5!$B$1:$B$23, "其他")</f>
        <v>取紙組</v>
      </c>
      <c r="C1306" s="144" t="s">
        <v>758</v>
      </c>
      <c r="D1306" s="156"/>
      <c r="E1306" s="156" t="s">
        <v>1564</v>
      </c>
      <c r="F1306" s="156" t="s">
        <v>757</v>
      </c>
      <c r="G1306" s="154">
        <v>80000</v>
      </c>
    </row>
    <row r="1307" spans="1:7" ht="21.6" customHeight="1">
      <c r="A1307" s="154" t="s">
        <v>1307</v>
      </c>
      <c r="B1307" s="154" t="str" cm="1">
        <f t="array" ref="B1307">_xlfn.XLOOKUP(TRUE, ISNUMBER(SEARCH(工作表5!$A$1:$A$23, C1307)), 工作表5!$B$1:$B$23, "其他")</f>
        <v>送稿機</v>
      </c>
      <c r="C1307" s="144" t="s">
        <v>759</v>
      </c>
      <c r="D1307" s="156"/>
      <c r="E1307" s="156" t="s">
        <v>1383</v>
      </c>
      <c r="F1307" s="156" t="s">
        <v>249</v>
      </c>
      <c r="G1307" s="154">
        <v>120000</v>
      </c>
    </row>
    <row r="1308" spans="1:7" ht="21.6" customHeight="1">
      <c r="A1308" s="154" t="s">
        <v>1307</v>
      </c>
      <c r="B1308" s="154" t="str" cm="1">
        <f t="array" ref="B1308">_xlfn.XLOOKUP(TRUE, ISNUMBER(SEARCH(工作表5!$A$1:$A$23, C1308)), 工作表5!$B$1:$B$23, "其他")</f>
        <v>其他</v>
      </c>
      <c r="C1308" s="144" t="s">
        <v>760</v>
      </c>
      <c r="D1308" s="156"/>
      <c r="E1308" s="156" t="s">
        <v>1384</v>
      </c>
      <c r="F1308" s="156" t="s">
        <v>252</v>
      </c>
      <c r="G1308" s="154">
        <v>160000</v>
      </c>
    </row>
    <row r="1309" spans="1:7" ht="21.6" customHeight="1">
      <c r="A1309" s="154" t="s">
        <v>1307</v>
      </c>
      <c r="B1309" s="154" t="str" cm="1">
        <f t="array" ref="B1309">_xlfn.XLOOKUP(TRUE, ISNUMBER(SEARCH(工作表5!$A$1:$A$23, C1309)), 工作表5!$B$1:$B$23, "其他")</f>
        <v>定著組</v>
      </c>
      <c r="C1309" s="144" t="str">
        <f>+C1161</f>
        <v>定著保養套件</v>
      </c>
      <c r="D1309" s="156"/>
      <c r="E1309" s="156" t="s">
        <v>1565</v>
      </c>
      <c r="F1309" s="156" t="s">
        <v>762</v>
      </c>
      <c r="G1309" s="154">
        <v>210000</v>
      </c>
    </row>
    <row r="1310" spans="1:7" ht="21.6" customHeight="1">
      <c r="A1310" s="154" t="s">
        <v>1307</v>
      </c>
      <c r="B1310" s="154" t="str" cm="1">
        <f t="array" ref="B1310">_xlfn.XLOOKUP(TRUE, ISNUMBER(SEARCH(工作表5!$A$1:$A$23, C1310)), 工作表5!$B$1:$B$23, "其他")</f>
        <v>轉寫組</v>
      </c>
      <c r="C1310" s="144" t="str">
        <f>+C1162</f>
        <v>轉寫組保養套件</v>
      </c>
      <c r="D1310" s="156"/>
      <c r="E1310" s="156" t="s">
        <v>1566</v>
      </c>
      <c r="F1310" s="156" t="s">
        <v>764</v>
      </c>
      <c r="G1310" s="154">
        <v>210000</v>
      </c>
    </row>
    <row r="1311" spans="1:7" ht="21.6" customHeight="1">
      <c r="A1311" s="154" t="s">
        <v>1307</v>
      </c>
      <c r="B1311" s="154" t="str" cm="1">
        <f t="array" ref="B1311">_xlfn.XLOOKUP(TRUE, ISNUMBER(SEARCH(工作表5!$A$1:$A$23, C1311)), 工作表5!$B$1:$B$23, "其他")</f>
        <v>定著組</v>
      </c>
      <c r="C1311" s="145" t="s">
        <v>767</v>
      </c>
      <c r="D1311" s="156"/>
      <c r="E1311" s="156" t="s">
        <v>1567</v>
      </c>
      <c r="F1311" s="156" t="s">
        <v>766</v>
      </c>
      <c r="G1311" s="154" t="e">
        <v>#VALUE!</v>
      </c>
    </row>
    <row r="1312" spans="1:7" ht="21.6" customHeight="1">
      <c r="A1312" s="154" t="s">
        <v>1307</v>
      </c>
      <c r="B1312" s="154" t="str" cm="1">
        <f t="array" ref="B1312">_xlfn.XLOOKUP(TRUE, ISNUMBER(SEARCH(工作表5!$A$1:$A$23, C1312)), 工作表5!$B$1:$B$23, "其他")</f>
        <v>顯像組</v>
      </c>
      <c r="C1312" s="145" t="s">
        <v>129</v>
      </c>
      <c r="D1312" s="156"/>
      <c r="E1312" s="156" t="s">
        <v>1568</v>
      </c>
      <c r="F1312" s="156" t="s">
        <v>769</v>
      </c>
      <c r="G1312" s="154" t="e">
        <v>#VALUE!</v>
      </c>
    </row>
    <row r="1313" spans="1:7" ht="21.6" customHeight="1">
      <c r="A1313" s="154" t="s">
        <v>1307</v>
      </c>
      <c r="B1313" s="154" t="str" cm="1">
        <f t="array" ref="B1313">_xlfn.XLOOKUP(TRUE, ISNUMBER(SEARCH(工作表5!$A$1:$A$23, C1313)), 工作表5!$B$1:$B$23, "其他")</f>
        <v>顯像組</v>
      </c>
      <c r="C1313" s="145" t="s">
        <v>772</v>
      </c>
      <c r="D1313" s="156"/>
      <c r="E1313" s="156" t="s">
        <v>1569</v>
      </c>
      <c r="F1313" s="156" t="s">
        <v>771</v>
      </c>
      <c r="G1313" s="154" t="e">
        <v>#VALUE!</v>
      </c>
    </row>
    <row r="1314" spans="1:7" ht="21.6" customHeight="1">
      <c r="A1314" s="154" t="s">
        <v>1307</v>
      </c>
      <c r="B1314" s="154" t="str" cm="1">
        <f t="array" ref="B1314">_xlfn.XLOOKUP(TRUE, ISNUMBER(SEARCH(工作表5!$A$1:$A$23, C1314)), 工作表5!$B$1:$B$23, "其他")</f>
        <v>顯像組</v>
      </c>
      <c r="C1314" s="145" t="s">
        <v>775</v>
      </c>
      <c r="D1314" s="156"/>
      <c r="E1314" s="156" t="s">
        <v>1570</v>
      </c>
      <c r="F1314" s="156" t="s">
        <v>774</v>
      </c>
      <c r="G1314" s="154" t="e">
        <v>#VALUE!</v>
      </c>
    </row>
    <row r="1315" spans="1:7" ht="21.6" customHeight="1">
      <c r="A1315" s="154" t="s">
        <v>1307</v>
      </c>
      <c r="B1315" s="154" t="str" cm="1">
        <f t="array" ref="B1315">_xlfn.XLOOKUP(TRUE, ISNUMBER(SEARCH(工作表5!$A$1:$A$23, C1315)), 工作表5!$B$1:$B$23, "其他")</f>
        <v>顯像組</v>
      </c>
      <c r="C1315" s="145" t="s">
        <v>778</v>
      </c>
      <c r="D1315" s="156"/>
      <c r="E1315" s="156" t="s">
        <v>1571</v>
      </c>
      <c r="F1315" s="156" t="s">
        <v>777</v>
      </c>
      <c r="G1315" s="154" t="e">
        <v>#VALUE!</v>
      </c>
    </row>
    <row r="1316" spans="1:7" ht="21.6" customHeight="1">
      <c r="A1316" s="154" t="s">
        <v>1307</v>
      </c>
      <c r="B1316" s="154" t="str" cm="1">
        <f t="array" ref="B1316">_xlfn.XLOOKUP(TRUE, ISNUMBER(SEARCH(工作表5!$A$1:$A$23, C1316)), 工作表5!$B$1:$B$23, "其他")</f>
        <v>滾筒組</v>
      </c>
      <c r="C1316" s="145" t="s">
        <v>781</v>
      </c>
      <c r="D1316" s="156"/>
      <c r="E1316" s="156" t="s">
        <v>1572</v>
      </c>
      <c r="F1316" s="156" t="s">
        <v>780</v>
      </c>
      <c r="G1316" s="154" t="e">
        <v>#VALUE!</v>
      </c>
    </row>
    <row r="1317" spans="1:7" ht="21.6" customHeight="1">
      <c r="A1317" s="154" t="s">
        <v>1307</v>
      </c>
      <c r="B1317" s="154" t="str" cm="1">
        <f t="array" ref="B1317">_xlfn.XLOOKUP(TRUE, ISNUMBER(SEARCH(工作表5!$A$1:$A$23, C1317)), 工作表5!$B$1:$B$23, "其他")</f>
        <v>滾筒組</v>
      </c>
      <c r="C1317" s="145" t="s">
        <v>784</v>
      </c>
      <c r="D1317" s="156"/>
      <c r="E1317" s="156" t="s">
        <v>1573</v>
      </c>
      <c r="F1317" s="156" t="s">
        <v>783</v>
      </c>
      <c r="G1317" s="154" t="e">
        <v>#VALUE!</v>
      </c>
    </row>
    <row r="1318" spans="1:7" ht="21.6" customHeight="1">
      <c r="A1318" s="154" t="s">
        <v>1307</v>
      </c>
      <c r="B1318" s="154" t="str" cm="1">
        <f t="array" ref="B1318">_xlfn.XLOOKUP(TRUE, ISNUMBER(SEARCH(工作表5!$A$1:$A$23, C1318)), 工作表5!$B$1:$B$23, "其他")</f>
        <v>滾筒組</v>
      </c>
      <c r="C1318" s="145" t="s">
        <v>787</v>
      </c>
      <c r="D1318" s="156"/>
      <c r="E1318" s="156" t="s">
        <v>1574</v>
      </c>
      <c r="F1318" s="156" t="s">
        <v>786</v>
      </c>
      <c r="G1318" s="154" t="e">
        <v>#VALUE!</v>
      </c>
    </row>
    <row r="1319" spans="1:7" ht="21.6" customHeight="1">
      <c r="A1319" s="154" t="s">
        <v>1307</v>
      </c>
      <c r="B1319" s="154" t="str" cm="1">
        <f t="array" ref="B1319">_xlfn.XLOOKUP(TRUE, ISNUMBER(SEARCH(工作表5!$A$1:$A$23, C1319)), 工作表5!$B$1:$B$23, "其他")</f>
        <v>滾筒組</v>
      </c>
      <c r="C1319" s="145" t="s">
        <v>790</v>
      </c>
      <c r="D1319" s="156"/>
      <c r="E1319" s="156" t="s">
        <v>1575</v>
      </c>
      <c r="F1319" s="156" t="s">
        <v>789</v>
      </c>
      <c r="G1319" s="154" t="e">
        <v>#VALUE!</v>
      </c>
    </row>
    <row r="1320" spans="1:7" ht="21.6" customHeight="1">
      <c r="A1320" s="154" t="s">
        <v>1307</v>
      </c>
      <c r="B1320" s="154" t="str" cm="1">
        <f t="array" ref="B1320">_xlfn.XLOOKUP(TRUE, ISNUMBER(SEARCH(工作表5!$A$1:$A$23, C1320)), 工作表5!$B$1:$B$23, "其他")</f>
        <v>轉寫組</v>
      </c>
      <c r="C1320" s="147" t="s">
        <v>1821</v>
      </c>
      <c r="D1320" s="156"/>
      <c r="E1320" s="156" t="s">
        <v>1576</v>
      </c>
      <c r="F1320" s="156" t="s">
        <v>792</v>
      </c>
      <c r="G1320" s="154" t="e">
        <v>#VALUE!</v>
      </c>
    </row>
    <row r="1321" spans="1:7" ht="21.6" customHeight="1">
      <c r="A1321" s="154" t="s">
        <v>38</v>
      </c>
      <c r="B1321" s="154" t="str" cm="1">
        <f t="array" ref="B1321">_xlfn.XLOOKUP(TRUE, ISNUMBER(SEARCH(工作表5!$A$1:$A$23, C1321)), 工作表5!$B$1:$B$23, "其他")</f>
        <v>滾筒組</v>
      </c>
      <c r="C1321" s="143" t="s">
        <v>193</v>
      </c>
      <c r="D1321" s="156"/>
      <c r="E1321" s="156" t="s">
        <v>1542</v>
      </c>
      <c r="F1321" s="156" t="s">
        <v>698</v>
      </c>
      <c r="G1321" s="154">
        <v>84000</v>
      </c>
    </row>
    <row r="1322" spans="1:7" ht="21.6" customHeight="1">
      <c r="A1322" s="154" t="s">
        <v>38</v>
      </c>
      <c r="B1322" s="154" t="str" cm="1">
        <f t="array" ref="B1322">_xlfn.XLOOKUP(TRUE, ISNUMBER(SEARCH(工作表5!$A$1:$A$23, C1322)), 工作表5!$B$1:$B$23, "其他")</f>
        <v>顯像組</v>
      </c>
      <c r="C1322" s="145" t="s">
        <v>502</v>
      </c>
      <c r="D1322" s="156"/>
      <c r="E1322" s="156" t="s">
        <v>1543</v>
      </c>
      <c r="F1322" s="156" t="s">
        <v>700</v>
      </c>
      <c r="G1322" s="154">
        <v>84000</v>
      </c>
    </row>
    <row r="1323" spans="1:7" ht="21.6" customHeight="1">
      <c r="A1323" s="154" t="s">
        <v>38</v>
      </c>
      <c r="B1323" s="154" t="str" cm="1">
        <f t="array" ref="B1323">_xlfn.XLOOKUP(TRUE, ISNUMBER(SEARCH(工作表5!$A$1:$A$23, C1323)), 工作表5!$B$1:$B$23, "其他")</f>
        <v>顯像組</v>
      </c>
      <c r="C1323" s="145" t="s">
        <v>703</v>
      </c>
      <c r="D1323" s="156"/>
      <c r="E1323" s="156" t="s">
        <v>1544</v>
      </c>
      <c r="F1323" s="156" t="s">
        <v>702</v>
      </c>
      <c r="G1323" s="154">
        <v>84000</v>
      </c>
    </row>
    <row r="1324" spans="1:7" ht="21.6" customHeight="1">
      <c r="A1324" s="154" t="s">
        <v>38</v>
      </c>
      <c r="B1324" s="154" t="str" cm="1">
        <f t="array" ref="B1324">_xlfn.XLOOKUP(TRUE, ISNUMBER(SEARCH(工作表5!$A$1:$A$23, C1324)), 工作表5!$B$1:$B$23, "其他")</f>
        <v>顯像組</v>
      </c>
      <c r="C1324" s="144" t="s">
        <v>706</v>
      </c>
      <c r="D1324" s="156"/>
      <c r="E1324" s="156" t="s">
        <v>1545</v>
      </c>
      <c r="F1324" s="156" t="s">
        <v>705</v>
      </c>
      <c r="G1324" s="154">
        <v>84000</v>
      </c>
    </row>
    <row r="1325" spans="1:7" ht="21.6" customHeight="1">
      <c r="A1325" s="154" t="s">
        <v>38</v>
      </c>
      <c r="B1325" s="154" t="str" cm="1">
        <f t="array" ref="B1325">_xlfn.XLOOKUP(TRUE, ISNUMBER(SEARCH(工作表5!$A$1:$A$23, C1325)), 工作表5!$B$1:$B$23, "其他")</f>
        <v>顯像組</v>
      </c>
      <c r="C1325" s="145" t="s">
        <v>709</v>
      </c>
      <c r="D1325" s="156"/>
      <c r="E1325" s="156" t="s">
        <v>1546</v>
      </c>
      <c r="F1325" s="156" t="s">
        <v>708</v>
      </c>
      <c r="G1325" s="154">
        <v>84000</v>
      </c>
    </row>
    <row r="1326" spans="1:7" ht="21.6" customHeight="1">
      <c r="A1326" s="154" t="s">
        <v>38</v>
      </c>
      <c r="B1326" s="154" t="str" cm="1">
        <f t="array" ref="B1326">_xlfn.XLOOKUP(TRUE, ISNUMBER(SEARCH(工作表5!$A$1:$A$23, C1326)), 工作表5!$B$1:$B$23, "其他")</f>
        <v>滾筒組</v>
      </c>
      <c r="C1326" s="145" t="s">
        <v>415</v>
      </c>
      <c r="D1326" s="156"/>
      <c r="E1326" s="156" t="s">
        <v>1547</v>
      </c>
      <c r="F1326" s="156" t="s">
        <v>711</v>
      </c>
      <c r="G1326" s="154">
        <v>84000</v>
      </c>
    </row>
    <row r="1327" spans="1:7" ht="21.6" customHeight="1">
      <c r="A1327" s="154" t="s">
        <v>38</v>
      </c>
      <c r="B1327" s="154" t="str" cm="1">
        <f t="array" ref="B1327">_xlfn.XLOOKUP(TRUE, ISNUMBER(SEARCH(工作表5!$A$1:$A$23, C1327)), 工作表5!$B$1:$B$23, "其他")</f>
        <v>轉寫組</v>
      </c>
      <c r="C1327" s="145" t="s">
        <v>533</v>
      </c>
      <c r="D1327" s="156"/>
      <c r="E1327" s="156" t="s">
        <v>1511</v>
      </c>
      <c r="F1327" s="156" t="s">
        <v>606</v>
      </c>
      <c r="G1327" s="154">
        <v>210000</v>
      </c>
    </row>
    <row r="1328" spans="1:7" ht="21.6" customHeight="1">
      <c r="A1328" s="154" t="s">
        <v>38</v>
      </c>
      <c r="B1328" s="154" t="str" cm="1">
        <f t="array" ref="B1328">_xlfn.XLOOKUP(TRUE, ISNUMBER(SEARCH(工作表5!$A$1:$A$23, C1328)), 工作表5!$B$1:$B$23, "其他")</f>
        <v>定著組</v>
      </c>
      <c r="C1328" s="145" t="s">
        <v>1775</v>
      </c>
      <c r="D1328" s="156"/>
      <c r="E1328" s="156" t="s">
        <v>1548</v>
      </c>
      <c r="F1328" s="156" t="s">
        <v>713</v>
      </c>
      <c r="G1328" s="154">
        <v>210000</v>
      </c>
    </row>
    <row r="1329" spans="1:7" ht="21.6" customHeight="1">
      <c r="A1329" s="154" t="s">
        <v>38</v>
      </c>
      <c r="B1329" s="154" t="str" cm="1">
        <f t="array" ref="B1329">_xlfn.XLOOKUP(TRUE, ISNUMBER(SEARCH(工作表5!$A$1:$A$23, C1329)), 工作表5!$B$1:$B$23, "其他")</f>
        <v>定著組</v>
      </c>
      <c r="C1329" s="145" t="s">
        <v>87</v>
      </c>
      <c r="D1329" s="156"/>
      <c r="E1329" s="156" t="s">
        <v>1549</v>
      </c>
      <c r="F1329" s="156" t="s">
        <v>715</v>
      </c>
      <c r="G1329" s="154">
        <v>210000</v>
      </c>
    </row>
    <row r="1330" spans="1:7" ht="21.6" customHeight="1">
      <c r="A1330" s="154" t="s">
        <v>38</v>
      </c>
      <c r="B1330" s="154" t="str" cm="1">
        <f t="array" ref="B1330">_xlfn.XLOOKUP(TRUE, ISNUMBER(SEARCH(工作表5!$A$1:$A$23, C1330)), 工作表5!$B$1:$B$23, "其他")</f>
        <v>定著組</v>
      </c>
      <c r="C1330" s="145" t="s">
        <v>718</v>
      </c>
      <c r="D1330" s="156"/>
      <c r="E1330" s="156" t="s">
        <v>1550</v>
      </c>
      <c r="F1330" s="156" t="s">
        <v>717</v>
      </c>
      <c r="G1330" s="154">
        <v>210000</v>
      </c>
    </row>
    <row r="1331" spans="1:7" ht="21.6" customHeight="1">
      <c r="A1331" s="154" t="s">
        <v>38</v>
      </c>
      <c r="B1331" s="154" t="str" cm="1">
        <f t="array" ref="B1331">_xlfn.XLOOKUP(TRUE, ISNUMBER(SEARCH(工作表5!$A$1:$A$23, C1331)), 工作表5!$B$1:$B$23, "其他")</f>
        <v>定著組</v>
      </c>
      <c r="C1331" s="145" t="s">
        <v>628</v>
      </c>
      <c r="D1331" s="156"/>
      <c r="E1331" s="156" t="s">
        <v>1577</v>
      </c>
      <c r="F1331" s="156" t="s">
        <v>794</v>
      </c>
      <c r="G1331" s="154">
        <v>210000</v>
      </c>
    </row>
    <row r="1332" spans="1:7" ht="21.6" customHeight="1">
      <c r="A1332" s="154" t="s">
        <v>38</v>
      </c>
      <c r="B1332" s="154" t="str" cm="1">
        <f t="array" ref="B1332">_xlfn.XLOOKUP(TRUE, ISNUMBER(SEARCH(工作表5!$A$1:$A$23, C1332)), 工作表5!$B$1:$B$23, "其他")</f>
        <v>其他</v>
      </c>
      <c r="C1332" s="145" t="s">
        <v>101</v>
      </c>
      <c r="D1332" s="156"/>
      <c r="E1332" s="156" t="s">
        <v>1551</v>
      </c>
      <c r="F1332" s="156" t="s">
        <v>720</v>
      </c>
      <c r="G1332" s="154">
        <v>210000</v>
      </c>
    </row>
    <row r="1333" spans="1:7" ht="21.6" customHeight="1">
      <c r="A1333" s="154" t="s">
        <v>38</v>
      </c>
      <c r="B1333" s="154" t="str" cm="1">
        <f t="array" ref="B1333">_xlfn.XLOOKUP(TRUE, ISNUMBER(SEARCH(工作表5!$A$1:$A$23, C1333)), 工作表5!$B$1:$B$23, "其他")</f>
        <v>轉寫組</v>
      </c>
      <c r="C1333" s="145" t="s">
        <v>1824</v>
      </c>
      <c r="D1333" s="156"/>
      <c r="E1333" s="156" t="s">
        <v>1513</v>
      </c>
      <c r="F1333" s="156" t="s">
        <v>610</v>
      </c>
      <c r="G1333" s="154">
        <v>210000</v>
      </c>
    </row>
    <row r="1334" spans="1:7" ht="21.6" customHeight="1">
      <c r="A1334" s="154" t="s">
        <v>38</v>
      </c>
      <c r="B1334" s="154" t="str" cm="1">
        <f t="array" ref="B1334">_xlfn.XLOOKUP(TRUE, ISNUMBER(SEARCH(工作表5!$A$1:$A$23, C1334)), 工作表5!$B$1:$B$23, "其他")</f>
        <v>轉寫組</v>
      </c>
      <c r="C1334" s="145" t="s">
        <v>1825</v>
      </c>
      <c r="D1334" s="156"/>
      <c r="E1334" s="156" t="s">
        <v>1514</v>
      </c>
      <c r="F1334" s="156" t="s">
        <v>612</v>
      </c>
      <c r="G1334" s="154">
        <v>210000</v>
      </c>
    </row>
    <row r="1335" spans="1:7" ht="21.6" customHeight="1">
      <c r="A1335" s="154" t="s">
        <v>38</v>
      </c>
      <c r="B1335" s="154" t="str" cm="1">
        <f t="array" ref="B1335">_xlfn.XLOOKUP(TRUE, ISNUMBER(SEARCH(工作表5!$A$1:$A$23, C1335)), 工作表5!$B$1:$B$23, "其他")</f>
        <v>轉寫組</v>
      </c>
      <c r="C1335" s="145" t="s">
        <v>1826</v>
      </c>
      <c r="D1335" s="156"/>
      <c r="E1335" s="156" t="s">
        <v>1515</v>
      </c>
      <c r="F1335" s="156" t="s">
        <v>614</v>
      </c>
      <c r="G1335" s="154">
        <v>210000</v>
      </c>
    </row>
    <row r="1336" spans="1:7" ht="21.6" customHeight="1">
      <c r="A1336" s="154" t="s">
        <v>38</v>
      </c>
      <c r="B1336" s="154" t="str" cm="1">
        <f t="array" ref="B1336">_xlfn.XLOOKUP(TRUE, ISNUMBER(SEARCH(工作表5!$A$1:$A$23, C1336)), 工作表5!$B$1:$B$23, "其他")</f>
        <v>轉寫組</v>
      </c>
      <c r="C1336" s="145" t="s">
        <v>1812</v>
      </c>
      <c r="D1336" s="156"/>
      <c r="E1336" s="156" t="s">
        <v>1512</v>
      </c>
      <c r="F1336" s="156" t="s">
        <v>608</v>
      </c>
      <c r="G1336" s="154">
        <v>210000</v>
      </c>
    </row>
    <row r="1337" spans="1:7" ht="21.6" customHeight="1">
      <c r="A1337" s="154" t="s">
        <v>38</v>
      </c>
      <c r="B1337" s="154" t="str" cm="1">
        <f t="array" ref="B1337">_xlfn.XLOOKUP(TRUE, ISNUMBER(SEARCH(工作表5!$A$1:$A$23, C1337)), 工作表5!$B$1:$B$23, "其他")</f>
        <v>滾筒組</v>
      </c>
      <c r="C1337" s="144" t="s">
        <v>107</v>
      </c>
      <c r="D1337" s="156"/>
      <c r="E1337" s="156" t="s">
        <v>1554</v>
      </c>
      <c r="F1337" s="156" t="s">
        <v>728</v>
      </c>
      <c r="G1337" s="154">
        <v>84000</v>
      </c>
    </row>
    <row r="1338" spans="1:7" ht="21.6" customHeight="1">
      <c r="A1338" s="154" t="s">
        <v>38</v>
      </c>
      <c r="B1338" s="154" t="str" cm="1">
        <f t="array" ref="B1338">_xlfn.XLOOKUP(TRUE, ISNUMBER(SEARCH(工作表5!$A$1:$A$23, C1338)), 工作表5!$B$1:$B$23, "其他")</f>
        <v>顯像組</v>
      </c>
      <c r="C1338" s="145" t="s">
        <v>104</v>
      </c>
      <c r="D1338" s="156"/>
      <c r="E1338" s="156" t="s">
        <v>1508</v>
      </c>
      <c r="F1338" s="156" t="s">
        <v>599</v>
      </c>
      <c r="G1338" s="154">
        <v>84000</v>
      </c>
    </row>
    <row r="1339" spans="1:7" ht="21.6" customHeight="1">
      <c r="A1339" s="154" t="s">
        <v>38</v>
      </c>
      <c r="B1339" s="154" t="str" cm="1">
        <f t="array" ref="B1339">_xlfn.XLOOKUP(TRUE, ISNUMBER(SEARCH(工作表5!$A$1:$A$23, C1339)), 工作表5!$B$1:$B$23, "其他")</f>
        <v>顯像組</v>
      </c>
      <c r="C1339" s="144" t="s">
        <v>1822</v>
      </c>
      <c r="D1339" s="156"/>
      <c r="E1339" s="156" t="s">
        <v>1555</v>
      </c>
      <c r="F1339" s="156" t="s">
        <v>730</v>
      </c>
      <c r="G1339" s="154">
        <v>84000</v>
      </c>
    </row>
    <row r="1340" spans="1:7" ht="21.6" customHeight="1">
      <c r="A1340" s="154" t="s">
        <v>38</v>
      </c>
      <c r="B1340" s="154" t="str" cm="1">
        <f t="array" ref="B1340">_xlfn.XLOOKUP(TRUE, ISNUMBER(SEARCH(工作表5!$A$1:$A$23, C1340)), 工作表5!$B$1:$B$23, "其他")</f>
        <v>定著組</v>
      </c>
      <c r="C1340" s="144" t="s">
        <v>733</v>
      </c>
      <c r="D1340" s="156"/>
      <c r="E1340" s="156" t="s">
        <v>1556</v>
      </c>
      <c r="F1340" s="156" t="s">
        <v>732</v>
      </c>
      <c r="G1340" s="154">
        <v>84000</v>
      </c>
    </row>
    <row r="1341" spans="1:7" ht="21.6" customHeight="1">
      <c r="A1341" s="154" t="s">
        <v>38</v>
      </c>
      <c r="B1341" s="154" t="str" cm="1">
        <f t="array" ref="B1341">_xlfn.XLOOKUP(TRUE, ISNUMBER(SEARCH(工作表5!$A$1:$A$23, C1341)), 工作表5!$B$1:$B$23, "其他")</f>
        <v>定著組</v>
      </c>
      <c r="C1341" s="144" t="s">
        <v>736</v>
      </c>
      <c r="D1341" s="156"/>
      <c r="E1341" s="156" t="s">
        <v>1557</v>
      </c>
      <c r="F1341" s="156" t="s">
        <v>735</v>
      </c>
      <c r="G1341" s="154">
        <v>84000</v>
      </c>
    </row>
    <row r="1342" spans="1:7" ht="21.6" customHeight="1">
      <c r="A1342" s="154" t="s">
        <v>38</v>
      </c>
      <c r="B1342" s="154" t="str" cm="1">
        <f t="array" ref="B1342">_xlfn.XLOOKUP(TRUE, ISNUMBER(SEARCH(工作表5!$A$1:$A$23, C1342)), 工作表5!$B$1:$B$23, "其他")</f>
        <v>取紙組</v>
      </c>
      <c r="C1342" s="144" t="s">
        <v>399</v>
      </c>
      <c r="D1342" s="156"/>
      <c r="E1342" s="156" t="s">
        <v>1558</v>
      </c>
      <c r="F1342" s="156" t="s">
        <v>738</v>
      </c>
      <c r="G1342" s="154">
        <v>80000</v>
      </c>
    </row>
    <row r="1343" spans="1:7" ht="21.6" customHeight="1">
      <c r="A1343" s="154" t="s">
        <v>38</v>
      </c>
      <c r="B1343" s="154" t="str" cm="1">
        <f t="array" ref="B1343">_xlfn.XLOOKUP(TRUE, ISNUMBER(SEARCH(工作表5!$A$1:$A$23, C1343)), 工作表5!$B$1:$B$23, "其他")</f>
        <v>取紙組</v>
      </c>
      <c r="C1343" s="144" t="s">
        <v>741</v>
      </c>
      <c r="D1343" s="156"/>
      <c r="E1343" s="156" t="s">
        <v>1559</v>
      </c>
      <c r="F1343" s="156" t="s">
        <v>740</v>
      </c>
      <c r="G1343" s="154">
        <v>80000</v>
      </c>
    </row>
    <row r="1344" spans="1:7" ht="21.6" customHeight="1">
      <c r="A1344" s="154" t="s">
        <v>38</v>
      </c>
      <c r="B1344" s="154" t="str" cm="1">
        <f t="array" ref="B1344">_xlfn.XLOOKUP(TRUE, ISNUMBER(SEARCH(工作表5!$A$1:$A$23, C1344)), 工作表5!$B$1:$B$23, "其他")</f>
        <v>手送台</v>
      </c>
      <c r="C1344" s="144" t="s">
        <v>631</v>
      </c>
      <c r="D1344" s="156"/>
      <c r="E1344" s="156" t="s">
        <v>1392</v>
      </c>
      <c r="F1344" s="156" t="s">
        <v>274</v>
      </c>
      <c r="G1344" s="154">
        <v>80000</v>
      </c>
    </row>
    <row r="1345" spans="1:7" ht="21.6" customHeight="1">
      <c r="A1345" s="154" t="s">
        <v>38</v>
      </c>
      <c r="B1345" s="154" t="str" cm="1">
        <f t="array" ref="B1345">_xlfn.XLOOKUP(TRUE, ISNUMBER(SEARCH(工作表5!$A$1:$A$23, C1345)), 工作表5!$B$1:$B$23, "其他")</f>
        <v>手送台</v>
      </c>
      <c r="C1345" s="144" t="s">
        <v>115</v>
      </c>
      <c r="D1345" s="156"/>
      <c r="E1345" s="156" t="s">
        <v>1393</v>
      </c>
      <c r="F1345" s="156" t="s">
        <v>277</v>
      </c>
      <c r="G1345" s="154">
        <v>80000</v>
      </c>
    </row>
    <row r="1346" spans="1:7" ht="21.6" customHeight="1">
      <c r="A1346" s="154" t="s">
        <v>38</v>
      </c>
      <c r="B1346" s="154" t="str" cm="1">
        <f t="array" ref="B1346">_xlfn.XLOOKUP(TRUE, ISNUMBER(SEARCH(工作表5!$A$1:$A$23, C1346)), 工作表5!$B$1:$B$23, "其他")</f>
        <v>取紙組</v>
      </c>
      <c r="C1346" s="144" t="s">
        <v>1841</v>
      </c>
      <c r="D1346" s="156"/>
      <c r="E1346" s="156" t="s">
        <v>1389</v>
      </c>
      <c r="F1346" s="156" t="s">
        <v>265</v>
      </c>
      <c r="G1346" s="154">
        <v>80000</v>
      </c>
    </row>
    <row r="1347" spans="1:7" ht="21.6" customHeight="1">
      <c r="A1347" s="154" t="s">
        <v>38</v>
      </c>
      <c r="B1347" s="154" t="str" cm="1">
        <f t="array" ref="B1347">_xlfn.XLOOKUP(TRUE, ISNUMBER(SEARCH(工作表5!$A$1:$A$23, C1347)), 工作表5!$B$1:$B$23, "其他")</f>
        <v>取紙組</v>
      </c>
      <c r="C1347" s="144" t="s">
        <v>797</v>
      </c>
      <c r="D1347" s="156"/>
      <c r="E1347" s="156" t="s">
        <v>1390</v>
      </c>
      <c r="F1347" s="156" t="s">
        <v>269</v>
      </c>
      <c r="G1347" s="154">
        <v>80000</v>
      </c>
    </row>
    <row r="1348" spans="1:7" ht="21.6" customHeight="1">
      <c r="A1348" s="154" t="s">
        <v>38</v>
      </c>
      <c r="B1348" s="154" t="str" cm="1">
        <f t="array" ref="B1348">_xlfn.XLOOKUP(TRUE, ISNUMBER(SEARCH(工作表5!$A$1:$A$23, C1348)), 工作表5!$B$1:$B$23, "其他")</f>
        <v>取紙組</v>
      </c>
      <c r="C1348" s="144" t="s">
        <v>1842</v>
      </c>
      <c r="D1348" s="156"/>
      <c r="E1348" s="156" t="s">
        <v>1391</v>
      </c>
      <c r="F1348" s="156" t="s">
        <v>272</v>
      </c>
      <c r="G1348" s="154">
        <v>80000</v>
      </c>
    </row>
    <row r="1349" spans="1:7" ht="21.6" customHeight="1">
      <c r="A1349" s="154" t="s">
        <v>38</v>
      </c>
      <c r="B1349" s="154" t="str" cm="1">
        <f t="array" ref="B1349">_xlfn.XLOOKUP(TRUE, ISNUMBER(SEARCH(工作表5!$A$1:$A$23, C1349)), 工作表5!$B$1:$B$23, "其他")</f>
        <v>送稿機</v>
      </c>
      <c r="C1349" s="144" t="s">
        <v>1781</v>
      </c>
      <c r="D1349" s="156"/>
      <c r="E1349" s="156" t="s">
        <v>1375</v>
      </c>
      <c r="F1349" s="156" t="s">
        <v>226</v>
      </c>
      <c r="G1349" s="154">
        <v>120000</v>
      </c>
    </row>
    <row r="1350" spans="1:7" ht="21.6" customHeight="1">
      <c r="A1350" s="154" t="s">
        <v>38</v>
      </c>
      <c r="B1350" s="154" t="str" cm="1">
        <f t="array" ref="B1350">_xlfn.XLOOKUP(TRUE, ISNUMBER(SEARCH(工作表5!$A$1:$A$23, C1350)), 工作表5!$B$1:$B$23, "其他")</f>
        <v>送稿機</v>
      </c>
      <c r="C1350" s="144" t="s">
        <v>278</v>
      </c>
      <c r="D1350" s="156"/>
      <c r="E1350" s="156" t="s">
        <v>1376</v>
      </c>
      <c r="F1350" s="156" t="s">
        <v>230</v>
      </c>
      <c r="G1350" s="154">
        <v>120000</v>
      </c>
    </row>
    <row r="1351" spans="1:7" ht="21.6" customHeight="1">
      <c r="A1351" s="154" t="s">
        <v>38</v>
      </c>
      <c r="B1351" s="154" t="str" cm="1">
        <f t="array" ref="B1351">_xlfn.XLOOKUP(TRUE, ISNUMBER(SEARCH(工作表5!$A$1:$A$23, C1351)), 工作表5!$B$1:$B$23, "其他")</f>
        <v>取紙組</v>
      </c>
      <c r="C1351" s="144" t="s">
        <v>1843</v>
      </c>
      <c r="D1351" s="156"/>
      <c r="E1351" s="156" t="s">
        <v>1377</v>
      </c>
      <c r="F1351" s="156" t="s">
        <v>232</v>
      </c>
      <c r="G1351" s="154">
        <v>160000</v>
      </c>
    </row>
    <row r="1352" spans="1:7" ht="21.6" customHeight="1">
      <c r="A1352" s="154" t="s">
        <v>38</v>
      </c>
      <c r="B1352" s="154" t="str" cm="1">
        <f t="array" ref="B1352">_xlfn.XLOOKUP(TRUE, ISNUMBER(SEARCH(工作表5!$A$1:$A$23, C1352)), 工作表5!$B$1:$B$23, "其他")</f>
        <v>大容量取紙組</v>
      </c>
      <c r="C1352" s="144" t="s">
        <v>237</v>
      </c>
      <c r="D1352" s="156"/>
      <c r="E1352" s="156" t="s">
        <v>1378</v>
      </c>
      <c r="F1352" s="156" t="s">
        <v>236</v>
      </c>
      <c r="G1352" s="154">
        <v>160000</v>
      </c>
    </row>
    <row r="1353" spans="1:7" ht="21.6" customHeight="1">
      <c r="A1353" s="154" t="s">
        <v>38</v>
      </c>
      <c r="B1353" s="154" t="str" cm="1">
        <f t="array" ref="B1353">_xlfn.XLOOKUP(TRUE, ISNUMBER(SEARCH(工作表5!$A$1:$A$23, C1353)), 工作表5!$B$1:$B$23, "其他")</f>
        <v>取紙組</v>
      </c>
      <c r="C1353" s="144" t="s">
        <v>798</v>
      </c>
      <c r="D1353" s="156"/>
      <c r="E1353" s="156" t="s">
        <v>1379</v>
      </c>
      <c r="F1353" s="156" t="s">
        <v>239</v>
      </c>
      <c r="G1353" s="154">
        <v>160000</v>
      </c>
    </row>
    <row r="1354" spans="1:7" ht="21.6" customHeight="1">
      <c r="A1354" s="154" t="s">
        <v>38</v>
      </c>
      <c r="B1354" s="154" t="str" cm="1">
        <f t="array" ref="B1354">_xlfn.XLOOKUP(TRUE, ISNUMBER(SEARCH(工作表5!$A$1:$A$23, C1354)), 工作表5!$B$1:$B$23, "其他")</f>
        <v>顯像組</v>
      </c>
      <c r="C1354" s="144" t="s">
        <v>637</v>
      </c>
      <c r="D1354" s="156"/>
      <c r="E1354" s="156" t="s">
        <v>1562</v>
      </c>
      <c r="F1354" s="156" t="s">
        <v>752</v>
      </c>
      <c r="G1354" s="154">
        <v>84000</v>
      </c>
    </row>
    <row r="1355" spans="1:7" ht="21.6" customHeight="1">
      <c r="A1355" s="154" t="s">
        <v>38</v>
      </c>
      <c r="B1355" s="154" t="str" cm="1">
        <f t="array" ref="B1355">_xlfn.XLOOKUP(TRUE, ISNUMBER(SEARCH(工作表5!$A$1:$A$23, C1355)), 工作表5!$B$1:$B$23, "其他")</f>
        <v>顯像組</v>
      </c>
      <c r="C1355" s="144" t="s">
        <v>755</v>
      </c>
      <c r="D1355" s="156"/>
      <c r="E1355" s="156" t="s">
        <v>1563</v>
      </c>
      <c r="F1355" s="156" t="s">
        <v>754</v>
      </c>
      <c r="G1355" s="154">
        <v>84000</v>
      </c>
    </row>
    <row r="1356" spans="1:7" ht="21.6" customHeight="1">
      <c r="A1356" s="154" t="s">
        <v>38</v>
      </c>
      <c r="B1356" s="154" t="str" cm="1">
        <f t="array" ref="B1356">_xlfn.XLOOKUP(TRUE, ISNUMBER(SEARCH(工作表5!$A$1:$A$23, C1356)), 工作表5!$B$1:$B$23, "其他")</f>
        <v>取紙組</v>
      </c>
      <c r="C1356" s="144" t="s">
        <v>799</v>
      </c>
      <c r="D1356" s="156"/>
      <c r="E1356" s="156" t="s">
        <v>1399</v>
      </c>
      <c r="F1356" s="156" t="s">
        <v>296</v>
      </c>
      <c r="G1356" s="154">
        <v>80000</v>
      </c>
    </row>
    <row r="1357" spans="1:7" ht="21.6" customHeight="1">
      <c r="A1357" s="154" t="s">
        <v>38</v>
      </c>
      <c r="B1357" s="154" t="str" cm="1">
        <f t="array" ref="B1357">_xlfn.XLOOKUP(TRUE, ISNUMBER(SEARCH(工作表5!$A$1:$A$23, C1357)), 工作表5!$B$1:$B$23, "其他")</f>
        <v>送稿機</v>
      </c>
      <c r="C1357" s="144" t="s">
        <v>300</v>
      </c>
      <c r="D1357" s="156"/>
      <c r="E1357" s="156" t="s">
        <v>1400</v>
      </c>
      <c r="F1357" s="156" t="s">
        <v>299</v>
      </c>
      <c r="G1357" s="154">
        <v>120000</v>
      </c>
    </row>
    <row r="1358" spans="1:7" ht="21.6" customHeight="1">
      <c r="A1358" s="154" t="s">
        <v>38</v>
      </c>
      <c r="B1358" s="154" t="str" cm="1">
        <f t="array" ref="B1358">_xlfn.XLOOKUP(TRUE, ISNUMBER(SEARCH(工作表5!$A$1:$A$23, C1358)), 工作表5!$B$1:$B$23, "其他")</f>
        <v>其他</v>
      </c>
      <c r="C1358" s="144" t="s">
        <v>760</v>
      </c>
      <c r="D1358" s="156"/>
      <c r="E1358" s="156" t="s">
        <v>1384</v>
      </c>
      <c r="F1358" s="156" t="s">
        <v>252</v>
      </c>
      <c r="G1358" s="154">
        <v>160000</v>
      </c>
    </row>
    <row r="1359" spans="1:7" ht="21.6" customHeight="1">
      <c r="A1359" s="154" t="s">
        <v>38</v>
      </c>
      <c r="B1359" s="154" t="str" cm="1">
        <f t="array" ref="B1359">_xlfn.XLOOKUP(TRUE, ISNUMBER(SEARCH(工作表5!$A$1:$A$23, C1359)), 工作表5!$B$1:$B$23, "其他")</f>
        <v>定著組</v>
      </c>
      <c r="C1359" s="144" t="s">
        <v>642</v>
      </c>
      <c r="D1359" s="156"/>
      <c r="E1359" s="156" t="s">
        <v>1565</v>
      </c>
      <c r="F1359" s="156" t="s">
        <v>762</v>
      </c>
      <c r="G1359" s="154">
        <v>210000</v>
      </c>
    </row>
    <row r="1360" spans="1:7" ht="21.6" customHeight="1">
      <c r="A1360" s="154" t="s">
        <v>38</v>
      </c>
      <c r="B1360" s="154" t="str" cm="1">
        <f t="array" ref="B1360">_xlfn.XLOOKUP(TRUE, ISNUMBER(SEARCH(工作表5!$A$1:$A$23, C1360)), 工作表5!$B$1:$B$23, "其他")</f>
        <v>轉寫組</v>
      </c>
      <c r="C1360" s="144" t="s">
        <v>645</v>
      </c>
      <c r="D1360" s="156"/>
      <c r="E1360" s="156" t="s">
        <v>1525</v>
      </c>
      <c r="F1360" s="156" t="s">
        <v>644</v>
      </c>
      <c r="G1360" s="154">
        <v>210000</v>
      </c>
    </row>
    <row r="1361" spans="1:7" ht="21.6" customHeight="1">
      <c r="A1361" s="154" t="s">
        <v>38</v>
      </c>
      <c r="B1361" s="154" t="str" cm="1">
        <f t="array" ref="B1361">_xlfn.XLOOKUP(TRUE, ISNUMBER(SEARCH(工作表5!$A$1:$A$23, C1361)), 工作表5!$B$1:$B$23, "其他")</f>
        <v>定著組</v>
      </c>
      <c r="C1361" s="145" t="s">
        <v>767</v>
      </c>
      <c r="D1361" s="156"/>
      <c r="E1361" s="156" t="s">
        <v>1578</v>
      </c>
      <c r="F1361" s="156" t="s">
        <v>801</v>
      </c>
      <c r="G1361" s="154" t="e">
        <v>#VALUE!</v>
      </c>
    </row>
    <row r="1362" spans="1:7" ht="21.6" customHeight="1">
      <c r="A1362" s="154" t="s">
        <v>38</v>
      </c>
      <c r="B1362" s="154" t="str" cm="1">
        <f t="array" ref="B1362">_xlfn.XLOOKUP(TRUE, ISNUMBER(SEARCH(工作表5!$A$1:$A$23, C1362)), 工作表5!$B$1:$B$23, "其他")</f>
        <v>定著組</v>
      </c>
      <c r="C1362" s="145" t="s">
        <v>767</v>
      </c>
      <c r="D1362" s="156"/>
      <c r="E1362" s="156" t="s">
        <v>1594</v>
      </c>
      <c r="F1362" s="156" t="s">
        <v>838</v>
      </c>
      <c r="G1362" s="154" t="e">
        <v>#VALUE!</v>
      </c>
    </row>
    <row r="1363" spans="1:7" ht="21.6" customHeight="1">
      <c r="A1363" s="154" t="s">
        <v>38</v>
      </c>
      <c r="B1363" s="154" t="str" cm="1">
        <f t="array" ref="B1363">_xlfn.XLOOKUP(TRUE, ISNUMBER(SEARCH(工作表5!$A$1:$A$23, C1363)), 工作表5!$B$1:$B$23, "其他")</f>
        <v>顯像組</v>
      </c>
      <c r="C1363" s="145" t="s">
        <v>129</v>
      </c>
      <c r="D1363" s="156"/>
      <c r="E1363" s="156" t="s">
        <v>1579</v>
      </c>
      <c r="F1363" s="156" t="s">
        <v>804</v>
      </c>
      <c r="G1363" s="154" t="e">
        <v>#VALUE!</v>
      </c>
    </row>
    <row r="1364" spans="1:7" ht="21.6" customHeight="1">
      <c r="A1364" s="154" t="s">
        <v>38</v>
      </c>
      <c r="B1364" s="154" t="str" cm="1">
        <f t="array" ref="B1364">_xlfn.XLOOKUP(TRUE, ISNUMBER(SEARCH(工作表5!$A$1:$A$23, C1364)), 工作表5!$B$1:$B$23, "其他")</f>
        <v>顯像組</v>
      </c>
      <c r="C1364" s="145" t="s">
        <v>775</v>
      </c>
      <c r="D1364" s="156"/>
      <c r="E1364" s="156" t="s">
        <v>1581</v>
      </c>
      <c r="F1364" s="156" t="s">
        <v>808</v>
      </c>
      <c r="G1364" s="154" t="e">
        <v>#VALUE!</v>
      </c>
    </row>
    <row r="1365" spans="1:7" ht="21.6" customHeight="1">
      <c r="A1365" s="154" t="s">
        <v>38</v>
      </c>
      <c r="B1365" s="154" t="str" cm="1">
        <f t="array" ref="B1365">_xlfn.XLOOKUP(TRUE, ISNUMBER(SEARCH(工作表5!$A$1:$A$23, C1365)), 工作表5!$B$1:$B$23, "其他")</f>
        <v>顯像組</v>
      </c>
      <c r="C1365" s="145" t="s">
        <v>772</v>
      </c>
      <c r="D1365" s="156"/>
      <c r="E1365" s="156" t="s">
        <v>1580</v>
      </c>
      <c r="F1365" s="156" t="s">
        <v>806</v>
      </c>
      <c r="G1365" s="154" t="e">
        <v>#VALUE!</v>
      </c>
    </row>
    <row r="1366" spans="1:7" ht="21.6" customHeight="1">
      <c r="A1366" s="154" t="s">
        <v>38</v>
      </c>
      <c r="B1366" s="154" t="str" cm="1">
        <f t="array" ref="B1366">_xlfn.XLOOKUP(TRUE, ISNUMBER(SEARCH(工作表5!$A$1:$A$23, C1366)), 工作表5!$B$1:$B$23, "其他")</f>
        <v>顯像組</v>
      </c>
      <c r="C1366" s="145" t="s">
        <v>778</v>
      </c>
      <c r="D1366" s="156"/>
      <c r="E1366" s="156" t="s">
        <v>1582</v>
      </c>
      <c r="F1366" s="156" t="s">
        <v>810</v>
      </c>
      <c r="G1366" s="154" t="e">
        <v>#VALUE!</v>
      </c>
    </row>
    <row r="1367" spans="1:7" ht="21.6" customHeight="1">
      <c r="A1367" s="154" t="s">
        <v>38</v>
      </c>
      <c r="B1367" s="154" t="str" cm="1">
        <f t="array" ref="B1367">_xlfn.XLOOKUP(TRUE, ISNUMBER(SEARCH(工作表5!$A$1:$A$23, C1367)), 工作表5!$B$1:$B$23, "其他")</f>
        <v>滾筒組</v>
      </c>
      <c r="C1367" s="145" t="s">
        <v>781</v>
      </c>
      <c r="D1367" s="156"/>
      <c r="E1367" s="156" t="s">
        <v>1572</v>
      </c>
      <c r="F1367" s="156" t="s">
        <v>780</v>
      </c>
      <c r="G1367" s="154" t="e">
        <v>#VALUE!</v>
      </c>
    </row>
    <row r="1368" spans="1:7" ht="21.6" customHeight="1">
      <c r="A1368" s="154" t="s">
        <v>38</v>
      </c>
      <c r="B1368" s="154" t="str" cm="1">
        <f t="array" ref="B1368">_xlfn.XLOOKUP(TRUE, ISNUMBER(SEARCH(工作表5!$A$1:$A$23, C1368)), 工作表5!$B$1:$B$23, "其他")</f>
        <v>滾筒組</v>
      </c>
      <c r="C1368" s="145" t="s">
        <v>787</v>
      </c>
      <c r="D1368" s="156"/>
      <c r="E1368" s="156" t="s">
        <v>1573</v>
      </c>
      <c r="F1368" s="156" t="s">
        <v>783</v>
      </c>
      <c r="G1368" s="154" t="e">
        <v>#VALUE!</v>
      </c>
    </row>
    <row r="1369" spans="1:7" ht="21.6" customHeight="1">
      <c r="A1369" s="154" t="s">
        <v>38</v>
      </c>
      <c r="B1369" s="154" t="str" cm="1">
        <f t="array" ref="B1369">_xlfn.XLOOKUP(TRUE, ISNUMBER(SEARCH(工作表5!$A$1:$A$23, C1369)), 工作表5!$B$1:$B$23, "其他")</f>
        <v>滾筒組</v>
      </c>
      <c r="C1369" s="145" t="s">
        <v>784</v>
      </c>
      <c r="D1369" s="156"/>
      <c r="E1369" s="156" t="s">
        <v>1574</v>
      </c>
      <c r="F1369" s="156" t="s">
        <v>786</v>
      </c>
      <c r="G1369" s="154" t="e">
        <v>#VALUE!</v>
      </c>
    </row>
    <row r="1370" spans="1:7" ht="21.6" customHeight="1">
      <c r="A1370" s="154" t="s">
        <v>38</v>
      </c>
      <c r="B1370" s="154" t="str" cm="1">
        <f t="array" ref="B1370">_xlfn.XLOOKUP(TRUE, ISNUMBER(SEARCH(工作表5!$A$1:$A$23, C1370)), 工作表5!$B$1:$B$23, "其他")</f>
        <v>滾筒組</v>
      </c>
      <c r="C1370" s="145" t="s">
        <v>790</v>
      </c>
      <c r="D1370" s="156"/>
      <c r="E1370" s="156" t="s">
        <v>1575</v>
      </c>
      <c r="F1370" s="156" t="s">
        <v>789</v>
      </c>
      <c r="G1370" s="154" t="e">
        <v>#VALUE!</v>
      </c>
    </row>
    <row r="1371" spans="1:7" ht="21.6" customHeight="1">
      <c r="A1371" s="154" t="s">
        <v>38</v>
      </c>
      <c r="B1371" s="154" t="str" cm="1">
        <f t="array" ref="B1371">_xlfn.XLOOKUP(TRUE, ISNUMBER(SEARCH(工作表5!$A$1:$A$23, C1371)), 工作表5!$B$1:$B$23, "其他")</f>
        <v>轉寫組</v>
      </c>
      <c r="C1371" s="147" t="s">
        <v>1821</v>
      </c>
      <c r="D1371" s="156"/>
      <c r="E1371" s="156" t="s">
        <v>1528</v>
      </c>
      <c r="F1371" s="156" t="s">
        <v>651</v>
      </c>
      <c r="G1371" s="154" t="e">
        <v>#VALUE!</v>
      </c>
    </row>
    <row r="1372" spans="1:7" ht="21.6" customHeight="1">
      <c r="A1372" s="154" t="s">
        <v>41</v>
      </c>
      <c r="B1372" s="154" t="str" cm="1">
        <f t="array" ref="B1372">_xlfn.XLOOKUP(TRUE, ISNUMBER(SEARCH(工作表5!$A$1:$A$23, C1372)), 工作表5!$B$1:$B$23, "其他")</f>
        <v>滾筒組</v>
      </c>
      <c r="C1372" s="143" t="s">
        <v>193</v>
      </c>
      <c r="D1372" s="156"/>
      <c r="E1372" s="156" t="s">
        <v>1542</v>
      </c>
      <c r="F1372" s="156" t="s">
        <v>698</v>
      </c>
      <c r="G1372" s="154">
        <v>84000</v>
      </c>
    </row>
    <row r="1373" spans="1:7" ht="21.6" customHeight="1">
      <c r="A1373" s="154" t="s">
        <v>41</v>
      </c>
      <c r="B1373" s="154" t="str" cm="1">
        <f t="array" ref="B1373">_xlfn.XLOOKUP(TRUE, ISNUMBER(SEARCH(工作表5!$A$1:$A$23, C1373)), 工作表5!$B$1:$B$23, "其他")</f>
        <v>顯像組</v>
      </c>
      <c r="C1373" s="145" t="s">
        <v>502</v>
      </c>
      <c r="D1373" s="156"/>
      <c r="E1373" s="156" t="s">
        <v>1543</v>
      </c>
      <c r="F1373" s="156" t="s">
        <v>700</v>
      </c>
      <c r="G1373" s="154">
        <v>84000</v>
      </c>
    </row>
    <row r="1374" spans="1:7" ht="21.6" customHeight="1">
      <c r="A1374" s="154" t="s">
        <v>41</v>
      </c>
      <c r="B1374" s="154" t="str" cm="1">
        <f t="array" ref="B1374">_xlfn.XLOOKUP(TRUE, ISNUMBER(SEARCH(工作表5!$A$1:$A$23, C1374)), 工作表5!$B$1:$B$23, "其他")</f>
        <v>顯像組</v>
      </c>
      <c r="C1374" s="145" t="s">
        <v>703</v>
      </c>
      <c r="D1374" s="156"/>
      <c r="E1374" s="156" t="s">
        <v>1544</v>
      </c>
      <c r="F1374" s="156" t="s">
        <v>702</v>
      </c>
      <c r="G1374" s="154">
        <v>84000</v>
      </c>
    </row>
    <row r="1375" spans="1:7" ht="21.6" customHeight="1">
      <c r="A1375" s="154" t="s">
        <v>41</v>
      </c>
      <c r="B1375" s="154" t="str" cm="1">
        <f t="array" ref="B1375">_xlfn.XLOOKUP(TRUE, ISNUMBER(SEARCH(工作表5!$A$1:$A$23, C1375)), 工作表5!$B$1:$B$23, "其他")</f>
        <v>顯像組</v>
      </c>
      <c r="C1375" s="144" t="s">
        <v>706</v>
      </c>
      <c r="D1375" s="156"/>
      <c r="E1375" s="156" t="s">
        <v>1545</v>
      </c>
      <c r="F1375" s="156" t="s">
        <v>705</v>
      </c>
      <c r="G1375" s="154">
        <v>84000</v>
      </c>
    </row>
    <row r="1376" spans="1:7" ht="21.6" customHeight="1">
      <c r="A1376" s="154" t="s">
        <v>41</v>
      </c>
      <c r="B1376" s="154" t="str" cm="1">
        <f t="array" ref="B1376">_xlfn.XLOOKUP(TRUE, ISNUMBER(SEARCH(工作表5!$A$1:$A$23, C1376)), 工作表5!$B$1:$B$23, "其他")</f>
        <v>顯像組</v>
      </c>
      <c r="C1376" s="145" t="s">
        <v>709</v>
      </c>
      <c r="D1376" s="156"/>
      <c r="E1376" s="156" t="s">
        <v>1546</v>
      </c>
      <c r="F1376" s="156" t="s">
        <v>708</v>
      </c>
      <c r="G1376" s="154">
        <v>84000</v>
      </c>
    </row>
    <row r="1377" spans="1:7" ht="21.6" customHeight="1">
      <c r="A1377" s="154" t="s">
        <v>41</v>
      </c>
      <c r="B1377" s="154" t="str" cm="1">
        <f t="array" ref="B1377">_xlfn.XLOOKUP(TRUE, ISNUMBER(SEARCH(工作表5!$A$1:$A$23, C1377)), 工作表5!$B$1:$B$23, "其他")</f>
        <v>滾筒組</v>
      </c>
      <c r="C1377" s="145" t="s">
        <v>415</v>
      </c>
      <c r="D1377" s="156"/>
      <c r="E1377" s="156" t="s">
        <v>1547</v>
      </c>
      <c r="F1377" s="156" t="s">
        <v>711</v>
      </c>
      <c r="G1377" s="154">
        <v>84000</v>
      </c>
    </row>
    <row r="1378" spans="1:7" ht="21.6" customHeight="1">
      <c r="A1378" s="154" t="s">
        <v>41</v>
      </c>
      <c r="B1378" s="154" t="str" cm="1">
        <f t="array" ref="B1378">_xlfn.XLOOKUP(TRUE, ISNUMBER(SEARCH(工作表5!$A$1:$A$23, C1378)), 工作表5!$B$1:$B$23, "其他")</f>
        <v>轉寫組</v>
      </c>
      <c r="C1378" s="145" t="s">
        <v>533</v>
      </c>
      <c r="D1378" s="156"/>
      <c r="E1378" s="156" t="s">
        <v>1511</v>
      </c>
      <c r="F1378" s="156" t="s">
        <v>606</v>
      </c>
      <c r="G1378" s="154">
        <v>210000</v>
      </c>
    </row>
    <row r="1379" spans="1:7" ht="21.6" customHeight="1">
      <c r="A1379" s="154" t="s">
        <v>41</v>
      </c>
      <c r="B1379" s="154" t="str" cm="1">
        <f t="array" ref="B1379">_xlfn.XLOOKUP(TRUE, ISNUMBER(SEARCH(工作表5!$A$1:$A$23, C1379)), 工作表5!$B$1:$B$23, "其他")</f>
        <v>定著組</v>
      </c>
      <c r="C1379" s="145" t="s">
        <v>1775</v>
      </c>
      <c r="D1379" s="156"/>
      <c r="E1379" s="156" t="s">
        <v>1548</v>
      </c>
      <c r="F1379" s="156" t="s">
        <v>713</v>
      </c>
      <c r="G1379" s="154">
        <v>210000</v>
      </c>
    </row>
    <row r="1380" spans="1:7" ht="21.6" customHeight="1">
      <c r="A1380" s="154" t="s">
        <v>41</v>
      </c>
      <c r="B1380" s="154" t="str" cm="1">
        <f t="array" ref="B1380">_xlfn.XLOOKUP(TRUE, ISNUMBER(SEARCH(工作表5!$A$1:$A$23, C1380)), 工作表5!$B$1:$B$23, "其他")</f>
        <v>定著組</v>
      </c>
      <c r="C1380" s="145" t="s">
        <v>87</v>
      </c>
      <c r="D1380" s="156"/>
      <c r="E1380" s="156" t="s">
        <v>1583</v>
      </c>
      <c r="F1380" s="156" t="s">
        <v>812</v>
      </c>
      <c r="G1380" s="154">
        <v>210000</v>
      </c>
    </row>
    <row r="1381" spans="1:7" ht="21.6" customHeight="1">
      <c r="A1381" s="154" t="s">
        <v>41</v>
      </c>
      <c r="B1381" s="154" t="str" cm="1">
        <f t="array" ref="B1381">_xlfn.XLOOKUP(TRUE, ISNUMBER(SEARCH(工作表5!$A$1:$A$23, C1381)), 工作表5!$B$1:$B$23, "其他")</f>
        <v>定著組</v>
      </c>
      <c r="C1381" s="145" t="s">
        <v>718</v>
      </c>
      <c r="D1381" s="156"/>
      <c r="E1381" s="156" t="s">
        <v>1577</v>
      </c>
      <c r="F1381" s="156" t="s">
        <v>794</v>
      </c>
      <c r="G1381" s="154">
        <v>210000</v>
      </c>
    </row>
    <row r="1382" spans="1:7" ht="21.6" customHeight="1">
      <c r="A1382" s="154" t="s">
        <v>41</v>
      </c>
      <c r="B1382" s="154" t="str" cm="1">
        <f t="array" ref="B1382">_xlfn.XLOOKUP(TRUE, ISNUMBER(SEARCH(工作表5!$A$1:$A$23, C1382)), 工作表5!$B$1:$B$23, "其他")</f>
        <v>其他</v>
      </c>
      <c r="C1382" s="145" t="s">
        <v>101</v>
      </c>
      <c r="D1382" s="156"/>
      <c r="E1382" s="156" t="s">
        <v>1551</v>
      </c>
      <c r="F1382" s="156" t="s">
        <v>720</v>
      </c>
      <c r="G1382" s="154">
        <v>210000</v>
      </c>
    </row>
    <row r="1383" spans="1:7" ht="21.6" customHeight="1">
      <c r="A1383" s="154" t="s">
        <v>41</v>
      </c>
      <c r="B1383" s="154" t="str" cm="1">
        <f t="array" ref="B1383">_xlfn.XLOOKUP(TRUE, ISNUMBER(SEARCH(工作表5!$A$1:$A$23, C1383)), 工作表5!$B$1:$B$23, "其他")</f>
        <v>轉寫組</v>
      </c>
      <c r="C1383" s="145" t="s">
        <v>1824</v>
      </c>
      <c r="D1383" s="156"/>
      <c r="E1383" s="156" t="s">
        <v>1513</v>
      </c>
      <c r="F1383" s="156" t="s">
        <v>610</v>
      </c>
      <c r="G1383" s="154">
        <v>210000</v>
      </c>
    </row>
    <row r="1384" spans="1:7" ht="21.6" customHeight="1">
      <c r="A1384" s="154" t="s">
        <v>41</v>
      </c>
      <c r="B1384" s="154" t="str" cm="1">
        <f t="array" ref="B1384">_xlfn.XLOOKUP(TRUE, ISNUMBER(SEARCH(工作表5!$A$1:$A$23, C1384)), 工作表5!$B$1:$B$23, "其他")</f>
        <v>轉寫組</v>
      </c>
      <c r="C1384" s="145" t="s">
        <v>1825</v>
      </c>
      <c r="D1384" s="156"/>
      <c r="E1384" s="156" t="s">
        <v>1514</v>
      </c>
      <c r="F1384" s="156" t="s">
        <v>612</v>
      </c>
      <c r="G1384" s="154">
        <v>210000</v>
      </c>
    </row>
    <row r="1385" spans="1:7" ht="21.6" customHeight="1">
      <c r="A1385" s="154" t="s">
        <v>41</v>
      </c>
      <c r="B1385" s="154" t="str" cm="1">
        <f t="array" ref="B1385">_xlfn.XLOOKUP(TRUE, ISNUMBER(SEARCH(工作表5!$A$1:$A$23, C1385)), 工作表5!$B$1:$B$23, "其他")</f>
        <v>轉寫組</v>
      </c>
      <c r="C1385" s="145" t="s">
        <v>1826</v>
      </c>
      <c r="D1385" s="156"/>
      <c r="E1385" s="156" t="s">
        <v>1515</v>
      </c>
      <c r="F1385" s="156" t="s">
        <v>614</v>
      </c>
      <c r="G1385" s="154">
        <v>210000</v>
      </c>
    </row>
    <row r="1386" spans="1:7" ht="21.6" customHeight="1">
      <c r="A1386" s="154" t="s">
        <v>41</v>
      </c>
      <c r="B1386" s="154" t="str" cm="1">
        <f t="array" ref="B1386">_xlfn.XLOOKUP(TRUE, ISNUMBER(SEARCH(工作表5!$A$1:$A$23, C1386)), 工作表5!$B$1:$B$23, "其他")</f>
        <v>轉寫組</v>
      </c>
      <c r="C1386" s="145" t="s">
        <v>1812</v>
      </c>
      <c r="D1386" s="156"/>
      <c r="E1386" s="156" t="s">
        <v>1512</v>
      </c>
      <c r="F1386" s="156" t="s">
        <v>608</v>
      </c>
      <c r="G1386" s="154">
        <v>210000</v>
      </c>
    </row>
    <row r="1387" spans="1:7" ht="21.6" customHeight="1">
      <c r="A1387" s="154" t="s">
        <v>41</v>
      </c>
      <c r="B1387" s="154" t="str" cm="1">
        <f t="array" ref="B1387">_xlfn.XLOOKUP(TRUE, ISNUMBER(SEARCH(工作表5!$A$1:$A$23, C1387)), 工作表5!$B$1:$B$23, "其他")</f>
        <v>滾筒組</v>
      </c>
      <c r="C1387" s="144" t="s">
        <v>107</v>
      </c>
      <c r="D1387" s="156"/>
      <c r="E1387" s="156" t="s">
        <v>1554</v>
      </c>
      <c r="F1387" s="156" t="s">
        <v>728</v>
      </c>
      <c r="G1387" s="154">
        <v>84000</v>
      </c>
    </row>
    <row r="1388" spans="1:7" ht="21.6" customHeight="1">
      <c r="A1388" s="154" t="s">
        <v>41</v>
      </c>
      <c r="B1388" s="154" t="str" cm="1">
        <f t="array" ref="B1388">_xlfn.XLOOKUP(TRUE, ISNUMBER(SEARCH(工作表5!$A$1:$A$23, C1388)), 工作表5!$B$1:$B$23, "其他")</f>
        <v>顯像組</v>
      </c>
      <c r="C1388" s="145" t="s">
        <v>104</v>
      </c>
      <c r="D1388" s="156"/>
      <c r="E1388" s="156" t="s">
        <v>1508</v>
      </c>
      <c r="F1388" s="156" t="s">
        <v>599</v>
      </c>
      <c r="G1388" s="154">
        <v>84000</v>
      </c>
    </row>
    <row r="1389" spans="1:7" ht="21.6" customHeight="1">
      <c r="A1389" s="154" t="s">
        <v>41</v>
      </c>
      <c r="B1389" s="154" t="str" cm="1">
        <f t="array" ref="B1389">_xlfn.XLOOKUP(TRUE, ISNUMBER(SEARCH(工作表5!$A$1:$A$23, C1389)), 工作表5!$B$1:$B$23, "其他")</f>
        <v>顯像組</v>
      </c>
      <c r="C1389" s="144" t="s">
        <v>1822</v>
      </c>
      <c r="D1389" s="156"/>
      <c r="E1389" s="156" t="s">
        <v>1555</v>
      </c>
      <c r="F1389" s="156" t="s">
        <v>730</v>
      </c>
      <c r="G1389" s="154">
        <v>84000</v>
      </c>
    </row>
    <row r="1390" spans="1:7" ht="21.6" customHeight="1">
      <c r="A1390" s="154" t="s">
        <v>41</v>
      </c>
      <c r="B1390" s="154" t="str" cm="1">
        <f t="array" ref="B1390">_xlfn.XLOOKUP(TRUE, ISNUMBER(SEARCH(工作表5!$A$1:$A$23, C1390)), 工作表5!$B$1:$B$23, "其他")</f>
        <v>定著組</v>
      </c>
      <c r="C1390" s="144" t="s">
        <v>733</v>
      </c>
      <c r="D1390" s="156"/>
      <c r="E1390" s="156" t="s">
        <v>1556</v>
      </c>
      <c r="F1390" s="156" t="s">
        <v>732</v>
      </c>
      <c r="G1390" s="154">
        <v>84000</v>
      </c>
    </row>
    <row r="1391" spans="1:7" ht="21.6" customHeight="1">
      <c r="A1391" s="154" t="s">
        <v>41</v>
      </c>
      <c r="B1391" s="154" t="str" cm="1">
        <f t="array" ref="B1391">_xlfn.XLOOKUP(TRUE, ISNUMBER(SEARCH(工作表5!$A$1:$A$23, C1391)), 工作表5!$B$1:$B$23, "其他")</f>
        <v>定著組</v>
      </c>
      <c r="C1391" s="144" t="s">
        <v>736</v>
      </c>
      <c r="D1391" s="156"/>
      <c r="E1391" s="156" t="s">
        <v>1557</v>
      </c>
      <c r="F1391" s="156" t="s">
        <v>735</v>
      </c>
      <c r="G1391" s="154">
        <v>84000</v>
      </c>
    </row>
    <row r="1392" spans="1:7" ht="21.6" customHeight="1">
      <c r="A1392" s="154" t="s">
        <v>41</v>
      </c>
      <c r="B1392" s="154" t="str" cm="1">
        <f t="array" ref="B1392">_xlfn.XLOOKUP(TRUE, ISNUMBER(SEARCH(工作表5!$A$1:$A$23, C1392)), 工作表5!$B$1:$B$23, "其他")</f>
        <v>取紙組</v>
      </c>
      <c r="C1392" s="144" t="s">
        <v>399</v>
      </c>
      <c r="D1392" s="156"/>
      <c r="E1392" s="156" t="s">
        <v>1558</v>
      </c>
      <c r="F1392" s="156" t="s">
        <v>738</v>
      </c>
      <c r="G1392" s="154">
        <v>80000</v>
      </c>
    </row>
    <row r="1393" spans="1:7" ht="21.6" customHeight="1">
      <c r="A1393" s="154" t="s">
        <v>41</v>
      </c>
      <c r="B1393" s="154" t="str" cm="1">
        <f t="array" ref="B1393">_xlfn.XLOOKUP(TRUE, ISNUMBER(SEARCH(工作表5!$A$1:$A$23, C1393)), 工作表5!$B$1:$B$23, "其他")</f>
        <v>取紙組</v>
      </c>
      <c r="C1393" s="144" t="s">
        <v>741</v>
      </c>
      <c r="D1393" s="156"/>
      <c r="E1393" s="156" t="s">
        <v>1559</v>
      </c>
      <c r="F1393" s="156" t="s">
        <v>740</v>
      </c>
      <c r="G1393" s="154">
        <v>80000</v>
      </c>
    </row>
    <row r="1394" spans="1:7" ht="21.6" customHeight="1">
      <c r="A1394" s="154" t="s">
        <v>41</v>
      </c>
      <c r="B1394" s="154" t="str" cm="1">
        <f t="array" ref="B1394">_xlfn.XLOOKUP(TRUE, ISNUMBER(SEARCH(工作表5!$A$1:$A$23, C1394)), 工作表5!$B$1:$B$23, "其他")</f>
        <v>手送台</v>
      </c>
      <c r="C1394" s="144" t="s">
        <v>631</v>
      </c>
      <c r="D1394" s="156"/>
      <c r="E1394" s="156" t="s">
        <v>1392</v>
      </c>
      <c r="F1394" s="156" t="s">
        <v>274</v>
      </c>
      <c r="G1394" s="154">
        <v>80000</v>
      </c>
    </row>
    <row r="1395" spans="1:7" ht="21.6" customHeight="1">
      <c r="A1395" s="154" t="s">
        <v>41</v>
      </c>
      <c r="B1395" s="154" t="str" cm="1">
        <f t="array" ref="B1395">_xlfn.XLOOKUP(TRUE, ISNUMBER(SEARCH(工作表5!$A$1:$A$23, C1395)), 工作表5!$B$1:$B$23, "其他")</f>
        <v>手送台</v>
      </c>
      <c r="C1395" s="144" t="s">
        <v>115</v>
      </c>
      <c r="D1395" s="156"/>
      <c r="E1395" s="156" t="s">
        <v>1393</v>
      </c>
      <c r="F1395" s="156" t="s">
        <v>277</v>
      </c>
      <c r="G1395" s="154">
        <v>80000</v>
      </c>
    </row>
    <row r="1396" spans="1:7" ht="21.6" customHeight="1">
      <c r="A1396" s="154" t="s">
        <v>41</v>
      </c>
      <c r="B1396" s="154" t="str" cm="1">
        <f t="array" ref="B1396">_xlfn.XLOOKUP(TRUE, ISNUMBER(SEARCH(工作表5!$A$1:$A$23, C1396)), 工作表5!$B$1:$B$23, "其他")</f>
        <v>取紙組</v>
      </c>
      <c r="C1396" s="144" t="s">
        <v>1829</v>
      </c>
      <c r="D1396" s="156"/>
      <c r="E1396" s="156" t="s">
        <v>1389</v>
      </c>
      <c r="F1396" s="156" t="s">
        <v>265</v>
      </c>
      <c r="G1396" s="154">
        <v>80000</v>
      </c>
    </row>
    <row r="1397" spans="1:7" ht="21.6" customHeight="1">
      <c r="A1397" s="154" t="s">
        <v>41</v>
      </c>
      <c r="B1397" s="154" t="str" cm="1">
        <f t="array" ref="B1397">_xlfn.XLOOKUP(TRUE, ISNUMBER(SEARCH(工作表5!$A$1:$A$23, C1397)), 工作表5!$B$1:$B$23, "其他")</f>
        <v>取紙組</v>
      </c>
      <c r="C1397" s="144" t="s">
        <v>633</v>
      </c>
      <c r="D1397" s="156"/>
      <c r="E1397" s="156" t="s">
        <v>1390</v>
      </c>
      <c r="F1397" s="156" t="s">
        <v>269</v>
      </c>
      <c r="G1397" s="154">
        <v>80000</v>
      </c>
    </row>
    <row r="1398" spans="1:7" ht="21.6" customHeight="1">
      <c r="A1398" s="154" t="s">
        <v>41</v>
      </c>
      <c r="B1398" s="154" t="str" cm="1">
        <f t="array" ref="B1398">_xlfn.XLOOKUP(TRUE, ISNUMBER(SEARCH(工作表5!$A$1:$A$23, C1398)), 工作表5!$B$1:$B$23, "其他")</f>
        <v>取紙組</v>
      </c>
      <c r="C1398" s="144" t="s">
        <v>1830</v>
      </c>
      <c r="D1398" s="156"/>
      <c r="E1398" s="156" t="s">
        <v>1391</v>
      </c>
      <c r="F1398" s="156" t="s">
        <v>272</v>
      </c>
      <c r="G1398" s="154">
        <v>80000</v>
      </c>
    </row>
    <row r="1399" spans="1:7" ht="21.6" customHeight="1">
      <c r="A1399" s="154" t="s">
        <v>41</v>
      </c>
      <c r="B1399" s="154" t="str" cm="1">
        <f t="array" ref="B1399">_xlfn.XLOOKUP(TRUE, ISNUMBER(SEARCH(工作表5!$A$1:$A$23, C1399)), 工作表5!$B$1:$B$23, "其他")</f>
        <v>送稿機</v>
      </c>
      <c r="C1399" s="144" t="s">
        <v>1781</v>
      </c>
      <c r="D1399" s="156"/>
      <c r="E1399" s="156" t="s">
        <v>1375</v>
      </c>
      <c r="F1399" s="156" t="s">
        <v>226</v>
      </c>
      <c r="G1399" s="154">
        <v>120000</v>
      </c>
    </row>
    <row r="1400" spans="1:7" ht="21.6" customHeight="1">
      <c r="A1400" s="154" t="s">
        <v>41</v>
      </c>
      <c r="B1400" s="154" t="str" cm="1">
        <f t="array" ref="B1400">_xlfn.XLOOKUP(TRUE, ISNUMBER(SEARCH(工作表5!$A$1:$A$23, C1400)), 工作表5!$B$1:$B$23, "其他")</f>
        <v>送稿機</v>
      </c>
      <c r="C1400" s="144" t="s">
        <v>278</v>
      </c>
      <c r="D1400" s="156"/>
      <c r="E1400" s="156" t="s">
        <v>1376</v>
      </c>
      <c r="F1400" s="156" t="s">
        <v>230</v>
      </c>
      <c r="G1400" s="154">
        <v>120000</v>
      </c>
    </row>
    <row r="1401" spans="1:7" ht="21.6" customHeight="1">
      <c r="A1401" s="154" t="s">
        <v>41</v>
      </c>
      <c r="B1401" s="154" t="str" cm="1">
        <f t="array" ref="B1401">_xlfn.XLOOKUP(TRUE, ISNUMBER(SEARCH(工作表5!$A$1:$A$23, C1401)), 工作表5!$B$1:$B$23, "其他")</f>
        <v>大容量取紙組</v>
      </c>
      <c r="C1401" s="144" t="s">
        <v>237</v>
      </c>
      <c r="D1401" s="156"/>
      <c r="E1401" s="156" t="s">
        <v>1408</v>
      </c>
      <c r="F1401" s="156" t="s">
        <v>327</v>
      </c>
      <c r="G1401" s="154">
        <v>320000</v>
      </c>
    </row>
    <row r="1402" spans="1:7" ht="21.6" customHeight="1">
      <c r="A1402" s="154" t="s">
        <v>41</v>
      </c>
      <c r="B1402" s="154" t="str" cm="1">
        <f t="array" ref="B1402">_xlfn.XLOOKUP(TRUE, ISNUMBER(SEARCH(工作表5!$A$1:$A$23, C1402)), 工作表5!$B$1:$B$23, "其他")</f>
        <v>取紙組</v>
      </c>
      <c r="C1402" s="144" t="s">
        <v>634</v>
      </c>
      <c r="D1402" s="156"/>
      <c r="E1402" s="156" t="s">
        <v>1409</v>
      </c>
      <c r="F1402" s="156" t="s">
        <v>330</v>
      </c>
      <c r="G1402" s="154">
        <v>320000</v>
      </c>
    </row>
    <row r="1403" spans="1:7" ht="21.6" customHeight="1">
      <c r="A1403" s="154" t="s">
        <v>41</v>
      </c>
      <c r="B1403" s="154" t="str" cm="1">
        <f t="array" ref="B1403">_xlfn.XLOOKUP(TRUE, ISNUMBER(SEARCH(工作表5!$A$1:$A$23, C1403)), 工作表5!$B$1:$B$23, "其他")</f>
        <v>顯像組</v>
      </c>
      <c r="C1403" s="144" t="s">
        <v>637</v>
      </c>
      <c r="D1403" s="156"/>
      <c r="E1403" s="156" t="s">
        <v>1562</v>
      </c>
      <c r="F1403" s="156" t="s">
        <v>752</v>
      </c>
      <c r="G1403" s="154">
        <v>84000</v>
      </c>
    </row>
    <row r="1404" spans="1:7" ht="21.6" customHeight="1">
      <c r="A1404" s="154" t="s">
        <v>41</v>
      </c>
      <c r="B1404" s="154" t="str" cm="1">
        <f t="array" ref="B1404">_xlfn.XLOOKUP(TRUE, ISNUMBER(SEARCH(工作表5!$A$1:$A$23, C1404)), 工作表5!$B$1:$B$23, "其他")</f>
        <v>顯像組</v>
      </c>
      <c r="C1404" s="144" t="s">
        <v>755</v>
      </c>
      <c r="D1404" s="156"/>
      <c r="E1404" s="156" t="s">
        <v>1563</v>
      </c>
      <c r="F1404" s="156" t="s">
        <v>754</v>
      </c>
      <c r="G1404" s="154">
        <v>84000</v>
      </c>
    </row>
    <row r="1405" spans="1:7" ht="21.6" customHeight="1">
      <c r="A1405" s="154" t="s">
        <v>41</v>
      </c>
      <c r="B1405" s="154" t="str" cm="1">
        <f t="array" ref="B1405">_xlfn.XLOOKUP(TRUE, ISNUMBER(SEARCH(工作表5!$A$1:$A$23, C1405)), 工作表5!$B$1:$B$23, "其他")</f>
        <v>取紙組</v>
      </c>
      <c r="C1405" s="144" t="s">
        <v>638</v>
      </c>
      <c r="D1405" s="156"/>
      <c r="E1405" s="156" t="s">
        <v>1399</v>
      </c>
      <c r="F1405" s="156" t="s">
        <v>296</v>
      </c>
      <c r="G1405" s="154">
        <v>80000</v>
      </c>
    </row>
    <row r="1406" spans="1:7" ht="21.6" customHeight="1">
      <c r="A1406" s="154" t="s">
        <v>41</v>
      </c>
      <c r="B1406" s="154" t="str" cm="1">
        <f t="array" ref="B1406">_xlfn.XLOOKUP(TRUE, ISNUMBER(SEARCH(工作表5!$A$1:$A$23, C1406)), 工作表5!$B$1:$B$23, "其他")</f>
        <v>送稿機</v>
      </c>
      <c r="C1406" s="144" t="s">
        <v>300</v>
      </c>
      <c r="D1406" s="156"/>
      <c r="E1406" s="156" t="s">
        <v>1400</v>
      </c>
      <c r="F1406" s="156" t="s">
        <v>299</v>
      </c>
      <c r="G1406" s="154">
        <v>120000</v>
      </c>
    </row>
    <row r="1407" spans="1:7" ht="21.6" customHeight="1">
      <c r="A1407" s="154" t="s">
        <v>41</v>
      </c>
      <c r="B1407" s="154" t="str" cm="1">
        <f t="array" ref="B1407">_xlfn.XLOOKUP(TRUE, ISNUMBER(SEARCH(工作表5!$A$1:$A$23, C1407)), 工作表5!$B$1:$B$23, "其他")</f>
        <v>定著組</v>
      </c>
      <c r="C1407" s="144" t="s">
        <v>642</v>
      </c>
      <c r="D1407" s="156"/>
      <c r="E1407" s="156" t="s">
        <v>1584</v>
      </c>
      <c r="F1407" s="156" t="s">
        <v>814</v>
      </c>
      <c r="G1407" s="154">
        <v>210000</v>
      </c>
    </row>
    <row r="1408" spans="1:7" ht="21.6" customHeight="1">
      <c r="A1408" s="154" t="s">
        <v>41</v>
      </c>
      <c r="B1408" s="154" t="str" cm="1">
        <f t="array" ref="B1408">_xlfn.XLOOKUP(TRUE, ISNUMBER(SEARCH(工作表5!$A$1:$A$23, C1408)), 工作表5!$B$1:$B$23, "其他")</f>
        <v>轉寫組</v>
      </c>
      <c r="C1408" s="144" t="s">
        <v>645</v>
      </c>
      <c r="D1408" s="156"/>
      <c r="E1408" s="156" t="s">
        <v>1525</v>
      </c>
      <c r="F1408" s="156" t="s">
        <v>644</v>
      </c>
      <c r="G1408" s="154">
        <v>210000</v>
      </c>
    </row>
    <row r="1409" spans="1:7" ht="21.6" customHeight="1">
      <c r="A1409" s="154" t="s">
        <v>41</v>
      </c>
      <c r="B1409" s="154" t="str" cm="1">
        <f t="array" ref="B1409">_xlfn.XLOOKUP(TRUE, ISNUMBER(SEARCH(工作表5!$A$1:$A$23, C1409)), 工作表5!$B$1:$B$23, "其他")</f>
        <v>定著組</v>
      </c>
      <c r="C1409" s="145" t="s">
        <v>818</v>
      </c>
      <c r="D1409" s="156"/>
      <c r="E1409" s="156" t="s">
        <v>1585</v>
      </c>
      <c r="F1409" s="156" t="s">
        <v>817</v>
      </c>
      <c r="G1409" s="154" t="e">
        <v>#VALUE!</v>
      </c>
    </row>
    <row r="1410" spans="1:7" ht="21.6" customHeight="1">
      <c r="A1410" s="154" t="s">
        <v>41</v>
      </c>
      <c r="B1410" s="154" t="str" cm="1">
        <f t="array" ref="B1410">_xlfn.XLOOKUP(TRUE, ISNUMBER(SEARCH(工作表5!$A$1:$A$23, C1410)), 工作表5!$B$1:$B$23, "其他")</f>
        <v>顯像組</v>
      </c>
      <c r="C1410" s="145" t="s">
        <v>129</v>
      </c>
      <c r="D1410" s="156"/>
      <c r="E1410" s="156" t="s">
        <v>1586</v>
      </c>
      <c r="F1410" s="156" t="s">
        <v>821</v>
      </c>
      <c r="G1410" s="154" t="e">
        <v>#VALUE!</v>
      </c>
    </row>
    <row r="1411" spans="1:7" ht="21.6" customHeight="1">
      <c r="A1411" s="154" t="s">
        <v>41</v>
      </c>
      <c r="B1411" s="154" t="str" cm="1">
        <f t="array" ref="B1411">_xlfn.XLOOKUP(TRUE, ISNUMBER(SEARCH(工作表5!$A$1:$A$23, C1411)), 工作表5!$B$1:$B$23, "其他")</f>
        <v>顯像組</v>
      </c>
      <c r="C1411" s="145" t="s">
        <v>772</v>
      </c>
      <c r="D1411" s="156"/>
      <c r="E1411" s="156" t="s">
        <v>1587</v>
      </c>
      <c r="F1411" s="156" t="s">
        <v>823</v>
      </c>
      <c r="G1411" s="154" t="e">
        <v>#VALUE!</v>
      </c>
    </row>
    <row r="1412" spans="1:7" ht="21.6" customHeight="1">
      <c r="A1412" s="154" t="s">
        <v>41</v>
      </c>
      <c r="B1412" s="154" t="str" cm="1">
        <f t="array" ref="B1412">_xlfn.XLOOKUP(TRUE, ISNUMBER(SEARCH(工作表5!$A$1:$A$23, C1412)), 工作表5!$B$1:$B$23, "其他")</f>
        <v>顯像組</v>
      </c>
      <c r="C1412" s="145" t="s">
        <v>775</v>
      </c>
      <c r="D1412" s="156"/>
      <c r="E1412" s="156" t="s">
        <v>1588</v>
      </c>
      <c r="F1412" s="156" t="s">
        <v>825</v>
      </c>
      <c r="G1412" s="154" t="e">
        <v>#VALUE!</v>
      </c>
    </row>
    <row r="1413" spans="1:7" ht="21.6" customHeight="1">
      <c r="A1413" s="154" t="s">
        <v>41</v>
      </c>
      <c r="B1413" s="154" t="str" cm="1">
        <f t="array" ref="B1413">_xlfn.XLOOKUP(TRUE, ISNUMBER(SEARCH(工作表5!$A$1:$A$23, C1413)), 工作表5!$B$1:$B$23, "其他")</f>
        <v>顯像組</v>
      </c>
      <c r="C1413" s="145" t="s">
        <v>778</v>
      </c>
      <c r="D1413" s="156"/>
      <c r="E1413" s="156" t="s">
        <v>1589</v>
      </c>
      <c r="F1413" s="156" t="s">
        <v>827</v>
      </c>
      <c r="G1413" s="154" t="e">
        <v>#VALUE!</v>
      </c>
    </row>
    <row r="1414" spans="1:7" ht="21.6" customHeight="1">
      <c r="A1414" s="154" t="s">
        <v>41</v>
      </c>
      <c r="B1414" s="154" t="str" cm="1">
        <f t="array" ref="B1414">_xlfn.XLOOKUP(TRUE, ISNUMBER(SEARCH(工作表5!$A$1:$A$23, C1414)), 工作表5!$B$1:$B$23, "其他")</f>
        <v>滾筒組</v>
      </c>
      <c r="C1414" s="145" t="s">
        <v>781</v>
      </c>
      <c r="D1414" s="156"/>
      <c r="E1414" s="156" t="s">
        <v>1590</v>
      </c>
      <c r="F1414" s="156" t="s">
        <v>829</v>
      </c>
      <c r="G1414" s="154" t="e">
        <v>#VALUE!</v>
      </c>
    </row>
    <row r="1415" spans="1:7" ht="21.6" customHeight="1">
      <c r="A1415" s="154" t="s">
        <v>41</v>
      </c>
      <c r="B1415" s="154" t="str" cm="1">
        <f t="array" ref="B1415">_xlfn.XLOOKUP(TRUE, ISNUMBER(SEARCH(工作表5!$A$1:$A$23, C1415)), 工作表5!$B$1:$B$23, "其他")</f>
        <v>滾筒組</v>
      </c>
      <c r="C1415" s="145" t="s">
        <v>784</v>
      </c>
      <c r="D1415" s="156"/>
      <c r="E1415" s="156" t="s">
        <v>1591</v>
      </c>
      <c r="F1415" s="156" t="s">
        <v>831</v>
      </c>
      <c r="G1415" s="154" t="e">
        <v>#VALUE!</v>
      </c>
    </row>
    <row r="1416" spans="1:7" ht="21.6" customHeight="1">
      <c r="A1416" s="154" t="s">
        <v>41</v>
      </c>
      <c r="B1416" s="154" t="str" cm="1">
        <f t="array" ref="B1416">_xlfn.XLOOKUP(TRUE, ISNUMBER(SEARCH(工作表5!$A$1:$A$23, C1416)), 工作表5!$B$1:$B$23, "其他")</f>
        <v>滾筒組</v>
      </c>
      <c r="C1416" s="145" t="s">
        <v>787</v>
      </c>
      <c r="D1416" s="156"/>
      <c r="E1416" s="156" t="s">
        <v>1592</v>
      </c>
      <c r="F1416" s="156" t="s">
        <v>833</v>
      </c>
      <c r="G1416" s="154" t="e">
        <v>#VALUE!</v>
      </c>
    </row>
    <row r="1417" spans="1:7" ht="21.6" customHeight="1">
      <c r="A1417" s="154" t="s">
        <v>41</v>
      </c>
      <c r="B1417" s="154" t="str" cm="1">
        <f t="array" ref="B1417">_xlfn.XLOOKUP(TRUE, ISNUMBER(SEARCH(工作表5!$A$1:$A$23, C1417)), 工作表5!$B$1:$B$23, "其他")</f>
        <v>滾筒組</v>
      </c>
      <c r="C1417" s="145" t="s">
        <v>790</v>
      </c>
      <c r="D1417" s="156"/>
      <c r="E1417" s="156" t="s">
        <v>1593</v>
      </c>
      <c r="F1417" s="156" t="s">
        <v>835</v>
      </c>
      <c r="G1417" s="154" t="e">
        <v>#VALUE!</v>
      </c>
    </row>
    <row r="1418" spans="1:7" ht="21.6" customHeight="1">
      <c r="A1418" s="154" t="s">
        <v>41</v>
      </c>
      <c r="B1418" s="154" t="str" cm="1">
        <f t="array" ref="B1418">_xlfn.XLOOKUP(TRUE, ISNUMBER(SEARCH(工作表5!$A$1:$A$23, C1418)), 工作表5!$B$1:$B$23, "其他")</f>
        <v>轉寫組</v>
      </c>
      <c r="C1418" s="147" t="s">
        <v>1821</v>
      </c>
      <c r="D1418" s="156"/>
      <c r="E1418" s="156" t="s">
        <v>1528</v>
      </c>
      <c r="F1418" s="156" t="s">
        <v>651</v>
      </c>
      <c r="G1418" s="154" t="e">
        <v>#VALUE!</v>
      </c>
    </row>
    <row r="1419" spans="1:7" ht="21.6" customHeight="1">
      <c r="A1419" s="154" t="s">
        <v>1308</v>
      </c>
      <c r="B1419" s="154" t="str" cm="1">
        <f t="array" ref="B1419">_xlfn.XLOOKUP(TRUE, ISNUMBER(SEARCH(工作表5!$A$1:$A$23, C1419)), 工作表5!$B$1:$B$23, "其他")</f>
        <v>滾筒組</v>
      </c>
      <c r="C1419" s="143" t="s">
        <v>193</v>
      </c>
      <c r="D1419" s="156"/>
      <c r="E1419" s="156" t="s">
        <v>1595</v>
      </c>
      <c r="F1419" s="156" t="s">
        <v>841</v>
      </c>
      <c r="G1419" s="154">
        <v>50000</v>
      </c>
    </row>
    <row r="1420" spans="1:7" ht="21.6" customHeight="1">
      <c r="A1420" s="154" t="s">
        <v>1308</v>
      </c>
      <c r="B1420" s="154" t="str" cm="1">
        <f t="array" ref="B1420">_xlfn.XLOOKUP(TRUE, ISNUMBER(SEARCH(工作表5!$A$1:$A$23, C1420)), 工作表5!$B$1:$B$23, "其他")</f>
        <v>顯像組</v>
      </c>
      <c r="C1420" s="145" t="s">
        <v>502</v>
      </c>
      <c r="D1420" s="156"/>
      <c r="E1420" s="156" t="s">
        <v>1543</v>
      </c>
      <c r="F1420" s="156" t="s">
        <v>700</v>
      </c>
      <c r="G1420" s="154">
        <v>50000</v>
      </c>
    </row>
    <row r="1421" spans="1:7" ht="21.6" customHeight="1">
      <c r="A1421" s="154" t="s">
        <v>1308</v>
      </c>
      <c r="B1421" s="154" t="str" cm="1">
        <f t="array" ref="B1421">_xlfn.XLOOKUP(TRUE, ISNUMBER(SEARCH(工作表5!$A$1:$A$23, C1421)), 工作表5!$B$1:$B$23, "其他")</f>
        <v>顯像組</v>
      </c>
      <c r="C1421" s="145" t="s">
        <v>703</v>
      </c>
      <c r="D1421" s="156"/>
      <c r="E1421" s="156" t="s">
        <v>1544</v>
      </c>
      <c r="F1421" s="156" t="s">
        <v>702</v>
      </c>
      <c r="G1421" s="154">
        <v>50000</v>
      </c>
    </row>
    <row r="1422" spans="1:7" ht="21.6" customHeight="1">
      <c r="A1422" s="154" t="s">
        <v>1308</v>
      </c>
      <c r="B1422" s="154" t="str" cm="1">
        <f t="array" ref="B1422">_xlfn.XLOOKUP(TRUE, ISNUMBER(SEARCH(工作表5!$A$1:$A$23, C1422)), 工作表5!$B$1:$B$23, "其他")</f>
        <v>顯像組</v>
      </c>
      <c r="C1422" s="144" t="s">
        <v>706</v>
      </c>
      <c r="D1422" s="156"/>
      <c r="E1422" s="156" t="s">
        <v>1545</v>
      </c>
      <c r="F1422" s="156" t="s">
        <v>705</v>
      </c>
      <c r="G1422" s="154">
        <v>50000</v>
      </c>
    </row>
    <row r="1423" spans="1:7" ht="21.6" customHeight="1">
      <c r="A1423" s="154" t="s">
        <v>1308</v>
      </c>
      <c r="B1423" s="154" t="str" cm="1">
        <f t="array" ref="B1423">_xlfn.XLOOKUP(TRUE, ISNUMBER(SEARCH(工作表5!$A$1:$A$23, C1423)), 工作表5!$B$1:$B$23, "其他")</f>
        <v>顯像組</v>
      </c>
      <c r="C1423" s="145" t="s">
        <v>709</v>
      </c>
      <c r="D1423" s="156"/>
      <c r="E1423" s="156" t="s">
        <v>1546</v>
      </c>
      <c r="F1423" s="156" t="s">
        <v>708</v>
      </c>
      <c r="G1423" s="154">
        <v>50000</v>
      </c>
    </row>
    <row r="1424" spans="1:7" ht="21.6" customHeight="1">
      <c r="A1424" s="154" t="s">
        <v>1308</v>
      </c>
      <c r="B1424" s="154" t="str" cm="1">
        <f t="array" ref="B1424">_xlfn.XLOOKUP(TRUE, ISNUMBER(SEARCH(工作表5!$A$1:$A$23, C1424)), 工作表5!$B$1:$B$23, "其他")</f>
        <v>滾筒組</v>
      </c>
      <c r="C1424" s="145" t="s">
        <v>415</v>
      </c>
      <c r="D1424" s="156"/>
      <c r="E1424" s="156" t="s">
        <v>1547</v>
      </c>
      <c r="F1424" s="156" t="s">
        <v>711</v>
      </c>
      <c r="G1424" s="154">
        <v>50000</v>
      </c>
    </row>
    <row r="1425" spans="1:7" ht="21.6" customHeight="1">
      <c r="A1425" s="154" t="s">
        <v>1308</v>
      </c>
      <c r="B1425" s="154" t="str" cm="1">
        <f t="array" ref="B1425">_xlfn.XLOOKUP(TRUE, ISNUMBER(SEARCH(工作表5!$A$1:$A$23, C1425)), 工作表5!$B$1:$B$23, "其他")</f>
        <v>轉寫組</v>
      </c>
      <c r="C1425" s="145" t="s">
        <v>533</v>
      </c>
      <c r="D1425" s="156"/>
      <c r="E1425" s="156" t="s">
        <v>1511</v>
      </c>
      <c r="F1425" s="156" t="s">
        <v>606</v>
      </c>
      <c r="G1425" s="154">
        <v>100000</v>
      </c>
    </row>
    <row r="1426" spans="1:7" ht="21.6" customHeight="1">
      <c r="A1426" s="154" t="s">
        <v>1308</v>
      </c>
      <c r="B1426" s="154" t="str" cm="1">
        <f t="array" ref="B1426">_xlfn.XLOOKUP(TRUE, ISNUMBER(SEARCH(工作表5!$A$1:$A$23, C1426)), 工作表5!$B$1:$B$23, "其他")</f>
        <v>轉寫組</v>
      </c>
      <c r="C1426" s="145" t="s">
        <v>1812</v>
      </c>
      <c r="D1426" s="156"/>
      <c r="E1426" s="156" t="s">
        <v>1512</v>
      </c>
      <c r="F1426" s="156" t="s">
        <v>608</v>
      </c>
      <c r="G1426" s="154">
        <v>150000</v>
      </c>
    </row>
    <row r="1427" spans="1:7" ht="21.6" customHeight="1">
      <c r="A1427" s="154" t="s">
        <v>1308</v>
      </c>
      <c r="B1427" s="154" t="str" cm="1">
        <f t="array" ref="B1427">_xlfn.XLOOKUP(TRUE, ISNUMBER(SEARCH(工作表5!$A$1:$A$23, C1427)), 工作表5!$B$1:$B$23, "其他")</f>
        <v>定著組</v>
      </c>
      <c r="C1427" s="145" t="s">
        <v>1809</v>
      </c>
      <c r="D1427" s="156"/>
      <c r="E1427" s="156" t="s">
        <v>1596</v>
      </c>
      <c r="F1427" s="156" t="s">
        <v>1755</v>
      </c>
      <c r="G1427" s="154">
        <v>200000</v>
      </c>
    </row>
    <row r="1428" spans="1:7" ht="21.6" customHeight="1">
      <c r="A1428" s="154" t="s">
        <v>1308</v>
      </c>
      <c r="B1428" s="154" t="str" cm="1">
        <f t="array" ref="B1428">_xlfn.XLOOKUP(TRUE, ISNUMBER(SEARCH(工作表5!$A$1:$A$23, C1428)), 工作表5!$B$1:$B$23, "其他")</f>
        <v>定著組</v>
      </c>
      <c r="C1428" s="145" t="s">
        <v>87</v>
      </c>
      <c r="D1428" s="156"/>
      <c r="E1428" s="156" t="s">
        <v>1597</v>
      </c>
      <c r="F1428" s="156" t="s">
        <v>844</v>
      </c>
      <c r="G1428" s="154">
        <v>200000</v>
      </c>
    </row>
    <row r="1429" spans="1:7" ht="21.6" customHeight="1">
      <c r="A1429" s="154" t="s">
        <v>1308</v>
      </c>
      <c r="B1429" s="154" t="str" cm="1">
        <f t="array" ref="B1429">_xlfn.XLOOKUP(TRUE, ISNUMBER(SEARCH(工作表5!$A$1:$A$23, C1429)), 工作表5!$B$1:$B$23, "其他")</f>
        <v>滾筒組</v>
      </c>
      <c r="C1429" s="144" t="s">
        <v>107</v>
      </c>
      <c r="D1429" s="156"/>
      <c r="E1429" s="156" t="s">
        <v>1598</v>
      </c>
      <c r="F1429" s="156" t="s">
        <v>846</v>
      </c>
      <c r="G1429" s="154">
        <v>50000</v>
      </c>
    </row>
    <row r="1430" spans="1:7" ht="21.6" customHeight="1">
      <c r="A1430" s="154" t="s">
        <v>1308</v>
      </c>
      <c r="B1430" s="154" t="str" cm="1">
        <f t="array" ref="B1430">_xlfn.XLOOKUP(TRUE, ISNUMBER(SEARCH(工作表5!$A$1:$A$23, C1430)), 工作表5!$B$1:$B$23, "其他")</f>
        <v>顯像組</v>
      </c>
      <c r="C1430" s="145" t="s">
        <v>104</v>
      </c>
      <c r="D1430" s="156"/>
      <c r="E1430" s="156" t="s">
        <v>1508</v>
      </c>
      <c r="F1430" s="156" t="s">
        <v>599</v>
      </c>
      <c r="G1430" s="154">
        <v>50000</v>
      </c>
    </row>
    <row r="1431" spans="1:7" ht="21.6" customHeight="1">
      <c r="A1431" s="154" t="s">
        <v>1308</v>
      </c>
      <c r="B1431" s="154" t="str" cm="1">
        <f t="array" ref="B1431">_xlfn.XLOOKUP(TRUE, ISNUMBER(SEARCH(工作表5!$A$1:$A$23, C1431)), 工作表5!$B$1:$B$23, "其他")</f>
        <v>顯像組</v>
      </c>
      <c r="C1431" s="144" t="s">
        <v>1822</v>
      </c>
      <c r="D1431" s="156"/>
      <c r="E1431" s="156" t="s">
        <v>1555</v>
      </c>
      <c r="F1431" s="156" t="s">
        <v>730</v>
      </c>
      <c r="G1431" s="154">
        <v>50000</v>
      </c>
    </row>
    <row r="1432" spans="1:7" ht="21.6" customHeight="1">
      <c r="A1432" s="154" t="s">
        <v>1308</v>
      </c>
      <c r="B1432" s="154" t="str" cm="1">
        <f t="array" ref="B1432">_xlfn.XLOOKUP(TRUE, ISNUMBER(SEARCH(工作表5!$A$1:$A$23, C1432)), 工作表5!$B$1:$B$23, "其他")</f>
        <v>定著組</v>
      </c>
      <c r="C1432" s="144" t="s">
        <v>733</v>
      </c>
      <c r="D1432" s="156"/>
      <c r="E1432" s="156" t="s">
        <v>1556</v>
      </c>
      <c r="F1432" s="156" t="s">
        <v>732</v>
      </c>
      <c r="G1432" s="154">
        <v>50000</v>
      </c>
    </row>
    <row r="1433" spans="1:7" ht="21.6" customHeight="1">
      <c r="A1433" s="154" t="s">
        <v>1308</v>
      </c>
      <c r="B1433" s="154" t="str" cm="1">
        <f t="array" ref="B1433">_xlfn.XLOOKUP(TRUE, ISNUMBER(SEARCH(工作表5!$A$1:$A$23, C1433)), 工作表5!$B$1:$B$23, "其他")</f>
        <v>定著組</v>
      </c>
      <c r="C1433" s="144" t="s">
        <v>736</v>
      </c>
      <c r="D1433" s="156"/>
      <c r="E1433" s="156" t="s">
        <v>1557</v>
      </c>
      <c r="F1433" s="156" t="s">
        <v>735</v>
      </c>
      <c r="G1433" s="154">
        <v>50000</v>
      </c>
    </row>
    <row r="1434" spans="1:7" ht="21.6" customHeight="1">
      <c r="A1434" s="154" t="s">
        <v>1308</v>
      </c>
      <c r="B1434" s="154" t="str" cm="1">
        <f t="array" ref="B1434">_xlfn.XLOOKUP(TRUE, ISNUMBER(SEARCH(工作表5!$A$1:$A$23, C1434)), 工作表5!$B$1:$B$23, "其他")</f>
        <v>滾筒組</v>
      </c>
      <c r="C1434" s="144" t="s">
        <v>849</v>
      </c>
      <c r="D1434" s="156"/>
      <c r="E1434" s="156" t="s">
        <v>1599</v>
      </c>
      <c r="F1434" s="156" t="s">
        <v>848</v>
      </c>
      <c r="G1434" s="154">
        <v>200000</v>
      </c>
    </row>
    <row r="1435" spans="1:7" ht="21.6" customHeight="1">
      <c r="A1435" s="154" t="s">
        <v>1308</v>
      </c>
      <c r="B1435" s="154" t="str" cm="1">
        <f t="array" ref="B1435">_xlfn.XLOOKUP(TRUE, ISNUMBER(SEARCH(工作表5!$A$1:$A$23, C1435)), 工作表5!$B$1:$B$23, "其他")</f>
        <v>滾筒組</v>
      </c>
      <c r="C1435" s="144" t="s">
        <v>1823</v>
      </c>
      <c r="D1435" s="156"/>
      <c r="E1435" s="156" t="s">
        <v>1600</v>
      </c>
      <c r="F1435" s="156" t="s">
        <v>851</v>
      </c>
      <c r="G1435" s="154">
        <v>200000</v>
      </c>
    </row>
    <row r="1436" spans="1:7" ht="21.6" customHeight="1">
      <c r="A1436" s="154" t="s">
        <v>1308</v>
      </c>
      <c r="B1436" s="154" t="str" cm="1">
        <f t="array" ref="B1436">_xlfn.XLOOKUP(TRUE, ISNUMBER(SEARCH(工作表5!$A$1:$A$23, C1436)), 工作表5!$B$1:$B$23, "其他")</f>
        <v>轉寫組</v>
      </c>
      <c r="C1436" s="144" t="s">
        <v>1824</v>
      </c>
      <c r="D1436" s="156"/>
      <c r="E1436" s="156" t="s">
        <v>1513</v>
      </c>
      <c r="F1436" s="156" t="s">
        <v>610</v>
      </c>
      <c r="G1436" s="154">
        <v>150000</v>
      </c>
    </row>
    <row r="1437" spans="1:7" ht="21.6" customHeight="1">
      <c r="A1437" s="154" t="s">
        <v>1308</v>
      </c>
      <c r="B1437" s="154" t="str" cm="1">
        <f t="array" ref="B1437">_xlfn.XLOOKUP(TRUE, ISNUMBER(SEARCH(工作表5!$A$1:$A$23, C1437)), 工作表5!$B$1:$B$23, "其他")</f>
        <v>轉寫組</v>
      </c>
      <c r="C1437" s="144" t="s">
        <v>1825</v>
      </c>
      <c r="D1437" s="156"/>
      <c r="E1437" s="156" t="s">
        <v>1514</v>
      </c>
      <c r="F1437" s="156" t="s">
        <v>612</v>
      </c>
      <c r="G1437" s="154">
        <v>150000</v>
      </c>
    </row>
    <row r="1438" spans="1:7" ht="21.6" customHeight="1">
      <c r="A1438" s="154" t="s">
        <v>1308</v>
      </c>
      <c r="B1438" s="154" t="str" cm="1">
        <f t="array" ref="B1438">_xlfn.XLOOKUP(TRUE, ISNUMBER(SEARCH(工作表5!$A$1:$A$23, C1438)), 工作表5!$B$1:$B$23, "其他")</f>
        <v>其他</v>
      </c>
      <c r="C1438" s="144">
        <f>+$H$1137</f>
        <v>0</v>
      </c>
      <c r="D1438" s="156"/>
      <c r="E1438" s="156" t="s">
        <v>1515</v>
      </c>
      <c r="F1438" s="156" t="s">
        <v>614</v>
      </c>
      <c r="G1438" s="154">
        <v>150000</v>
      </c>
    </row>
    <row r="1439" spans="1:7" ht="21.6" customHeight="1">
      <c r="A1439" s="154" t="s">
        <v>1308</v>
      </c>
      <c r="B1439" s="154" t="str" cm="1">
        <f t="array" ref="B1439">_xlfn.XLOOKUP(TRUE, ISNUMBER(SEARCH(工作表5!$A$1:$A$23, C1439)), 工作表5!$B$1:$B$23, "其他")</f>
        <v>其他</v>
      </c>
      <c r="C1439" s="144" t="s">
        <v>101</v>
      </c>
      <c r="D1439" s="156"/>
      <c r="E1439" s="156" t="s">
        <v>1551</v>
      </c>
      <c r="F1439" s="156" t="s">
        <v>720</v>
      </c>
      <c r="G1439" s="154">
        <v>200000</v>
      </c>
    </row>
    <row r="1440" spans="1:7" ht="21.6" customHeight="1">
      <c r="A1440" s="154" t="s">
        <v>1308</v>
      </c>
      <c r="B1440" s="154" t="str" cm="1">
        <f t="array" ref="B1440">_xlfn.XLOOKUP(TRUE, ISNUMBER(SEARCH(工作表5!$A$1:$A$23, C1440)), 工作表5!$B$1:$B$23, "其他")</f>
        <v>定著組</v>
      </c>
      <c r="C1440" s="144" t="s">
        <v>1827</v>
      </c>
      <c r="D1440" s="156"/>
      <c r="E1440" s="156" t="s">
        <v>1519</v>
      </c>
      <c r="F1440" s="156" t="s">
        <v>623</v>
      </c>
      <c r="G1440" s="154">
        <v>200000</v>
      </c>
    </row>
    <row r="1441" spans="1:7" ht="21.6" customHeight="1">
      <c r="A1441" s="154" t="s">
        <v>1308</v>
      </c>
      <c r="B1441" s="154" t="str" cm="1">
        <f t="array" ref="B1441">_xlfn.XLOOKUP(TRUE, ISNUMBER(SEARCH(工作表5!$A$1:$A$23, C1441)), 工作表5!$B$1:$B$23, "其他")</f>
        <v>定著組</v>
      </c>
      <c r="C1441" s="144" t="s">
        <v>1828</v>
      </c>
      <c r="D1441" s="156"/>
      <c r="E1441" s="156" t="s">
        <v>1601</v>
      </c>
      <c r="F1441" s="156" t="s">
        <v>853</v>
      </c>
      <c r="G1441" s="154">
        <v>200000</v>
      </c>
    </row>
    <row r="1442" spans="1:7" ht="21.6" customHeight="1">
      <c r="A1442" s="154" t="s">
        <v>1308</v>
      </c>
      <c r="B1442" s="154" t="str" cm="1">
        <f t="array" ref="B1442">_xlfn.XLOOKUP(TRUE, ISNUMBER(SEARCH(工作表5!$A$1:$A$23, C1442)), 工作表5!$B$1:$B$23, "其他")</f>
        <v>定著組</v>
      </c>
      <c r="C1442" s="144" t="s">
        <v>90</v>
      </c>
      <c r="D1442" s="156"/>
      <c r="E1442" s="156" t="s">
        <v>1521</v>
      </c>
      <c r="F1442" s="156" t="s">
        <v>627</v>
      </c>
      <c r="G1442" s="154">
        <v>200000</v>
      </c>
    </row>
    <row r="1443" spans="1:7" ht="21.6" customHeight="1">
      <c r="A1443" s="154" t="s">
        <v>1308</v>
      </c>
      <c r="B1443" s="154" t="str" cm="1">
        <f t="array" ref="B1443">_xlfn.XLOOKUP(TRUE, ISNUMBER(SEARCH(工作表5!$A$1:$A$23, C1443)), 工作表5!$B$1:$B$23, "其他")</f>
        <v>取紙組</v>
      </c>
      <c r="C1443" s="144" t="s">
        <v>1836</v>
      </c>
      <c r="D1443" s="156"/>
      <c r="E1443" s="156" t="s">
        <v>1389</v>
      </c>
      <c r="F1443" s="156" t="s">
        <v>265</v>
      </c>
      <c r="G1443" s="154">
        <v>80000</v>
      </c>
    </row>
    <row r="1444" spans="1:7" ht="21.6" customHeight="1">
      <c r="A1444" s="154" t="s">
        <v>1308</v>
      </c>
      <c r="B1444" s="154" t="str" cm="1">
        <f t="array" ref="B1444">_xlfn.XLOOKUP(TRUE, ISNUMBER(SEARCH(工作表5!$A$1:$A$23, C1444)), 工作表5!$B$1:$B$23, "其他")</f>
        <v>取紙組</v>
      </c>
      <c r="C1444" s="144" t="s">
        <v>745</v>
      </c>
      <c r="D1444" s="156"/>
      <c r="E1444" s="156" t="s">
        <v>1389</v>
      </c>
      <c r="F1444" s="156" t="s">
        <v>265</v>
      </c>
      <c r="G1444" s="154">
        <v>80000</v>
      </c>
    </row>
    <row r="1445" spans="1:7" ht="21.6" customHeight="1">
      <c r="A1445" s="154" t="s">
        <v>1308</v>
      </c>
      <c r="B1445" s="154" t="str" cm="1">
        <f t="array" ref="B1445">_xlfn.XLOOKUP(TRUE, ISNUMBER(SEARCH(工作表5!$A$1:$A$23, C1445)), 工作表5!$B$1:$B$23, "其他")</f>
        <v>取紙組</v>
      </c>
      <c r="C1445" s="144" t="s">
        <v>1837</v>
      </c>
      <c r="D1445" s="156"/>
      <c r="E1445" s="156" t="s">
        <v>1561</v>
      </c>
      <c r="F1445" s="156" t="s">
        <v>747</v>
      </c>
      <c r="G1445" s="154">
        <v>80000</v>
      </c>
    </row>
    <row r="1446" spans="1:7" ht="21.6" customHeight="1">
      <c r="A1446" s="154" t="s">
        <v>1308</v>
      </c>
      <c r="B1446" s="154" t="str" cm="1">
        <f t="array" ref="B1446">_xlfn.XLOOKUP(TRUE, ISNUMBER(SEARCH(工作表5!$A$1:$A$23, C1446)), 工作表5!$B$1:$B$23, "其他")</f>
        <v>手送台</v>
      </c>
      <c r="C1446" s="144" t="s">
        <v>631</v>
      </c>
      <c r="D1446" s="156"/>
      <c r="E1446" s="156" t="s">
        <v>1392</v>
      </c>
      <c r="F1446" s="156" t="s">
        <v>274</v>
      </c>
      <c r="G1446" s="154">
        <v>80000</v>
      </c>
    </row>
    <row r="1447" spans="1:7" ht="21.6" customHeight="1">
      <c r="A1447" s="154" t="s">
        <v>1308</v>
      </c>
      <c r="B1447" s="154" t="str" cm="1">
        <f t="array" ref="B1447">_xlfn.XLOOKUP(TRUE, ISNUMBER(SEARCH(工作表5!$A$1:$A$23, C1447)), 工作表5!$B$1:$B$23, "其他")</f>
        <v>手送台</v>
      </c>
      <c r="C1447" s="144" t="s">
        <v>119</v>
      </c>
      <c r="D1447" s="156"/>
      <c r="E1447" s="156" t="s">
        <v>1602</v>
      </c>
      <c r="F1447" s="156" t="s">
        <v>856</v>
      </c>
      <c r="G1447" s="154">
        <v>80000</v>
      </c>
    </row>
    <row r="1448" spans="1:7" ht="21.6" customHeight="1">
      <c r="A1448" s="154" t="s">
        <v>1308</v>
      </c>
      <c r="B1448" s="154" t="str" cm="1">
        <f t="array" ref="B1448">_xlfn.XLOOKUP(TRUE, ISNUMBER(SEARCH(工作表5!$A$1:$A$23, C1448)), 工作表5!$B$1:$B$23, "其他")</f>
        <v>送稿機</v>
      </c>
      <c r="C1448" s="145" t="s">
        <v>1838</v>
      </c>
      <c r="D1448" s="156"/>
      <c r="E1448" s="156" t="s">
        <v>1375</v>
      </c>
      <c r="F1448" s="156" t="s">
        <v>226</v>
      </c>
      <c r="G1448" s="154">
        <v>120000</v>
      </c>
    </row>
    <row r="1449" spans="1:7" ht="21.6" customHeight="1">
      <c r="A1449" s="154" t="s">
        <v>1308</v>
      </c>
      <c r="B1449" s="154" t="str" cm="1">
        <f t="array" ref="B1449">_xlfn.XLOOKUP(TRUE, ISNUMBER(SEARCH(工作表5!$A$1:$A$23, C1449)), 工作表5!$B$1:$B$23, "其他")</f>
        <v>送稿機</v>
      </c>
      <c r="C1449" s="145" t="s">
        <v>1839</v>
      </c>
      <c r="D1449" s="156"/>
      <c r="E1449" s="156" t="s">
        <v>1376</v>
      </c>
      <c r="F1449" s="156" t="s">
        <v>230</v>
      </c>
      <c r="G1449" s="154">
        <v>120000</v>
      </c>
    </row>
    <row r="1450" spans="1:7" ht="21.6" customHeight="1">
      <c r="A1450" s="154" t="s">
        <v>1308</v>
      </c>
      <c r="B1450" s="154" t="str" cm="1">
        <f t="array" ref="B1450">_xlfn.XLOOKUP(TRUE, ISNUMBER(SEARCH(工作表5!$A$1:$A$23, C1450)), 工作表5!$B$1:$B$23, "其他")</f>
        <v>取紙組</v>
      </c>
      <c r="C1450" s="144" t="s">
        <v>1840</v>
      </c>
      <c r="D1450" s="156"/>
      <c r="E1450" s="156" t="s">
        <v>1377</v>
      </c>
      <c r="F1450" s="156" t="s">
        <v>232</v>
      </c>
      <c r="G1450" s="154">
        <v>160000</v>
      </c>
    </row>
    <row r="1451" spans="1:7" ht="21.6" customHeight="1">
      <c r="A1451" s="154" t="s">
        <v>1308</v>
      </c>
      <c r="B1451" s="154" t="str" cm="1">
        <f t="array" ref="B1451">_xlfn.XLOOKUP(TRUE, ISNUMBER(SEARCH(工作表5!$A$1:$A$23, C1451)), 工作表5!$B$1:$B$23, "其他")</f>
        <v>大容量取紙組</v>
      </c>
      <c r="C1451" s="144" t="s">
        <v>237</v>
      </c>
      <c r="D1451" s="156"/>
      <c r="E1451" s="156" t="s">
        <v>1378</v>
      </c>
      <c r="F1451" s="156" t="s">
        <v>236</v>
      </c>
      <c r="G1451" s="154">
        <v>160000</v>
      </c>
    </row>
    <row r="1452" spans="1:7" ht="21.6" customHeight="1">
      <c r="A1452" s="154" t="s">
        <v>1308</v>
      </c>
      <c r="B1452" s="154" t="str" cm="1">
        <f t="array" ref="B1452">_xlfn.XLOOKUP(TRUE, ISNUMBER(SEARCH(工作表5!$A$1:$A$23, C1452)), 工作表5!$B$1:$B$23, "其他")</f>
        <v>取紙組</v>
      </c>
      <c r="C1452" s="144" t="s">
        <v>749</v>
      </c>
      <c r="D1452" s="156"/>
      <c r="E1452" s="156" t="s">
        <v>1379</v>
      </c>
      <c r="F1452" s="156" t="s">
        <v>239</v>
      </c>
      <c r="G1452" s="154">
        <v>160000</v>
      </c>
    </row>
    <row r="1453" spans="1:7" ht="21.6" customHeight="1">
      <c r="A1453" s="154" t="s">
        <v>1308</v>
      </c>
      <c r="B1453" s="154" t="str" cm="1">
        <f t="array" ref="B1453">_xlfn.XLOOKUP(TRUE, ISNUMBER(SEARCH(工作表5!$A$1:$A$23, C1453)), 工作表5!$B$1:$B$23, "其他")</f>
        <v>顯像組</v>
      </c>
      <c r="C1453" s="144" t="s">
        <v>637</v>
      </c>
      <c r="D1453" s="156"/>
      <c r="E1453" s="156" t="s">
        <v>1603</v>
      </c>
      <c r="F1453" s="156" t="s">
        <v>859</v>
      </c>
      <c r="G1453" s="154">
        <v>50000</v>
      </c>
    </row>
    <row r="1454" spans="1:7" ht="21.6" customHeight="1">
      <c r="A1454" s="154" t="s">
        <v>1308</v>
      </c>
      <c r="B1454" s="154" t="str" cm="1">
        <f t="array" ref="B1454">_xlfn.XLOOKUP(TRUE, ISNUMBER(SEARCH(工作表5!$A$1:$A$23, C1454)), 工作表5!$B$1:$B$23, "其他")</f>
        <v>顯像組</v>
      </c>
      <c r="C1454" s="144" t="s">
        <v>755</v>
      </c>
      <c r="D1454" s="156"/>
      <c r="E1454" s="156" t="s">
        <v>1604</v>
      </c>
      <c r="F1454" s="156" t="s">
        <v>861</v>
      </c>
      <c r="G1454" s="154">
        <v>50000</v>
      </c>
    </row>
    <row r="1455" spans="1:7" ht="21.6" customHeight="1">
      <c r="A1455" s="154" t="s">
        <v>1308</v>
      </c>
      <c r="B1455" s="154" t="str" cm="1">
        <f t="array" ref="B1455">_xlfn.XLOOKUP(TRUE, ISNUMBER(SEARCH(工作表5!$A$1:$A$23, C1455)), 工作表5!$B$1:$B$23, "其他")</f>
        <v>定著組</v>
      </c>
      <c r="C1455" s="145" t="s">
        <v>244</v>
      </c>
      <c r="D1455" s="156"/>
      <c r="E1455" s="156" t="s">
        <v>1605</v>
      </c>
      <c r="F1455" s="156" t="s">
        <v>863</v>
      </c>
      <c r="G1455" s="154">
        <v>200000</v>
      </c>
    </row>
    <row r="1456" spans="1:7" ht="21.6" customHeight="1">
      <c r="A1456" s="154" t="s">
        <v>1308</v>
      </c>
      <c r="B1456" s="154" t="str" cm="1">
        <f t="array" ref="B1456">_xlfn.XLOOKUP(TRUE, ISNUMBER(SEARCH(工作表5!$A$1:$A$23, C1456)), 工作表5!$B$1:$B$23, "其他")</f>
        <v>轉寫組</v>
      </c>
      <c r="C1456" s="144" t="s">
        <v>864</v>
      </c>
      <c r="D1456" s="156"/>
      <c r="E1456" s="156" t="s">
        <v>1525</v>
      </c>
      <c r="F1456" s="156" t="s">
        <v>644</v>
      </c>
      <c r="G1456" s="154">
        <v>150000</v>
      </c>
    </row>
    <row r="1457" spans="1:7" ht="21.6" customHeight="1">
      <c r="A1457" s="154" t="s">
        <v>1308</v>
      </c>
      <c r="B1457" s="154" t="str" cm="1">
        <f t="array" ref="B1457">_xlfn.XLOOKUP(TRUE, ISNUMBER(SEARCH(工作表5!$A$1:$A$23, C1457)), 工作表5!$B$1:$B$23, "其他")</f>
        <v>取紙組</v>
      </c>
      <c r="C1457" s="144" t="s">
        <v>758</v>
      </c>
      <c r="D1457" s="156"/>
      <c r="E1457" s="156" t="s">
        <v>1564</v>
      </c>
      <c r="F1457" s="156" t="s">
        <v>757</v>
      </c>
      <c r="G1457" s="154">
        <v>80000</v>
      </c>
    </row>
    <row r="1458" spans="1:7" ht="21.6" customHeight="1">
      <c r="A1458" s="154" t="s">
        <v>1308</v>
      </c>
      <c r="B1458" s="154" t="str" cm="1">
        <f t="array" ref="B1458">_xlfn.XLOOKUP(TRUE, ISNUMBER(SEARCH(工作表5!$A$1:$A$23, C1458)), 工作表5!$B$1:$B$23, "其他")</f>
        <v>送稿機</v>
      </c>
      <c r="C1458" s="144" t="s">
        <v>759</v>
      </c>
      <c r="D1458" s="156"/>
      <c r="E1458" s="156" t="s">
        <v>1383</v>
      </c>
      <c r="F1458" s="156" t="s">
        <v>249</v>
      </c>
      <c r="G1458" s="154">
        <v>120000</v>
      </c>
    </row>
    <row r="1459" spans="1:7" ht="21.6" customHeight="1">
      <c r="A1459" s="154" t="s">
        <v>1308</v>
      </c>
      <c r="B1459" s="154" t="str" cm="1">
        <f t="array" ref="B1459">_xlfn.XLOOKUP(TRUE, ISNUMBER(SEARCH(工作表5!$A$1:$A$23, C1459)), 工作表5!$B$1:$B$23, "其他")</f>
        <v>其他</v>
      </c>
      <c r="C1459" s="144" t="s">
        <v>760</v>
      </c>
      <c r="D1459" s="156"/>
      <c r="E1459" s="156" t="s">
        <v>1384</v>
      </c>
      <c r="F1459" s="156" t="s">
        <v>252</v>
      </c>
      <c r="G1459" s="154">
        <v>160000</v>
      </c>
    </row>
    <row r="1460" spans="1:7" ht="21.6" customHeight="1">
      <c r="A1460" s="154" t="s">
        <v>1308</v>
      </c>
      <c r="B1460" s="154" t="str" cm="1">
        <f t="array" ref="B1460">_xlfn.XLOOKUP(TRUE, ISNUMBER(SEARCH(工作表5!$A$1:$A$23, C1460)), 工作表5!$B$1:$B$23, "其他")</f>
        <v>定著組</v>
      </c>
      <c r="C1460" s="145" t="s">
        <v>585</v>
      </c>
      <c r="D1460" s="156"/>
      <c r="E1460" s="156" t="s">
        <v>1606</v>
      </c>
      <c r="F1460" s="156" t="s">
        <v>867</v>
      </c>
      <c r="G1460" s="154" t="e">
        <v>#VALUE!</v>
      </c>
    </row>
    <row r="1461" spans="1:7" ht="21.6" customHeight="1">
      <c r="A1461" s="154" t="s">
        <v>1308</v>
      </c>
      <c r="B1461" s="154" t="str" cm="1">
        <f t="array" ref="B1461">_xlfn.XLOOKUP(TRUE, ISNUMBER(SEARCH(工作表5!$A$1:$A$23, C1461)), 工作表5!$B$1:$B$23, "其他")</f>
        <v>顯像組</v>
      </c>
      <c r="C1461" s="145" t="s">
        <v>129</v>
      </c>
      <c r="D1461" s="156"/>
      <c r="E1461" s="156" t="s">
        <v>1607</v>
      </c>
      <c r="F1461" s="156" t="s">
        <v>869</v>
      </c>
      <c r="G1461" s="154" t="e">
        <v>#VALUE!</v>
      </c>
    </row>
    <row r="1462" spans="1:7" ht="21.6" customHeight="1">
      <c r="A1462" s="154" t="s">
        <v>1308</v>
      </c>
      <c r="B1462" s="154" t="str" cm="1">
        <f t="array" ref="B1462">_xlfn.XLOOKUP(TRUE, ISNUMBER(SEARCH(工作表5!$A$1:$A$23, C1462)), 工作表5!$B$1:$B$23, "其他")</f>
        <v>顯像組</v>
      </c>
      <c r="C1462" s="145" t="s">
        <v>772</v>
      </c>
      <c r="D1462" s="156"/>
      <c r="E1462" s="156" t="s">
        <v>1608</v>
      </c>
      <c r="F1462" s="156" t="s">
        <v>871</v>
      </c>
      <c r="G1462" s="154" t="e">
        <v>#VALUE!</v>
      </c>
    </row>
    <row r="1463" spans="1:7" ht="21.6" customHeight="1">
      <c r="A1463" s="154" t="s">
        <v>1308</v>
      </c>
      <c r="B1463" s="154" t="str" cm="1">
        <f t="array" ref="B1463">_xlfn.XLOOKUP(TRUE, ISNUMBER(SEARCH(工作表5!$A$1:$A$23, C1463)), 工作表5!$B$1:$B$23, "其他")</f>
        <v>顯像組</v>
      </c>
      <c r="C1463" s="145" t="s">
        <v>775</v>
      </c>
      <c r="D1463" s="156"/>
      <c r="E1463" s="156" t="s">
        <v>1609</v>
      </c>
      <c r="F1463" s="156" t="s">
        <v>873</v>
      </c>
      <c r="G1463" s="154" t="e">
        <v>#VALUE!</v>
      </c>
    </row>
    <row r="1464" spans="1:7" ht="21.6" customHeight="1">
      <c r="A1464" s="154" t="s">
        <v>1308</v>
      </c>
      <c r="B1464" s="154" t="str" cm="1">
        <f t="array" ref="B1464">_xlfn.XLOOKUP(TRUE, ISNUMBER(SEARCH(工作表5!$A$1:$A$23, C1464)), 工作表5!$B$1:$B$23, "其他")</f>
        <v>顯像組</v>
      </c>
      <c r="C1464" s="145" t="s">
        <v>778</v>
      </c>
      <c r="D1464" s="156"/>
      <c r="E1464" s="156" t="s">
        <v>1610</v>
      </c>
      <c r="F1464" s="156" t="s">
        <v>875</v>
      </c>
      <c r="G1464" s="154" t="e">
        <v>#VALUE!</v>
      </c>
    </row>
    <row r="1465" spans="1:7" ht="21.6" customHeight="1">
      <c r="A1465" s="154" t="s">
        <v>1308</v>
      </c>
      <c r="B1465" s="154" t="str" cm="1">
        <f t="array" ref="B1465">_xlfn.XLOOKUP(TRUE, ISNUMBER(SEARCH(工作表5!$A$1:$A$23, C1465)), 工作表5!$B$1:$B$23, "其他")</f>
        <v>滾筒組</v>
      </c>
      <c r="C1465" s="145" t="s">
        <v>781</v>
      </c>
      <c r="D1465" s="156"/>
      <c r="E1465" s="156" t="s">
        <v>1611</v>
      </c>
      <c r="F1465" s="156" t="s">
        <v>877</v>
      </c>
      <c r="G1465" s="154" t="e">
        <v>#VALUE!</v>
      </c>
    </row>
    <row r="1466" spans="1:7" ht="21.6" customHeight="1">
      <c r="A1466" s="154" t="s">
        <v>1308</v>
      </c>
      <c r="B1466" s="154" t="str" cm="1">
        <f t="array" ref="B1466">_xlfn.XLOOKUP(TRUE, ISNUMBER(SEARCH(工作表5!$A$1:$A$23, C1466)), 工作表5!$B$1:$B$23, "其他")</f>
        <v>滾筒組</v>
      </c>
      <c r="C1466" s="145" t="s">
        <v>784</v>
      </c>
      <c r="D1466" s="156"/>
      <c r="E1466" s="156" t="s">
        <v>1612</v>
      </c>
      <c r="F1466" s="156" t="s">
        <v>879</v>
      </c>
      <c r="G1466" s="154" t="e">
        <v>#VALUE!</v>
      </c>
    </row>
    <row r="1467" spans="1:7" ht="21.6" customHeight="1">
      <c r="A1467" s="154" t="s">
        <v>1308</v>
      </c>
      <c r="B1467" s="154" t="str" cm="1">
        <f t="array" ref="B1467">_xlfn.XLOOKUP(TRUE, ISNUMBER(SEARCH(工作表5!$A$1:$A$23, C1467)), 工作表5!$B$1:$B$23, "其他")</f>
        <v>滾筒組</v>
      </c>
      <c r="C1467" s="145" t="s">
        <v>787</v>
      </c>
      <c r="D1467" s="156"/>
      <c r="E1467" s="156" t="s">
        <v>1613</v>
      </c>
      <c r="F1467" s="156" t="s">
        <v>881</v>
      </c>
      <c r="G1467" s="154" t="e">
        <v>#VALUE!</v>
      </c>
    </row>
    <row r="1468" spans="1:7" ht="21.6" customHeight="1">
      <c r="A1468" s="154" t="s">
        <v>1308</v>
      </c>
      <c r="B1468" s="154" t="str" cm="1">
        <f t="array" ref="B1468">_xlfn.XLOOKUP(TRUE, ISNUMBER(SEARCH(工作表5!$A$1:$A$23, C1468)), 工作表5!$B$1:$B$23, "其他")</f>
        <v>滾筒組</v>
      </c>
      <c r="C1468" s="145" t="s">
        <v>790</v>
      </c>
      <c r="D1468" s="156"/>
      <c r="E1468" s="156" t="s">
        <v>1614</v>
      </c>
      <c r="F1468" s="156" t="s">
        <v>883</v>
      </c>
      <c r="G1468" s="154" t="e">
        <v>#VALUE!</v>
      </c>
    </row>
    <row r="1469" spans="1:7" ht="21.6" customHeight="1">
      <c r="A1469" s="154" t="s">
        <v>1308</v>
      </c>
      <c r="B1469" s="154" t="str" cm="1">
        <f t="array" ref="B1469">_xlfn.XLOOKUP(TRUE, ISNUMBER(SEARCH(工作表5!$A$1:$A$23, C1469)), 工作表5!$B$1:$B$23, "其他")</f>
        <v>轉寫組</v>
      </c>
      <c r="C1469" s="145" t="s">
        <v>1821</v>
      </c>
      <c r="D1469" s="156"/>
      <c r="E1469" s="156" t="s">
        <v>1576</v>
      </c>
      <c r="F1469" s="156" t="s">
        <v>792</v>
      </c>
      <c r="G1469" s="154" t="e">
        <v>#VALUE!</v>
      </c>
    </row>
    <row r="1470" spans="1:7" ht="21.6" customHeight="1">
      <c r="A1470" s="154" t="s">
        <v>1308</v>
      </c>
      <c r="B1470" s="154" t="str" cm="1">
        <f t="array" ref="B1470">_xlfn.XLOOKUP(TRUE, ISNUMBER(SEARCH(工作表5!$A$1:$A$23, C1470)), 工作表5!$B$1:$B$23, "其他")</f>
        <v>轉寫組</v>
      </c>
      <c r="C1470" s="144" t="s">
        <v>1805</v>
      </c>
      <c r="D1470" s="156"/>
      <c r="E1470" s="156" t="s">
        <v>1615</v>
      </c>
      <c r="F1470" s="156" t="s">
        <v>885</v>
      </c>
      <c r="G1470" s="154" t="e">
        <v>#VALUE!</v>
      </c>
    </row>
    <row r="1471" spans="1:7" ht="21.6" customHeight="1">
      <c r="A1471" s="154" t="s">
        <v>39</v>
      </c>
      <c r="B1471" s="154" t="str" cm="1">
        <f t="array" ref="B1471">_xlfn.XLOOKUP(TRUE, ISNUMBER(SEARCH(工作表5!$A$1:$A$23, C1471)), 工作表5!$B$1:$B$23, "其他")</f>
        <v>滾筒組</v>
      </c>
      <c r="C1471" s="143" t="s">
        <v>589</v>
      </c>
      <c r="D1471" s="156"/>
      <c r="E1471" s="156" t="s">
        <v>1504</v>
      </c>
      <c r="F1471" s="156" t="s">
        <v>588</v>
      </c>
      <c r="G1471" s="154">
        <v>150000</v>
      </c>
    </row>
    <row r="1472" spans="1:7" ht="21.6" customHeight="1">
      <c r="A1472" s="154" t="s">
        <v>39</v>
      </c>
      <c r="B1472" s="154" t="str" cm="1">
        <f t="array" ref="B1472">_xlfn.XLOOKUP(TRUE, ISNUMBER(SEARCH(工作表5!$A$1:$A$23, C1472)), 工作表5!$B$1:$B$23, "其他")</f>
        <v>滾筒組</v>
      </c>
      <c r="C1472" s="150" t="s">
        <v>887</v>
      </c>
      <c r="D1472" s="156"/>
      <c r="E1472" s="156" t="s">
        <v>1595</v>
      </c>
      <c r="F1472" s="156" t="s">
        <v>841</v>
      </c>
      <c r="G1472" s="154">
        <v>75000</v>
      </c>
    </row>
    <row r="1473" spans="1:7" ht="21.6" customHeight="1">
      <c r="A1473" s="154" t="s">
        <v>39</v>
      </c>
      <c r="B1473" s="154" t="str" cm="1">
        <f t="array" ref="B1473">_xlfn.XLOOKUP(TRUE, ISNUMBER(SEARCH(工作表5!$A$1:$A$23, C1473)), 工作表5!$B$1:$B$23, "其他")</f>
        <v>顯像組</v>
      </c>
      <c r="C1473" s="145" t="s">
        <v>502</v>
      </c>
      <c r="D1473" s="156"/>
      <c r="E1473" s="156" t="s">
        <v>1616</v>
      </c>
      <c r="F1473" s="156" t="s">
        <v>890</v>
      </c>
      <c r="G1473" s="154" t="e">
        <v>#VALUE!</v>
      </c>
    </row>
    <row r="1474" spans="1:7" ht="21.6" customHeight="1">
      <c r="A1474" s="154" t="s">
        <v>39</v>
      </c>
      <c r="B1474" s="154" t="str" cm="1">
        <f t="array" ref="B1474">_xlfn.XLOOKUP(TRUE, ISNUMBER(SEARCH(工作表5!$A$1:$A$23, C1474)), 工作表5!$B$1:$B$23, "其他")</f>
        <v>顯像組</v>
      </c>
      <c r="C1474" s="145" t="s">
        <v>703</v>
      </c>
      <c r="D1474" s="156"/>
      <c r="E1474" s="156" t="s">
        <v>1617</v>
      </c>
      <c r="F1474" s="156" t="s">
        <v>893</v>
      </c>
      <c r="G1474" s="154">
        <v>150000</v>
      </c>
    </row>
    <row r="1475" spans="1:7" ht="21.6" customHeight="1">
      <c r="A1475" s="154" t="s">
        <v>39</v>
      </c>
      <c r="B1475" s="154" t="str" cm="1">
        <f t="array" ref="B1475">_xlfn.XLOOKUP(TRUE, ISNUMBER(SEARCH(工作表5!$A$1:$A$23, C1475)), 工作表5!$B$1:$B$23, "其他")</f>
        <v>顯像組</v>
      </c>
      <c r="C1475" s="144" t="s">
        <v>706</v>
      </c>
      <c r="D1475" s="156"/>
      <c r="E1475" s="156" t="s">
        <v>1618</v>
      </c>
      <c r="F1475" s="156" t="s">
        <v>895</v>
      </c>
      <c r="G1475" s="154">
        <v>150000</v>
      </c>
    </row>
    <row r="1476" spans="1:7" ht="21.6" customHeight="1">
      <c r="A1476" s="154" t="s">
        <v>39</v>
      </c>
      <c r="B1476" s="154" t="str" cm="1">
        <f t="array" ref="B1476">_xlfn.XLOOKUP(TRUE, ISNUMBER(SEARCH(工作表5!$A$1:$A$23, C1476)), 工作表5!$B$1:$B$23, "其他")</f>
        <v>顯像組</v>
      </c>
      <c r="C1476" s="145" t="s">
        <v>709</v>
      </c>
      <c r="D1476" s="156"/>
      <c r="E1476" s="156" t="s">
        <v>1619</v>
      </c>
      <c r="F1476" s="156" t="s">
        <v>897</v>
      </c>
      <c r="G1476" s="154">
        <v>150000</v>
      </c>
    </row>
    <row r="1477" spans="1:7" ht="21.6" customHeight="1">
      <c r="A1477" s="154" t="s">
        <v>39</v>
      </c>
      <c r="B1477" s="154" t="str" cm="1">
        <f t="array" ref="B1477">_xlfn.XLOOKUP(TRUE, ISNUMBER(SEARCH(工作表5!$A$1:$A$23, C1477)), 工作表5!$B$1:$B$23, "其他")</f>
        <v>滾筒組</v>
      </c>
      <c r="C1477" s="145" t="s">
        <v>415</v>
      </c>
      <c r="D1477" s="156"/>
      <c r="E1477" s="156" t="s">
        <v>1547</v>
      </c>
      <c r="F1477" s="156" t="s">
        <v>711</v>
      </c>
      <c r="G1477" s="154" t="e">
        <v>#VALUE!</v>
      </c>
    </row>
    <row r="1478" spans="1:7" ht="21.6" customHeight="1">
      <c r="A1478" s="154" t="s">
        <v>39</v>
      </c>
      <c r="B1478" s="154" t="str" cm="1">
        <f t="array" ref="B1478">_xlfn.XLOOKUP(TRUE, ISNUMBER(SEARCH(工作表5!$A$1:$A$23, C1478)), 工作表5!$B$1:$B$23, "其他")</f>
        <v>滾筒組</v>
      </c>
      <c r="C1478" s="144" t="s">
        <v>597</v>
      </c>
      <c r="D1478" s="156"/>
      <c r="E1478" s="156" t="s">
        <v>1620</v>
      </c>
      <c r="F1478" s="156" t="s">
        <v>900</v>
      </c>
      <c r="G1478" s="154">
        <v>150000</v>
      </c>
    </row>
    <row r="1479" spans="1:7" ht="21.6" customHeight="1">
      <c r="A1479" s="154" t="s">
        <v>39</v>
      </c>
      <c r="B1479" s="154" t="str" cm="1">
        <f t="array" ref="B1479">_xlfn.XLOOKUP(TRUE, ISNUMBER(SEARCH(工作表5!$A$1:$A$23, C1479)), 工作表5!$B$1:$B$23, "其他")</f>
        <v>滾筒組</v>
      </c>
      <c r="C1479" s="144" t="s">
        <v>901</v>
      </c>
      <c r="D1479" s="156"/>
      <c r="E1479" s="156" t="s">
        <v>1598</v>
      </c>
      <c r="F1479" s="156" t="s">
        <v>846</v>
      </c>
      <c r="G1479" s="154">
        <v>75000</v>
      </c>
    </row>
    <row r="1480" spans="1:7" ht="21.6" customHeight="1">
      <c r="A1480" s="154" t="s">
        <v>39</v>
      </c>
      <c r="B1480" s="154" t="str" cm="1">
        <f t="array" ref="B1480">_xlfn.XLOOKUP(TRUE, ISNUMBER(SEARCH(工作表5!$A$1:$A$23, C1480)), 工作表5!$B$1:$B$23, "其他")</f>
        <v>顯像組</v>
      </c>
      <c r="C1480" s="145" t="s">
        <v>600</v>
      </c>
      <c r="D1480" s="156"/>
      <c r="E1480" s="156" t="s">
        <v>1508</v>
      </c>
      <c r="F1480" s="156" t="s">
        <v>599</v>
      </c>
      <c r="G1480" s="154" t="e">
        <v>#VALUE!</v>
      </c>
    </row>
    <row r="1481" spans="1:7" ht="21.6" customHeight="1">
      <c r="A1481" s="154" t="s">
        <v>39</v>
      </c>
      <c r="B1481" s="154" t="str" cm="1">
        <f t="array" ref="B1481">_xlfn.XLOOKUP(TRUE, ISNUMBER(SEARCH(工作表5!$A$1:$A$23, C1481)), 工作表5!$B$1:$B$23, "其他")</f>
        <v>顯像組</v>
      </c>
      <c r="C1481" s="144" t="s">
        <v>1822</v>
      </c>
      <c r="D1481" s="156"/>
      <c r="E1481" s="156" t="s">
        <v>1509</v>
      </c>
      <c r="F1481" s="156" t="s">
        <v>602</v>
      </c>
      <c r="G1481" s="154" t="e">
        <v>#VALUE!</v>
      </c>
    </row>
    <row r="1482" spans="1:7" ht="21.6" customHeight="1">
      <c r="A1482" s="154" t="s">
        <v>39</v>
      </c>
      <c r="B1482" s="154" t="str" cm="1">
        <f t="array" ref="B1482">_xlfn.XLOOKUP(TRUE, ISNUMBER(SEARCH(工作表5!$A$1:$A$23, C1482)), 工作表5!$B$1:$B$23, "其他")</f>
        <v>滾筒組</v>
      </c>
      <c r="C1482" s="144" t="s">
        <v>1823</v>
      </c>
      <c r="D1482" s="156"/>
      <c r="E1482" s="156" t="s">
        <v>1621</v>
      </c>
      <c r="F1482" s="156" t="s">
        <v>903</v>
      </c>
      <c r="G1482" s="154" t="e">
        <v>#VALUE!</v>
      </c>
    </row>
    <row r="1483" spans="1:7" ht="21.6" customHeight="1">
      <c r="A1483" s="154" t="s">
        <v>39</v>
      </c>
      <c r="B1483" s="154" t="str" cm="1">
        <f t="array" ref="B1483">_xlfn.XLOOKUP(TRUE, ISNUMBER(SEARCH(工作表5!$A$1:$A$23, C1483)), 工作表5!$B$1:$B$23, "其他")</f>
        <v>滾筒組</v>
      </c>
      <c r="C1483" s="144" t="s">
        <v>1823</v>
      </c>
      <c r="D1483" s="156"/>
      <c r="E1483" s="156" t="s">
        <v>1622</v>
      </c>
      <c r="F1483" s="156" t="s">
        <v>906</v>
      </c>
      <c r="G1483" s="154" t="e">
        <v>#VALUE!</v>
      </c>
    </row>
    <row r="1484" spans="1:7" ht="21.6" customHeight="1">
      <c r="A1484" s="154" t="s">
        <v>39</v>
      </c>
      <c r="B1484" s="154" t="str" cm="1">
        <f t="array" ref="B1484">_xlfn.XLOOKUP(TRUE, ISNUMBER(SEARCH(工作表5!$A$1:$A$23, C1484)), 工作表5!$B$1:$B$23, "其他")</f>
        <v>轉寫組</v>
      </c>
      <c r="C1484" s="145" t="s">
        <v>533</v>
      </c>
      <c r="D1484" s="156"/>
      <c r="E1484" s="156" t="s">
        <v>1511</v>
      </c>
      <c r="F1484" s="156" t="s">
        <v>606</v>
      </c>
      <c r="G1484" s="154">
        <v>150000</v>
      </c>
    </row>
    <row r="1485" spans="1:7" ht="21.6" customHeight="1">
      <c r="A1485" s="154" t="s">
        <v>39</v>
      </c>
      <c r="B1485" s="154" t="str" cm="1">
        <f t="array" ref="B1485">_xlfn.XLOOKUP(TRUE, ISNUMBER(SEARCH(工作表5!$A$1:$A$23, C1485)), 工作表5!$B$1:$B$23, "其他")</f>
        <v>轉寫組</v>
      </c>
      <c r="C1485" s="145" t="s">
        <v>1812</v>
      </c>
      <c r="D1485" s="156"/>
      <c r="E1485" s="156" t="s">
        <v>1512</v>
      </c>
      <c r="F1485" s="156" t="s">
        <v>608</v>
      </c>
      <c r="G1485" s="154">
        <v>150000</v>
      </c>
    </row>
    <row r="1486" spans="1:7" ht="21.6" customHeight="1">
      <c r="A1486" s="154" t="s">
        <v>39</v>
      </c>
      <c r="B1486" s="154" t="str" cm="1">
        <f t="array" ref="B1486">_xlfn.XLOOKUP(TRUE, ISNUMBER(SEARCH(工作表5!$A$1:$A$23, C1486)), 工作表5!$B$1:$B$23, "其他")</f>
        <v>轉寫組</v>
      </c>
      <c r="C1486" s="145" t="s">
        <v>1824</v>
      </c>
      <c r="D1486" s="156"/>
      <c r="E1486" s="156" t="s">
        <v>1513</v>
      </c>
      <c r="F1486" s="156" t="s">
        <v>610</v>
      </c>
      <c r="G1486" s="154">
        <v>150000</v>
      </c>
    </row>
    <row r="1487" spans="1:7" ht="21.6" customHeight="1">
      <c r="A1487" s="154" t="s">
        <v>39</v>
      </c>
      <c r="B1487" s="154" t="str" cm="1">
        <f t="array" ref="B1487">_xlfn.XLOOKUP(TRUE, ISNUMBER(SEARCH(工作表5!$A$1:$A$23, C1487)), 工作表5!$B$1:$B$23, "其他")</f>
        <v>轉寫組</v>
      </c>
      <c r="C1487" s="145" t="s">
        <v>1825</v>
      </c>
      <c r="D1487" s="156"/>
      <c r="E1487" s="156" t="s">
        <v>1514</v>
      </c>
      <c r="F1487" s="156" t="s">
        <v>612</v>
      </c>
      <c r="G1487" s="154">
        <v>150000</v>
      </c>
    </row>
    <row r="1488" spans="1:7" ht="21.6" customHeight="1">
      <c r="A1488" s="154" t="s">
        <v>39</v>
      </c>
      <c r="B1488" s="154" t="str" cm="1">
        <f t="array" ref="B1488">_xlfn.XLOOKUP(TRUE, ISNUMBER(SEARCH(工作表5!$A$1:$A$23, C1488)), 工作表5!$B$1:$B$23, "其他")</f>
        <v>轉寫組</v>
      </c>
      <c r="C1488" s="145" t="s">
        <v>1826</v>
      </c>
      <c r="D1488" s="156"/>
      <c r="E1488" s="156" t="s">
        <v>1515</v>
      </c>
      <c r="F1488" s="156" t="s">
        <v>614</v>
      </c>
      <c r="G1488" s="154">
        <v>150000</v>
      </c>
    </row>
    <row r="1489" spans="1:7" ht="21.6" customHeight="1">
      <c r="A1489" s="154" t="s">
        <v>39</v>
      </c>
      <c r="B1489" s="154" t="str" cm="1">
        <f t="array" ref="B1489">_xlfn.XLOOKUP(TRUE, ISNUMBER(SEARCH(工作表5!$A$1:$A$23, C1489)), 工作表5!$B$1:$B$23, "其他")</f>
        <v>其他</v>
      </c>
      <c r="C1489" s="144" t="s">
        <v>101</v>
      </c>
      <c r="D1489" s="156"/>
      <c r="E1489" s="156" t="s">
        <v>1551</v>
      </c>
      <c r="F1489" s="156" t="s">
        <v>720</v>
      </c>
      <c r="G1489" s="154">
        <v>450000</v>
      </c>
    </row>
    <row r="1490" spans="1:7" ht="21.6" customHeight="1">
      <c r="A1490" s="154" t="s">
        <v>39</v>
      </c>
      <c r="B1490" s="154" t="str" cm="1">
        <f t="array" ref="B1490">_xlfn.XLOOKUP(TRUE, ISNUMBER(SEARCH(工作表5!$A$1:$A$23, C1490)), 工作表5!$B$1:$B$23, "其他")</f>
        <v>定著組</v>
      </c>
      <c r="C1490" s="145" t="s">
        <v>1809</v>
      </c>
      <c r="D1490" s="156"/>
      <c r="E1490" s="156" t="s">
        <v>1623</v>
      </c>
      <c r="F1490" s="156" t="s">
        <v>909</v>
      </c>
      <c r="G1490" s="154">
        <v>200000</v>
      </c>
    </row>
    <row r="1491" spans="1:7" ht="21.6" customHeight="1">
      <c r="A1491" s="154" t="s">
        <v>39</v>
      </c>
      <c r="B1491" s="154" t="str" cm="1">
        <f t="array" ref="B1491">_xlfn.XLOOKUP(TRUE, ISNUMBER(SEARCH(工作表5!$A$1:$A$23, C1491)), 工作表5!$B$1:$B$23, "其他")</f>
        <v>定著組</v>
      </c>
      <c r="C1491" s="145" t="s">
        <v>87</v>
      </c>
      <c r="D1491" s="156"/>
      <c r="E1491" s="156" t="s">
        <v>1624</v>
      </c>
      <c r="F1491" s="156" t="s">
        <v>912</v>
      </c>
      <c r="G1491" s="154">
        <v>200000</v>
      </c>
    </row>
    <row r="1492" spans="1:7" ht="21.6" customHeight="1">
      <c r="A1492" s="154" t="s">
        <v>39</v>
      </c>
      <c r="B1492" s="154" t="str" cm="1">
        <f t="array" ref="B1492">_xlfn.XLOOKUP(TRUE, ISNUMBER(SEARCH(工作表5!$A$1:$A$23, C1492)), 工作表5!$B$1:$B$23, "其他")</f>
        <v>定著組</v>
      </c>
      <c r="C1492" s="144" t="s">
        <v>1827</v>
      </c>
      <c r="D1492" s="156"/>
      <c r="E1492" s="156" t="s">
        <v>1519</v>
      </c>
      <c r="F1492" s="156" t="s">
        <v>623</v>
      </c>
      <c r="G1492" s="154">
        <v>200000</v>
      </c>
    </row>
    <row r="1493" spans="1:7" ht="21.6" customHeight="1">
      <c r="A1493" s="154" t="s">
        <v>39</v>
      </c>
      <c r="B1493" s="154" t="str" cm="1">
        <f t="array" ref="B1493">_xlfn.XLOOKUP(TRUE, ISNUMBER(SEARCH(工作表5!$A$1:$A$23, C1493)), 工作表5!$B$1:$B$23, "其他")</f>
        <v>定著組</v>
      </c>
      <c r="C1493" s="144" t="s">
        <v>1828</v>
      </c>
      <c r="D1493" s="156"/>
      <c r="E1493" s="156" t="s">
        <v>1601</v>
      </c>
      <c r="F1493" s="156" t="s">
        <v>853</v>
      </c>
      <c r="G1493" s="154">
        <v>200000</v>
      </c>
    </row>
    <row r="1494" spans="1:7" ht="21.6" customHeight="1">
      <c r="A1494" s="154" t="s">
        <v>39</v>
      </c>
      <c r="B1494" s="154" t="str" cm="1">
        <f t="array" ref="B1494">_xlfn.XLOOKUP(TRUE, ISNUMBER(SEARCH(工作表5!$A$1:$A$23, C1494)), 工作表5!$B$1:$B$23, "其他")</f>
        <v>定著組</v>
      </c>
      <c r="C1494" s="145" t="s">
        <v>628</v>
      </c>
      <c r="D1494" s="156"/>
      <c r="E1494" s="156" t="s">
        <v>1521</v>
      </c>
      <c r="F1494" s="156" t="s">
        <v>627</v>
      </c>
      <c r="G1494" s="154">
        <v>200000</v>
      </c>
    </row>
    <row r="1495" spans="1:7" ht="21.6" customHeight="1">
      <c r="A1495" s="154" t="s">
        <v>39</v>
      </c>
      <c r="B1495" s="154" t="str" cm="1">
        <f t="array" ref="B1495">_xlfn.XLOOKUP(TRUE, ISNUMBER(SEARCH(工作表5!$A$1:$A$23, C1495)), 工作表5!$B$1:$B$23, "其他")</f>
        <v>手送台</v>
      </c>
      <c r="C1495" s="144" t="s">
        <v>631</v>
      </c>
      <c r="D1495" s="156"/>
      <c r="E1495" s="156" t="s">
        <v>1392</v>
      </c>
      <c r="F1495" s="156" t="s">
        <v>274</v>
      </c>
      <c r="G1495" s="154">
        <v>80000</v>
      </c>
    </row>
    <row r="1496" spans="1:7" ht="21.6" customHeight="1">
      <c r="A1496" s="154" t="s">
        <v>39</v>
      </c>
      <c r="B1496" s="154" t="str" cm="1">
        <f t="array" ref="B1496">_xlfn.XLOOKUP(TRUE, ISNUMBER(SEARCH(工作表5!$A$1:$A$23, C1496)), 工作表5!$B$1:$B$23, "其他")</f>
        <v>手送台</v>
      </c>
      <c r="C1496" s="144" t="s">
        <v>115</v>
      </c>
      <c r="D1496" s="156"/>
      <c r="E1496" s="156" t="s">
        <v>1393</v>
      </c>
      <c r="F1496" s="156" t="s">
        <v>277</v>
      </c>
      <c r="G1496" s="154">
        <v>80000</v>
      </c>
    </row>
    <row r="1497" spans="1:7" ht="21.6" customHeight="1">
      <c r="A1497" s="154" t="s">
        <v>39</v>
      </c>
      <c r="B1497" s="154" t="str" cm="1">
        <f t="array" ref="B1497">_xlfn.XLOOKUP(TRUE, ISNUMBER(SEARCH(工作表5!$A$1:$A$23, C1497)), 工作表5!$B$1:$B$23, "其他")</f>
        <v>取紙組</v>
      </c>
      <c r="C1497" s="144" t="s">
        <v>1841</v>
      </c>
      <c r="D1497" s="156"/>
      <c r="E1497" s="156" t="s">
        <v>1389</v>
      </c>
      <c r="F1497" s="156" t="s">
        <v>265</v>
      </c>
      <c r="G1497" s="154">
        <v>80000</v>
      </c>
    </row>
    <row r="1498" spans="1:7" ht="21.6" customHeight="1">
      <c r="A1498" s="154" t="s">
        <v>39</v>
      </c>
      <c r="B1498" s="154" t="str" cm="1">
        <f t="array" ref="B1498">_xlfn.XLOOKUP(TRUE, ISNUMBER(SEARCH(工作表5!$A$1:$A$23, C1498)), 工作表5!$B$1:$B$23, "其他")</f>
        <v>取紙組</v>
      </c>
      <c r="C1498" s="144" t="s">
        <v>797</v>
      </c>
      <c r="D1498" s="156"/>
      <c r="E1498" s="156" t="s">
        <v>1390</v>
      </c>
      <c r="F1498" s="156" t="s">
        <v>269</v>
      </c>
      <c r="G1498" s="154">
        <v>80000</v>
      </c>
    </row>
    <row r="1499" spans="1:7" ht="21.6" customHeight="1">
      <c r="A1499" s="154" t="s">
        <v>39</v>
      </c>
      <c r="B1499" s="154" t="str" cm="1">
        <f t="array" ref="B1499">_xlfn.XLOOKUP(TRUE, ISNUMBER(SEARCH(工作表5!$A$1:$A$23, C1499)), 工作表5!$B$1:$B$23, "其他")</f>
        <v>取紙組</v>
      </c>
      <c r="C1499" s="144" t="s">
        <v>1842</v>
      </c>
      <c r="D1499" s="156"/>
      <c r="E1499" s="156" t="s">
        <v>1391</v>
      </c>
      <c r="F1499" s="156" t="s">
        <v>272</v>
      </c>
      <c r="G1499" s="154">
        <v>80000</v>
      </c>
    </row>
    <row r="1500" spans="1:7" ht="21.6" customHeight="1">
      <c r="A1500" s="154" t="s">
        <v>39</v>
      </c>
      <c r="B1500" s="154" t="str" cm="1">
        <f t="array" ref="B1500">_xlfn.XLOOKUP(TRUE, ISNUMBER(SEARCH(工作表5!$A$1:$A$23, C1500)), 工作表5!$B$1:$B$23, "其他")</f>
        <v>送稿機</v>
      </c>
      <c r="C1500" s="144" t="s">
        <v>1781</v>
      </c>
      <c r="D1500" s="156"/>
      <c r="E1500" s="156" t="s">
        <v>1375</v>
      </c>
      <c r="F1500" s="156" t="s">
        <v>226</v>
      </c>
      <c r="G1500" s="154">
        <v>120000</v>
      </c>
    </row>
    <row r="1501" spans="1:7" ht="21.6" customHeight="1">
      <c r="A1501" s="154" t="s">
        <v>39</v>
      </c>
      <c r="B1501" s="154" t="str" cm="1">
        <f t="array" ref="B1501">_xlfn.XLOOKUP(TRUE, ISNUMBER(SEARCH(工作表5!$A$1:$A$23, C1501)), 工作表5!$B$1:$B$23, "其他")</f>
        <v>送稿機</v>
      </c>
      <c r="C1501" s="144" t="s">
        <v>278</v>
      </c>
      <c r="D1501" s="156"/>
      <c r="E1501" s="156" t="s">
        <v>1376</v>
      </c>
      <c r="F1501" s="156" t="s">
        <v>230</v>
      </c>
      <c r="G1501" s="154">
        <v>120000</v>
      </c>
    </row>
    <row r="1502" spans="1:7" ht="21.6" customHeight="1">
      <c r="A1502" s="154" t="s">
        <v>39</v>
      </c>
      <c r="B1502" s="154" t="str" cm="1">
        <f t="array" ref="B1502">_xlfn.XLOOKUP(TRUE, ISNUMBER(SEARCH(工作表5!$A$1:$A$23, C1502)), 工作表5!$B$1:$B$23, "其他")</f>
        <v>送稿機</v>
      </c>
      <c r="C1502" s="144" t="s">
        <v>1782</v>
      </c>
      <c r="D1502" s="156"/>
      <c r="E1502" s="156" t="s">
        <v>1394</v>
      </c>
      <c r="F1502" s="156" t="s">
        <v>281</v>
      </c>
      <c r="G1502" s="154">
        <v>120000</v>
      </c>
    </row>
    <row r="1503" spans="1:7" ht="21.6" customHeight="1">
      <c r="A1503" s="154" t="s">
        <v>39</v>
      </c>
      <c r="B1503" s="154" t="str" cm="1">
        <f t="array" ref="B1503">_xlfn.XLOOKUP(TRUE, ISNUMBER(SEARCH(工作表5!$A$1:$A$23, C1503)), 工作表5!$B$1:$B$23, "其他")</f>
        <v>送稿機</v>
      </c>
      <c r="C1503" s="144" t="s">
        <v>285</v>
      </c>
      <c r="D1503" s="156"/>
      <c r="E1503" s="156" t="s">
        <v>1395</v>
      </c>
      <c r="F1503" s="156" t="s">
        <v>226</v>
      </c>
      <c r="G1503" s="154">
        <v>120000</v>
      </c>
    </row>
    <row r="1504" spans="1:7" ht="21.6" customHeight="1">
      <c r="A1504" s="154" t="s">
        <v>39</v>
      </c>
      <c r="B1504" s="154" t="str" cm="1">
        <f t="array" ref="B1504">_xlfn.XLOOKUP(TRUE, ISNUMBER(SEARCH(工作表5!$A$1:$A$23, C1504)), 工作表5!$B$1:$B$23, "其他")</f>
        <v>送稿機</v>
      </c>
      <c r="C1504" s="144" t="s">
        <v>282</v>
      </c>
      <c r="D1504" s="156"/>
      <c r="E1504" s="156" t="s">
        <v>1396</v>
      </c>
      <c r="F1504" s="156" t="s">
        <v>288</v>
      </c>
      <c r="G1504" s="154">
        <v>120000</v>
      </c>
    </row>
    <row r="1505" spans="1:7" ht="21.6" customHeight="1">
      <c r="A1505" s="154" t="s">
        <v>39</v>
      </c>
      <c r="B1505" s="154" t="str" cm="1">
        <f t="array" ref="B1505">_xlfn.XLOOKUP(TRUE, ISNUMBER(SEARCH(工作表5!$A$1:$A$23, C1505)), 工作表5!$B$1:$B$23, "其他")</f>
        <v>取紙組</v>
      </c>
      <c r="C1505" s="144" t="s">
        <v>1843</v>
      </c>
      <c r="D1505" s="156"/>
      <c r="E1505" s="156" t="s">
        <v>1377</v>
      </c>
      <c r="F1505" s="156" t="s">
        <v>232</v>
      </c>
      <c r="G1505" s="154">
        <v>160000</v>
      </c>
    </row>
    <row r="1506" spans="1:7" ht="21.6" customHeight="1">
      <c r="A1506" s="154" t="s">
        <v>39</v>
      </c>
      <c r="B1506" s="154" t="str" cm="1">
        <f t="array" ref="B1506">_xlfn.XLOOKUP(TRUE, ISNUMBER(SEARCH(工作表5!$A$1:$A$23, C1506)), 工作表5!$B$1:$B$23, "其他")</f>
        <v>大容量取紙組</v>
      </c>
      <c r="C1506" s="144" t="s">
        <v>237</v>
      </c>
      <c r="D1506" s="156"/>
      <c r="E1506" s="156" t="s">
        <v>1378</v>
      </c>
      <c r="F1506" s="156" t="s">
        <v>236</v>
      </c>
      <c r="G1506" s="154">
        <v>160000</v>
      </c>
    </row>
    <row r="1507" spans="1:7" ht="21.6" customHeight="1">
      <c r="A1507" s="154" t="s">
        <v>39</v>
      </c>
      <c r="B1507" s="154" t="str" cm="1">
        <f t="array" ref="B1507">_xlfn.XLOOKUP(TRUE, ISNUMBER(SEARCH(工作表5!$A$1:$A$23, C1507)), 工作表5!$B$1:$B$23, "其他")</f>
        <v>取紙組</v>
      </c>
      <c r="C1507" s="144" t="s">
        <v>798</v>
      </c>
      <c r="D1507" s="156"/>
      <c r="E1507" s="156" t="s">
        <v>1379</v>
      </c>
      <c r="F1507" s="156" t="s">
        <v>239</v>
      </c>
      <c r="G1507" s="154">
        <v>160000</v>
      </c>
    </row>
    <row r="1508" spans="1:7" ht="21.6" customHeight="1">
      <c r="A1508" s="154" t="s">
        <v>39</v>
      </c>
      <c r="B1508" s="154" t="str" cm="1">
        <f t="array" ref="B1508">_xlfn.XLOOKUP(TRUE, ISNUMBER(SEARCH(工作表5!$A$1:$A$23, C1508)), 工作表5!$B$1:$B$23, "其他")</f>
        <v>顯像組</v>
      </c>
      <c r="C1508" s="144" t="s">
        <v>637</v>
      </c>
      <c r="D1508" s="156"/>
      <c r="E1508" s="156" t="s">
        <v>1625</v>
      </c>
      <c r="F1508" s="156" t="s">
        <v>914</v>
      </c>
      <c r="G1508" s="154">
        <v>150000</v>
      </c>
    </row>
    <row r="1509" spans="1:7" ht="21.6" customHeight="1">
      <c r="A1509" s="154" t="s">
        <v>39</v>
      </c>
      <c r="B1509" s="154" t="str" cm="1">
        <f t="array" ref="B1509">_xlfn.XLOOKUP(TRUE, ISNUMBER(SEARCH(工作表5!$A$1:$A$23, C1509)), 工作表5!$B$1:$B$23, "其他")</f>
        <v>顯像組</v>
      </c>
      <c r="C1509" s="144" t="s">
        <v>755</v>
      </c>
      <c r="D1509" s="156"/>
      <c r="E1509" s="156" t="s">
        <v>1626</v>
      </c>
      <c r="F1509" s="156" t="s">
        <v>916</v>
      </c>
      <c r="G1509" s="154">
        <v>75000</v>
      </c>
    </row>
    <row r="1510" spans="1:7" ht="21.6" customHeight="1">
      <c r="A1510" s="154" t="s">
        <v>39</v>
      </c>
      <c r="B1510" s="154" t="str" cm="1">
        <f t="array" ref="B1510">_xlfn.XLOOKUP(TRUE, ISNUMBER(SEARCH(工作表5!$A$1:$A$23, C1510)), 工作表5!$B$1:$B$23, "其他")</f>
        <v>取紙組</v>
      </c>
      <c r="C1510" s="144" t="s">
        <v>799</v>
      </c>
      <c r="D1510" s="156"/>
      <c r="E1510" s="156" t="s">
        <v>1399</v>
      </c>
      <c r="F1510" s="156" t="s">
        <v>296</v>
      </c>
      <c r="G1510" s="154">
        <v>80000</v>
      </c>
    </row>
    <row r="1511" spans="1:7" ht="21.6" customHeight="1">
      <c r="A1511" s="154" t="s">
        <v>39</v>
      </c>
      <c r="B1511" s="154" t="str" cm="1">
        <f t="array" ref="B1511">_xlfn.XLOOKUP(TRUE, ISNUMBER(SEARCH(工作表5!$A$1:$A$23, C1511)), 工作表5!$B$1:$B$23, "其他")</f>
        <v>送稿機</v>
      </c>
      <c r="C1511" s="144" t="s">
        <v>300</v>
      </c>
      <c r="D1511" s="156"/>
      <c r="E1511" s="156" t="s">
        <v>1400</v>
      </c>
      <c r="F1511" s="156" t="s">
        <v>299</v>
      </c>
      <c r="G1511" s="154">
        <v>120000</v>
      </c>
    </row>
    <row r="1512" spans="1:7" ht="21.6" customHeight="1">
      <c r="A1512" s="154" t="s">
        <v>39</v>
      </c>
      <c r="B1512" s="154" t="str" cm="1">
        <f t="array" ref="B1512">_xlfn.XLOOKUP(TRUE, ISNUMBER(SEARCH(工作表5!$A$1:$A$23, C1512)), 工作表5!$B$1:$B$23, "其他")</f>
        <v>送稿機</v>
      </c>
      <c r="C1512" s="144" t="s">
        <v>303</v>
      </c>
      <c r="D1512" s="156"/>
      <c r="E1512" s="156" t="s">
        <v>1401</v>
      </c>
      <c r="F1512" s="156" t="s">
        <v>302</v>
      </c>
      <c r="G1512" s="154">
        <v>120000</v>
      </c>
    </row>
    <row r="1513" spans="1:7" ht="21.6" customHeight="1">
      <c r="A1513" s="154" t="s">
        <v>39</v>
      </c>
      <c r="B1513" s="154" t="str" cm="1">
        <f t="array" ref="B1513">_xlfn.XLOOKUP(TRUE, ISNUMBER(SEARCH(工作表5!$A$1:$A$23, C1513)), 工作表5!$B$1:$B$23, "其他")</f>
        <v>其他</v>
      </c>
      <c r="C1513" s="144" t="s">
        <v>760</v>
      </c>
      <c r="D1513" s="156"/>
      <c r="E1513" s="156" t="s">
        <v>1384</v>
      </c>
      <c r="F1513" s="156" t="s">
        <v>252</v>
      </c>
      <c r="G1513" s="154">
        <v>160000</v>
      </c>
    </row>
    <row r="1514" spans="1:7" ht="21.6" customHeight="1">
      <c r="A1514" s="154" t="s">
        <v>39</v>
      </c>
      <c r="B1514" s="154" t="str" cm="1">
        <f t="array" ref="B1514">_xlfn.XLOOKUP(TRUE, ISNUMBER(SEARCH(工作表5!$A$1:$A$23, C1514)), 工作表5!$B$1:$B$23, "其他")</f>
        <v>定著組</v>
      </c>
      <c r="C1514" s="144" t="s">
        <v>642</v>
      </c>
      <c r="D1514" s="156"/>
      <c r="E1514" s="156" t="s">
        <v>1627</v>
      </c>
      <c r="F1514" s="156" t="s">
        <v>918</v>
      </c>
      <c r="G1514" s="154">
        <v>200000</v>
      </c>
    </row>
    <row r="1515" spans="1:7" ht="21.6" customHeight="1">
      <c r="A1515" s="154" t="s">
        <v>39</v>
      </c>
      <c r="B1515" s="154" t="str" cm="1">
        <f t="array" ref="B1515">_xlfn.XLOOKUP(TRUE, ISNUMBER(SEARCH(工作表5!$A$1:$A$23, C1515)), 工作表5!$B$1:$B$23, "其他")</f>
        <v>轉寫組</v>
      </c>
      <c r="C1515" s="144" t="s">
        <v>645</v>
      </c>
      <c r="D1515" s="156"/>
      <c r="E1515" s="156" t="s">
        <v>1525</v>
      </c>
      <c r="F1515" s="156" t="s">
        <v>644</v>
      </c>
      <c r="G1515" s="154">
        <v>150000</v>
      </c>
    </row>
    <row r="1516" spans="1:7" ht="21.6" customHeight="1">
      <c r="A1516" s="154" t="s">
        <v>39</v>
      </c>
      <c r="B1516" s="154" t="str" cm="1">
        <f t="array" ref="B1516">_xlfn.XLOOKUP(TRUE, ISNUMBER(SEARCH(工作表5!$A$1:$A$23, C1516)), 工作表5!$B$1:$B$23, "其他")</f>
        <v>定著組</v>
      </c>
      <c r="C1516" s="145" t="s">
        <v>585</v>
      </c>
      <c r="D1516" s="156"/>
      <c r="E1516" s="156" t="s">
        <v>1628</v>
      </c>
      <c r="F1516" s="156" t="s">
        <v>920</v>
      </c>
      <c r="G1516" s="154" t="e">
        <v>#VALUE!</v>
      </c>
    </row>
    <row r="1517" spans="1:7" ht="21.6" customHeight="1">
      <c r="A1517" s="154" t="s">
        <v>39</v>
      </c>
      <c r="B1517" s="154" t="str" cm="1">
        <f t="array" ref="B1517">_xlfn.XLOOKUP(TRUE, ISNUMBER(SEARCH(工作表5!$A$1:$A$23, C1517)), 工作表5!$B$1:$B$23, "其他")</f>
        <v>定著組</v>
      </c>
      <c r="C1517" s="145" t="s">
        <v>585</v>
      </c>
      <c r="D1517" s="156"/>
      <c r="E1517" s="156" t="s">
        <v>1629</v>
      </c>
      <c r="F1517" s="156" t="s">
        <v>922</v>
      </c>
      <c r="G1517" s="154" t="e">
        <v>#VALUE!</v>
      </c>
    </row>
    <row r="1518" spans="1:7" ht="21.6" customHeight="1">
      <c r="A1518" s="154" t="s">
        <v>39</v>
      </c>
      <c r="B1518" s="154" t="str" cm="1">
        <f t="array" ref="B1518">_xlfn.XLOOKUP(TRUE, ISNUMBER(SEARCH(工作表5!$A$1:$A$23, C1518)), 工作表5!$B$1:$B$23, "其他")</f>
        <v>顯像組</v>
      </c>
      <c r="C1518" s="145" t="s">
        <v>129</v>
      </c>
      <c r="D1518" s="156"/>
      <c r="E1518" s="156" t="s">
        <v>1630</v>
      </c>
      <c r="F1518" s="156" t="s">
        <v>924</v>
      </c>
      <c r="G1518" s="154" t="e">
        <v>#VALUE!</v>
      </c>
    </row>
    <row r="1519" spans="1:7" ht="21.6" customHeight="1">
      <c r="A1519" s="154" t="s">
        <v>39</v>
      </c>
      <c r="B1519" s="154" t="str" cm="1">
        <f t="array" ref="B1519">_xlfn.XLOOKUP(TRUE, ISNUMBER(SEARCH(工作表5!$A$1:$A$23, C1519)), 工作表5!$B$1:$B$23, "其他")</f>
        <v>顯像組</v>
      </c>
      <c r="C1519" s="145" t="s">
        <v>772</v>
      </c>
      <c r="D1519" s="156"/>
      <c r="E1519" s="156" t="s">
        <v>1631</v>
      </c>
      <c r="F1519" s="156" t="s">
        <v>927</v>
      </c>
      <c r="G1519" s="154" t="e">
        <v>#VALUE!</v>
      </c>
    </row>
    <row r="1520" spans="1:7" ht="21.6" customHeight="1">
      <c r="A1520" s="154" t="s">
        <v>39</v>
      </c>
      <c r="B1520" s="154" t="str" cm="1">
        <f t="array" ref="B1520">_xlfn.XLOOKUP(TRUE, ISNUMBER(SEARCH(工作表5!$A$1:$A$23, C1520)), 工作表5!$B$1:$B$23, "其他")</f>
        <v>顯像組</v>
      </c>
      <c r="C1520" s="145" t="s">
        <v>775</v>
      </c>
      <c r="D1520" s="156"/>
      <c r="E1520" s="156" t="s">
        <v>1632</v>
      </c>
      <c r="F1520" s="156" t="s">
        <v>929</v>
      </c>
      <c r="G1520" s="154" t="e">
        <v>#VALUE!</v>
      </c>
    </row>
    <row r="1521" spans="1:7" ht="21.6" customHeight="1">
      <c r="A1521" s="154" t="s">
        <v>39</v>
      </c>
      <c r="B1521" s="154" t="str" cm="1">
        <f t="array" ref="B1521">_xlfn.XLOOKUP(TRUE, ISNUMBER(SEARCH(工作表5!$A$1:$A$23, C1521)), 工作表5!$B$1:$B$23, "其他")</f>
        <v>顯像組</v>
      </c>
      <c r="C1521" s="145" t="s">
        <v>778</v>
      </c>
      <c r="D1521" s="156"/>
      <c r="E1521" s="156" t="s">
        <v>1633</v>
      </c>
      <c r="F1521" s="156" t="s">
        <v>931</v>
      </c>
      <c r="G1521" s="154" t="e">
        <v>#VALUE!</v>
      </c>
    </row>
    <row r="1522" spans="1:7" ht="21.6" customHeight="1">
      <c r="A1522" s="154" t="s">
        <v>39</v>
      </c>
      <c r="B1522" s="154" t="str" cm="1">
        <f t="array" ref="B1522">_xlfn.XLOOKUP(TRUE, ISNUMBER(SEARCH(工作表5!$A$1:$A$23, C1522)), 工作表5!$B$1:$B$23, "其他")</f>
        <v>顯像組</v>
      </c>
      <c r="C1522" s="145" t="s">
        <v>129</v>
      </c>
      <c r="D1522" s="156"/>
      <c r="E1522" s="156" t="s">
        <v>1634</v>
      </c>
      <c r="F1522" s="156" t="s">
        <v>933</v>
      </c>
      <c r="G1522" s="154" t="e">
        <v>#VALUE!</v>
      </c>
    </row>
    <row r="1523" spans="1:7" ht="21.6" customHeight="1">
      <c r="A1523" s="154" t="s">
        <v>39</v>
      </c>
      <c r="B1523" s="154" t="str" cm="1">
        <f t="array" ref="B1523">_xlfn.XLOOKUP(TRUE, ISNUMBER(SEARCH(工作表5!$A$1:$A$23, C1523)), 工作表5!$B$1:$B$23, "其他")</f>
        <v>顯像組</v>
      </c>
      <c r="C1523" s="145" t="s">
        <v>772</v>
      </c>
      <c r="D1523" s="156"/>
      <c r="E1523" s="156" t="s">
        <v>1635</v>
      </c>
      <c r="F1523" s="156" t="s">
        <v>936</v>
      </c>
      <c r="G1523" s="154" t="e">
        <v>#VALUE!</v>
      </c>
    </row>
    <row r="1524" spans="1:7" ht="21.6" customHeight="1">
      <c r="A1524" s="154" t="s">
        <v>39</v>
      </c>
      <c r="B1524" s="154" t="str" cm="1">
        <f t="array" ref="B1524">_xlfn.XLOOKUP(TRUE, ISNUMBER(SEARCH(工作表5!$A$1:$A$23, C1524)), 工作表5!$B$1:$B$23, "其他")</f>
        <v>顯像組</v>
      </c>
      <c r="C1524" s="145" t="s">
        <v>775</v>
      </c>
      <c r="D1524" s="156"/>
      <c r="E1524" s="156" t="s">
        <v>1636</v>
      </c>
      <c r="F1524" s="156" t="s">
        <v>938</v>
      </c>
      <c r="G1524" s="154" t="e">
        <v>#VALUE!</v>
      </c>
    </row>
    <row r="1525" spans="1:7" ht="21.6" customHeight="1">
      <c r="A1525" s="154" t="s">
        <v>39</v>
      </c>
      <c r="B1525" s="154" t="str" cm="1">
        <f t="array" ref="B1525">_xlfn.XLOOKUP(TRUE, ISNUMBER(SEARCH(工作表5!$A$1:$A$23, C1525)), 工作表5!$B$1:$B$23, "其他")</f>
        <v>顯像組</v>
      </c>
      <c r="C1525" s="145" t="s">
        <v>778</v>
      </c>
      <c r="D1525" s="156"/>
      <c r="E1525" s="156" t="s">
        <v>1637</v>
      </c>
      <c r="F1525" s="156" t="s">
        <v>940</v>
      </c>
      <c r="G1525" s="154" t="e">
        <v>#VALUE!</v>
      </c>
    </row>
    <row r="1526" spans="1:7" ht="21.6" customHeight="1">
      <c r="A1526" s="154" t="s">
        <v>39</v>
      </c>
      <c r="B1526" s="154" t="str" cm="1">
        <f t="array" ref="B1526">_xlfn.XLOOKUP(TRUE, ISNUMBER(SEARCH(工作表5!$A$1:$A$23, C1526)), 工作表5!$B$1:$B$23, "其他")</f>
        <v>轉寫組</v>
      </c>
      <c r="C1526" s="144" t="s">
        <v>1821</v>
      </c>
      <c r="D1526" s="156"/>
      <c r="E1526" s="156" t="s">
        <v>1528</v>
      </c>
      <c r="F1526" s="156" t="s">
        <v>651</v>
      </c>
      <c r="G1526" s="154" t="e">
        <v>#VALUE!</v>
      </c>
    </row>
    <row r="1527" spans="1:7" ht="21.6" customHeight="1">
      <c r="A1527" s="154" t="s">
        <v>39</v>
      </c>
      <c r="B1527" s="154" t="str" cm="1">
        <f t="array" ref="B1527">_xlfn.XLOOKUP(TRUE, ISNUMBER(SEARCH(工作表5!$A$1:$A$23, C1527)), 工作表5!$B$1:$B$23, "其他")</f>
        <v>轉寫組</v>
      </c>
      <c r="C1527" s="150" t="s">
        <v>1805</v>
      </c>
      <c r="D1527" s="156"/>
      <c r="E1527" s="156" t="s">
        <v>1638</v>
      </c>
      <c r="F1527" s="156" t="s">
        <v>942</v>
      </c>
      <c r="G1527" s="154" t="e">
        <v>#VALUE!</v>
      </c>
    </row>
    <row r="1528" spans="1:7" ht="21.6" customHeight="1">
      <c r="A1528" s="154" t="s">
        <v>1309</v>
      </c>
      <c r="B1528" s="154" t="str" cm="1">
        <f t="array" ref="B1528">_xlfn.XLOOKUP(TRUE, ISNUMBER(SEARCH(工作表5!$A$1:$A$23, C1528)), 工作表5!$B$1:$B$23, "其他")</f>
        <v>滾筒組</v>
      </c>
      <c r="C1528" s="143" t="s">
        <v>589</v>
      </c>
      <c r="D1528" s="156"/>
      <c r="E1528" s="156" t="s">
        <v>1504</v>
      </c>
      <c r="F1528" s="156" t="s">
        <v>588</v>
      </c>
      <c r="G1528" s="154">
        <v>150000</v>
      </c>
    </row>
    <row r="1529" spans="1:7" ht="21.6" customHeight="1">
      <c r="A1529" s="154" t="s">
        <v>1309</v>
      </c>
      <c r="B1529" s="154" t="str" cm="1">
        <f t="array" ref="B1529">_xlfn.XLOOKUP(TRUE, ISNUMBER(SEARCH(工作表5!$A$1:$A$23, C1529)), 工作表5!$B$1:$B$23, "其他")</f>
        <v>滾筒組</v>
      </c>
      <c r="C1529" s="150" t="s">
        <v>887</v>
      </c>
      <c r="D1529" s="156"/>
      <c r="E1529" s="156" t="s">
        <v>1595</v>
      </c>
      <c r="F1529" s="156" t="s">
        <v>841</v>
      </c>
      <c r="G1529" s="154">
        <v>75000</v>
      </c>
    </row>
    <row r="1530" spans="1:7" ht="21.6" customHeight="1">
      <c r="A1530" s="154" t="s">
        <v>1309</v>
      </c>
      <c r="B1530" s="154" t="str" cm="1">
        <f t="array" ref="B1530">_xlfn.XLOOKUP(TRUE, ISNUMBER(SEARCH(工作表5!$A$1:$A$23, C1530)), 工作表5!$B$1:$B$23, "其他")</f>
        <v>顯像組</v>
      </c>
      <c r="C1530" s="145" t="s">
        <v>502</v>
      </c>
      <c r="D1530" s="156"/>
      <c r="E1530" s="156" t="s">
        <v>1505</v>
      </c>
      <c r="F1530" s="156" t="s">
        <v>592</v>
      </c>
      <c r="G1530" s="154" t="e">
        <v>#VALUE!</v>
      </c>
    </row>
    <row r="1531" spans="1:7" ht="21.6" customHeight="1">
      <c r="A1531" s="154" t="s">
        <v>1309</v>
      </c>
      <c r="B1531" s="154" t="str" cm="1">
        <f t="array" ref="B1531">_xlfn.XLOOKUP(TRUE, ISNUMBER(SEARCH(工作表5!$A$1:$A$23, C1531)), 工作表5!$B$1:$B$23, "其他")</f>
        <v>顯像組</v>
      </c>
      <c r="C1531" s="145" t="s">
        <v>703</v>
      </c>
      <c r="D1531" s="156"/>
      <c r="E1531" s="156" t="s">
        <v>1639</v>
      </c>
      <c r="F1531" s="156" t="s">
        <v>944</v>
      </c>
      <c r="G1531" s="154">
        <v>150000</v>
      </c>
    </row>
    <row r="1532" spans="1:7" ht="21.6" customHeight="1">
      <c r="A1532" s="154" t="s">
        <v>1309</v>
      </c>
      <c r="B1532" s="154" t="str" cm="1">
        <f t="array" ref="B1532">_xlfn.XLOOKUP(TRUE, ISNUMBER(SEARCH(工作表5!$A$1:$A$23, C1532)), 工作表5!$B$1:$B$23, "其他")</f>
        <v>顯像組</v>
      </c>
      <c r="C1532" s="144" t="s">
        <v>706</v>
      </c>
      <c r="D1532" s="156"/>
      <c r="E1532" s="156" t="s">
        <v>1640</v>
      </c>
      <c r="F1532" s="156" t="s">
        <v>946</v>
      </c>
      <c r="G1532" s="154">
        <v>150000</v>
      </c>
    </row>
    <row r="1533" spans="1:7" ht="21.6" customHeight="1">
      <c r="A1533" s="154" t="s">
        <v>1309</v>
      </c>
      <c r="B1533" s="154" t="str" cm="1">
        <f t="array" ref="B1533">_xlfn.XLOOKUP(TRUE, ISNUMBER(SEARCH(工作表5!$A$1:$A$23, C1533)), 工作表5!$B$1:$B$23, "其他")</f>
        <v>顯像組</v>
      </c>
      <c r="C1533" s="145" t="s">
        <v>709</v>
      </c>
      <c r="D1533" s="156"/>
      <c r="E1533" s="156" t="s">
        <v>1641</v>
      </c>
      <c r="F1533" s="156" t="s">
        <v>948</v>
      </c>
      <c r="G1533" s="154">
        <v>150000</v>
      </c>
    </row>
    <row r="1534" spans="1:7" ht="21.6" customHeight="1">
      <c r="A1534" s="154" t="s">
        <v>1309</v>
      </c>
      <c r="B1534" s="154" t="str" cm="1">
        <f t="array" ref="B1534">_xlfn.XLOOKUP(TRUE, ISNUMBER(SEARCH(工作表5!$A$1:$A$23, C1534)), 工作表5!$B$1:$B$23, "其他")</f>
        <v>滾筒組</v>
      </c>
      <c r="C1534" s="145" t="s">
        <v>415</v>
      </c>
      <c r="D1534" s="156"/>
      <c r="E1534" s="156" t="s">
        <v>1506</v>
      </c>
      <c r="F1534" s="156" t="s">
        <v>594</v>
      </c>
      <c r="G1534" s="154" t="e">
        <v>#VALUE!</v>
      </c>
    </row>
    <row r="1535" spans="1:7" ht="21.6" customHeight="1">
      <c r="A1535" s="154" t="s">
        <v>1309</v>
      </c>
      <c r="B1535" s="154" t="str" cm="1">
        <f t="array" ref="B1535">_xlfn.XLOOKUP(TRUE, ISNUMBER(SEARCH(工作表5!$A$1:$A$23, C1535)), 工作表5!$B$1:$B$23, "其他")</f>
        <v>滾筒組</v>
      </c>
      <c r="C1535" s="144" t="s">
        <v>597</v>
      </c>
      <c r="D1535" s="156"/>
      <c r="E1535" s="156" t="s">
        <v>1507</v>
      </c>
      <c r="F1535" s="156" t="s">
        <v>596</v>
      </c>
      <c r="G1535" s="154">
        <v>150000</v>
      </c>
    </row>
    <row r="1536" spans="1:7" ht="21.6" customHeight="1">
      <c r="A1536" s="154" t="s">
        <v>1309</v>
      </c>
      <c r="B1536" s="154" t="str" cm="1">
        <f t="array" ref="B1536">_xlfn.XLOOKUP(TRUE, ISNUMBER(SEARCH(工作表5!$A$1:$A$23, C1536)), 工作表5!$B$1:$B$23, "其他")</f>
        <v>滾筒組</v>
      </c>
      <c r="C1536" s="144" t="s">
        <v>901</v>
      </c>
      <c r="D1536" s="156"/>
      <c r="E1536" s="156" t="s">
        <v>1642</v>
      </c>
      <c r="F1536" s="156" t="s">
        <v>950</v>
      </c>
      <c r="G1536" s="154">
        <v>75000</v>
      </c>
    </row>
    <row r="1537" spans="1:7" ht="21.6" customHeight="1">
      <c r="A1537" s="154" t="s">
        <v>1309</v>
      </c>
      <c r="B1537" s="154" t="str" cm="1">
        <f t="array" ref="B1537">_xlfn.XLOOKUP(TRUE, ISNUMBER(SEARCH(工作表5!$A$1:$A$23, C1537)), 工作表5!$B$1:$B$23, "其他")</f>
        <v>顯像組</v>
      </c>
      <c r="C1537" s="145" t="s">
        <v>600</v>
      </c>
      <c r="D1537" s="156"/>
      <c r="E1537" s="156" t="s">
        <v>1508</v>
      </c>
      <c r="F1537" s="156" t="s">
        <v>599</v>
      </c>
      <c r="G1537" s="154" t="e">
        <v>#VALUE!</v>
      </c>
    </row>
    <row r="1538" spans="1:7" ht="21.6" customHeight="1">
      <c r="A1538" s="154" t="s">
        <v>1309</v>
      </c>
      <c r="B1538" s="154" t="str" cm="1">
        <f t="array" ref="B1538">_xlfn.XLOOKUP(TRUE, ISNUMBER(SEARCH(工作表5!$A$1:$A$23, C1538)), 工作表5!$B$1:$B$23, "其他")</f>
        <v>顯像組</v>
      </c>
      <c r="C1538" s="144" t="s">
        <v>1822</v>
      </c>
      <c r="D1538" s="156"/>
      <c r="E1538" s="156" t="s">
        <v>1509</v>
      </c>
      <c r="F1538" s="156" t="s">
        <v>602</v>
      </c>
      <c r="G1538" s="154" t="e">
        <v>#VALUE!</v>
      </c>
    </row>
    <row r="1539" spans="1:7" ht="21.6" customHeight="1">
      <c r="A1539" s="154" t="s">
        <v>1309</v>
      </c>
      <c r="B1539" s="154" t="str" cm="1">
        <f t="array" ref="B1539">_xlfn.XLOOKUP(TRUE, ISNUMBER(SEARCH(工作表5!$A$1:$A$23, C1539)), 工作表5!$B$1:$B$23, "其他")</f>
        <v>滾筒組</v>
      </c>
      <c r="C1539" s="144" t="s">
        <v>1823</v>
      </c>
      <c r="D1539" s="156"/>
      <c r="E1539" s="156" t="s">
        <v>1510</v>
      </c>
      <c r="F1539" s="156" t="s">
        <v>604</v>
      </c>
      <c r="G1539" s="154" t="e">
        <v>#VALUE!</v>
      </c>
    </row>
    <row r="1540" spans="1:7" ht="21.6" customHeight="1">
      <c r="A1540" s="154" t="s">
        <v>1309</v>
      </c>
      <c r="B1540" s="154" t="str" cm="1">
        <f t="array" ref="B1540">_xlfn.XLOOKUP(TRUE, ISNUMBER(SEARCH(工作表5!$A$1:$A$23, C1540)), 工作表5!$B$1:$B$23, "其他")</f>
        <v>轉寫組</v>
      </c>
      <c r="C1540" s="145" t="s">
        <v>533</v>
      </c>
      <c r="D1540" s="156"/>
      <c r="E1540" s="156" t="s">
        <v>1511</v>
      </c>
      <c r="F1540" s="156" t="s">
        <v>606</v>
      </c>
      <c r="G1540" s="154">
        <v>150000</v>
      </c>
    </row>
    <row r="1541" spans="1:7" ht="21.6" customHeight="1">
      <c r="A1541" s="154" t="s">
        <v>1309</v>
      </c>
      <c r="B1541" s="154" t="str" cm="1">
        <f t="array" ref="B1541">_xlfn.XLOOKUP(TRUE, ISNUMBER(SEARCH(工作表5!$A$1:$A$23, C1541)), 工作表5!$B$1:$B$23, "其他")</f>
        <v>轉寫組</v>
      </c>
      <c r="C1541" s="145" t="s">
        <v>1812</v>
      </c>
      <c r="D1541" s="156"/>
      <c r="E1541" s="156" t="s">
        <v>1512</v>
      </c>
      <c r="F1541" s="156" t="s">
        <v>608</v>
      </c>
      <c r="G1541" s="154">
        <v>150000</v>
      </c>
    </row>
    <row r="1542" spans="1:7" ht="21.6" customHeight="1">
      <c r="A1542" s="154" t="s">
        <v>1309</v>
      </c>
      <c r="B1542" s="154" t="str" cm="1">
        <f t="array" ref="B1542">_xlfn.XLOOKUP(TRUE, ISNUMBER(SEARCH(工作表5!$A$1:$A$23, C1542)), 工作表5!$B$1:$B$23, "其他")</f>
        <v>轉寫組</v>
      </c>
      <c r="C1542" s="145" t="s">
        <v>1824</v>
      </c>
      <c r="D1542" s="156"/>
      <c r="E1542" s="156" t="s">
        <v>1513</v>
      </c>
      <c r="F1542" s="156" t="s">
        <v>610</v>
      </c>
      <c r="G1542" s="154">
        <v>150000</v>
      </c>
    </row>
    <row r="1543" spans="1:7" ht="21.6" customHeight="1">
      <c r="A1543" s="154" t="s">
        <v>1309</v>
      </c>
      <c r="B1543" s="154" t="str" cm="1">
        <f t="array" ref="B1543">_xlfn.XLOOKUP(TRUE, ISNUMBER(SEARCH(工作表5!$A$1:$A$23, C1543)), 工作表5!$B$1:$B$23, "其他")</f>
        <v>轉寫組</v>
      </c>
      <c r="C1543" s="145" t="s">
        <v>1825</v>
      </c>
      <c r="D1543" s="156"/>
      <c r="E1543" s="156" t="s">
        <v>1514</v>
      </c>
      <c r="F1543" s="156" t="s">
        <v>612</v>
      </c>
      <c r="G1543" s="154">
        <v>150000</v>
      </c>
    </row>
    <row r="1544" spans="1:7" ht="21.6" customHeight="1">
      <c r="A1544" s="154" t="s">
        <v>1309</v>
      </c>
      <c r="B1544" s="154" t="str" cm="1">
        <f t="array" ref="B1544">_xlfn.XLOOKUP(TRUE, ISNUMBER(SEARCH(工作表5!$A$1:$A$23, C1544)), 工作表5!$B$1:$B$23, "其他")</f>
        <v>轉寫組</v>
      </c>
      <c r="C1544" s="145" t="s">
        <v>1826</v>
      </c>
      <c r="D1544" s="156"/>
      <c r="E1544" s="156" t="s">
        <v>1515</v>
      </c>
      <c r="F1544" s="156" t="s">
        <v>614</v>
      </c>
      <c r="G1544" s="154">
        <v>150000</v>
      </c>
    </row>
    <row r="1545" spans="1:7" ht="21.6" customHeight="1">
      <c r="A1545" s="154" t="s">
        <v>1309</v>
      </c>
      <c r="B1545" s="154" t="str" cm="1">
        <f t="array" ref="B1545">_xlfn.XLOOKUP(TRUE, ISNUMBER(SEARCH(工作表5!$A$1:$A$23, C1545)), 工作表5!$B$1:$B$23, "其他")</f>
        <v>其他</v>
      </c>
      <c r="C1545" s="144" t="s">
        <v>101</v>
      </c>
      <c r="D1545" s="156"/>
      <c r="E1545" s="156" t="s">
        <v>1516</v>
      </c>
      <c r="F1545" s="156" t="s">
        <v>616</v>
      </c>
      <c r="G1545" s="154">
        <v>450000</v>
      </c>
    </row>
    <row r="1546" spans="1:7" ht="21.6" customHeight="1">
      <c r="A1546" s="154" t="s">
        <v>1309</v>
      </c>
      <c r="B1546" s="154" t="str" cm="1">
        <f t="array" ref="B1546">_xlfn.XLOOKUP(TRUE, ISNUMBER(SEARCH(工作表5!$A$1:$A$23, C1546)), 工作表5!$B$1:$B$23, "其他")</f>
        <v>定著組</v>
      </c>
      <c r="C1546" s="145" t="s">
        <v>1809</v>
      </c>
      <c r="D1546" s="156"/>
      <c r="E1546" s="156" t="s">
        <v>1643</v>
      </c>
      <c r="F1546" s="156" t="s">
        <v>952</v>
      </c>
      <c r="G1546" s="154">
        <v>200000</v>
      </c>
    </row>
    <row r="1547" spans="1:7" ht="21.6" customHeight="1">
      <c r="A1547" s="154" t="s">
        <v>1309</v>
      </c>
      <c r="B1547" s="154" t="str" cm="1">
        <f t="array" ref="B1547">_xlfn.XLOOKUP(TRUE, ISNUMBER(SEARCH(工作表5!$A$1:$A$23, C1547)), 工作表5!$B$1:$B$23, "其他")</f>
        <v>定著組</v>
      </c>
      <c r="C1547" s="145" t="s">
        <v>87</v>
      </c>
      <c r="D1547" s="156"/>
      <c r="E1547" s="156" t="s">
        <v>1518</v>
      </c>
      <c r="F1547" s="156" t="s">
        <v>621</v>
      </c>
      <c r="G1547" s="154">
        <v>200000</v>
      </c>
    </row>
    <row r="1548" spans="1:7" ht="21.6" customHeight="1">
      <c r="A1548" s="154" t="s">
        <v>1309</v>
      </c>
      <c r="B1548" s="154" t="str" cm="1">
        <f t="array" ref="B1548">_xlfn.XLOOKUP(TRUE, ISNUMBER(SEARCH(工作表5!$A$1:$A$23, C1548)), 工作表5!$B$1:$B$23, "其他")</f>
        <v>定著組</v>
      </c>
      <c r="C1548" s="145" t="s">
        <v>628</v>
      </c>
      <c r="D1548" s="156"/>
      <c r="E1548" s="156" t="s">
        <v>1521</v>
      </c>
      <c r="F1548" s="156" t="s">
        <v>627</v>
      </c>
      <c r="G1548" s="154">
        <v>200000</v>
      </c>
    </row>
    <row r="1549" spans="1:7" ht="21.6" customHeight="1">
      <c r="A1549" s="154" t="s">
        <v>1309</v>
      </c>
      <c r="B1549" s="154" t="str" cm="1">
        <f t="array" ref="B1549">_xlfn.XLOOKUP(TRUE, ISNUMBER(SEARCH(工作表5!$A$1:$A$23, C1549)), 工作表5!$B$1:$B$23, "其他")</f>
        <v>手送台</v>
      </c>
      <c r="C1549" s="144" t="s">
        <v>631</v>
      </c>
      <c r="D1549" s="156"/>
      <c r="E1549" s="156" t="s">
        <v>1522</v>
      </c>
      <c r="F1549" s="156" t="s">
        <v>630</v>
      </c>
      <c r="G1549" s="154">
        <v>120000</v>
      </c>
    </row>
    <row r="1550" spans="1:7" ht="21.6" customHeight="1">
      <c r="A1550" s="154" t="s">
        <v>1309</v>
      </c>
      <c r="B1550" s="154" t="str" cm="1">
        <f t="array" ref="B1550">_xlfn.XLOOKUP(TRUE, ISNUMBER(SEARCH(工作表5!$A$1:$A$23, C1550)), 工作表5!$B$1:$B$23, "其他")</f>
        <v>手送台</v>
      </c>
      <c r="C1550" s="144" t="s">
        <v>115</v>
      </c>
      <c r="D1550" s="156"/>
      <c r="E1550" s="156" t="s">
        <v>1409</v>
      </c>
      <c r="F1550" s="156" t="s">
        <v>330</v>
      </c>
      <c r="G1550" s="154">
        <v>120000</v>
      </c>
    </row>
    <row r="1551" spans="1:7" ht="21.6" customHeight="1">
      <c r="A1551" s="154" t="s">
        <v>1309</v>
      </c>
      <c r="B1551" s="154" t="str" cm="1">
        <f t="array" ref="B1551">_xlfn.XLOOKUP(TRUE, ISNUMBER(SEARCH(工作表5!$A$1:$A$23, C1551)), 工作表5!$B$1:$B$23, "其他")</f>
        <v>取紙組</v>
      </c>
      <c r="C1551" s="144" t="s">
        <v>1829</v>
      </c>
      <c r="D1551" s="156"/>
      <c r="E1551" s="156" t="s">
        <v>1389</v>
      </c>
      <c r="F1551" s="156" t="s">
        <v>265</v>
      </c>
      <c r="G1551" s="154">
        <v>80000</v>
      </c>
    </row>
    <row r="1552" spans="1:7" ht="21.6" customHeight="1">
      <c r="A1552" s="154" t="s">
        <v>1309</v>
      </c>
      <c r="B1552" s="154" t="str" cm="1">
        <f t="array" ref="B1552">_xlfn.XLOOKUP(TRUE, ISNUMBER(SEARCH(工作表5!$A$1:$A$23, C1552)), 工作表5!$B$1:$B$23, "其他")</f>
        <v>取紙組</v>
      </c>
      <c r="C1552" s="144" t="s">
        <v>633</v>
      </c>
      <c r="D1552" s="156"/>
      <c r="E1552" s="156" t="s">
        <v>1390</v>
      </c>
      <c r="F1552" s="156" t="s">
        <v>269</v>
      </c>
      <c r="G1552" s="154">
        <v>80000</v>
      </c>
    </row>
    <row r="1553" spans="1:7" ht="21.6" customHeight="1">
      <c r="A1553" s="154" t="s">
        <v>1309</v>
      </c>
      <c r="B1553" s="154" t="str" cm="1">
        <f t="array" ref="B1553">_xlfn.XLOOKUP(TRUE, ISNUMBER(SEARCH(工作表5!$A$1:$A$23, C1553)), 工作表5!$B$1:$B$23, "其他")</f>
        <v>取紙組</v>
      </c>
      <c r="C1553" s="144" t="s">
        <v>1830</v>
      </c>
      <c r="D1553" s="156"/>
      <c r="E1553" s="156" t="s">
        <v>1391</v>
      </c>
      <c r="F1553" s="156" t="s">
        <v>272</v>
      </c>
      <c r="G1553" s="154">
        <v>80000</v>
      </c>
    </row>
    <row r="1554" spans="1:7" ht="21.6" customHeight="1">
      <c r="A1554" s="154" t="s">
        <v>1309</v>
      </c>
      <c r="B1554" s="154" t="str" cm="1">
        <f t="array" ref="B1554">_xlfn.XLOOKUP(TRUE, ISNUMBER(SEARCH(工作表5!$A$1:$A$23, C1554)), 工作表5!$B$1:$B$23, "其他")</f>
        <v>送稿機</v>
      </c>
      <c r="C1554" s="144" t="s">
        <v>1781</v>
      </c>
      <c r="D1554" s="156"/>
      <c r="E1554" s="156" t="s">
        <v>1375</v>
      </c>
      <c r="F1554" s="156" t="s">
        <v>226</v>
      </c>
      <c r="G1554" s="154">
        <v>120000</v>
      </c>
    </row>
    <row r="1555" spans="1:7" ht="21.6" customHeight="1">
      <c r="A1555" s="154" t="s">
        <v>1309</v>
      </c>
      <c r="B1555" s="154" t="str" cm="1">
        <f t="array" ref="B1555">_xlfn.XLOOKUP(TRUE, ISNUMBER(SEARCH(工作表5!$A$1:$A$23, C1555)), 工作表5!$B$1:$B$23, "其他")</f>
        <v>送稿機</v>
      </c>
      <c r="C1555" s="144" t="s">
        <v>278</v>
      </c>
      <c r="D1555" s="156"/>
      <c r="E1555" s="156" t="s">
        <v>1376</v>
      </c>
      <c r="F1555" s="156" t="s">
        <v>230</v>
      </c>
      <c r="G1555" s="154">
        <v>120000</v>
      </c>
    </row>
    <row r="1556" spans="1:7" ht="21.6" customHeight="1">
      <c r="A1556" s="154" t="s">
        <v>1309</v>
      </c>
      <c r="B1556" s="154" t="str" cm="1">
        <f t="array" ref="B1556">_xlfn.XLOOKUP(TRUE, ISNUMBER(SEARCH(工作表5!$A$1:$A$23, C1556)), 工作表5!$B$1:$B$23, "其他")</f>
        <v>送稿機</v>
      </c>
      <c r="C1556" s="144" t="s">
        <v>1782</v>
      </c>
      <c r="D1556" s="156"/>
      <c r="E1556" s="156" t="s">
        <v>1407</v>
      </c>
      <c r="F1556" s="156" t="s">
        <v>324</v>
      </c>
      <c r="G1556" s="154">
        <v>120000</v>
      </c>
    </row>
    <row r="1557" spans="1:7" ht="21.6" customHeight="1">
      <c r="A1557" s="154" t="s">
        <v>1309</v>
      </c>
      <c r="B1557" s="154" t="str" cm="1">
        <f t="array" ref="B1557">_xlfn.XLOOKUP(TRUE, ISNUMBER(SEARCH(工作表5!$A$1:$A$23, C1557)), 工作表5!$B$1:$B$23, "其他")</f>
        <v>送稿機</v>
      </c>
      <c r="C1557" s="144" t="s">
        <v>285</v>
      </c>
      <c r="D1557" s="156"/>
      <c r="E1557" s="156" t="s">
        <v>1395</v>
      </c>
      <c r="F1557" s="156" t="s">
        <v>226</v>
      </c>
      <c r="G1557" s="154">
        <v>120000</v>
      </c>
    </row>
    <row r="1558" spans="1:7" ht="21.6" customHeight="1">
      <c r="A1558" s="154" t="s">
        <v>1309</v>
      </c>
      <c r="B1558" s="154" t="str" cm="1">
        <f t="array" ref="B1558">_xlfn.XLOOKUP(TRUE, ISNUMBER(SEARCH(工作表5!$A$1:$A$23, C1558)), 工作表5!$B$1:$B$23, "其他")</f>
        <v>送稿機</v>
      </c>
      <c r="C1558" s="144" t="s">
        <v>282</v>
      </c>
      <c r="D1558" s="156"/>
      <c r="E1558" s="156" t="s">
        <v>1396</v>
      </c>
      <c r="F1558" s="156" t="s">
        <v>288</v>
      </c>
      <c r="G1558" s="154">
        <v>120000</v>
      </c>
    </row>
    <row r="1559" spans="1:7" ht="21.6" customHeight="1">
      <c r="A1559" s="154" t="s">
        <v>1309</v>
      </c>
      <c r="B1559" s="154" t="str" cm="1">
        <f t="array" ref="B1559">_xlfn.XLOOKUP(TRUE, ISNUMBER(SEARCH(工作表5!$A$1:$A$23, C1559)), 工作表5!$B$1:$B$23, "其他")</f>
        <v>大容量取紙組</v>
      </c>
      <c r="C1559" s="144" t="s">
        <v>237</v>
      </c>
      <c r="D1559" s="156"/>
      <c r="E1559" s="156" t="s">
        <v>1408</v>
      </c>
      <c r="F1559" s="156" t="s">
        <v>327</v>
      </c>
      <c r="G1559" s="154">
        <v>320000</v>
      </c>
    </row>
    <row r="1560" spans="1:7" ht="21.6" customHeight="1">
      <c r="A1560" s="154" t="s">
        <v>1309</v>
      </c>
      <c r="B1560" s="154" t="str" cm="1">
        <f t="array" ref="B1560">_xlfn.XLOOKUP(TRUE, ISNUMBER(SEARCH(工作表5!$A$1:$A$23, C1560)), 工作表5!$B$1:$B$23, "其他")</f>
        <v>取紙組</v>
      </c>
      <c r="C1560" s="144" t="s">
        <v>634</v>
      </c>
      <c r="D1560" s="156"/>
      <c r="E1560" s="156" t="s">
        <v>1409</v>
      </c>
      <c r="F1560" s="156" t="s">
        <v>330</v>
      </c>
      <c r="G1560" s="154">
        <v>320000</v>
      </c>
    </row>
    <row r="1561" spans="1:7" ht="21.6" customHeight="1">
      <c r="A1561" s="154" t="s">
        <v>1309</v>
      </c>
      <c r="B1561" s="154" t="str" cm="1">
        <f t="array" ref="B1561">_xlfn.XLOOKUP(TRUE, ISNUMBER(SEARCH(工作表5!$A$1:$A$23, C1561)), 工作表5!$B$1:$B$23, "其他")</f>
        <v>其他</v>
      </c>
      <c r="C1561" s="144" t="s">
        <v>1784</v>
      </c>
      <c r="D1561" s="156"/>
      <c r="E1561" s="156" t="s">
        <v>1410</v>
      </c>
      <c r="F1561" s="156" t="s">
        <v>333</v>
      </c>
      <c r="G1561" s="154">
        <v>500000</v>
      </c>
    </row>
    <row r="1562" spans="1:7" ht="21.6" customHeight="1">
      <c r="A1562" s="154" t="s">
        <v>1309</v>
      </c>
      <c r="B1562" s="154" t="str" cm="1">
        <f t="array" ref="B1562">_xlfn.XLOOKUP(TRUE, ISNUMBER(SEARCH(工作表5!$A$1:$A$23, C1562)), 工作表5!$B$1:$B$23, "其他")</f>
        <v>送稿機</v>
      </c>
      <c r="C1562" s="144" t="s">
        <v>337</v>
      </c>
      <c r="D1562" s="156"/>
      <c r="E1562" s="156" t="s">
        <v>1411</v>
      </c>
      <c r="F1562" s="156" t="s">
        <v>336</v>
      </c>
      <c r="G1562" s="154">
        <v>500000</v>
      </c>
    </row>
    <row r="1563" spans="1:7" ht="21.6" customHeight="1">
      <c r="A1563" s="154" t="s">
        <v>1309</v>
      </c>
      <c r="B1563" s="154" t="str" cm="1">
        <f t="array" ref="B1563">_xlfn.XLOOKUP(TRUE, ISNUMBER(SEARCH(工作表5!$A$1:$A$23, C1563)), 工作表5!$B$1:$B$23, "其他")</f>
        <v>送稿機</v>
      </c>
      <c r="C1563" s="145" t="s">
        <v>341</v>
      </c>
      <c r="D1563" s="156"/>
      <c r="E1563" s="156" t="s">
        <v>1412</v>
      </c>
      <c r="F1563" s="156" t="s">
        <v>340</v>
      </c>
      <c r="G1563" s="154">
        <v>500000</v>
      </c>
    </row>
    <row r="1564" spans="1:7" ht="21.6" customHeight="1">
      <c r="A1564" s="154" t="s">
        <v>1309</v>
      </c>
      <c r="B1564" s="154" t="str" cm="1">
        <f t="array" ref="B1564">_xlfn.XLOOKUP(TRUE, ISNUMBER(SEARCH(工作表5!$A$1:$A$23, C1564)), 工作表5!$B$1:$B$23, "其他")</f>
        <v>顯像組</v>
      </c>
      <c r="C1564" s="144" t="s">
        <v>637</v>
      </c>
      <c r="D1564" s="156"/>
      <c r="E1564" s="156" t="s">
        <v>1523</v>
      </c>
      <c r="F1564" s="156" t="s">
        <v>636</v>
      </c>
      <c r="G1564" s="154">
        <v>150000</v>
      </c>
    </row>
    <row r="1565" spans="1:7" ht="21.6" customHeight="1">
      <c r="A1565" s="154" t="s">
        <v>1309</v>
      </c>
      <c r="B1565" s="154" t="str" cm="1">
        <f t="array" ref="B1565">_xlfn.XLOOKUP(TRUE, ISNUMBER(SEARCH(工作表5!$A$1:$A$23, C1565)), 工作表5!$B$1:$B$23, "其他")</f>
        <v>顯像組</v>
      </c>
      <c r="C1565" s="144" t="s">
        <v>755</v>
      </c>
      <c r="D1565" s="156"/>
      <c r="E1565" s="156" t="s">
        <v>1644</v>
      </c>
      <c r="F1565" s="156" t="s">
        <v>955</v>
      </c>
      <c r="G1565" s="154">
        <v>75000</v>
      </c>
    </row>
    <row r="1566" spans="1:7" ht="21.6" customHeight="1">
      <c r="A1566" s="154" t="s">
        <v>1309</v>
      </c>
      <c r="B1566" s="154" t="str" cm="1">
        <f t="array" ref="B1566">_xlfn.XLOOKUP(TRUE, ISNUMBER(SEARCH(工作表5!$A$1:$A$23, C1566)), 工作表5!$B$1:$B$23, "其他")</f>
        <v>取紙組</v>
      </c>
      <c r="C1566" s="144" t="s">
        <v>638</v>
      </c>
      <c r="D1566" s="156"/>
      <c r="E1566" s="156" t="s">
        <v>1399</v>
      </c>
      <c r="F1566" s="156" t="s">
        <v>296</v>
      </c>
      <c r="G1566" s="154">
        <v>80000</v>
      </c>
    </row>
    <row r="1567" spans="1:7" ht="21.6" customHeight="1">
      <c r="A1567" s="154" t="s">
        <v>1309</v>
      </c>
      <c r="B1567" s="154" t="str" cm="1">
        <f t="array" ref="B1567">_xlfn.XLOOKUP(TRUE, ISNUMBER(SEARCH(工作表5!$A$1:$A$23, C1567)), 工作表5!$B$1:$B$23, "其他")</f>
        <v>送稿機</v>
      </c>
      <c r="C1567" s="144" t="s">
        <v>300</v>
      </c>
      <c r="D1567" s="156"/>
      <c r="E1567" s="156" t="s">
        <v>1400</v>
      </c>
      <c r="F1567" s="156" t="s">
        <v>299</v>
      </c>
      <c r="G1567" s="154">
        <v>120000</v>
      </c>
    </row>
    <row r="1568" spans="1:7" ht="21.6" customHeight="1">
      <c r="A1568" s="154" t="s">
        <v>1309</v>
      </c>
      <c r="B1568" s="154" t="str" cm="1">
        <f t="array" ref="B1568">_xlfn.XLOOKUP(TRUE, ISNUMBER(SEARCH(工作表5!$A$1:$A$23, C1568)), 工作表5!$B$1:$B$23, "其他")</f>
        <v>送稿機</v>
      </c>
      <c r="C1568" s="144" t="s">
        <v>303</v>
      </c>
      <c r="D1568" s="156"/>
      <c r="E1568" s="156" t="s">
        <v>1414</v>
      </c>
      <c r="F1568" s="156" t="s">
        <v>346</v>
      </c>
      <c r="G1568" s="154">
        <v>120000</v>
      </c>
    </row>
    <row r="1569" spans="1:7" ht="21.6" customHeight="1">
      <c r="A1569" s="154" t="s">
        <v>1309</v>
      </c>
      <c r="B1569" s="154" t="str" cm="1">
        <f t="array" ref="B1569">_xlfn.XLOOKUP(TRUE, ISNUMBER(SEARCH(工作表5!$A$1:$A$23, C1569)), 工作表5!$B$1:$B$23, "其他")</f>
        <v>其他</v>
      </c>
      <c r="C1569" s="144" t="s">
        <v>349</v>
      </c>
      <c r="D1569" s="156"/>
      <c r="E1569" s="156" t="s">
        <v>1415</v>
      </c>
      <c r="F1569" s="156" t="s">
        <v>348</v>
      </c>
      <c r="G1569" s="154">
        <v>500000</v>
      </c>
    </row>
    <row r="1570" spans="1:7" ht="21.6" customHeight="1">
      <c r="A1570" s="154" t="s">
        <v>1309</v>
      </c>
      <c r="B1570" s="154" t="str" cm="1">
        <f t="array" ref="B1570">_xlfn.XLOOKUP(TRUE, ISNUMBER(SEARCH(工作表5!$A$1:$A$23, C1570)), 工作表5!$B$1:$B$23, "其他")</f>
        <v>定著組</v>
      </c>
      <c r="C1570" s="144" t="s">
        <v>642</v>
      </c>
      <c r="D1570" s="156"/>
      <c r="E1570" s="156" t="s">
        <v>1645</v>
      </c>
      <c r="F1570" s="156" t="s">
        <v>957</v>
      </c>
      <c r="G1570" s="154">
        <v>200000</v>
      </c>
    </row>
    <row r="1571" spans="1:7" ht="21.6" customHeight="1">
      <c r="A1571" s="154" t="s">
        <v>1309</v>
      </c>
      <c r="B1571" s="154" t="str" cm="1">
        <f t="array" ref="B1571">_xlfn.XLOOKUP(TRUE, ISNUMBER(SEARCH(工作表5!$A$1:$A$23, C1571)), 工作表5!$B$1:$B$23, "其他")</f>
        <v>轉寫組</v>
      </c>
      <c r="C1571" s="144" t="s">
        <v>645</v>
      </c>
      <c r="D1571" s="156"/>
      <c r="E1571" s="156" t="s">
        <v>1525</v>
      </c>
      <c r="F1571" s="156" t="s">
        <v>644</v>
      </c>
      <c r="G1571" s="154">
        <v>150000</v>
      </c>
    </row>
    <row r="1572" spans="1:7" ht="21.6" customHeight="1">
      <c r="A1572" s="154" t="s">
        <v>1309</v>
      </c>
      <c r="B1572" s="154" t="str" cm="1">
        <f t="array" ref="B1572">_xlfn.XLOOKUP(TRUE, ISNUMBER(SEARCH(工作表5!$A$1:$A$23, C1572)), 工作表5!$B$1:$B$23, "其他")</f>
        <v>定著組</v>
      </c>
      <c r="C1572" s="145" t="s">
        <v>585</v>
      </c>
      <c r="D1572" s="156"/>
      <c r="E1572" s="156" t="s">
        <v>1646</v>
      </c>
      <c r="F1572" s="156" t="s">
        <v>959</v>
      </c>
      <c r="G1572" s="154" t="e">
        <v>#VALUE!</v>
      </c>
    </row>
    <row r="1573" spans="1:7" ht="21.6" customHeight="1">
      <c r="A1573" s="154" t="s">
        <v>1309</v>
      </c>
      <c r="B1573" s="154" t="str" cm="1">
        <f t="array" ref="B1573">_xlfn.XLOOKUP(TRUE, ISNUMBER(SEARCH(工作表5!$A$1:$A$23, C1573)), 工作表5!$B$1:$B$23, "其他")</f>
        <v>顯像組</v>
      </c>
      <c r="C1573" s="145" t="s">
        <v>129</v>
      </c>
      <c r="D1573" s="156"/>
      <c r="E1573" s="156" t="s">
        <v>1647</v>
      </c>
      <c r="F1573" s="156" t="s">
        <v>962</v>
      </c>
      <c r="G1573" s="154" t="e">
        <v>#VALUE!</v>
      </c>
    </row>
    <row r="1574" spans="1:7" ht="21.6" customHeight="1">
      <c r="A1574" s="154" t="s">
        <v>1309</v>
      </c>
      <c r="B1574" s="154" t="str" cm="1">
        <f t="array" ref="B1574">_xlfn.XLOOKUP(TRUE, ISNUMBER(SEARCH(工作表5!$A$1:$A$23, C1574)), 工作表5!$B$1:$B$23, "其他")</f>
        <v>顯像組</v>
      </c>
      <c r="C1574" s="145" t="s">
        <v>772</v>
      </c>
      <c r="D1574" s="156"/>
      <c r="E1574" s="156" t="s">
        <v>1648</v>
      </c>
      <c r="F1574" s="156" t="s">
        <v>964</v>
      </c>
      <c r="G1574" s="154" t="e">
        <v>#VALUE!</v>
      </c>
    </row>
    <row r="1575" spans="1:7" ht="21.6" customHeight="1">
      <c r="A1575" s="154" t="s">
        <v>1309</v>
      </c>
      <c r="B1575" s="154" t="str" cm="1">
        <f t="array" ref="B1575">_xlfn.XLOOKUP(TRUE, ISNUMBER(SEARCH(工作表5!$A$1:$A$23, C1575)), 工作表5!$B$1:$B$23, "其他")</f>
        <v>顯像組</v>
      </c>
      <c r="C1575" s="145" t="s">
        <v>775</v>
      </c>
      <c r="D1575" s="156"/>
      <c r="E1575" s="156" t="s">
        <v>1649</v>
      </c>
      <c r="F1575" s="156" t="s">
        <v>966</v>
      </c>
      <c r="G1575" s="154" t="e">
        <v>#VALUE!</v>
      </c>
    </row>
    <row r="1576" spans="1:7" ht="21.6" customHeight="1">
      <c r="A1576" s="154" t="s">
        <v>1309</v>
      </c>
      <c r="B1576" s="154" t="str" cm="1">
        <f t="array" ref="B1576">_xlfn.XLOOKUP(TRUE, ISNUMBER(SEARCH(工作表5!$A$1:$A$23, C1576)), 工作表5!$B$1:$B$23, "其他")</f>
        <v>顯像組</v>
      </c>
      <c r="C1576" s="145" t="s">
        <v>778</v>
      </c>
      <c r="D1576" s="156"/>
      <c r="E1576" s="156" t="s">
        <v>1650</v>
      </c>
      <c r="F1576" s="156" t="s">
        <v>968</v>
      </c>
      <c r="G1576" s="154" t="e">
        <v>#VALUE!</v>
      </c>
    </row>
    <row r="1577" spans="1:7" ht="21.6" customHeight="1">
      <c r="A1577" s="154" t="s">
        <v>1309</v>
      </c>
      <c r="B1577" s="154" t="str" cm="1">
        <f t="array" ref="B1577">_xlfn.XLOOKUP(TRUE, ISNUMBER(SEARCH(工作表5!$A$1:$A$23, C1577)), 工作表5!$B$1:$B$23, "其他")</f>
        <v>轉寫組</v>
      </c>
      <c r="C1577" s="144" t="s">
        <v>1821</v>
      </c>
      <c r="D1577" s="156"/>
      <c r="E1577" s="156" t="s">
        <v>1528</v>
      </c>
      <c r="F1577" s="156" t="s">
        <v>651</v>
      </c>
      <c r="G1577" s="154" t="e">
        <v>#VALUE!</v>
      </c>
    </row>
    <row r="1578" spans="1:7" ht="21.6" customHeight="1">
      <c r="A1578" s="154" t="s">
        <v>1309</v>
      </c>
      <c r="B1578" s="154" t="str" cm="1">
        <f t="array" ref="B1578">_xlfn.XLOOKUP(TRUE, ISNUMBER(SEARCH(工作表5!$A$1:$A$23, C1578)), 工作表5!$B$1:$B$23, "其他")</f>
        <v>轉寫組</v>
      </c>
      <c r="C1578" s="150" t="s">
        <v>1805</v>
      </c>
      <c r="D1578" s="156"/>
      <c r="E1578" s="156" t="s">
        <v>1651</v>
      </c>
      <c r="F1578" s="156" t="s">
        <v>970</v>
      </c>
      <c r="G1578" s="154" t="e">
        <v>#VALUE!</v>
      </c>
    </row>
    <row r="1579" spans="1:7" ht="21.6" customHeight="1">
      <c r="A1579" s="154" t="s">
        <v>1310</v>
      </c>
      <c r="B1579" s="154" t="str" cm="1">
        <f t="array" ref="B1579">_xlfn.XLOOKUP(TRUE, ISNUMBER(SEARCH(工作表5!$A$1:$A$23, C1579)), 工作表5!$B$1:$B$23, "其他")</f>
        <v>顯像組</v>
      </c>
      <c r="C1579" s="144" t="s">
        <v>1844</v>
      </c>
      <c r="D1579" s="156"/>
      <c r="E1579" s="156" t="s">
        <v>1652</v>
      </c>
      <c r="F1579" s="156" t="s">
        <v>972</v>
      </c>
      <c r="G1579" s="154">
        <v>75000</v>
      </c>
    </row>
    <row r="1580" spans="1:7" ht="21.6" customHeight="1">
      <c r="A1580" s="154" t="s">
        <v>1310</v>
      </c>
      <c r="B1580" s="154" t="str" cm="1">
        <f t="array" ref="B1580">_xlfn.XLOOKUP(TRUE, ISNUMBER(SEARCH(工作表5!$A$1:$A$23, C1580)), 工作表5!$B$1:$B$23, "其他")</f>
        <v>顯像組</v>
      </c>
      <c r="C1580" s="144" t="s">
        <v>1845</v>
      </c>
      <c r="D1580" s="156"/>
      <c r="E1580" s="156" t="s">
        <v>1653</v>
      </c>
      <c r="F1580" s="156" t="s">
        <v>975</v>
      </c>
      <c r="G1580" s="154">
        <v>75000</v>
      </c>
    </row>
    <row r="1581" spans="1:7" ht="21.6" customHeight="1">
      <c r="A1581" s="154" t="s">
        <v>1310</v>
      </c>
      <c r="B1581" s="154" t="str" cm="1">
        <f t="array" ref="B1581">_xlfn.XLOOKUP(TRUE, ISNUMBER(SEARCH(工作表5!$A$1:$A$23, C1581)), 工作表5!$B$1:$B$23, "其他")</f>
        <v>顯像組</v>
      </c>
      <c r="C1581" s="144" t="s">
        <v>1846</v>
      </c>
      <c r="D1581" s="156"/>
      <c r="E1581" s="156" t="s">
        <v>1654</v>
      </c>
      <c r="F1581" s="156" t="s">
        <v>977</v>
      </c>
      <c r="G1581" s="154">
        <v>75000</v>
      </c>
    </row>
    <row r="1582" spans="1:7" ht="21.6" customHeight="1">
      <c r="A1582" s="154" t="s">
        <v>1310</v>
      </c>
      <c r="B1582" s="154" t="str" cm="1">
        <f t="array" ref="B1582">_xlfn.XLOOKUP(TRUE, ISNUMBER(SEARCH(工作表5!$A$1:$A$23, C1582)), 工作表5!$B$1:$B$23, "其他")</f>
        <v>顯像組</v>
      </c>
      <c r="C1582" s="144" t="s">
        <v>1847</v>
      </c>
      <c r="D1582" s="156"/>
      <c r="E1582" s="156" t="s">
        <v>1655</v>
      </c>
      <c r="F1582" s="156" t="s">
        <v>979</v>
      </c>
      <c r="G1582" s="154">
        <v>75000</v>
      </c>
    </row>
    <row r="1583" spans="1:7" ht="21.6" customHeight="1">
      <c r="A1583" s="154" t="s">
        <v>1310</v>
      </c>
      <c r="B1583" s="154" t="str" cm="1">
        <f t="array" ref="B1583">_xlfn.XLOOKUP(TRUE, ISNUMBER(SEARCH(工作表5!$A$1:$A$23, C1583)), 工作表5!$B$1:$B$23, "其他")</f>
        <v>轉寫組</v>
      </c>
      <c r="C1583" s="144" t="s">
        <v>1821</v>
      </c>
      <c r="D1583" s="156"/>
      <c r="E1583" s="156" t="s">
        <v>1656</v>
      </c>
      <c r="F1583" s="156" t="s">
        <v>981</v>
      </c>
      <c r="G1583" s="154">
        <v>150000</v>
      </c>
    </row>
    <row r="1584" spans="1:7" ht="21.6" customHeight="1">
      <c r="A1584" s="154" t="s">
        <v>1310</v>
      </c>
      <c r="B1584" s="154" t="str" cm="1">
        <f t="array" ref="B1584">_xlfn.XLOOKUP(TRUE, ISNUMBER(SEARCH(工作表5!$A$1:$A$23, C1584)), 工作表5!$B$1:$B$23, "其他")</f>
        <v>轉寫組</v>
      </c>
      <c r="C1584" s="144" t="s">
        <v>582</v>
      </c>
      <c r="D1584" s="156"/>
      <c r="E1584" s="156" t="s">
        <v>1657</v>
      </c>
      <c r="F1584" s="156" t="s">
        <v>983</v>
      </c>
      <c r="G1584" s="154">
        <v>150000</v>
      </c>
    </row>
    <row r="1585" spans="1:7" ht="21.6" customHeight="1">
      <c r="A1585" s="154" t="s">
        <v>1310</v>
      </c>
      <c r="B1585" s="154" t="str" cm="1">
        <f t="array" ref="B1585">_xlfn.XLOOKUP(TRUE, ISNUMBER(SEARCH(工作表5!$A$1:$A$23, C1585)), 工作表5!$B$1:$B$23, "其他")</f>
        <v>轉寫組</v>
      </c>
      <c r="C1585" s="144" t="s">
        <v>1805</v>
      </c>
      <c r="D1585" s="156"/>
      <c r="E1585" s="156" t="s">
        <v>1658</v>
      </c>
      <c r="F1585" s="156" t="s">
        <v>985</v>
      </c>
      <c r="G1585" s="154">
        <v>300000</v>
      </c>
    </row>
    <row r="1586" spans="1:7" ht="21.6" customHeight="1">
      <c r="A1586" s="154" t="s">
        <v>1310</v>
      </c>
      <c r="B1586" s="154" t="str" cm="1">
        <f t="array" ref="B1586">_xlfn.XLOOKUP(TRUE, ISNUMBER(SEARCH(工作表5!$A$1:$A$23, C1586)), 工作表5!$B$1:$B$23, "其他")</f>
        <v>定著組</v>
      </c>
      <c r="C1586" s="147" t="s">
        <v>585</v>
      </c>
      <c r="D1586" s="156"/>
      <c r="E1586" s="156" t="s">
        <v>1659</v>
      </c>
      <c r="F1586" s="156" t="s">
        <v>987</v>
      </c>
      <c r="G1586" s="154">
        <v>150000</v>
      </c>
    </row>
    <row r="1587" spans="1:7" ht="21.6" customHeight="1">
      <c r="A1587" s="154" t="s">
        <v>1310</v>
      </c>
      <c r="B1587" s="154" t="str" cm="1">
        <f t="array" ref="B1587">_xlfn.XLOOKUP(TRUE, ISNUMBER(SEARCH(工作表5!$A$1:$A$23, C1587)), 工作表5!$B$1:$B$23, "其他")</f>
        <v>手送台</v>
      </c>
      <c r="C1587" s="147" t="s">
        <v>991</v>
      </c>
      <c r="D1587" s="156"/>
      <c r="E1587" s="156" t="s">
        <v>1660</v>
      </c>
      <c r="F1587" s="156" t="s">
        <v>990</v>
      </c>
      <c r="G1587" s="154">
        <v>50000</v>
      </c>
    </row>
    <row r="1588" spans="1:7" ht="21.6" customHeight="1">
      <c r="A1588" s="154" t="s">
        <v>1310</v>
      </c>
      <c r="B1588" s="154" t="str" cm="1">
        <f t="array" ref="B1588">_xlfn.XLOOKUP(TRUE, ISNUMBER(SEARCH(工作表5!$A$1:$A$23, C1588)), 工作表5!$B$1:$B$23, "其他")</f>
        <v>取紙組</v>
      </c>
      <c r="C1588" s="147" t="s">
        <v>406</v>
      </c>
      <c r="D1588" s="156"/>
      <c r="E1588" s="156" t="s">
        <v>1661</v>
      </c>
      <c r="F1588" s="156" t="s">
        <v>993</v>
      </c>
      <c r="G1588" s="154">
        <v>120000</v>
      </c>
    </row>
    <row r="1589" spans="1:7" ht="21.6" customHeight="1">
      <c r="A1589" s="154" t="s">
        <v>1310</v>
      </c>
      <c r="B1589" s="154" t="str" cm="1">
        <f t="array" ref="B1589">_xlfn.XLOOKUP(TRUE, ISNUMBER(SEARCH(工作表5!$A$1:$A$23, C1589)), 工作表5!$B$1:$B$23, "其他")</f>
        <v>大容量取紙組</v>
      </c>
      <c r="C1589" s="147" t="s">
        <v>304</v>
      </c>
      <c r="D1589" s="156"/>
      <c r="E1589" s="156" t="s">
        <v>1662</v>
      </c>
      <c r="F1589" s="156" t="s">
        <v>995</v>
      </c>
      <c r="G1589" s="154">
        <v>120000</v>
      </c>
    </row>
    <row r="1590" spans="1:7" ht="21.6" customHeight="1">
      <c r="A1590" s="154" t="s">
        <v>1310</v>
      </c>
      <c r="B1590" s="154" t="str" cm="1">
        <f t="array" ref="B1590">_xlfn.XLOOKUP(TRUE, ISNUMBER(SEARCH(工作表5!$A$1:$A$23, C1590)), 工作表5!$B$1:$B$23, "其他")</f>
        <v>送稿機</v>
      </c>
      <c r="C1590" s="147" t="s">
        <v>303</v>
      </c>
      <c r="D1590" s="156"/>
      <c r="E1590" s="156" t="s">
        <v>1663</v>
      </c>
      <c r="F1590" s="156" t="s">
        <v>997</v>
      </c>
      <c r="G1590" s="154">
        <v>100000</v>
      </c>
    </row>
    <row r="1591" spans="1:7" ht="21.6" customHeight="1">
      <c r="A1591" s="154" t="s">
        <v>1311</v>
      </c>
      <c r="B1591" s="154" t="str" cm="1">
        <f t="array" ref="B1591">_xlfn.XLOOKUP(TRUE, ISNUMBER(SEARCH(工作表5!$A$1:$A$23, C1591)), 工作表5!$B$1:$B$23, "其他")</f>
        <v>滾筒組</v>
      </c>
      <c r="C1591" s="143" t="s">
        <v>193</v>
      </c>
      <c r="D1591" s="156"/>
      <c r="E1591" s="156" t="s">
        <v>1595</v>
      </c>
      <c r="F1591" s="156" t="s">
        <v>841</v>
      </c>
      <c r="G1591" s="154">
        <v>60000</v>
      </c>
    </row>
    <row r="1592" spans="1:7" ht="21.6" customHeight="1">
      <c r="A1592" s="154" t="s">
        <v>1311</v>
      </c>
      <c r="B1592" s="154" t="str" cm="1">
        <f t="array" ref="B1592">_xlfn.XLOOKUP(TRUE, ISNUMBER(SEARCH(工作表5!$A$1:$A$23, C1592)), 工作表5!$B$1:$B$23, "其他")</f>
        <v>顯像組</v>
      </c>
      <c r="C1592" s="145" t="s">
        <v>502</v>
      </c>
      <c r="D1592" s="156"/>
      <c r="E1592" s="156" t="s">
        <v>1543</v>
      </c>
      <c r="F1592" s="156" t="s">
        <v>700</v>
      </c>
      <c r="G1592" s="154">
        <v>60000</v>
      </c>
    </row>
    <row r="1593" spans="1:7" ht="21.6" customHeight="1">
      <c r="A1593" s="154" t="s">
        <v>1311</v>
      </c>
      <c r="B1593" s="154" t="str" cm="1">
        <f t="array" ref="B1593">_xlfn.XLOOKUP(TRUE, ISNUMBER(SEARCH(工作表5!$A$1:$A$23, C1593)), 工作表5!$B$1:$B$23, "其他")</f>
        <v>顯像組</v>
      </c>
      <c r="C1593" s="145" t="s">
        <v>703</v>
      </c>
      <c r="D1593" s="156"/>
      <c r="E1593" s="156" t="s">
        <v>1544</v>
      </c>
      <c r="F1593" s="156" t="s">
        <v>702</v>
      </c>
      <c r="G1593" s="154">
        <v>60000</v>
      </c>
    </row>
    <row r="1594" spans="1:7" ht="21.6" customHeight="1">
      <c r="A1594" s="154" t="s">
        <v>1311</v>
      </c>
      <c r="B1594" s="154" t="str" cm="1">
        <f t="array" ref="B1594">_xlfn.XLOOKUP(TRUE, ISNUMBER(SEARCH(工作表5!$A$1:$A$23, C1594)), 工作表5!$B$1:$B$23, "其他")</f>
        <v>顯像組</v>
      </c>
      <c r="C1594" s="144" t="s">
        <v>706</v>
      </c>
      <c r="D1594" s="156"/>
      <c r="E1594" s="156" t="s">
        <v>1545</v>
      </c>
      <c r="F1594" s="156" t="s">
        <v>705</v>
      </c>
      <c r="G1594" s="154">
        <v>60000</v>
      </c>
    </row>
    <row r="1595" spans="1:7" ht="21.6" customHeight="1">
      <c r="A1595" s="154" t="s">
        <v>1311</v>
      </c>
      <c r="B1595" s="154" t="str" cm="1">
        <f t="array" ref="B1595">_xlfn.XLOOKUP(TRUE, ISNUMBER(SEARCH(工作表5!$A$1:$A$23, C1595)), 工作表5!$B$1:$B$23, "其他")</f>
        <v>顯像組</v>
      </c>
      <c r="C1595" s="145" t="s">
        <v>709</v>
      </c>
      <c r="D1595" s="156"/>
      <c r="E1595" s="156" t="s">
        <v>1546</v>
      </c>
      <c r="F1595" s="156" t="s">
        <v>708</v>
      </c>
      <c r="G1595" s="154">
        <v>60000</v>
      </c>
    </row>
    <row r="1596" spans="1:7" ht="21.6" customHeight="1">
      <c r="A1596" s="154" t="s">
        <v>1311</v>
      </c>
      <c r="B1596" s="154" t="str" cm="1">
        <f t="array" ref="B1596">_xlfn.XLOOKUP(TRUE, ISNUMBER(SEARCH(工作表5!$A$1:$A$23, C1596)), 工作表5!$B$1:$B$23, "其他")</f>
        <v>滾筒組</v>
      </c>
      <c r="C1596" s="145" t="s">
        <v>415</v>
      </c>
      <c r="D1596" s="156"/>
      <c r="E1596" s="156" t="s">
        <v>1547</v>
      </c>
      <c r="F1596" s="156" t="s">
        <v>711</v>
      </c>
      <c r="G1596" s="154">
        <v>60000</v>
      </c>
    </row>
    <row r="1597" spans="1:7" ht="21.6" customHeight="1">
      <c r="A1597" s="154" t="s">
        <v>1311</v>
      </c>
      <c r="B1597" s="154" t="str" cm="1">
        <f t="array" ref="B1597">_xlfn.XLOOKUP(TRUE, ISNUMBER(SEARCH(工作表5!$A$1:$A$23, C1597)), 工作表5!$B$1:$B$23, "其他")</f>
        <v>轉寫組</v>
      </c>
      <c r="C1597" s="145" t="s">
        <v>533</v>
      </c>
      <c r="D1597" s="156"/>
      <c r="E1597" s="156" t="s">
        <v>1511</v>
      </c>
      <c r="F1597" s="156" t="s">
        <v>606</v>
      </c>
      <c r="G1597" s="154">
        <v>120000</v>
      </c>
    </row>
    <row r="1598" spans="1:7" ht="21.6" customHeight="1">
      <c r="A1598" s="154" t="s">
        <v>1311</v>
      </c>
      <c r="B1598" s="154" t="str" cm="1">
        <f t="array" ref="B1598">_xlfn.XLOOKUP(TRUE, ISNUMBER(SEARCH(工作表5!$A$1:$A$23, C1598)), 工作表5!$B$1:$B$23, "其他")</f>
        <v>轉寫組</v>
      </c>
      <c r="C1598" s="145" t="s">
        <v>1812</v>
      </c>
      <c r="D1598" s="156"/>
      <c r="E1598" s="156" t="s">
        <v>1512</v>
      </c>
      <c r="F1598" s="156" t="s">
        <v>608</v>
      </c>
      <c r="G1598" s="154">
        <v>180000</v>
      </c>
    </row>
    <row r="1599" spans="1:7" ht="21.6" customHeight="1">
      <c r="A1599" s="154" t="s">
        <v>1311</v>
      </c>
      <c r="B1599" s="154" t="str" cm="1">
        <f t="array" ref="B1599">_xlfn.XLOOKUP(TRUE, ISNUMBER(SEARCH(工作表5!$A$1:$A$23, C1599)), 工作表5!$B$1:$B$23, "其他")</f>
        <v>定著組</v>
      </c>
      <c r="C1599" s="145" t="s">
        <v>1809</v>
      </c>
      <c r="D1599" s="156"/>
      <c r="E1599" s="156" t="s">
        <v>1596</v>
      </c>
      <c r="F1599" s="156" t="s">
        <v>1755</v>
      </c>
      <c r="G1599" s="154">
        <v>240000</v>
      </c>
    </row>
    <row r="1600" spans="1:7" ht="21.6" customHeight="1">
      <c r="A1600" s="154" t="s">
        <v>1311</v>
      </c>
      <c r="B1600" s="154" t="str" cm="1">
        <f t="array" ref="B1600">_xlfn.XLOOKUP(TRUE, ISNUMBER(SEARCH(工作表5!$A$1:$A$23, C1600)), 工作表5!$B$1:$B$23, "其他")</f>
        <v>定著組</v>
      </c>
      <c r="C1600" s="145" t="s">
        <v>87</v>
      </c>
      <c r="D1600" s="156"/>
      <c r="E1600" s="156" t="s">
        <v>1597</v>
      </c>
      <c r="F1600" s="156" t="s">
        <v>844</v>
      </c>
      <c r="G1600" s="154">
        <v>240000</v>
      </c>
    </row>
    <row r="1601" spans="1:7" ht="21.6" customHeight="1">
      <c r="A1601" s="154" t="s">
        <v>1311</v>
      </c>
      <c r="B1601" s="154" t="str" cm="1">
        <f t="array" ref="B1601">_xlfn.XLOOKUP(TRUE, ISNUMBER(SEARCH(工作表5!$A$1:$A$23, C1601)), 工作表5!$B$1:$B$23, "其他")</f>
        <v>滾筒組</v>
      </c>
      <c r="C1601" s="144" t="s">
        <v>107</v>
      </c>
      <c r="D1601" s="156"/>
      <c r="E1601" s="156" t="s">
        <v>1598</v>
      </c>
      <c r="F1601" s="156" t="s">
        <v>846</v>
      </c>
      <c r="G1601" s="154">
        <v>60000</v>
      </c>
    </row>
    <row r="1602" spans="1:7" ht="21.6" customHeight="1">
      <c r="A1602" s="154" t="s">
        <v>1311</v>
      </c>
      <c r="B1602" s="154" t="str" cm="1">
        <f t="array" ref="B1602">_xlfn.XLOOKUP(TRUE, ISNUMBER(SEARCH(工作表5!$A$1:$A$23, C1602)), 工作表5!$B$1:$B$23, "其他")</f>
        <v>顯像組</v>
      </c>
      <c r="C1602" s="145" t="s">
        <v>104</v>
      </c>
      <c r="D1602" s="156"/>
      <c r="E1602" s="156" t="s">
        <v>1508</v>
      </c>
      <c r="F1602" s="156" t="s">
        <v>599</v>
      </c>
      <c r="G1602" s="154">
        <v>60000</v>
      </c>
    </row>
    <row r="1603" spans="1:7" ht="21.6" customHeight="1">
      <c r="A1603" s="154" t="s">
        <v>1311</v>
      </c>
      <c r="B1603" s="154" t="str" cm="1">
        <f t="array" ref="B1603">_xlfn.XLOOKUP(TRUE, ISNUMBER(SEARCH(工作表5!$A$1:$A$23, C1603)), 工作表5!$B$1:$B$23, "其他")</f>
        <v>顯像組</v>
      </c>
      <c r="C1603" s="144" t="s">
        <v>1822</v>
      </c>
      <c r="D1603" s="156"/>
      <c r="E1603" s="156" t="s">
        <v>1555</v>
      </c>
      <c r="F1603" s="156" t="s">
        <v>730</v>
      </c>
      <c r="G1603" s="154">
        <v>60000</v>
      </c>
    </row>
    <row r="1604" spans="1:7" ht="21.6" customHeight="1">
      <c r="A1604" s="154" t="s">
        <v>1311</v>
      </c>
      <c r="B1604" s="154" t="str" cm="1">
        <f t="array" ref="B1604">_xlfn.XLOOKUP(TRUE, ISNUMBER(SEARCH(工作表5!$A$1:$A$23, C1604)), 工作表5!$B$1:$B$23, "其他")</f>
        <v>定著組</v>
      </c>
      <c r="C1604" s="144" t="s">
        <v>733</v>
      </c>
      <c r="D1604" s="156"/>
      <c r="E1604" s="156" t="s">
        <v>1556</v>
      </c>
      <c r="F1604" s="156" t="s">
        <v>732</v>
      </c>
      <c r="G1604" s="154">
        <v>60000</v>
      </c>
    </row>
    <row r="1605" spans="1:7" ht="21.6" customHeight="1">
      <c r="A1605" s="154" t="s">
        <v>1311</v>
      </c>
      <c r="B1605" s="154" t="str" cm="1">
        <f t="array" ref="B1605">_xlfn.XLOOKUP(TRUE, ISNUMBER(SEARCH(工作表5!$A$1:$A$23, C1605)), 工作表5!$B$1:$B$23, "其他")</f>
        <v>定著組</v>
      </c>
      <c r="C1605" s="144" t="s">
        <v>736</v>
      </c>
      <c r="D1605" s="156"/>
      <c r="E1605" s="156" t="s">
        <v>1557</v>
      </c>
      <c r="F1605" s="156" t="s">
        <v>735</v>
      </c>
      <c r="G1605" s="154">
        <v>60000</v>
      </c>
    </row>
    <row r="1606" spans="1:7" ht="21.6" customHeight="1">
      <c r="A1606" s="154" t="s">
        <v>1311</v>
      </c>
      <c r="B1606" s="154" t="str" cm="1">
        <f t="array" ref="B1606">_xlfn.XLOOKUP(TRUE, ISNUMBER(SEARCH(工作表5!$A$1:$A$23, C1606)), 工作表5!$B$1:$B$23, "其他")</f>
        <v>其他</v>
      </c>
      <c r="C1606" s="144">
        <f>+$H$1434</f>
        <v>0</v>
      </c>
      <c r="D1606" s="156"/>
      <c r="E1606" s="156" t="s">
        <v>1599</v>
      </c>
      <c r="F1606" s="156" t="s">
        <v>848</v>
      </c>
      <c r="G1606" s="154">
        <v>240000</v>
      </c>
    </row>
    <row r="1607" spans="1:7" ht="21.6" customHeight="1">
      <c r="A1607" s="154" t="s">
        <v>1311</v>
      </c>
      <c r="B1607" s="154" t="str" cm="1">
        <f t="array" ref="B1607">_xlfn.XLOOKUP(TRUE, ISNUMBER(SEARCH(工作表5!$A$1:$A$23, C1607)), 工作表5!$B$1:$B$23, "其他")</f>
        <v>其他</v>
      </c>
      <c r="C1607" s="144">
        <f>+$H$1435</f>
        <v>0</v>
      </c>
      <c r="D1607" s="156"/>
      <c r="E1607" s="156" t="s">
        <v>1600</v>
      </c>
      <c r="F1607" s="156" t="s">
        <v>851</v>
      </c>
      <c r="G1607" s="154">
        <v>240000</v>
      </c>
    </row>
    <row r="1608" spans="1:7" ht="21.6" customHeight="1">
      <c r="A1608" s="154" t="s">
        <v>1311</v>
      </c>
      <c r="B1608" s="154" t="str" cm="1">
        <f t="array" ref="B1608">_xlfn.XLOOKUP(TRUE, ISNUMBER(SEARCH(工作表5!$A$1:$A$23, C1608)), 工作表5!$B$1:$B$23, "其他")</f>
        <v>轉寫組</v>
      </c>
      <c r="C1608" s="144" t="s">
        <v>1824</v>
      </c>
      <c r="D1608" s="156"/>
      <c r="E1608" s="156" t="s">
        <v>1513</v>
      </c>
      <c r="F1608" s="156" t="s">
        <v>610</v>
      </c>
      <c r="G1608" s="154">
        <v>180000</v>
      </c>
    </row>
    <row r="1609" spans="1:7" ht="21.6" customHeight="1">
      <c r="A1609" s="154" t="s">
        <v>1311</v>
      </c>
      <c r="B1609" s="154" t="str" cm="1">
        <f t="array" ref="B1609">_xlfn.XLOOKUP(TRUE, ISNUMBER(SEARCH(工作表5!$A$1:$A$23, C1609)), 工作表5!$B$1:$B$23, "其他")</f>
        <v>轉寫組</v>
      </c>
      <c r="C1609" s="144" t="s">
        <v>1825</v>
      </c>
      <c r="D1609" s="156"/>
      <c r="E1609" s="156" t="s">
        <v>1514</v>
      </c>
      <c r="F1609" s="156" t="s">
        <v>612</v>
      </c>
      <c r="G1609" s="154">
        <v>180000</v>
      </c>
    </row>
    <row r="1610" spans="1:7" ht="21.6" customHeight="1">
      <c r="A1610" s="154" t="s">
        <v>1311</v>
      </c>
      <c r="B1610" s="154" t="str" cm="1">
        <f t="array" ref="B1610">_xlfn.XLOOKUP(TRUE, ISNUMBER(SEARCH(工作表5!$A$1:$A$23, C1610)), 工作表5!$B$1:$B$23, "其他")</f>
        <v>其他</v>
      </c>
      <c r="C1610" s="144">
        <f>+$H$1137</f>
        <v>0</v>
      </c>
      <c r="D1610" s="156"/>
      <c r="E1610" s="156" t="s">
        <v>1515</v>
      </c>
      <c r="F1610" s="156" t="s">
        <v>614</v>
      </c>
      <c r="G1610" s="154">
        <v>180000</v>
      </c>
    </row>
    <row r="1611" spans="1:7" ht="21.6" customHeight="1">
      <c r="A1611" s="154" t="s">
        <v>1311</v>
      </c>
      <c r="B1611" s="154" t="str" cm="1">
        <f t="array" ref="B1611">_xlfn.XLOOKUP(TRUE, ISNUMBER(SEARCH(工作表5!$A$1:$A$23, C1611)), 工作表5!$B$1:$B$23, "其他")</f>
        <v>其他</v>
      </c>
      <c r="C1611" s="144" t="s">
        <v>101</v>
      </c>
      <c r="D1611" s="156"/>
      <c r="E1611" s="156" t="s">
        <v>1551</v>
      </c>
      <c r="F1611" s="156" t="s">
        <v>720</v>
      </c>
      <c r="G1611" s="154">
        <v>240000</v>
      </c>
    </row>
    <row r="1612" spans="1:7" ht="21.6" customHeight="1">
      <c r="A1612" s="154" t="s">
        <v>1311</v>
      </c>
      <c r="B1612" s="154" t="str" cm="1">
        <f t="array" ref="B1612">_xlfn.XLOOKUP(TRUE, ISNUMBER(SEARCH(工作表5!$A$1:$A$23, C1612)), 工作表5!$B$1:$B$23, "其他")</f>
        <v>其他</v>
      </c>
      <c r="C1612" s="144">
        <f>+$H$1440</f>
        <v>0</v>
      </c>
      <c r="D1612" s="156"/>
      <c r="E1612" s="156" t="s">
        <v>1519</v>
      </c>
      <c r="F1612" s="156" t="s">
        <v>623</v>
      </c>
      <c r="G1612" s="154">
        <v>240000</v>
      </c>
    </row>
    <row r="1613" spans="1:7" ht="21.6" customHeight="1">
      <c r="A1613" s="154" t="s">
        <v>1311</v>
      </c>
      <c r="B1613" s="154" t="str" cm="1">
        <f t="array" ref="B1613">_xlfn.XLOOKUP(TRUE, ISNUMBER(SEARCH(工作表5!$A$1:$A$23, C1613)), 工作表5!$B$1:$B$23, "其他")</f>
        <v>其他</v>
      </c>
      <c r="C1613" s="144">
        <f>+$H$1441</f>
        <v>0</v>
      </c>
      <c r="D1613" s="156"/>
      <c r="E1613" s="156" t="s">
        <v>1601</v>
      </c>
      <c r="F1613" s="156" t="s">
        <v>853</v>
      </c>
      <c r="G1613" s="154">
        <v>240000</v>
      </c>
    </row>
    <row r="1614" spans="1:7" ht="21.6" customHeight="1">
      <c r="A1614" s="154" t="s">
        <v>1311</v>
      </c>
      <c r="B1614" s="154" t="str" cm="1">
        <f t="array" ref="B1614">_xlfn.XLOOKUP(TRUE, ISNUMBER(SEARCH(工作表5!$A$1:$A$23, C1614)), 工作表5!$B$1:$B$23, "其他")</f>
        <v>定著組</v>
      </c>
      <c r="C1614" s="144" t="s">
        <v>90</v>
      </c>
      <c r="D1614" s="156"/>
      <c r="E1614" s="156" t="s">
        <v>1521</v>
      </c>
      <c r="F1614" s="156" t="s">
        <v>627</v>
      </c>
      <c r="G1614" s="154">
        <v>240000</v>
      </c>
    </row>
    <row r="1615" spans="1:7" ht="21.6" customHeight="1">
      <c r="A1615" s="154" t="s">
        <v>1311</v>
      </c>
      <c r="B1615" s="154" t="str" cm="1">
        <f t="array" ref="B1615">_xlfn.XLOOKUP(TRUE, ISNUMBER(SEARCH(工作表5!$A$1:$A$23, C1615)), 工作表5!$B$1:$B$23, "其他")</f>
        <v>取紙組</v>
      </c>
      <c r="C1615" s="144" t="s">
        <v>1836</v>
      </c>
      <c r="D1615" s="156"/>
      <c r="E1615" s="156" t="s">
        <v>1389</v>
      </c>
      <c r="F1615" s="156" t="s">
        <v>265</v>
      </c>
      <c r="G1615" s="154">
        <v>80000</v>
      </c>
    </row>
    <row r="1616" spans="1:7" ht="21.6" customHeight="1">
      <c r="A1616" s="154" t="s">
        <v>1311</v>
      </c>
      <c r="B1616" s="154" t="str" cm="1">
        <f t="array" ref="B1616">_xlfn.XLOOKUP(TRUE, ISNUMBER(SEARCH(工作表5!$A$1:$A$23, C1616)), 工作表5!$B$1:$B$23, "其他")</f>
        <v>取紙組</v>
      </c>
      <c r="C1616" s="144" t="s">
        <v>745</v>
      </c>
      <c r="D1616" s="156"/>
      <c r="E1616" s="156" t="s">
        <v>1389</v>
      </c>
      <c r="F1616" s="156" t="s">
        <v>265</v>
      </c>
      <c r="G1616" s="154">
        <v>80000</v>
      </c>
    </row>
    <row r="1617" spans="1:7" ht="21.6" customHeight="1">
      <c r="A1617" s="154" t="s">
        <v>1311</v>
      </c>
      <c r="B1617" s="154" t="str" cm="1">
        <f t="array" ref="B1617">_xlfn.XLOOKUP(TRUE, ISNUMBER(SEARCH(工作表5!$A$1:$A$23, C1617)), 工作表5!$B$1:$B$23, "其他")</f>
        <v>取紙組</v>
      </c>
      <c r="C1617" s="144" t="s">
        <v>1837</v>
      </c>
      <c r="D1617" s="156"/>
      <c r="E1617" s="156" t="s">
        <v>1561</v>
      </c>
      <c r="F1617" s="156" t="s">
        <v>747</v>
      </c>
      <c r="G1617" s="154">
        <v>80000</v>
      </c>
    </row>
    <row r="1618" spans="1:7" ht="21.6" customHeight="1">
      <c r="A1618" s="154" t="s">
        <v>1311</v>
      </c>
      <c r="B1618" s="154" t="str" cm="1">
        <f t="array" ref="B1618">_xlfn.XLOOKUP(TRUE, ISNUMBER(SEARCH(工作表5!$A$1:$A$23, C1618)), 工作表5!$B$1:$B$23, "其他")</f>
        <v>手送台</v>
      </c>
      <c r="C1618" s="144" t="s">
        <v>631</v>
      </c>
      <c r="D1618" s="156"/>
      <c r="E1618" s="156" t="s">
        <v>1392</v>
      </c>
      <c r="F1618" s="156" t="s">
        <v>274</v>
      </c>
      <c r="G1618" s="154">
        <v>80000</v>
      </c>
    </row>
    <row r="1619" spans="1:7" ht="21.6" customHeight="1">
      <c r="A1619" s="154" t="s">
        <v>1311</v>
      </c>
      <c r="B1619" s="154" t="str" cm="1">
        <f t="array" ref="B1619">_xlfn.XLOOKUP(TRUE, ISNUMBER(SEARCH(工作表5!$A$1:$A$23, C1619)), 工作表5!$B$1:$B$23, "其他")</f>
        <v>手送台</v>
      </c>
      <c r="C1619" s="144" t="s">
        <v>119</v>
      </c>
      <c r="D1619" s="156"/>
      <c r="E1619" s="156" t="s">
        <v>1602</v>
      </c>
      <c r="F1619" s="156" t="s">
        <v>856</v>
      </c>
      <c r="G1619" s="154">
        <v>80000</v>
      </c>
    </row>
    <row r="1620" spans="1:7" ht="21.6" customHeight="1">
      <c r="A1620" s="154" t="s">
        <v>1311</v>
      </c>
      <c r="B1620" s="154" t="str" cm="1">
        <f t="array" ref="B1620">_xlfn.XLOOKUP(TRUE, ISNUMBER(SEARCH(工作表5!$A$1:$A$23, C1620)), 工作表5!$B$1:$B$23, "其他")</f>
        <v>送稿機</v>
      </c>
      <c r="C1620" s="145" t="s">
        <v>1838</v>
      </c>
      <c r="D1620" s="156"/>
      <c r="E1620" s="156" t="s">
        <v>1375</v>
      </c>
      <c r="F1620" s="156" t="s">
        <v>226</v>
      </c>
      <c r="G1620" s="154">
        <v>120000</v>
      </c>
    </row>
    <row r="1621" spans="1:7" ht="21.6" customHeight="1">
      <c r="A1621" s="154" t="s">
        <v>1311</v>
      </c>
      <c r="B1621" s="154" t="str" cm="1">
        <f t="array" ref="B1621">_xlfn.XLOOKUP(TRUE, ISNUMBER(SEARCH(工作表5!$A$1:$A$23, C1621)), 工作表5!$B$1:$B$23, "其他")</f>
        <v>送稿機</v>
      </c>
      <c r="C1621" s="145" t="s">
        <v>1839</v>
      </c>
      <c r="D1621" s="156"/>
      <c r="E1621" s="156" t="s">
        <v>1376</v>
      </c>
      <c r="F1621" s="156" t="s">
        <v>230</v>
      </c>
      <c r="G1621" s="154">
        <v>120000</v>
      </c>
    </row>
    <row r="1622" spans="1:7" ht="21.6" customHeight="1">
      <c r="A1622" s="154" t="s">
        <v>1311</v>
      </c>
      <c r="B1622" s="154" t="str" cm="1">
        <f t="array" ref="B1622">_xlfn.XLOOKUP(TRUE, ISNUMBER(SEARCH(工作表5!$A$1:$A$23, C1622)), 工作表5!$B$1:$B$23, "其他")</f>
        <v>取紙組</v>
      </c>
      <c r="C1622" s="144" t="s">
        <v>1840</v>
      </c>
      <c r="D1622" s="156"/>
      <c r="E1622" s="156" t="s">
        <v>1377</v>
      </c>
      <c r="F1622" s="156" t="s">
        <v>232</v>
      </c>
      <c r="G1622" s="154">
        <v>160000</v>
      </c>
    </row>
    <row r="1623" spans="1:7" ht="21.6" customHeight="1">
      <c r="A1623" s="154" t="s">
        <v>1311</v>
      </c>
      <c r="B1623" s="154" t="str" cm="1">
        <f t="array" ref="B1623">_xlfn.XLOOKUP(TRUE, ISNUMBER(SEARCH(工作表5!$A$1:$A$23, C1623)), 工作表5!$B$1:$B$23, "其他")</f>
        <v>大容量取紙組</v>
      </c>
      <c r="C1623" s="144" t="s">
        <v>237</v>
      </c>
      <c r="D1623" s="156"/>
      <c r="E1623" s="156" t="s">
        <v>1378</v>
      </c>
      <c r="F1623" s="156" t="s">
        <v>236</v>
      </c>
      <c r="G1623" s="154">
        <v>160000</v>
      </c>
    </row>
    <row r="1624" spans="1:7" ht="21.6" customHeight="1">
      <c r="A1624" s="154" t="s">
        <v>1311</v>
      </c>
      <c r="B1624" s="154" t="str" cm="1">
        <f t="array" ref="B1624">_xlfn.XLOOKUP(TRUE, ISNUMBER(SEARCH(工作表5!$A$1:$A$23, C1624)), 工作表5!$B$1:$B$23, "其他")</f>
        <v>取紙組</v>
      </c>
      <c r="C1624" s="144" t="s">
        <v>749</v>
      </c>
      <c r="D1624" s="156"/>
      <c r="E1624" s="156" t="s">
        <v>1379</v>
      </c>
      <c r="F1624" s="156" t="s">
        <v>239</v>
      </c>
      <c r="G1624" s="154">
        <v>160000</v>
      </c>
    </row>
    <row r="1625" spans="1:7" ht="21.6" customHeight="1">
      <c r="A1625" s="154" t="s">
        <v>1311</v>
      </c>
      <c r="B1625" s="154" t="str" cm="1">
        <f t="array" ref="B1625">_xlfn.XLOOKUP(TRUE, ISNUMBER(SEARCH(工作表5!$A$1:$A$23, C1625)), 工作表5!$B$1:$B$23, "其他")</f>
        <v>顯像組</v>
      </c>
      <c r="C1625" s="144" t="s">
        <v>637</v>
      </c>
      <c r="D1625" s="156"/>
      <c r="E1625" s="156" t="s">
        <v>1603</v>
      </c>
      <c r="F1625" s="156" t="s">
        <v>859</v>
      </c>
      <c r="G1625" s="154">
        <v>60000</v>
      </c>
    </row>
    <row r="1626" spans="1:7" ht="21.6" customHeight="1">
      <c r="A1626" s="154" t="s">
        <v>1311</v>
      </c>
      <c r="B1626" s="154" t="str" cm="1">
        <f t="array" ref="B1626">_xlfn.XLOOKUP(TRUE, ISNUMBER(SEARCH(工作表5!$A$1:$A$23, C1626)), 工作表5!$B$1:$B$23, "其他")</f>
        <v>顯像組</v>
      </c>
      <c r="C1626" s="144" t="s">
        <v>755</v>
      </c>
      <c r="D1626" s="156"/>
      <c r="E1626" s="156" t="s">
        <v>1604</v>
      </c>
      <c r="F1626" s="156" t="s">
        <v>861</v>
      </c>
      <c r="G1626" s="154">
        <v>60000</v>
      </c>
    </row>
    <row r="1627" spans="1:7" ht="21.6" customHeight="1">
      <c r="A1627" s="154" t="s">
        <v>1311</v>
      </c>
      <c r="B1627" s="154" t="str" cm="1">
        <f t="array" ref="B1627">_xlfn.XLOOKUP(TRUE, ISNUMBER(SEARCH(工作表5!$A$1:$A$23, C1627)), 工作表5!$B$1:$B$23, "其他")</f>
        <v>定著組</v>
      </c>
      <c r="C1627" s="145" t="s">
        <v>244</v>
      </c>
      <c r="D1627" s="156"/>
      <c r="E1627" s="156" t="s">
        <v>1605</v>
      </c>
      <c r="F1627" s="156" t="s">
        <v>863</v>
      </c>
      <c r="G1627" s="154">
        <v>240000</v>
      </c>
    </row>
    <row r="1628" spans="1:7" ht="21.6" customHeight="1">
      <c r="A1628" s="154" t="s">
        <v>1311</v>
      </c>
      <c r="B1628" s="154" t="str" cm="1">
        <f t="array" ref="B1628">_xlfn.XLOOKUP(TRUE, ISNUMBER(SEARCH(工作表5!$A$1:$A$23, C1628)), 工作表5!$B$1:$B$23, "其他")</f>
        <v>其他</v>
      </c>
      <c r="C1628" s="144">
        <f>+$H$1456</f>
        <v>0</v>
      </c>
      <c r="D1628" s="156"/>
      <c r="E1628" s="156" t="s">
        <v>1525</v>
      </c>
      <c r="F1628" s="156" t="s">
        <v>644</v>
      </c>
      <c r="G1628" s="154">
        <v>180000</v>
      </c>
    </row>
    <row r="1629" spans="1:7" ht="21.6" customHeight="1">
      <c r="A1629" s="154" t="s">
        <v>1311</v>
      </c>
      <c r="B1629" s="154" t="str" cm="1">
        <f t="array" ref="B1629">_xlfn.XLOOKUP(TRUE, ISNUMBER(SEARCH(工作表5!$A$1:$A$23, C1629)), 工作表5!$B$1:$B$23, "其他")</f>
        <v>取紙組</v>
      </c>
      <c r="C1629" s="144" t="s">
        <v>758</v>
      </c>
      <c r="D1629" s="156"/>
      <c r="E1629" s="156" t="s">
        <v>1564</v>
      </c>
      <c r="F1629" s="156" t="s">
        <v>757</v>
      </c>
      <c r="G1629" s="154">
        <v>80000</v>
      </c>
    </row>
    <row r="1630" spans="1:7" ht="21.6" customHeight="1">
      <c r="A1630" s="154" t="s">
        <v>1311</v>
      </c>
      <c r="B1630" s="154" t="str" cm="1">
        <f t="array" ref="B1630">_xlfn.XLOOKUP(TRUE, ISNUMBER(SEARCH(工作表5!$A$1:$A$23, C1630)), 工作表5!$B$1:$B$23, "其他")</f>
        <v>送稿機</v>
      </c>
      <c r="C1630" s="144" t="s">
        <v>759</v>
      </c>
      <c r="D1630" s="156"/>
      <c r="E1630" s="156" t="s">
        <v>1383</v>
      </c>
      <c r="F1630" s="156" t="s">
        <v>249</v>
      </c>
      <c r="G1630" s="154">
        <v>120000</v>
      </c>
    </row>
    <row r="1631" spans="1:7" ht="21.6" customHeight="1">
      <c r="A1631" s="154" t="s">
        <v>1311</v>
      </c>
      <c r="B1631" s="154" t="str" cm="1">
        <f t="array" ref="B1631">_xlfn.XLOOKUP(TRUE, ISNUMBER(SEARCH(工作表5!$A$1:$A$23, C1631)), 工作表5!$B$1:$B$23, "其他")</f>
        <v>其他</v>
      </c>
      <c r="C1631" s="144" t="s">
        <v>760</v>
      </c>
      <c r="D1631" s="156"/>
      <c r="E1631" s="156" t="s">
        <v>1384</v>
      </c>
      <c r="F1631" s="156" t="s">
        <v>252</v>
      </c>
      <c r="G1631" s="154">
        <v>160000</v>
      </c>
    </row>
    <row r="1632" spans="1:7" ht="21.6" customHeight="1">
      <c r="A1632" s="154" t="s">
        <v>1311</v>
      </c>
      <c r="B1632" s="154" t="str" cm="1">
        <f t="array" ref="B1632">_xlfn.XLOOKUP(TRUE, ISNUMBER(SEARCH(工作表5!$A$1:$A$23, C1632)), 工作表5!$B$1:$B$23, "其他")</f>
        <v>定著組</v>
      </c>
      <c r="C1632" s="145" t="s">
        <v>585</v>
      </c>
      <c r="D1632" s="156"/>
      <c r="E1632" s="156" t="s">
        <v>1606</v>
      </c>
      <c r="F1632" s="156" t="s">
        <v>867</v>
      </c>
      <c r="G1632" s="154" t="e">
        <v>#VALUE!</v>
      </c>
    </row>
    <row r="1633" spans="1:7" ht="21.6" customHeight="1">
      <c r="A1633" s="154" t="s">
        <v>1311</v>
      </c>
      <c r="B1633" s="154" t="str" cm="1">
        <f t="array" ref="B1633">_xlfn.XLOOKUP(TRUE, ISNUMBER(SEARCH(工作表5!$A$1:$A$23, C1633)), 工作表5!$B$1:$B$23, "其他")</f>
        <v>顯像組</v>
      </c>
      <c r="C1633" s="145" t="s">
        <v>129</v>
      </c>
      <c r="D1633" s="156"/>
      <c r="E1633" s="156" t="s">
        <v>1607</v>
      </c>
      <c r="F1633" s="156" t="s">
        <v>869</v>
      </c>
      <c r="G1633" s="154" t="e">
        <v>#VALUE!</v>
      </c>
    </row>
    <row r="1634" spans="1:7" ht="21.6" customHeight="1">
      <c r="A1634" s="154" t="s">
        <v>1311</v>
      </c>
      <c r="B1634" s="154" t="str" cm="1">
        <f t="array" ref="B1634">_xlfn.XLOOKUP(TRUE, ISNUMBER(SEARCH(工作表5!$A$1:$A$23, C1634)), 工作表5!$B$1:$B$23, "其他")</f>
        <v>顯像組</v>
      </c>
      <c r="C1634" s="145" t="s">
        <v>772</v>
      </c>
      <c r="D1634" s="156"/>
      <c r="E1634" s="156" t="s">
        <v>1608</v>
      </c>
      <c r="F1634" s="156" t="s">
        <v>871</v>
      </c>
      <c r="G1634" s="154" t="e">
        <v>#VALUE!</v>
      </c>
    </row>
    <row r="1635" spans="1:7" ht="21.6" customHeight="1">
      <c r="A1635" s="154" t="s">
        <v>1311</v>
      </c>
      <c r="B1635" s="154" t="str" cm="1">
        <f t="array" ref="B1635">_xlfn.XLOOKUP(TRUE, ISNUMBER(SEARCH(工作表5!$A$1:$A$23, C1635)), 工作表5!$B$1:$B$23, "其他")</f>
        <v>顯像組</v>
      </c>
      <c r="C1635" s="145" t="s">
        <v>775</v>
      </c>
      <c r="D1635" s="156"/>
      <c r="E1635" s="156" t="s">
        <v>1609</v>
      </c>
      <c r="F1635" s="156" t="s">
        <v>873</v>
      </c>
      <c r="G1635" s="154" t="e">
        <v>#VALUE!</v>
      </c>
    </row>
    <row r="1636" spans="1:7" ht="21.6" customHeight="1">
      <c r="A1636" s="154" t="s">
        <v>1311</v>
      </c>
      <c r="B1636" s="154" t="str" cm="1">
        <f t="array" ref="B1636">_xlfn.XLOOKUP(TRUE, ISNUMBER(SEARCH(工作表5!$A$1:$A$23, C1636)), 工作表5!$B$1:$B$23, "其他")</f>
        <v>顯像組</v>
      </c>
      <c r="C1636" s="145" t="s">
        <v>778</v>
      </c>
      <c r="D1636" s="156"/>
      <c r="E1636" s="156" t="s">
        <v>1610</v>
      </c>
      <c r="F1636" s="156" t="s">
        <v>875</v>
      </c>
      <c r="G1636" s="154" t="e">
        <v>#VALUE!</v>
      </c>
    </row>
    <row r="1637" spans="1:7" ht="21.6" customHeight="1">
      <c r="A1637" s="154" t="s">
        <v>1311</v>
      </c>
      <c r="B1637" s="154" t="str" cm="1">
        <f t="array" ref="B1637">_xlfn.XLOOKUP(TRUE, ISNUMBER(SEARCH(工作表5!$A$1:$A$23, C1637)), 工作表5!$B$1:$B$23, "其他")</f>
        <v>滾筒組</v>
      </c>
      <c r="C1637" s="145" t="s">
        <v>781</v>
      </c>
      <c r="D1637" s="156"/>
      <c r="E1637" s="156" t="s">
        <v>1611</v>
      </c>
      <c r="F1637" s="156" t="s">
        <v>877</v>
      </c>
      <c r="G1637" s="154" t="e">
        <v>#VALUE!</v>
      </c>
    </row>
    <row r="1638" spans="1:7" ht="21.6" customHeight="1">
      <c r="A1638" s="154" t="s">
        <v>1311</v>
      </c>
      <c r="B1638" s="154" t="str" cm="1">
        <f t="array" ref="B1638">_xlfn.XLOOKUP(TRUE, ISNUMBER(SEARCH(工作表5!$A$1:$A$23, C1638)), 工作表5!$B$1:$B$23, "其他")</f>
        <v>滾筒組</v>
      </c>
      <c r="C1638" s="145" t="s">
        <v>784</v>
      </c>
      <c r="D1638" s="156"/>
      <c r="E1638" s="156" t="s">
        <v>1612</v>
      </c>
      <c r="F1638" s="156" t="s">
        <v>879</v>
      </c>
      <c r="G1638" s="154" t="e">
        <v>#VALUE!</v>
      </c>
    </row>
    <row r="1639" spans="1:7" ht="21.6" customHeight="1">
      <c r="A1639" s="154" t="s">
        <v>1311</v>
      </c>
      <c r="B1639" s="154" t="str" cm="1">
        <f t="array" ref="B1639">_xlfn.XLOOKUP(TRUE, ISNUMBER(SEARCH(工作表5!$A$1:$A$23, C1639)), 工作表5!$B$1:$B$23, "其他")</f>
        <v>滾筒組</v>
      </c>
      <c r="C1639" s="145" t="s">
        <v>787</v>
      </c>
      <c r="D1639" s="156"/>
      <c r="E1639" s="156" t="s">
        <v>1613</v>
      </c>
      <c r="F1639" s="156" t="s">
        <v>881</v>
      </c>
      <c r="G1639" s="154" t="e">
        <v>#VALUE!</v>
      </c>
    </row>
    <row r="1640" spans="1:7" ht="21.6" customHeight="1">
      <c r="A1640" s="154" t="s">
        <v>1311</v>
      </c>
      <c r="B1640" s="154" t="str" cm="1">
        <f t="array" ref="B1640">_xlfn.XLOOKUP(TRUE, ISNUMBER(SEARCH(工作表5!$A$1:$A$23, C1640)), 工作表5!$B$1:$B$23, "其他")</f>
        <v>滾筒組</v>
      </c>
      <c r="C1640" s="145" t="s">
        <v>790</v>
      </c>
      <c r="D1640" s="156"/>
      <c r="E1640" s="156" t="s">
        <v>1614</v>
      </c>
      <c r="F1640" s="156" t="s">
        <v>883</v>
      </c>
      <c r="G1640" s="154" t="e">
        <v>#VALUE!</v>
      </c>
    </row>
    <row r="1641" spans="1:7" ht="21.6" customHeight="1">
      <c r="A1641" s="154" t="s">
        <v>1311</v>
      </c>
      <c r="B1641" s="154" t="str" cm="1">
        <f t="array" ref="B1641">_xlfn.XLOOKUP(TRUE, ISNUMBER(SEARCH(工作表5!$A$1:$A$23, C1641)), 工作表5!$B$1:$B$23, "其他")</f>
        <v>轉寫組</v>
      </c>
      <c r="C1641" s="145" t="s">
        <v>1821</v>
      </c>
      <c r="D1641" s="156"/>
      <c r="E1641" s="156" t="s">
        <v>1576</v>
      </c>
      <c r="F1641" s="156" t="s">
        <v>792</v>
      </c>
      <c r="G1641" s="154" t="e">
        <v>#VALUE!</v>
      </c>
    </row>
    <row r="1642" spans="1:7" ht="21.6" customHeight="1">
      <c r="A1642" s="154" t="s">
        <v>1311</v>
      </c>
      <c r="B1642" s="154" t="str" cm="1">
        <f t="array" ref="B1642">_xlfn.XLOOKUP(TRUE, ISNUMBER(SEARCH(工作表5!$A$1:$A$23, C1642)), 工作表5!$B$1:$B$23, "其他")</f>
        <v>轉寫組</v>
      </c>
      <c r="C1642" s="144" t="s">
        <v>1805</v>
      </c>
      <c r="D1642" s="156"/>
      <c r="E1642" s="156" t="s">
        <v>1615</v>
      </c>
      <c r="F1642" s="156" t="s">
        <v>885</v>
      </c>
      <c r="G1642" s="154" t="e">
        <v>#VALUE!</v>
      </c>
    </row>
    <row r="1643" spans="1:7" ht="21.6" customHeight="1">
      <c r="A1643" s="154" t="s">
        <v>1312</v>
      </c>
      <c r="B1643" s="154" t="str" cm="1">
        <f t="array" ref="B1643">_xlfn.XLOOKUP(TRUE, ISNUMBER(SEARCH(工作表5!$A$1:$A$23, C1643)), 工作表5!$B$1:$B$23, "其他")</f>
        <v>滾筒組</v>
      </c>
      <c r="C1643" s="143" t="s">
        <v>589</v>
      </c>
      <c r="D1643" s="156"/>
      <c r="E1643" s="156" t="s">
        <v>1504</v>
      </c>
      <c r="F1643" s="156" t="s">
        <v>588</v>
      </c>
      <c r="G1643" s="154">
        <v>180000</v>
      </c>
    </row>
    <row r="1644" spans="1:7" ht="21.6" customHeight="1">
      <c r="A1644" s="154" t="s">
        <v>1312</v>
      </c>
      <c r="B1644" s="154" t="str" cm="1">
        <f t="array" ref="B1644">_xlfn.XLOOKUP(TRUE, ISNUMBER(SEARCH(工作表5!$A$1:$A$23, C1644)), 工作表5!$B$1:$B$23, "其他")</f>
        <v>滾筒組</v>
      </c>
      <c r="C1644" s="150" t="s">
        <v>887</v>
      </c>
      <c r="D1644" s="156"/>
      <c r="E1644" s="156" t="s">
        <v>1595</v>
      </c>
      <c r="F1644" s="156" t="s">
        <v>841</v>
      </c>
      <c r="G1644" s="154">
        <v>90000</v>
      </c>
    </row>
    <row r="1645" spans="1:7" ht="21.6" customHeight="1">
      <c r="A1645" s="154" t="s">
        <v>1312</v>
      </c>
      <c r="B1645" s="154" t="str" cm="1">
        <f t="array" ref="B1645">_xlfn.XLOOKUP(TRUE, ISNUMBER(SEARCH(工作表5!$A$1:$A$23, C1645)), 工作表5!$B$1:$B$23, "其他")</f>
        <v>顯像組</v>
      </c>
      <c r="C1645" s="145" t="s">
        <v>502</v>
      </c>
      <c r="D1645" s="156"/>
      <c r="E1645" s="156" t="s">
        <v>1616</v>
      </c>
      <c r="F1645" s="156" t="s">
        <v>890</v>
      </c>
      <c r="G1645" s="154" t="e">
        <v>#VALUE!</v>
      </c>
    </row>
    <row r="1646" spans="1:7" ht="21.6" customHeight="1">
      <c r="A1646" s="154" t="s">
        <v>1312</v>
      </c>
      <c r="B1646" s="154" t="str" cm="1">
        <f t="array" ref="B1646">_xlfn.XLOOKUP(TRUE, ISNUMBER(SEARCH(工作表5!$A$1:$A$23, C1646)), 工作表5!$B$1:$B$23, "其他")</f>
        <v>顯像組</v>
      </c>
      <c r="C1646" s="145" t="s">
        <v>703</v>
      </c>
      <c r="D1646" s="156"/>
      <c r="E1646" s="156" t="s">
        <v>1617</v>
      </c>
      <c r="F1646" s="156" t="s">
        <v>893</v>
      </c>
      <c r="G1646" s="154">
        <v>180000</v>
      </c>
    </row>
    <row r="1647" spans="1:7" ht="21.6" customHeight="1">
      <c r="A1647" s="154" t="s">
        <v>1312</v>
      </c>
      <c r="B1647" s="154" t="str" cm="1">
        <f t="array" ref="B1647">_xlfn.XLOOKUP(TRUE, ISNUMBER(SEARCH(工作表5!$A$1:$A$23, C1647)), 工作表5!$B$1:$B$23, "其他")</f>
        <v>顯像組</v>
      </c>
      <c r="C1647" s="144" t="s">
        <v>706</v>
      </c>
      <c r="D1647" s="156"/>
      <c r="E1647" s="156" t="s">
        <v>1618</v>
      </c>
      <c r="F1647" s="156" t="s">
        <v>895</v>
      </c>
      <c r="G1647" s="154">
        <v>180000</v>
      </c>
    </row>
    <row r="1648" spans="1:7" ht="21.6" customHeight="1">
      <c r="A1648" s="154" t="s">
        <v>1312</v>
      </c>
      <c r="B1648" s="154" t="str" cm="1">
        <f t="array" ref="B1648">_xlfn.XLOOKUP(TRUE, ISNUMBER(SEARCH(工作表5!$A$1:$A$23, C1648)), 工作表5!$B$1:$B$23, "其他")</f>
        <v>顯像組</v>
      </c>
      <c r="C1648" s="145" t="s">
        <v>709</v>
      </c>
      <c r="D1648" s="156"/>
      <c r="E1648" s="156" t="s">
        <v>1619</v>
      </c>
      <c r="F1648" s="156" t="s">
        <v>897</v>
      </c>
      <c r="G1648" s="154">
        <v>180000</v>
      </c>
    </row>
    <row r="1649" spans="1:7" ht="21.6" customHeight="1">
      <c r="A1649" s="154" t="s">
        <v>1312</v>
      </c>
      <c r="B1649" s="154" t="str" cm="1">
        <f t="array" ref="B1649">_xlfn.XLOOKUP(TRUE, ISNUMBER(SEARCH(工作表5!$A$1:$A$23, C1649)), 工作表5!$B$1:$B$23, "其他")</f>
        <v>滾筒組</v>
      </c>
      <c r="C1649" s="145" t="s">
        <v>415</v>
      </c>
      <c r="D1649" s="156"/>
      <c r="E1649" s="156" t="s">
        <v>1547</v>
      </c>
      <c r="F1649" s="156" t="s">
        <v>711</v>
      </c>
      <c r="G1649" s="154" t="e">
        <v>#VALUE!</v>
      </c>
    </row>
    <row r="1650" spans="1:7" ht="21.6" customHeight="1">
      <c r="A1650" s="154" t="s">
        <v>1312</v>
      </c>
      <c r="B1650" s="154" t="str" cm="1">
        <f t="array" ref="B1650">_xlfn.XLOOKUP(TRUE, ISNUMBER(SEARCH(工作表5!$A$1:$A$23, C1650)), 工作表5!$B$1:$B$23, "其他")</f>
        <v>滾筒組</v>
      </c>
      <c r="C1650" s="144" t="s">
        <v>597</v>
      </c>
      <c r="D1650" s="156"/>
      <c r="E1650" s="156" t="s">
        <v>1620</v>
      </c>
      <c r="F1650" s="156" t="s">
        <v>900</v>
      </c>
      <c r="G1650" s="154">
        <v>180000</v>
      </c>
    </row>
    <row r="1651" spans="1:7" ht="21.6" customHeight="1">
      <c r="A1651" s="154" t="s">
        <v>1312</v>
      </c>
      <c r="B1651" s="154" t="str" cm="1">
        <f t="array" ref="B1651">_xlfn.XLOOKUP(TRUE, ISNUMBER(SEARCH(工作表5!$A$1:$A$23, C1651)), 工作表5!$B$1:$B$23, "其他")</f>
        <v>滾筒組</v>
      </c>
      <c r="C1651" s="144" t="s">
        <v>901</v>
      </c>
      <c r="D1651" s="156"/>
      <c r="E1651" s="156" t="s">
        <v>1598</v>
      </c>
      <c r="F1651" s="156" t="s">
        <v>846</v>
      </c>
      <c r="G1651" s="154">
        <v>90000</v>
      </c>
    </row>
    <row r="1652" spans="1:7" ht="21.6" customHeight="1">
      <c r="A1652" s="154" t="s">
        <v>1312</v>
      </c>
      <c r="B1652" s="154" t="str" cm="1">
        <f t="array" ref="B1652">_xlfn.XLOOKUP(TRUE, ISNUMBER(SEARCH(工作表5!$A$1:$A$23, C1652)), 工作表5!$B$1:$B$23, "其他")</f>
        <v>顯像組</v>
      </c>
      <c r="C1652" s="145" t="s">
        <v>600</v>
      </c>
      <c r="D1652" s="156"/>
      <c r="E1652" s="156" t="s">
        <v>1508</v>
      </c>
      <c r="F1652" s="156" t="s">
        <v>599</v>
      </c>
      <c r="G1652" s="154" t="e">
        <v>#VALUE!</v>
      </c>
    </row>
    <row r="1653" spans="1:7" ht="21.6" customHeight="1">
      <c r="A1653" s="154" t="s">
        <v>1312</v>
      </c>
      <c r="B1653" s="154" t="str" cm="1">
        <f t="array" ref="B1653">_xlfn.XLOOKUP(TRUE, ISNUMBER(SEARCH(工作表5!$A$1:$A$23, C1653)), 工作表5!$B$1:$B$23, "其他")</f>
        <v>顯像組</v>
      </c>
      <c r="C1653" s="144" t="s">
        <v>1822</v>
      </c>
      <c r="D1653" s="156"/>
      <c r="E1653" s="156" t="s">
        <v>1509</v>
      </c>
      <c r="F1653" s="156" t="s">
        <v>602</v>
      </c>
      <c r="G1653" s="154" t="e">
        <v>#VALUE!</v>
      </c>
    </row>
    <row r="1654" spans="1:7" ht="21.6" customHeight="1">
      <c r="A1654" s="154" t="s">
        <v>1312</v>
      </c>
      <c r="B1654" s="154" t="str" cm="1">
        <f t="array" ref="B1654">_xlfn.XLOOKUP(TRUE, ISNUMBER(SEARCH(工作表5!$A$1:$A$23, C1654)), 工作表5!$B$1:$B$23, "其他")</f>
        <v>滾筒組</v>
      </c>
      <c r="C1654" s="144" t="s">
        <v>1823</v>
      </c>
      <c r="D1654" s="156"/>
      <c r="E1654" s="156" t="s">
        <v>1621</v>
      </c>
      <c r="F1654" s="156" t="s">
        <v>903</v>
      </c>
      <c r="G1654" s="154" t="e">
        <v>#VALUE!</v>
      </c>
    </row>
    <row r="1655" spans="1:7" ht="21.6" customHeight="1">
      <c r="A1655" s="154" t="s">
        <v>1312</v>
      </c>
      <c r="B1655" s="154" t="str" cm="1">
        <f t="array" ref="B1655">_xlfn.XLOOKUP(TRUE, ISNUMBER(SEARCH(工作表5!$A$1:$A$23, C1655)), 工作表5!$B$1:$B$23, "其他")</f>
        <v>滾筒組</v>
      </c>
      <c r="C1655" s="144" t="s">
        <v>1823</v>
      </c>
      <c r="D1655" s="156"/>
      <c r="E1655" s="156" t="s">
        <v>1622</v>
      </c>
      <c r="F1655" s="156" t="s">
        <v>906</v>
      </c>
      <c r="G1655" s="154" t="e">
        <v>#VALUE!</v>
      </c>
    </row>
    <row r="1656" spans="1:7" ht="21.6" customHeight="1">
      <c r="A1656" s="154" t="s">
        <v>1312</v>
      </c>
      <c r="B1656" s="154" t="str" cm="1">
        <f t="array" ref="B1656">_xlfn.XLOOKUP(TRUE, ISNUMBER(SEARCH(工作表5!$A$1:$A$23, C1656)), 工作表5!$B$1:$B$23, "其他")</f>
        <v>轉寫組</v>
      </c>
      <c r="C1656" s="145" t="s">
        <v>533</v>
      </c>
      <c r="D1656" s="156"/>
      <c r="E1656" s="156" t="s">
        <v>1511</v>
      </c>
      <c r="F1656" s="156" t="s">
        <v>606</v>
      </c>
      <c r="G1656" s="154">
        <v>180000</v>
      </c>
    </row>
    <row r="1657" spans="1:7" ht="21.6" customHeight="1">
      <c r="A1657" s="154" t="s">
        <v>1312</v>
      </c>
      <c r="B1657" s="154" t="str" cm="1">
        <f t="array" ref="B1657">_xlfn.XLOOKUP(TRUE, ISNUMBER(SEARCH(工作表5!$A$1:$A$23, C1657)), 工作表5!$B$1:$B$23, "其他")</f>
        <v>轉寫組</v>
      </c>
      <c r="C1657" s="145" t="s">
        <v>1812</v>
      </c>
      <c r="D1657" s="156"/>
      <c r="E1657" s="156" t="s">
        <v>1512</v>
      </c>
      <c r="F1657" s="156" t="s">
        <v>608</v>
      </c>
      <c r="G1657" s="154">
        <v>180000</v>
      </c>
    </row>
    <row r="1658" spans="1:7" ht="21.6" customHeight="1">
      <c r="A1658" s="154" t="s">
        <v>1312</v>
      </c>
      <c r="B1658" s="154" t="str" cm="1">
        <f t="array" ref="B1658">_xlfn.XLOOKUP(TRUE, ISNUMBER(SEARCH(工作表5!$A$1:$A$23, C1658)), 工作表5!$B$1:$B$23, "其他")</f>
        <v>轉寫組</v>
      </c>
      <c r="C1658" s="145" t="s">
        <v>1824</v>
      </c>
      <c r="D1658" s="156"/>
      <c r="E1658" s="156" t="s">
        <v>1513</v>
      </c>
      <c r="F1658" s="156" t="s">
        <v>610</v>
      </c>
      <c r="G1658" s="154">
        <v>180000</v>
      </c>
    </row>
    <row r="1659" spans="1:7" ht="21.6" customHeight="1">
      <c r="A1659" s="154" t="s">
        <v>1312</v>
      </c>
      <c r="B1659" s="154" t="str" cm="1">
        <f t="array" ref="B1659">_xlfn.XLOOKUP(TRUE, ISNUMBER(SEARCH(工作表5!$A$1:$A$23, C1659)), 工作表5!$B$1:$B$23, "其他")</f>
        <v>轉寫組</v>
      </c>
      <c r="C1659" s="145" t="s">
        <v>1825</v>
      </c>
      <c r="D1659" s="156"/>
      <c r="E1659" s="156" t="s">
        <v>1514</v>
      </c>
      <c r="F1659" s="156" t="s">
        <v>612</v>
      </c>
      <c r="G1659" s="154">
        <v>180000</v>
      </c>
    </row>
    <row r="1660" spans="1:7" ht="21.6" customHeight="1">
      <c r="A1660" s="154" t="s">
        <v>1312</v>
      </c>
      <c r="B1660" s="154" t="str" cm="1">
        <f t="array" ref="B1660">_xlfn.XLOOKUP(TRUE, ISNUMBER(SEARCH(工作表5!$A$1:$A$23, C1660)), 工作表5!$B$1:$B$23, "其他")</f>
        <v>轉寫組</v>
      </c>
      <c r="C1660" s="145" t="s">
        <v>1826</v>
      </c>
      <c r="D1660" s="156"/>
      <c r="E1660" s="156" t="s">
        <v>1515</v>
      </c>
      <c r="F1660" s="156" t="s">
        <v>614</v>
      </c>
      <c r="G1660" s="154">
        <v>180000</v>
      </c>
    </row>
    <row r="1661" spans="1:7" ht="21.6" customHeight="1">
      <c r="A1661" s="154" t="s">
        <v>1312</v>
      </c>
      <c r="B1661" s="154" t="str" cm="1">
        <f t="array" ref="B1661">_xlfn.XLOOKUP(TRUE, ISNUMBER(SEARCH(工作表5!$A$1:$A$23, C1661)), 工作表5!$B$1:$B$23, "其他")</f>
        <v>其他</v>
      </c>
      <c r="C1661" s="144" t="s">
        <v>101</v>
      </c>
      <c r="D1661" s="156"/>
      <c r="E1661" s="156" t="s">
        <v>1551</v>
      </c>
      <c r="F1661" s="156" t="s">
        <v>720</v>
      </c>
      <c r="G1661" s="154">
        <v>540000</v>
      </c>
    </row>
    <row r="1662" spans="1:7" ht="21.6" customHeight="1">
      <c r="A1662" s="154" t="s">
        <v>1312</v>
      </c>
      <c r="B1662" s="154" t="str" cm="1">
        <f t="array" ref="B1662">_xlfn.XLOOKUP(TRUE, ISNUMBER(SEARCH(工作表5!$A$1:$A$23, C1662)), 工作表5!$B$1:$B$23, "其他")</f>
        <v>定著組</v>
      </c>
      <c r="C1662" s="145" t="s">
        <v>1809</v>
      </c>
      <c r="D1662" s="156"/>
      <c r="E1662" s="156" t="s">
        <v>1623</v>
      </c>
      <c r="F1662" s="156" t="s">
        <v>909</v>
      </c>
      <c r="G1662" s="154">
        <v>240000</v>
      </c>
    </row>
    <row r="1663" spans="1:7" ht="21.6" customHeight="1">
      <c r="A1663" s="154" t="s">
        <v>1312</v>
      </c>
      <c r="B1663" s="154" t="str" cm="1">
        <f t="array" ref="B1663">_xlfn.XLOOKUP(TRUE, ISNUMBER(SEARCH(工作表5!$A$1:$A$23, C1663)), 工作表5!$B$1:$B$23, "其他")</f>
        <v>定著組</v>
      </c>
      <c r="C1663" s="145" t="s">
        <v>87</v>
      </c>
      <c r="D1663" s="156"/>
      <c r="E1663" s="156" t="s">
        <v>1624</v>
      </c>
      <c r="F1663" s="156" t="s">
        <v>912</v>
      </c>
      <c r="G1663" s="154">
        <v>240000</v>
      </c>
    </row>
    <row r="1664" spans="1:7" ht="21.6" customHeight="1">
      <c r="A1664" s="154" t="s">
        <v>1312</v>
      </c>
      <c r="B1664" s="154" t="str" cm="1">
        <f t="array" ref="B1664">_xlfn.XLOOKUP(TRUE, ISNUMBER(SEARCH(工作表5!$A$1:$A$23, C1664)), 工作表5!$B$1:$B$23, "其他")</f>
        <v>定著組</v>
      </c>
      <c r="C1664" s="144" t="s">
        <v>1827</v>
      </c>
      <c r="D1664" s="156"/>
      <c r="E1664" s="156" t="s">
        <v>1519</v>
      </c>
      <c r="F1664" s="156" t="s">
        <v>623</v>
      </c>
      <c r="G1664" s="154">
        <v>240000</v>
      </c>
    </row>
    <row r="1665" spans="1:7" ht="21.6" customHeight="1">
      <c r="A1665" s="154" t="s">
        <v>1312</v>
      </c>
      <c r="B1665" s="154" t="str" cm="1">
        <f t="array" ref="B1665">_xlfn.XLOOKUP(TRUE, ISNUMBER(SEARCH(工作表5!$A$1:$A$23, C1665)), 工作表5!$B$1:$B$23, "其他")</f>
        <v>定著組</v>
      </c>
      <c r="C1665" s="144" t="s">
        <v>1828</v>
      </c>
      <c r="D1665" s="156"/>
      <c r="E1665" s="156" t="s">
        <v>1601</v>
      </c>
      <c r="F1665" s="156" t="s">
        <v>853</v>
      </c>
      <c r="G1665" s="154">
        <v>240000</v>
      </c>
    </row>
    <row r="1666" spans="1:7" ht="21.6" customHeight="1">
      <c r="A1666" s="154" t="s">
        <v>1312</v>
      </c>
      <c r="B1666" s="154" t="str" cm="1">
        <f t="array" ref="B1666">_xlfn.XLOOKUP(TRUE, ISNUMBER(SEARCH(工作表5!$A$1:$A$23, C1666)), 工作表5!$B$1:$B$23, "其他")</f>
        <v>定著組</v>
      </c>
      <c r="C1666" s="145" t="s">
        <v>628</v>
      </c>
      <c r="D1666" s="156"/>
      <c r="E1666" s="156" t="s">
        <v>1521</v>
      </c>
      <c r="F1666" s="156" t="s">
        <v>627</v>
      </c>
      <c r="G1666" s="154">
        <v>240000</v>
      </c>
    </row>
    <row r="1667" spans="1:7" ht="21.6" customHeight="1">
      <c r="A1667" s="154" t="s">
        <v>1312</v>
      </c>
      <c r="B1667" s="154" t="str" cm="1">
        <f t="array" ref="B1667">_xlfn.XLOOKUP(TRUE, ISNUMBER(SEARCH(工作表5!$A$1:$A$23, C1667)), 工作表5!$B$1:$B$23, "其他")</f>
        <v>手送台</v>
      </c>
      <c r="C1667" s="144" t="s">
        <v>631</v>
      </c>
      <c r="D1667" s="156"/>
      <c r="E1667" s="156" t="s">
        <v>1392</v>
      </c>
      <c r="F1667" s="156" t="s">
        <v>274</v>
      </c>
      <c r="G1667" s="154">
        <v>80000</v>
      </c>
    </row>
    <row r="1668" spans="1:7" ht="21.6" customHeight="1">
      <c r="A1668" s="154" t="s">
        <v>1312</v>
      </c>
      <c r="B1668" s="154" t="str" cm="1">
        <f t="array" ref="B1668">_xlfn.XLOOKUP(TRUE, ISNUMBER(SEARCH(工作表5!$A$1:$A$23, C1668)), 工作表5!$B$1:$B$23, "其他")</f>
        <v>手送台</v>
      </c>
      <c r="C1668" s="144" t="s">
        <v>115</v>
      </c>
      <c r="D1668" s="156"/>
      <c r="E1668" s="156" t="s">
        <v>1393</v>
      </c>
      <c r="F1668" s="156" t="s">
        <v>277</v>
      </c>
      <c r="G1668" s="154">
        <v>80000</v>
      </c>
    </row>
    <row r="1669" spans="1:7" ht="21.6" customHeight="1">
      <c r="A1669" s="154" t="s">
        <v>1312</v>
      </c>
      <c r="B1669" s="154" t="str" cm="1">
        <f t="array" ref="B1669">_xlfn.XLOOKUP(TRUE, ISNUMBER(SEARCH(工作表5!$A$1:$A$23, C1669)), 工作表5!$B$1:$B$23, "其他")</f>
        <v>取紙組</v>
      </c>
      <c r="C1669" s="144" t="s">
        <v>1841</v>
      </c>
      <c r="D1669" s="156"/>
      <c r="E1669" s="156" t="s">
        <v>1389</v>
      </c>
      <c r="F1669" s="156" t="s">
        <v>265</v>
      </c>
      <c r="G1669" s="154">
        <v>80000</v>
      </c>
    </row>
    <row r="1670" spans="1:7" ht="21.6" customHeight="1">
      <c r="A1670" s="154" t="s">
        <v>1312</v>
      </c>
      <c r="B1670" s="154" t="str" cm="1">
        <f t="array" ref="B1670">_xlfn.XLOOKUP(TRUE, ISNUMBER(SEARCH(工作表5!$A$1:$A$23, C1670)), 工作表5!$B$1:$B$23, "其他")</f>
        <v>取紙組</v>
      </c>
      <c r="C1670" s="144" t="s">
        <v>797</v>
      </c>
      <c r="D1670" s="156"/>
      <c r="E1670" s="156" t="s">
        <v>1390</v>
      </c>
      <c r="F1670" s="156" t="s">
        <v>269</v>
      </c>
      <c r="G1670" s="154">
        <v>80000</v>
      </c>
    </row>
    <row r="1671" spans="1:7" ht="21.6" customHeight="1">
      <c r="A1671" s="154" t="s">
        <v>1312</v>
      </c>
      <c r="B1671" s="154" t="str" cm="1">
        <f t="array" ref="B1671">_xlfn.XLOOKUP(TRUE, ISNUMBER(SEARCH(工作表5!$A$1:$A$23, C1671)), 工作表5!$B$1:$B$23, "其他")</f>
        <v>取紙組</v>
      </c>
      <c r="C1671" s="144" t="s">
        <v>1842</v>
      </c>
      <c r="D1671" s="156"/>
      <c r="E1671" s="156" t="s">
        <v>1391</v>
      </c>
      <c r="F1671" s="156" t="s">
        <v>272</v>
      </c>
      <c r="G1671" s="154">
        <v>80000</v>
      </c>
    </row>
    <row r="1672" spans="1:7" ht="21.6" customHeight="1">
      <c r="A1672" s="154" t="s">
        <v>1312</v>
      </c>
      <c r="B1672" s="154" t="str" cm="1">
        <f t="array" ref="B1672">_xlfn.XLOOKUP(TRUE, ISNUMBER(SEARCH(工作表5!$A$1:$A$23, C1672)), 工作表5!$B$1:$B$23, "其他")</f>
        <v>送稿機</v>
      </c>
      <c r="C1672" s="144" t="s">
        <v>1781</v>
      </c>
      <c r="D1672" s="156"/>
      <c r="E1672" s="156" t="s">
        <v>1375</v>
      </c>
      <c r="F1672" s="156" t="s">
        <v>226</v>
      </c>
      <c r="G1672" s="154">
        <v>120000</v>
      </c>
    </row>
    <row r="1673" spans="1:7" ht="21.6" customHeight="1">
      <c r="A1673" s="154" t="s">
        <v>1312</v>
      </c>
      <c r="B1673" s="154" t="str" cm="1">
        <f t="array" ref="B1673">_xlfn.XLOOKUP(TRUE, ISNUMBER(SEARCH(工作表5!$A$1:$A$23, C1673)), 工作表5!$B$1:$B$23, "其他")</f>
        <v>送稿機</v>
      </c>
      <c r="C1673" s="144" t="s">
        <v>278</v>
      </c>
      <c r="D1673" s="156"/>
      <c r="E1673" s="156" t="s">
        <v>1376</v>
      </c>
      <c r="F1673" s="156" t="s">
        <v>230</v>
      </c>
      <c r="G1673" s="154">
        <v>120000</v>
      </c>
    </row>
    <row r="1674" spans="1:7" ht="21.6" customHeight="1">
      <c r="A1674" s="154" t="s">
        <v>1312</v>
      </c>
      <c r="B1674" s="154" t="str" cm="1">
        <f t="array" ref="B1674">_xlfn.XLOOKUP(TRUE, ISNUMBER(SEARCH(工作表5!$A$1:$A$23, C1674)), 工作表5!$B$1:$B$23, "其他")</f>
        <v>送稿機</v>
      </c>
      <c r="C1674" s="144" t="s">
        <v>1782</v>
      </c>
      <c r="D1674" s="156"/>
      <c r="E1674" s="156" t="s">
        <v>1394</v>
      </c>
      <c r="F1674" s="156" t="s">
        <v>281</v>
      </c>
      <c r="G1674" s="154">
        <v>120000</v>
      </c>
    </row>
    <row r="1675" spans="1:7" ht="21.6" customHeight="1">
      <c r="A1675" s="154" t="s">
        <v>1312</v>
      </c>
      <c r="B1675" s="154" t="str" cm="1">
        <f t="array" ref="B1675">_xlfn.XLOOKUP(TRUE, ISNUMBER(SEARCH(工作表5!$A$1:$A$23, C1675)), 工作表5!$B$1:$B$23, "其他")</f>
        <v>送稿機</v>
      </c>
      <c r="C1675" s="144" t="s">
        <v>285</v>
      </c>
      <c r="D1675" s="156"/>
      <c r="E1675" s="156" t="s">
        <v>1395</v>
      </c>
      <c r="F1675" s="156" t="s">
        <v>226</v>
      </c>
      <c r="G1675" s="154">
        <v>120000</v>
      </c>
    </row>
    <row r="1676" spans="1:7" ht="21.6" customHeight="1">
      <c r="A1676" s="154" t="s">
        <v>1312</v>
      </c>
      <c r="B1676" s="154" t="str" cm="1">
        <f t="array" ref="B1676">_xlfn.XLOOKUP(TRUE, ISNUMBER(SEARCH(工作表5!$A$1:$A$23, C1676)), 工作表5!$B$1:$B$23, "其他")</f>
        <v>送稿機</v>
      </c>
      <c r="C1676" s="144" t="s">
        <v>282</v>
      </c>
      <c r="D1676" s="156"/>
      <c r="E1676" s="156" t="s">
        <v>1396</v>
      </c>
      <c r="F1676" s="156" t="s">
        <v>288</v>
      </c>
      <c r="G1676" s="154">
        <v>120000</v>
      </c>
    </row>
    <row r="1677" spans="1:7" ht="21.6" customHeight="1">
      <c r="A1677" s="154" t="s">
        <v>1312</v>
      </c>
      <c r="B1677" s="154" t="str" cm="1">
        <f t="array" ref="B1677">_xlfn.XLOOKUP(TRUE, ISNUMBER(SEARCH(工作表5!$A$1:$A$23, C1677)), 工作表5!$B$1:$B$23, "其他")</f>
        <v>取紙組</v>
      </c>
      <c r="C1677" s="144" t="s">
        <v>1843</v>
      </c>
      <c r="D1677" s="156"/>
      <c r="E1677" s="156" t="s">
        <v>1377</v>
      </c>
      <c r="F1677" s="156" t="s">
        <v>232</v>
      </c>
      <c r="G1677" s="154">
        <v>160000</v>
      </c>
    </row>
    <row r="1678" spans="1:7" ht="21.6" customHeight="1">
      <c r="A1678" s="154" t="s">
        <v>1312</v>
      </c>
      <c r="B1678" s="154" t="str" cm="1">
        <f t="array" ref="B1678">_xlfn.XLOOKUP(TRUE, ISNUMBER(SEARCH(工作表5!$A$1:$A$23, C1678)), 工作表5!$B$1:$B$23, "其他")</f>
        <v>大容量取紙組</v>
      </c>
      <c r="C1678" s="144" t="s">
        <v>237</v>
      </c>
      <c r="D1678" s="156"/>
      <c r="E1678" s="156" t="s">
        <v>1378</v>
      </c>
      <c r="F1678" s="156" t="s">
        <v>236</v>
      </c>
      <c r="G1678" s="154">
        <v>160000</v>
      </c>
    </row>
    <row r="1679" spans="1:7" ht="21.6" customHeight="1">
      <c r="A1679" s="154" t="s">
        <v>1312</v>
      </c>
      <c r="B1679" s="154" t="str" cm="1">
        <f t="array" ref="B1679">_xlfn.XLOOKUP(TRUE, ISNUMBER(SEARCH(工作表5!$A$1:$A$23, C1679)), 工作表5!$B$1:$B$23, "其他")</f>
        <v>取紙組</v>
      </c>
      <c r="C1679" s="144" t="s">
        <v>798</v>
      </c>
      <c r="D1679" s="156"/>
      <c r="E1679" s="156" t="s">
        <v>1379</v>
      </c>
      <c r="F1679" s="156" t="s">
        <v>239</v>
      </c>
      <c r="G1679" s="154">
        <v>160000</v>
      </c>
    </row>
    <row r="1680" spans="1:7" ht="21.6" customHeight="1">
      <c r="A1680" s="154" t="s">
        <v>1312</v>
      </c>
      <c r="B1680" s="154" t="str" cm="1">
        <f t="array" ref="B1680">_xlfn.XLOOKUP(TRUE, ISNUMBER(SEARCH(工作表5!$A$1:$A$23, C1680)), 工作表5!$B$1:$B$23, "其他")</f>
        <v>顯像組</v>
      </c>
      <c r="C1680" s="144" t="s">
        <v>637</v>
      </c>
      <c r="D1680" s="156"/>
      <c r="E1680" s="156" t="s">
        <v>1625</v>
      </c>
      <c r="F1680" s="156" t="s">
        <v>914</v>
      </c>
      <c r="G1680" s="154">
        <v>180000</v>
      </c>
    </row>
    <row r="1681" spans="1:7" ht="21.6" customHeight="1">
      <c r="A1681" s="154" t="s">
        <v>1312</v>
      </c>
      <c r="B1681" s="154" t="str" cm="1">
        <f t="array" ref="B1681">_xlfn.XLOOKUP(TRUE, ISNUMBER(SEARCH(工作表5!$A$1:$A$23, C1681)), 工作表5!$B$1:$B$23, "其他")</f>
        <v>顯像組</v>
      </c>
      <c r="C1681" s="144" t="s">
        <v>755</v>
      </c>
      <c r="D1681" s="156"/>
      <c r="E1681" s="156" t="s">
        <v>1626</v>
      </c>
      <c r="F1681" s="156" t="s">
        <v>916</v>
      </c>
      <c r="G1681" s="154">
        <v>90000</v>
      </c>
    </row>
    <row r="1682" spans="1:7" ht="21.6" customHeight="1">
      <c r="A1682" s="154" t="s">
        <v>1312</v>
      </c>
      <c r="B1682" s="154" t="str" cm="1">
        <f t="array" ref="B1682">_xlfn.XLOOKUP(TRUE, ISNUMBER(SEARCH(工作表5!$A$1:$A$23, C1682)), 工作表5!$B$1:$B$23, "其他")</f>
        <v>取紙組</v>
      </c>
      <c r="C1682" s="144" t="s">
        <v>799</v>
      </c>
      <c r="D1682" s="156"/>
      <c r="E1682" s="156" t="s">
        <v>1399</v>
      </c>
      <c r="F1682" s="156" t="s">
        <v>296</v>
      </c>
      <c r="G1682" s="154">
        <v>80000</v>
      </c>
    </row>
    <row r="1683" spans="1:7" ht="21.6" customHeight="1">
      <c r="A1683" s="154" t="s">
        <v>1312</v>
      </c>
      <c r="B1683" s="154" t="str" cm="1">
        <f t="array" ref="B1683">_xlfn.XLOOKUP(TRUE, ISNUMBER(SEARCH(工作表5!$A$1:$A$23, C1683)), 工作表5!$B$1:$B$23, "其他")</f>
        <v>送稿機</v>
      </c>
      <c r="C1683" s="144" t="s">
        <v>300</v>
      </c>
      <c r="D1683" s="156"/>
      <c r="E1683" s="156" t="s">
        <v>1400</v>
      </c>
      <c r="F1683" s="156" t="s">
        <v>299</v>
      </c>
      <c r="G1683" s="154">
        <v>120000</v>
      </c>
    </row>
    <row r="1684" spans="1:7" ht="21.6" customHeight="1">
      <c r="A1684" s="154" t="s">
        <v>1312</v>
      </c>
      <c r="B1684" s="154" t="str" cm="1">
        <f t="array" ref="B1684">_xlfn.XLOOKUP(TRUE, ISNUMBER(SEARCH(工作表5!$A$1:$A$23, C1684)), 工作表5!$B$1:$B$23, "其他")</f>
        <v>送稿機</v>
      </c>
      <c r="C1684" s="144" t="s">
        <v>303</v>
      </c>
      <c r="D1684" s="156"/>
      <c r="E1684" s="156" t="s">
        <v>1401</v>
      </c>
      <c r="F1684" s="156" t="s">
        <v>302</v>
      </c>
      <c r="G1684" s="154">
        <v>120000</v>
      </c>
    </row>
    <row r="1685" spans="1:7" ht="21.6" customHeight="1">
      <c r="A1685" s="154" t="s">
        <v>1312</v>
      </c>
      <c r="B1685" s="154" t="str" cm="1">
        <f t="array" ref="B1685">_xlfn.XLOOKUP(TRUE, ISNUMBER(SEARCH(工作表5!$A$1:$A$23, C1685)), 工作表5!$B$1:$B$23, "其他")</f>
        <v>其他</v>
      </c>
      <c r="C1685" s="144" t="s">
        <v>760</v>
      </c>
      <c r="D1685" s="156"/>
      <c r="E1685" s="156" t="s">
        <v>1384</v>
      </c>
      <c r="F1685" s="156" t="s">
        <v>252</v>
      </c>
      <c r="G1685" s="154">
        <v>160000</v>
      </c>
    </row>
    <row r="1686" spans="1:7" ht="21.6" customHeight="1">
      <c r="A1686" s="154" t="s">
        <v>1312</v>
      </c>
      <c r="B1686" s="154" t="str" cm="1">
        <f t="array" ref="B1686">_xlfn.XLOOKUP(TRUE, ISNUMBER(SEARCH(工作表5!$A$1:$A$23, C1686)), 工作表5!$B$1:$B$23, "其他")</f>
        <v>定著組</v>
      </c>
      <c r="C1686" s="144" t="s">
        <v>642</v>
      </c>
      <c r="D1686" s="156"/>
      <c r="E1686" s="156" t="s">
        <v>1627</v>
      </c>
      <c r="F1686" s="156" t="s">
        <v>918</v>
      </c>
      <c r="G1686" s="154">
        <v>240000</v>
      </c>
    </row>
    <row r="1687" spans="1:7" ht="21.6" customHeight="1">
      <c r="A1687" s="154" t="s">
        <v>1312</v>
      </c>
      <c r="B1687" s="154" t="str" cm="1">
        <f t="array" ref="B1687">_xlfn.XLOOKUP(TRUE, ISNUMBER(SEARCH(工作表5!$A$1:$A$23, C1687)), 工作表5!$B$1:$B$23, "其他")</f>
        <v>轉寫組</v>
      </c>
      <c r="C1687" s="144" t="s">
        <v>645</v>
      </c>
      <c r="D1687" s="156"/>
      <c r="E1687" s="156" t="s">
        <v>1525</v>
      </c>
      <c r="F1687" s="156" t="s">
        <v>644</v>
      </c>
      <c r="G1687" s="154">
        <v>180000</v>
      </c>
    </row>
    <row r="1688" spans="1:7" ht="21.6" customHeight="1">
      <c r="A1688" s="154" t="s">
        <v>1312</v>
      </c>
      <c r="B1688" s="154" t="str" cm="1">
        <f t="array" ref="B1688">_xlfn.XLOOKUP(TRUE, ISNUMBER(SEARCH(工作表5!$A$1:$A$23, C1688)), 工作表5!$B$1:$B$23, "其他")</f>
        <v>定著組</v>
      </c>
      <c r="C1688" s="145" t="s">
        <v>585</v>
      </c>
      <c r="D1688" s="156"/>
      <c r="E1688" s="156" t="s">
        <v>1628</v>
      </c>
      <c r="F1688" s="156" t="s">
        <v>920</v>
      </c>
      <c r="G1688" s="154" t="e">
        <v>#VALUE!</v>
      </c>
    </row>
    <row r="1689" spans="1:7" ht="21.6" customHeight="1">
      <c r="A1689" s="154" t="s">
        <v>1312</v>
      </c>
      <c r="B1689" s="154" t="str" cm="1">
        <f t="array" ref="B1689">_xlfn.XLOOKUP(TRUE, ISNUMBER(SEARCH(工作表5!$A$1:$A$23, C1689)), 工作表5!$B$1:$B$23, "其他")</f>
        <v>定著組</v>
      </c>
      <c r="C1689" s="145" t="s">
        <v>585</v>
      </c>
      <c r="D1689" s="156"/>
      <c r="E1689" s="156" t="s">
        <v>1629</v>
      </c>
      <c r="F1689" s="156" t="s">
        <v>922</v>
      </c>
      <c r="G1689" s="154" t="e">
        <v>#VALUE!</v>
      </c>
    </row>
    <row r="1690" spans="1:7" ht="21.6" customHeight="1">
      <c r="A1690" s="154" t="s">
        <v>1312</v>
      </c>
      <c r="B1690" s="154" t="str" cm="1">
        <f t="array" ref="B1690">_xlfn.XLOOKUP(TRUE, ISNUMBER(SEARCH(工作表5!$A$1:$A$23, C1690)), 工作表5!$B$1:$B$23, "其他")</f>
        <v>顯像組</v>
      </c>
      <c r="C1690" s="145" t="s">
        <v>129</v>
      </c>
      <c r="D1690" s="156"/>
      <c r="E1690" s="156" t="s">
        <v>1630</v>
      </c>
      <c r="F1690" s="156" t="s">
        <v>924</v>
      </c>
      <c r="G1690" s="154" t="e">
        <v>#VALUE!</v>
      </c>
    </row>
    <row r="1691" spans="1:7" ht="21.6" customHeight="1">
      <c r="A1691" s="154" t="s">
        <v>1312</v>
      </c>
      <c r="B1691" s="154" t="str" cm="1">
        <f t="array" ref="B1691">_xlfn.XLOOKUP(TRUE, ISNUMBER(SEARCH(工作表5!$A$1:$A$23, C1691)), 工作表5!$B$1:$B$23, "其他")</f>
        <v>顯像組</v>
      </c>
      <c r="C1691" s="145" t="s">
        <v>772</v>
      </c>
      <c r="D1691" s="156"/>
      <c r="E1691" s="156" t="s">
        <v>1631</v>
      </c>
      <c r="F1691" s="156" t="s">
        <v>927</v>
      </c>
      <c r="G1691" s="154" t="e">
        <v>#VALUE!</v>
      </c>
    </row>
    <row r="1692" spans="1:7" ht="21.6" customHeight="1">
      <c r="A1692" s="154" t="s">
        <v>1312</v>
      </c>
      <c r="B1692" s="154" t="str" cm="1">
        <f t="array" ref="B1692">_xlfn.XLOOKUP(TRUE, ISNUMBER(SEARCH(工作表5!$A$1:$A$23, C1692)), 工作表5!$B$1:$B$23, "其他")</f>
        <v>顯像組</v>
      </c>
      <c r="C1692" s="145" t="s">
        <v>775</v>
      </c>
      <c r="D1692" s="156"/>
      <c r="E1692" s="156" t="s">
        <v>1632</v>
      </c>
      <c r="F1692" s="156" t="s">
        <v>929</v>
      </c>
      <c r="G1692" s="154" t="e">
        <v>#VALUE!</v>
      </c>
    </row>
    <row r="1693" spans="1:7" ht="21.6" customHeight="1">
      <c r="A1693" s="154" t="s">
        <v>1312</v>
      </c>
      <c r="B1693" s="154" t="str" cm="1">
        <f t="array" ref="B1693">_xlfn.XLOOKUP(TRUE, ISNUMBER(SEARCH(工作表5!$A$1:$A$23, C1693)), 工作表5!$B$1:$B$23, "其他")</f>
        <v>顯像組</v>
      </c>
      <c r="C1693" s="145" t="s">
        <v>778</v>
      </c>
      <c r="D1693" s="156"/>
      <c r="E1693" s="156" t="s">
        <v>1633</v>
      </c>
      <c r="F1693" s="156" t="s">
        <v>931</v>
      </c>
      <c r="G1693" s="154" t="e">
        <v>#VALUE!</v>
      </c>
    </row>
    <row r="1694" spans="1:7" ht="21.6" customHeight="1">
      <c r="A1694" s="154" t="s">
        <v>1312</v>
      </c>
      <c r="B1694" s="154" t="str" cm="1">
        <f t="array" ref="B1694">_xlfn.XLOOKUP(TRUE, ISNUMBER(SEARCH(工作表5!$A$1:$A$23, C1694)), 工作表5!$B$1:$B$23, "其他")</f>
        <v>顯像組</v>
      </c>
      <c r="C1694" s="145" t="s">
        <v>129</v>
      </c>
      <c r="D1694" s="156"/>
      <c r="E1694" s="156" t="s">
        <v>1634</v>
      </c>
      <c r="F1694" s="156" t="s">
        <v>933</v>
      </c>
      <c r="G1694" s="154" t="e">
        <v>#VALUE!</v>
      </c>
    </row>
    <row r="1695" spans="1:7" ht="21.6" customHeight="1">
      <c r="A1695" s="154" t="s">
        <v>1312</v>
      </c>
      <c r="B1695" s="154" t="str" cm="1">
        <f t="array" ref="B1695">_xlfn.XLOOKUP(TRUE, ISNUMBER(SEARCH(工作表5!$A$1:$A$23, C1695)), 工作表5!$B$1:$B$23, "其他")</f>
        <v>顯像組</v>
      </c>
      <c r="C1695" s="145" t="s">
        <v>772</v>
      </c>
      <c r="D1695" s="156"/>
      <c r="E1695" s="156" t="s">
        <v>1635</v>
      </c>
      <c r="F1695" s="156" t="s">
        <v>936</v>
      </c>
      <c r="G1695" s="154" t="e">
        <v>#VALUE!</v>
      </c>
    </row>
    <row r="1696" spans="1:7" ht="21.6" customHeight="1">
      <c r="A1696" s="154" t="s">
        <v>1312</v>
      </c>
      <c r="B1696" s="154" t="str" cm="1">
        <f t="array" ref="B1696">_xlfn.XLOOKUP(TRUE, ISNUMBER(SEARCH(工作表5!$A$1:$A$23, C1696)), 工作表5!$B$1:$B$23, "其他")</f>
        <v>顯像組</v>
      </c>
      <c r="C1696" s="145" t="s">
        <v>775</v>
      </c>
      <c r="D1696" s="156"/>
      <c r="E1696" s="156" t="s">
        <v>1636</v>
      </c>
      <c r="F1696" s="156" t="s">
        <v>938</v>
      </c>
      <c r="G1696" s="154" t="e">
        <v>#VALUE!</v>
      </c>
    </row>
    <row r="1697" spans="1:7" ht="21.6" customHeight="1">
      <c r="A1697" s="154" t="s">
        <v>1312</v>
      </c>
      <c r="B1697" s="154" t="str" cm="1">
        <f t="array" ref="B1697">_xlfn.XLOOKUP(TRUE, ISNUMBER(SEARCH(工作表5!$A$1:$A$23, C1697)), 工作表5!$B$1:$B$23, "其他")</f>
        <v>顯像組</v>
      </c>
      <c r="C1697" s="145" t="s">
        <v>778</v>
      </c>
      <c r="D1697" s="156"/>
      <c r="E1697" s="156" t="s">
        <v>1637</v>
      </c>
      <c r="F1697" s="156" t="s">
        <v>940</v>
      </c>
      <c r="G1697" s="154" t="e">
        <v>#VALUE!</v>
      </c>
    </row>
    <row r="1698" spans="1:7" ht="21.6" customHeight="1">
      <c r="A1698" s="154" t="s">
        <v>1312</v>
      </c>
      <c r="B1698" s="154" t="str" cm="1">
        <f t="array" ref="B1698">_xlfn.XLOOKUP(TRUE, ISNUMBER(SEARCH(工作表5!$A$1:$A$23, C1698)), 工作表5!$B$1:$B$23, "其他")</f>
        <v>轉寫組</v>
      </c>
      <c r="C1698" s="144" t="s">
        <v>1821</v>
      </c>
      <c r="D1698" s="156"/>
      <c r="E1698" s="156" t="s">
        <v>1528</v>
      </c>
      <c r="F1698" s="156" t="s">
        <v>651</v>
      </c>
      <c r="G1698" s="154" t="e">
        <v>#VALUE!</v>
      </c>
    </row>
    <row r="1699" spans="1:7" ht="21.6" customHeight="1">
      <c r="A1699" s="154" t="s">
        <v>1312</v>
      </c>
      <c r="B1699" s="154" t="str" cm="1">
        <f t="array" ref="B1699">_xlfn.XLOOKUP(TRUE, ISNUMBER(SEARCH(工作表5!$A$1:$A$23, C1699)), 工作表5!$B$1:$B$23, "其他")</f>
        <v>轉寫組</v>
      </c>
      <c r="C1699" s="150" t="s">
        <v>1805</v>
      </c>
      <c r="D1699" s="156"/>
      <c r="E1699" s="156" t="s">
        <v>1638</v>
      </c>
      <c r="F1699" s="156" t="s">
        <v>942</v>
      </c>
      <c r="G1699" s="154" t="e">
        <v>#VALUE!</v>
      </c>
    </row>
    <row r="1700" spans="1:7" ht="21.6" customHeight="1">
      <c r="A1700" s="154" t="s">
        <v>44</v>
      </c>
      <c r="B1700" s="154" t="str" cm="1">
        <f t="array" ref="B1700">_xlfn.XLOOKUP(TRUE, ISNUMBER(SEARCH(工作表5!$A$1:$A$23, C1700)), 工作表5!$B$1:$B$23, "其他")</f>
        <v>滾筒組</v>
      </c>
      <c r="C1700" s="143" t="s">
        <v>589</v>
      </c>
      <c r="D1700" s="156"/>
      <c r="E1700" s="156" t="s">
        <v>1504</v>
      </c>
      <c r="F1700" s="156" t="s">
        <v>588</v>
      </c>
      <c r="G1700" s="154">
        <v>180000</v>
      </c>
    </row>
    <row r="1701" spans="1:7" ht="21.6" customHeight="1">
      <c r="A1701" s="154" t="s">
        <v>44</v>
      </c>
      <c r="B1701" s="154" t="str" cm="1">
        <f t="array" ref="B1701">_xlfn.XLOOKUP(TRUE, ISNUMBER(SEARCH(工作表5!$A$1:$A$23, C1701)), 工作表5!$B$1:$B$23, "其他")</f>
        <v>滾筒組</v>
      </c>
      <c r="C1701" s="150" t="s">
        <v>887</v>
      </c>
      <c r="D1701" s="156"/>
      <c r="E1701" s="156" t="s">
        <v>1595</v>
      </c>
      <c r="F1701" s="156" t="s">
        <v>841</v>
      </c>
      <c r="G1701" s="154">
        <v>90000</v>
      </c>
    </row>
    <row r="1702" spans="1:7" ht="21.6" customHeight="1">
      <c r="A1702" s="154" t="s">
        <v>44</v>
      </c>
      <c r="B1702" s="154" t="str" cm="1">
        <f t="array" ref="B1702">_xlfn.XLOOKUP(TRUE, ISNUMBER(SEARCH(工作表5!$A$1:$A$23, C1702)), 工作表5!$B$1:$B$23, "其他")</f>
        <v>顯像組</v>
      </c>
      <c r="C1702" s="145" t="s">
        <v>502</v>
      </c>
      <c r="D1702" s="156"/>
      <c r="E1702" s="156" t="s">
        <v>1505</v>
      </c>
      <c r="F1702" s="156" t="s">
        <v>592</v>
      </c>
      <c r="G1702" s="154" t="e">
        <v>#VALUE!</v>
      </c>
    </row>
    <row r="1703" spans="1:7" ht="21.6" customHeight="1">
      <c r="A1703" s="154" t="s">
        <v>44</v>
      </c>
      <c r="B1703" s="154" t="str" cm="1">
        <f t="array" ref="B1703">_xlfn.XLOOKUP(TRUE, ISNUMBER(SEARCH(工作表5!$A$1:$A$23, C1703)), 工作表5!$B$1:$B$23, "其他")</f>
        <v>顯像組</v>
      </c>
      <c r="C1703" s="145" t="s">
        <v>703</v>
      </c>
      <c r="D1703" s="156"/>
      <c r="E1703" s="156" t="s">
        <v>1639</v>
      </c>
      <c r="F1703" s="156" t="s">
        <v>944</v>
      </c>
      <c r="G1703" s="154">
        <v>180000</v>
      </c>
    </row>
    <row r="1704" spans="1:7" ht="21.6" customHeight="1">
      <c r="A1704" s="154" t="s">
        <v>44</v>
      </c>
      <c r="B1704" s="154" t="str" cm="1">
        <f t="array" ref="B1704">_xlfn.XLOOKUP(TRUE, ISNUMBER(SEARCH(工作表5!$A$1:$A$23, C1704)), 工作表5!$B$1:$B$23, "其他")</f>
        <v>顯像組</v>
      </c>
      <c r="C1704" s="144" t="s">
        <v>706</v>
      </c>
      <c r="D1704" s="156"/>
      <c r="E1704" s="156" t="s">
        <v>1640</v>
      </c>
      <c r="F1704" s="156" t="s">
        <v>946</v>
      </c>
      <c r="G1704" s="154">
        <v>180000</v>
      </c>
    </row>
    <row r="1705" spans="1:7" ht="21.6" customHeight="1">
      <c r="A1705" s="154" t="s">
        <v>44</v>
      </c>
      <c r="B1705" s="154" t="str" cm="1">
        <f t="array" ref="B1705">_xlfn.XLOOKUP(TRUE, ISNUMBER(SEARCH(工作表5!$A$1:$A$23, C1705)), 工作表5!$B$1:$B$23, "其他")</f>
        <v>顯像組</v>
      </c>
      <c r="C1705" s="145" t="s">
        <v>709</v>
      </c>
      <c r="D1705" s="156"/>
      <c r="E1705" s="156" t="s">
        <v>1641</v>
      </c>
      <c r="F1705" s="156" t="s">
        <v>948</v>
      </c>
      <c r="G1705" s="154">
        <v>180000</v>
      </c>
    </row>
    <row r="1706" spans="1:7" ht="21.6" customHeight="1">
      <c r="A1706" s="154" t="s">
        <v>44</v>
      </c>
      <c r="B1706" s="154" t="str" cm="1">
        <f t="array" ref="B1706">_xlfn.XLOOKUP(TRUE, ISNUMBER(SEARCH(工作表5!$A$1:$A$23, C1706)), 工作表5!$B$1:$B$23, "其他")</f>
        <v>滾筒組</v>
      </c>
      <c r="C1706" s="145" t="s">
        <v>415</v>
      </c>
      <c r="D1706" s="156"/>
      <c r="E1706" s="156" t="s">
        <v>1506</v>
      </c>
      <c r="F1706" s="156" t="s">
        <v>594</v>
      </c>
      <c r="G1706" s="154" t="e">
        <v>#VALUE!</v>
      </c>
    </row>
    <row r="1707" spans="1:7" ht="21.6" customHeight="1">
      <c r="A1707" s="154" t="s">
        <v>44</v>
      </c>
      <c r="B1707" s="154" t="str" cm="1">
        <f t="array" ref="B1707">_xlfn.XLOOKUP(TRUE, ISNUMBER(SEARCH(工作表5!$A$1:$A$23, C1707)), 工作表5!$B$1:$B$23, "其他")</f>
        <v>滾筒組</v>
      </c>
      <c r="C1707" s="144" t="s">
        <v>597</v>
      </c>
      <c r="D1707" s="156"/>
      <c r="E1707" s="156" t="s">
        <v>1507</v>
      </c>
      <c r="F1707" s="156" t="s">
        <v>596</v>
      </c>
      <c r="G1707" s="154">
        <v>180000</v>
      </c>
    </row>
    <row r="1708" spans="1:7" ht="21.6" customHeight="1">
      <c r="A1708" s="154" t="s">
        <v>44</v>
      </c>
      <c r="B1708" s="154" t="str" cm="1">
        <f t="array" ref="B1708">_xlfn.XLOOKUP(TRUE, ISNUMBER(SEARCH(工作表5!$A$1:$A$23, C1708)), 工作表5!$B$1:$B$23, "其他")</f>
        <v>滾筒組</v>
      </c>
      <c r="C1708" s="144" t="s">
        <v>901</v>
      </c>
      <c r="D1708" s="156"/>
      <c r="E1708" s="156" t="s">
        <v>1642</v>
      </c>
      <c r="F1708" s="156" t="s">
        <v>950</v>
      </c>
      <c r="G1708" s="154">
        <v>90000</v>
      </c>
    </row>
    <row r="1709" spans="1:7" ht="21.6" customHeight="1">
      <c r="A1709" s="154" t="s">
        <v>44</v>
      </c>
      <c r="B1709" s="154" t="str" cm="1">
        <f t="array" ref="B1709">_xlfn.XLOOKUP(TRUE, ISNUMBER(SEARCH(工作表5!$A$1:$A$23, C1709)), 工作表5!$B$1:$B$23, "其他")</f>
        <v>顯像組</v>
      </c>
      <c r="C1709" s="145" t="s">
        <v>600</v>
      </c>
      <c r="D1709" s="156"/>
      <c r="E1709" s="156" t="s">
        <v>1508</v>
      </c>
      <c r="F1709" s="156" t="s">
        <v>599</v>
      </c>
      <c r="G1709" s="154" t="e">
        <v>#VALUE!</v>
      </c>
    </row>
    <row r="1710" spans="1:7" ht="21.6" customHeight="1">
      <c r="A1710" s="154" t="s">
        <v>44</v>
      </c>
      <c r="B1710" s="154" t="str" cm="1">
        <f t="array" ref="B1710">_xlfn.XLOOKUP(TRUE, ISNUMBER(SEARCH(工作表5!$A$1:$A$23, C1710)), 工作表5!$B$1:$B$23, "其他")</f>
        <v>顯像組</v>
      </c>
      <c r="C1710" s="144" t="s">
        <v>1822</v>
      </c>
      <c r="D1710" s="156"/>
      <c r="E1710" s="156" t="s">
        <v>1509</v>
      </c>
      <c r="F1710" s="156" t="s">
        <v>602</v>
      </c>
      <c r="G1710" s="154" t="e">
        <v>#VALUE!</v>
      </c>
    </row>
    <row r="1711" spans="1:7" ht="21.6" customHeight="1">
      <c r="A1711" s="154" t="s">
        <v>44</v>
      </c>
      <c r="B1711" s="154" t="str" cm="1">
        <f t="array" ref="B1711">_xlfn.XLOOKUP(TRUE, ISNUMBER(SEARCH(工作表5!$A$1:$A$23, C1711)), 工作表5!$B$1:$B$23, "其他")</f>
        <v>滾筒組</v>
      </c>
      <c r="C1711" s="144" t="s">
        <v>1823</v>
      </c>
      <c r="D1711" s="156"/>
      <c r="E1711" s="156" t="s">
        <v>1510</v>
      </c>
      <c r="F1711" s="156" t="s">
        <v>604</v>
      </c>
      <c r="G1711" s="154" t="e">
        <v>#VALUE!</v>
      </c>
    </row>
    <row r="1712" spans="1:7" ht="21.6" customHeight="1">
      <c r="A1712" s="154" t="s">
        <v>44</v>
      </c>
      <c r="B1712" s="154" t="str" cm="1">
        <f t="array" ref="B1712">_xlfn.XLOOKUP(TRUE, ISNUMBER(SEARCH(工作表5!$A$1:$A$23, C1712)), 工作表5!$B$1:$B$23, "其他")</f>
        <v>轉寫組</v>
      </c>
      <c r="C1712" s="145" t="s">
        <v>533</v>
      </c>
      <c r="D1712" s="156"/>
      <c r="E1712" s="156" t="s">
        <v>1511</v>
      </c>
      <c r="F1712" s="156" t="s">
        <v>606</v>
      </c>
      <c r="G1712" s="154">
        <v>180000</v>
      </c>
    </row>
    <row r="1713" spans="1:7" ht="21.6" customHeight="1">
      <c r="A1713" s="154" t="s">
        <v>44</v>
      </c>
      <c r="B1713" s="154" t="str" cm="1">
        <f t="array" ref="B1713">_xlfn.XLOOKUP(TRUE, ISNUMBER(SEARCH(工作表5!$A$1:$A$23, C1713)), 工作表5!$B$1:$B$23, "其他")</f>
        <v>轉寫組</v>
      </c>
      <c r="C1713" s="145" t="s">
        <v>1812</v>
      </c>
      <c r="D1713" s="156"/>
      <c r="E1713" s="156" t="s">
        <v>1512</v>
      </c>
      <c r="F1713" s="156" t="s">
        <v>608</v>
      </c>
      <c r="G1713" s="154">
        <v>180000</v>
      </c>
    </row>
    <row r="1714" spans="1:7" ht="21.6" customHeight="1">
      <c r="A1714" s="154" t="s">
        <v>44</v>
      </c>
      <c r="B1714" s="154" t="str" cm="1">
        <f t="array" ref="B1714">_xlfn.XLOOKUP(TRUE, ISNUMBER(SEARCH(工作表5!$A$1:$A$23, C1714)), 工作表5!$B$1:$B$23, "其他")</f>
        <v>轉寫組</v>
      </c>
      <c r="C1714" s="145" t="s">
        <v>1824</v>
      </c>
      <c r="D1714" s="156"/>
      <c r="E1714" s="156" t="s">
        <v>1513</v>
      </c>
      <c r="F1714" s="156" t="s">
        <v>610</v>
      </c>
      <c r="G1714" s="154">
        <v>180000</v>
      </c>
    </row>
    <row r="1715" spans="1:7" ht="21.6" customHeight="1">
      <c r="A1715" s="154" t="s">
        <v>44</v>
      </c>
      <c r="B1715" s="154" t="str" cm="1">
        <f t="array" ref="B1715">_xlfn.XLOOKUP(TRUE, ISNUMBER(SEARCH(工作表5!$A$1:$A$23, C1715)), 工作表5!$B$1:$B$23, "其他")</f>
        <v>轉寫組</v>
      </c>
      <c r="C1715" s="145" t="s">
        <v>1825</v>
      </c>
      <c r="D1715" s="156"/>
      <c r="E1715" s="156" t="s">
        <v>1514</v>
      </c>
      <c r="F1715" s="156" t="s">
        <v>612</v>
      </c>
      <c r="G1715" s="154">
        <v>180000</v>
      </c>
    </row>
    <row r="1716" spans="1:7" ht="21.6" customHeight="1">
      <c r="A1716" s="154" t="s">
        <v>44</v>
      </c>
      <c r="B1716" s="154" t="str" cm="1">
        <f t="array" ref="B1716">_xlfn.XLOOKUP(TRUE, ISNUMBER(SEARCH(工作表5!$A$1:$A$23, C1716)), 工作表5!$B$1:$B$23, "其他")</f>
        <v>轉寫組</v>
      </c>
      <c r="C1716" s="145" t="s">
        <v>1826</v>
      </c>
      <c r="D1716" s="156"/>
      <c r="E1716" s="156" t="s">
        <v>1515</v>
      </c>
      <c r="F1716" s="156" t="s">
        <v>614</v>
      </c>
      <c r="G1716" s="154">
        <v>180000</v>
      </c>
    </row>
    <row r="1717" spans="1:7" ht="21.6" customHeight="1">
      <c r="A1717" s="154" t="s">
        <v>44</v>
      </c>
      <c r="B1717" s="154" t="str" cm="1">
        <f t="array" ref="B1717">_xlfn.XLOOKUP(TRUE, ISNUMBER(SEARCH(工作表5!$A$1:$A$23, C1717)), 工作表5!$B$1:$B$23, "其他")</f>
        <v>其他</v>
      </c>
      <c r="C1717" s="144" t="s">
        <v>101</v>
      </c>
      <c r="D1717" s="156"/>
      <c r="E1717" s="156" t="s">
        <v>1516</v>
      </c>
      <c r="F1717" s="156" t="s">
        <v>616</v>
      </c>
      <c r="G1717" s="154">
        <v>540000</v>
      </c>
    </row>
    <row r="1718" spans="1:7" ht="21.6" customHeight="1">
      <c r="A1718" s="154" t="s">
        <v>44</v>
      </c>
      <c r="B1718" s="154" t="str" cm="1">
        <f t="array" ref="B1718">_xlfn.XLOOKUP(TRUE, ISNUMBER(SEARCH(工作表5!$A$1:$A$23, C1718)), 工作表5!$B$1:$B$23, "其他")</f>
        <v>定著組</v>
      </c>
      <c r="C1718" s="145" t="s">
        <v>1809</v>
      </c>
      <c r="D1718" s="156"/>
      <c r="E1718" s="156" t="s">
        <v>1643</v>
      </c>
      <c r="F1718" s="156" t="s">
        <v>952</v>
      </c>
      <c r="G1718" s="154">
        <v>240000</v>
      </c>
    </row>
    <row r="1719" spans="1:7" ht="21.6" customHeight="1">
      <c r="A1719" s="154" t="s">
        <v>44</v>
      </c>
      <c r="B1719" s="154" t="str" cm="1">
        <f t="array" ref="B1719">_xlfn.XLOOKUP(TRUE, ISNUMBER(SEARCH(工作表5!$A$1:$A$23, C1719)), 工作表5!$B$1:$B$23, "其他")</f>
        <v>定著組</v>
      </c>
      <c r="C1719" s="145" t="s">
        <v>87</v>
      </c>
      <c r="D1719" s="156"/>
      <c r="E1719" s="156" t="s">
        <v>1518</v>
      </c>
      <c r="F1719" s="156" t="s">
        <v>621</v>
      </c>
      <c r="G1719" s="154">
        <v>240000</v>
      </c>
    </row>
    <row r="1720" spans="1:7" ht="21.6" customHeight="1">
      <c r="A1720" s="154" t="s">
        <v>44</v>
      </c>
      <c r="B1720" s="154" t="str" cm="1">
        <f t="array" ref="B1720">_xlfn.XLOOKUP(TRUE, ISNUMBER(SEARCH(工作表5!$A$1:$A$23, C1720)), 工作表5!$B$1:$B$23, "其他")</f>
        <v>定著組</v>
      </c>
      <c r="C1720" s="145" t="s">
        <v>628</v>
      </c>
      <c r="D1720" s="156"/>
      <c r="E1720" s="156" t="s">
        <v>1521</v>
      </c>
      <c r="F1720" s="156" t="s">
        <v>627</v>
      </c>
      <c r="G1720" s="154">
        <v>240000</v>
      </c>
    </row>
    <row r="1721" spans="1:7" ht="21.6" customHeight="1">
      <c r="A1721" s="154" t="s">
        <v>44</v>
      </c>
      <c r="B1721" s="154" t="str" cm="1">
        <f t="array" ref="B1721">_xlfn.XLOOKUP(TRUE, ISNUMBER(SEARCH(工作表5!$A$1:$A$23, C1721)), 工作表5!$B$1:$B$23, "其他")</f>
        <v>手送台</v>
      </c>
      <c r="C1721" s="144" t="s">
        <v>631</v>
      </c>
      <c r="D1721" s="156"/>
      <c r="E1721" s="156" t="s">
        <v>1522</v>
      </c>
      <c r="F1721" s="156" t="s">
        <v>630</v>
      </c>
      <c r="G1721" s="154">
        <v>120000</v>
      </c>
    </row>
    <row r="1722" spans="1:7" ht="21.6" customHeight="1">
      <c r="A1722" s="154" t="s">
        <v>44</v>
      </c>
      <c r="B1722" s="154" t="str" cm="1">
        <f t="array" ref="B1722">_xlfn.XLOOKUP(TRUE, ISNUMBER(SEARCH(工作表5!$A$1:$A$23, C1722)), 工作表5!$B$1:$B$23, "其他")</f>
        <v>手送台</v>
      </c>
      <c r="C1722" s="144" t="s">
        <v>115</v>
      </c>
      <c r="D1722" s="156"/>
      <c r="E1722" s="156" t="s">
        <v>1409</v>
      </c>
      <c r="F1722" s="156" t="s">
        <v>330</v>
      </c>
      <c r="G1722" s="154">
        <v>120000</v>
      </c>
    </row>
    <row r="1723" spans="1:7" ht="21.6" customHeight="1">
      <c r="A1723" s="154" t="s">
        <v>44</v>
      </c>
      <c r="B1723" s="154" t="str" cm="1">
        <f t="array" ref="B1723">_xlfn.XLOOKUP(TRUE, ISNUMBER(SEARCH(工作表5!$A$1:$A$23, C1723)), 工作表5!$B$1:$B$23, "其他")</f>
        <v>取紙組</v>
      </c>
      <c r="C1723" s="144" t="s">
        <v>1829</v>
      </c>
      <c r="D1723" s="156"/>
      <c r="E1723" s="156" t="s">
        <v>1389</v>
      </c>
      <c r="F1723" s="156" t="s">
        <v>265</v>
      </c>
      <c r="G1723" s="154">
        <v>80000</v>
      </c>
    </row>
    <row r="1724" spans="1:7" ht="21.6" customHeight="1">
      <c r="A1724" s="154" t="s">
        <v>44</v>
      </c>
      <c r="B1724" s="154" t="str" cm="1">
        <f t="array" ref="B1724">_xlfn.XLOOKUP(TRUE, ISNUMBER(SEARCH(工作表5!$A$1:$A$23, C1724)), 工作表5!$B$1:$B$23, "其他")</f>
        <v>取紙組</v>
      </c>
      <c r="C1724" s="144" t="s">
        <v>633</v>
      </c>
      <c r="D1724" s="156"/>
      <c r="E1724" s="156" t="s">
        <v>1390</v>
      </c>
      <c r="F1724" s="156" t="s">
        <v>269</v>
      </c>
      <c r="G1724" s="154">
        <v>80000</v>
      </c>
    </row>
    <row r="1725" spans="1:7" ht="21.6" customHeight="1">
      <c r="A1725" s="154" t="s">
        <v>44</v>
      </c>
      <c r="B1725" s="154" t="str" cm="1">
        <f t="array" ref="B1725">_xlfn.XLOOKUP(TRUE, ISNUMBER(SEARCH(工作表5!$A$1:$A$23, C1725)), 工作表5!$B$1:$B$23, "其他")</f>
        <v>取紙組</v>
      </c>
      <c r="C1725" s="144" t="s">
        <v>1830</v>
      </c>
      <c r="D1725" s="156"/>
      <c r="E1725" s="156" t="s">
        <v>1391</v>
      </c>
      <c r="F1725" s="156" t="s">
        <v>272</v>
      </c>
      <c r="G1725" s="154">
        <v>80000</v>
      </c>
    </row>
    <row r="1726" spans="1:7" ht="21.6" customHeight="1">
      <c r="A1726" s="154" t="s">
        <v>44</v>
      </c>
      <c r="B1726" s="154" t="str" cm="1">
        <f t="array" ref="B1726">_xlfn.XLOOKUP(TRUE, ISNUMBER(SEARCH(工作表5!$A$1:$A$23, C1726)), 工作表5!$B$1:$B$23, "其他")</f>
        <v>送稿機</v>
      </c>
      <c r="C1726" s="144" t="s">
        <v>1781</v>
      </c>
      <c r="D1726" s="156"/>
      <c r="E1726" s="156" t="s">
        <v>1375</v>
      </c>
      <c r="F1726" s="156" t="s">
        <v>226</v>
      </c>
      <c r="G1726" s="154">
        <v>120000</v>
      </c>
    </row>
    <row r="1727" spans="1:7" ht="21.6" customHeight="1">
      <c r="A1727" s="154" t="s">
        <v>44</v>
      </c>
      <c r="B1727" s="154" t="str" cm="1">
        <f t="array" ref="B1727">_xlfn.XLOOKUP(TRUE, ISNUMBER(SEARCH(工作表5!$A$1:$A$23, C1727)), 工作表5!$B$1:$B$23, "其他")</f>
        <v>送稿機</v>
      </c>
      <c r="C1727" s="144" t="s">
        <v>278</v>
      </c>
      <c r="D1727" s="156"/>
      <c r="E1727" s="156" t="s">
        <v>1376</v>
      </c>
      <c r="F1727" s="156" t="s">
        <v>230</v>
      </c>
      <c r="G1727" s="154">
        <v>120000</v>
      </c>
    </row>
    <row r="1728" spans="1:7" ht="21.6" customHeight="1">
      <c r="A1728" s="154" t="s">
        <v>44</v>
      </c>
      <c r="B1728" s="154" t="str" cm="1">
        <f t="array" ref="B1728">_xlfn.XLOOKUP(TRUE, ISNUMBER(SEARCH(工作表5!$A$1:$A$23, C1728)), 工作表5!$B$1:$B$23, "其他")</f>
        <v>送稿機</v>
      </c>
      <c r="C1728" s="144" t="s">
        <v>1782</v>
      </c>
      <c r="D1728" s="156"/>
      <c r="E1728" s="156" t="s">
        <v>1407</v>
      </c>
      <c r="F1728" s="156" t="s">
        <v>324</v>
      </c>
      <c r="G1728" s="154">
        <v>120000</v>
      </c>
    </row>
    <row r="1729" spans="1:7" ht="21.6" customHeight="1">
      <c r="A1729" s="154" t="s">
        <v>44</v>
      </c>
      <c r="B1729" s="154" t="str" cm="1">
        <f t="array" ref="B1729">_xlfn.XLOOKUP(TRUE, ISNUMBER(SEARCH(工作表5!$A$1:$A$23, C1729)), 工作表5!$B$1:$B$23, "其他")</f>
        <v>送稿機</v>
      </c>
      <c r="C1729" s="144" t="s">
        <v>285</v>
      </c>
      <c r="D1729" s="156"/>
      <c r="E1729" s="156" t="s">
        <v>1395</v>
      </c>
      <c r="F1729" s="156" t="s">
        <v>226</v>
      </c>
      <c r="G1729" s="154">
        <v>120000</v>
      </c>
    </row>
    <row r="1730" spans="1:7" ht="21.6" customHeight="1">
      <c r="A1730" s="154" t="s">
        <v>44</v>
      </c>
      <c r="B1730" s="154" t="str" cm="1">
        <f t="array" ref="B1730">_xlfn.XLOOKUP(TRUE, ISNUMBER(SEARCH(工作表5!$A$1:$A$23, C1730)), 工作表5!$B$1:$B$23, "其他")</f>
        <v>送稿機</v>
      </c>
      <c r="C1730" s="144" t="s">
        <v>282</v>
      </c>
      <c r="D1730" s="156"/>
      <c r="E1730" s="156" t="s">
        <v>1396</v>
      </c>
      <c r="F1730" s="156" t="s">
        <v>288</v>
      </c>
      <c r="G1730" s="154">
        <v>120000</v>
      </c>
    </row>
    <row r="1731" spans="1:7" ht="21.6" customHeight="1">
      <c r="A1731" s="154" t="s">
        <v>44</v>
      </c>
      <c r="B1731" s="154" t="str" cm="1">
        <f t="array" ref="B1731">_xlfn.XLOOKUP(TRUE, ISNUMBER(SEARCH(工作表5!$A$1:$A$23, C1731)), 工作表5!$B$1:$B$23, "其他")</f>
        <v>大容量取紙組</v>
      </c>
      <c r="C1731" s="144" t="s">
        <v>237</v>
      </c>
      <c r="D1731" s="156"/>
      <c r="E1731" s="156" t="s">
        <v>1408</v>
      </c>
      <c r="F1731" s="156" t="s">
        <v>327</v>
      </c>
      <c r="G1731" s="154">
        <v>320000</v>
      </c>
    </row>
    <row r="1732" spans="1:7" ht="21.6" customHeight="1">
      <c r="A1732" s="154" t="s">
        <v>44</v>
      </c>
      <c r="B1732" s="154" t="str" cm="1">
        <f t="array" ref="B1732">_xlfn.XLOOKUP(TRUE, ISNUMBER(SEARCH(工作表5!$A$1:$A$23, C1732)), 工作表5!$B$1:$B$23, "其他")</f>
        <v>取紙組</v>
      </c>
      <c r="C1732" s="144" t="s">
        <v>634</v>
      </c>
      <c r="D1732" s="156"/>
      <c r="E1732" s="156" t="s">
        <v>1409</v>
      </c>
      <c r="F1732" s="156" t="s">
        <v>330</v>
      </c>
      <c r="G1732" s="154">
        <v>320000</v>
      </c>
    </row>
    <row r="1733" spans="1:7" ht="21.6" customHeight="1">
      <c r="A1733" s="154" t="s">
        <v>44</v>
      </c>
      <c r="B1733" s="154" t="str" cm="1">
        <f t="array" ref="B1733">_xlfn.XLOOKUP(TRUE, ISNUMBER(SEARCH(工作表5!$A$1:$A$23, C1733)), 工作表5!$B$1:$B$23, "其他")</f>
        <v>其他</v>
      </c>
      <c r="C1733" s="144" t="s">
        <v>1784</v>
      </c>
      <c r="D1733" s="156"/>
      <c r="E1733" s="156" t="s">
        <v>1410</v>
      </c>
      <c r="F1733" s="156" t="s">
        <v>333</v>
      </c>
      <c r="G1733" s="154">
        <v>500000</v>
      </c>
    </row>
    <row r="1734" spans="1:7" ht="21.6" customHeight="1">
      <c r="A1734" s="154" t="s">
        <v>44</v>
      </c>
      <c r="B1734" s="154" t="str" cm="1">
        <f t="array" ref="B1734">_xlfn.XLOOKUP(TRUE, ISNUMBER(SEARCH(工作表5!$A$1:$A$23, C1734)), 工作表5!$B$1:$B$23, "其他")</f>
        <v>送稿機</v>
      </c>
      <c r="C1734" s="144" t="s">
        <v>337</v>
      </c>
      <c r="D1734" s="156"/>
      <c r="E1734" s="156" t="s">
        <v>1411</v>
      </c>
      <c r="F1734" s="156" t="s">
        <v>336</v>
      </c>
      <c r="G1734" s="154">
        <v>500000</v>
      </c>
    </row>
    <row r="1735" spans="1:7" ht="21.6" customHeight="1">
      <c r="A1735" s="154" t="s">
        <v>44</v>
      </c>
      <c r="B1735" s="154" t="str" cm="1">
        <f t="array" ref="B1735">_xlfn.XLOOKUP(TRUE, ISNUMBER(SEARCH(工作表5!$A$1:$A$23, C1735)), 工作表5!$B$1:$B$23, "其他")</f>
        <v>送稿機</v>
      </c>
      <c r="C1735" s="145" t="s">
        <v>341</v>
      </c>
      <c r="D1735" s="156"/>
      <c r="E1735" s="156" t="s">
        <v>1412</v>
      </c>
      <c r="F1735" s="156" t="s">
        <v>340</v>
      </c>
      <c r="G1735" s="154">
        <v>500000</v>
      </c>
    </row>
    <row r="1736" spans="1:7" ht="21.6" customHeight="1">
      <c r="A1736" s="154" t="s">
        <v>44</v>
      </c>
      <c r="B1736" s="154" t="str" cm="1">
        <f t="array" ref="B1736">_xlfn.XLOOKUP(TRUE, ISNUMBER(SEARCH(工作表5!$A$1:$A$23, C1736)), 工作表5!$B$1:$B$23, "其他")</f>
        <v>顯像組</v>
      </c>
      <c r="C1736" s="144" t="s">
        <v>637</v>
      </c>
      <c r="D1736" s="156"/>
      <c r="E1736" s="156" t="s">
        <v>1523</v>
      </c>
      <c r="F1736" s="156" t="s">
        <v>636</v>
      </c>
      <c r="G1736" s="154">
        <v>180000</v>
      </c>
    </row>
    <row r="1737" spans="1:7" ht="21.6" customHeight="1">
      <c r="A1737" s="154" t="s">
        <v>44</v>
      </c>
      <c r="B1737" s="154" t="str" cm="1">
        <f t="array" ref="B1737">_xlfn.XLOOKUP(TRUE, ISNUMBER(SEARCH(工作表5!$A$1:$A$23, C1737)), 工作表5!$B$1:$B$23, "其他")</f>
        <v>顯像組</v>
      </c>
      <c r="C1737" s="144" t="s">
        <v>755</v>
      </c>
      <c r="D1737" s="156"/>
      <c r="E1737" s="156" t="s">
        <v>1644</v>
      </c>
      <c r="F1737" s="156" t="s">
        <v>955</v>
      </c>
      <c r="G1737" s="154">
        <v>90000</v>
      </c>
    </row>
    <row r="1738" spans="1:7" ht="21.6" customHeight="1">
      <c r="A1738" s="154" t="s">
        <v>44</v>
      </c>
      <c r="B1738" s="154" t="str" cm="1">
        <f t="array" ref="B1738">_xlfn.XLOOKUP(TRUE, ISNUMBER(SEARCH(工作表5!$A$1:$A$23, C1738)), 工作表5!$B$1:$B$23, "其他")</f>
        <v>取紙組</v>
      </c>
      <c r="C1738" s="144" t="s">
        <v>638</v>
      </c>
      <c r="D1738" s="156"/>
      <c r="E1738" s="156" t="s">
        <v>1399</v>
      </c>
      <c r="F1738" s="156" t="s">
        <v>296</v>
      </c>
      <c r="G1738" s="154">
        <v>80000</v>
      </c>
    </row>
    <row r="1739" spans="1:7" ht="21.6" customHeight="1">
      <c r="A1739" s="154" t="s">
        <v>44</v>
      </c>
      <c r="B1739" s="154" t="str" cm="1">
        <f t="array" ref="B1739">_xlfn.XLOOKUP(TRUE, ISNUMBER(SEARCH(工作表5!$A$1:$A$23, C1739)), 工作表5!$B$1:$B$23, "其他")</f>
        <v>送稿機</v>
      </c>
      <c r="C1739" s="144" t="s">
        <v>300</v>
      </c>
      <c r="D1739" s="156"/>
      <c r="E1739" s="156" t="s">
        <v>1400</v>
      </c>
      <c r="F1739" s="156" t="s">
        <v>299</v>
      </c>
      <c r="G1739" s="154">
        <v>120000</v>
      </c>
    </row>
    <row r="1740" spans="1:7" ht="21.6" customHeight="1">
      <c r="A1740" s="154" t="s">
        <v>44</v>
      </c>
      <c r="B1740" s="154" t="str" cm="1">
        <f t="array" ref="B1740">_xlfn.XLOOKUP(TRUE, ISNUMBER(SEARCH(工作表5!$A$1:$A$23, C1740)), 工作表5!$B$1:$B$23, "其他")</f>
        <v>送稿機</v>
      </c>
      <c r="C1740" s="144" t="s">
        <v>303</v>
      </c>
      <c r="D1740" s="156"/>
      <c r="E1740" s="156" t="s">
        <v>1414</v>
      </c>
      <c r="F1740" s="156" t="s">
        <v>346</v>
      </c>
      <c r="G1740" s="154">
        <v>120000</v>
      </c>
    </row>
    <row r="1741" spans="1:7" ht="21.6" customHeight="1">
      <c r="A1741" s="154" t="s">
        <v>44</v>
      </c>
      <c r="B1741" s="154" t="str" cm="1">
        <f t="array" ref="B1741">_xlfn.XLOOKUP(TRUE, ISNUMBER(SEARCH(工作表5!$A$1:$A$23, C1741)), 工作表5!$B$1:$B$23, "其他")</f>
        <v>其他</v>
      </c>
      <c r="C1741" s="144" t="s">
        <v>349</v>
      </c>
      <c r="D1741" s="156"/>
      <c r="E1741" s="156" t="s">
        <v>1415</v>
      </c>
      <c r="F1741" s="156" t="s">
        <v>348</v>
      </c>
      <c r="G1741" s="154">
        <v>500000</v>
      </c>
    </row>
    <row r="1742" spans="1:7" ht="21.6" customHeight="1">
      <c r="A1742" s="154" t="s">
        <v>44</v>
      </c>
      <c r="B1742" s="154" t="str" cm="1">
        <f t="array" ref="B1742">_xlfn.XLOOKUP(TRUE, ISNUMBER(SEARCH(工作表5!$A$1:$A$23, C1742)), 工作表5!$B$1:$B$23, "其他")</f>
        <v>定著組</v>
      </c>
      <c r="C1742" s="144" t="s">
        <v>642</v>
      </c>
      <c r="D1742" s="156"/>
      <c r="E1742" s="156" t="s">
        <v>1645</v>
      </c>
      <c r="F1742" s="156" t="s">
        <v>957</v>
      </c>
      <c r="G1742" s="154">
        <v>240000</v>
      </c>
    </row>
    <row r="1743" spans="1:7" ht="21.6" customHeight="1">
      <c r="A1743" s="154" t="s">
        <v>44</v>
      </c>
      <c r="B1743" s="154" t="str" cm="1">
        <f t="array" ref="B1743">_xlfn.XLOOKUP(TRUE, ISNUMBER(SEARCH(工作表5!$A$1:$A$23, C1743)), 工作表5!$B$1:$B$23, "其他")</f>
        <v>轉寫組</v>
      </c>
      <c r="C1743" s="144" t="s">
        <v>645</v>
      </c>
      <c r="D1743" s="156"/>
      <c r="E1743" s="156" t="s">
        <v>1525</v>
      </c>
      <c r="F1743" s="156" t="s">
        <v>644</v>
      </c>
      <c r="G1743" s="154">
        <v>180000</v>
      </c>
    </row>
    <row r="1744" spans="1:7" ht="21.6" customHeight="1">
      <c r="A1744" s="154" t="s">
        <v>44</v>
      </c>
      <c r="B1744" s="154" t="str" cm="1">
        <f t="array" ref="B1744">_xlfn.XLOOKUP(TRUE, ISNUMBER(SEARCH(工作表5!$A$1:$A$23, C1744)), 工作表5!$B$1:$B$23, "其他")</f>
        <v>定著組</v>
      </c>
      <c r="C1744" s="145" t="s">
        <v>585</v>
      </c>
      <c r="D1744" s="156"/>
      <c r="E1744" s="156" t="s">
        <v>1664</v>
      </c>
      <c r="F1744" s="156" t="s">
        <v>1008</v>
      </c>
      <c r="G1744" s="154" t="e">
        <v>#VALUE!</v>
      </c>
    </row>
    <row r="1745" spans="1:7" ht="21.6" customHeight="1">
      <c r="A1745" s="154" t="s">
        <v>44</v>
      </c>
      <c r="B1745" s="154" t="str" cm="1">
        <f t="array" ref="B1745">_xlfn.XLOOKUP(TRUE, ISNUMBER(SEARCH(工作表5!$A$1:$A$23, C1745)), 工作表5!$B$1:$B$23, "其他")</f>
        <v>定著組</v>
      </c>
      <c r="C1745" s="145" t="s">
        <v>585</v>
      </c>
      <c r="D1745" s="156"/>
      <c r="E1745" s="156" t="s">
        <v>1646</v>
      </c>
      <c r="F1745" s="156" t="s">
        <v>959</v>
      </c>
      <c r="G1745" s="154" t="e">
        <v>#VALUE!</v>
      </c>
    </row>
    <row r="1746" spans="1:7" ht="21.6" customHeight="1">
      <c r="A1746" s="154" t="s">
        <v>44</v>
      </c>
      <c r="B1746" s="154" t="str" cm="1">
        <f t="array" ref="B1746">_xlfn.XLOOKUP(TRUE, ISNUMBER(SEARCH(工作表5!$A$1:$A$23, C1746)), 工作表5!$B$1:$B$23, "其他")</f>
        <v>顯像組</v>
      </c>
      <c r="C1746" s="145" t="s">
        <v>129</v>
      </c>
      <c r="D1746" s="156"/>
      <c r="E1746" s="156" t="s">
        <v>1647</v>
      </c>
      <c r="F1746" s="156" t="s">
        <v>962</v>
      </c>
      <c r="G1746" s="154" t="e">
        <v>#VALUE!</v>
      </c>
    </row>
    <row r="1747" spans="1:7" ht="21.6" customHeight="1">
      <c r="A1747" s="154" t="s">
        <v>44</v>
      </c>
      <c r="B1747" s="154" t="str" cm="1">
        <f t="array" ref="B1747">_xlfn.XLOOKUP(TRUE, ISNUMBER(SEARCH(工作表5!$A$1:$A$23, C1747)), 工作表5!$B$1:$B$23, "其他")</f>
        <v>顯像組</v>
      </c>
      <c r="C1747" s="145" t="s">
        <v>772</v>
      </c>
      <c r="D1747" s="156"/>
      <c r="E1747" s="156" t="s">
        <v>1648</v>
      </c>
      <c r="F1747" s="156" t="s">
        <v>964</v>
      </c>
      <c r="G1747" s="154" t="e">
        <v>#VALUE!</v>
      </c>
    </row>
    <row r="1748" spans="1:7" ht="21.6" customHeight="1">
      <c r="A1748" s="154" t="s">
        <v>44</v>
      </c>
      <c r="B1748" s="154" t="str" cm="1">
        <f t="array" ref="B1748">_xlfn.XLOOKUP(TRUE, ISNUMBER(SEARCH(工作表5!$A$1:$A$23, C1748)), 工作表5!$B$1:$B$23, "其他")</f>
        <v>顯像組</v>
      </c>
      <c r="C1748" s="145" t="s">
        <v>775</v>
      </c>
      <c r="D1748" s="156"/>
      <c r="E1748" s="156" t="s">
        <v>1649</v>
      </c>
      <c r="F1748" s="156" t="s">
        <v>966</v>
      </c>
      <c r="G1748" s="154" t="e">
        <v>#VALUE!</v>
      </c>
    </row>
    <row r="1749" spans="1:7" ht="21.6" customHeight="1">
      <c r="A1749" s="154" t="s">
        <v>44</v>
      </c>
      <c r="B1749" s="154" t="str" cm="1">
        <f t="array" ref="B1749">_xlfn.XLOOKUP(TRUE, ISNUMBER(SEARCH(工作表5!$A$1:$A$23, C1749)), 工作表5!$B$1:$B$23, "其他")</f>
        <v>顯像組</v>
      </c>
      <c r="C1749" s="145" t="s">
        <v>778</v>
      </c>
      <c r="D1749" s="156"/>
      <c r="E1749" s="156" t="s">
        <v>1650</v>
      </c>
      <c r="F1749" s="156" t="s">
        <v>968</v>
      </c>
      <c r="G1749" s="154" t="e">
        <v>#VALUE!</v>
      </c>
    </row>
    <row r="1750" spans="1:7" ht="21.6" customHeight="1">
      <c r="A1750" s="154" t="s">
        <v>44</v>
      </c>
      <c r="B1750" s="154" t="str" cm="1">
        <f t="array" ref="B1750">_xlfn.XLOOKUP(TRUE, ISNUMBER(SEARCH(工作表5!$A$1:$A$23, C1750)), 工作表5!$B$1:$B$23, "其他")</f>
        <v>轉寫組</v>
      </c>
      <c r="C1750" s="144" t="s">
        <v>1821</v>
      </c>
      <c r="D1750" s="156"/>
      <c r="E1750" s="156" t="s">
        <v>1528</v>
      </c>
      <c r="F1750" s="156" t="s">
        <v>651</v>
      </c>
      <c r="G1750" s="154" t="e">
        <v>#VALUE!</v>
      </c>
    </row>
    <row r="1751" spans="1:7" ht="21.6" customHeight="1">
      <c r="A1751" s="154" t="s">
        <v>44</v>
      </c>
      <c r="B1751" s="154" t="str" cm="1">
        <f t="array" ref="B1751">_xlfn.XLOOKUP(TRUE, ISNUMBER(SEARCH(工作表5!$A$1:$A$23, C1751)), 工作表5!$B$1:$B$23, "其他")</f>
        <v>轉寫組</v>
      </c>
      <c r="C1751" s="150" t="s">
        <v>1805</v>
      </c>
      <c r="D1751" s="156"/>
      <c r="E1751" s="156" t="s">
        <v>1651</v>
      </c>
      <c r="F1751" s="156" t="s">
        <v>970</v>
      </c>
      <c r="G1751" s="154" t="e">
        <v>#VALUE!</v>
      </c>
    </row>
    <row r="1752" spans="1:7" ht="21.6" customHeight="1">
      <c r="A1752" s="154" t="s">
        <v>1313</v>
      </c>
      <c r="B1752" s="154" t="str" cm="1">
        <f t="array" ref="B1752">_xlfn.XLOOKUP(TRUE, ISNUMBER(SEARCH(工作表5!$A$1:$A$23, C1752)), 工作表5!$B$1:$B$23, "其他")</f>
        <v>滾筒組</v>
      </c>
      <c r="C1752" s="143" t="s">
        <v>193</v>
      </c>
      <c r="D1752" s="156"/>
      <c r="E1752" s="156" t="s">
        <v>1595</v>
      </c>
      <c r="F1752" s="156" t="s">
        <v>841</v>
      </c>
      <c r="G1752" s="154">
        <v>70000</v>
      </c>
    </row>
    <row r="1753" spans="1:7" ht="21.6" customHeight="1">
      <c r="A1753" s="154" t="s">
        <v>1313</v>
      </c>
      <c r="B1753" s="154" t="str" cm="1">
        <f t="array" ref="B1753">_xlfn.XLOOKUP(TRUE, ISNUMBER(SEARCH(工作表5!$A$1:$A$23, C1753)), 工作表5!$B$1:$B$23, "其他")</f>
        <v>顯像組</v>
      </c>
      <c r="C1753" s="145" t="s">
        <v>502</v>
      </c>
      <c r="D1753" s="156"/>
      <c r="E1753" s="156" t="s">
        <v>1543</v>
      </c>
      <c r="F1753" s="156" t="s">
        <v>700</v>
      </c>
      <c r="G1753" s="154">
        <v>70000</v>
      </c>
    </row>
    <row r="1754" spans="1:7" ht="21.6" customHeight="1">
      <c r="A1754" s="154" t="s">
        <v>1313</v>
      </c>
      <c r="B1754" s="154" t="str" cm="1">
        <f t="array" ref="B1754">_xlfn.XLOOKUP(TRUE, ISNUMBER(SEARCH(工作表5!$A$1:$A$23, C1754)), 工作表5!$B$1:$B$23, "其他")</f>
        <v>顯像組</v>
      </c>
      <c r="C1754" s="145" t="s">
        <v>703</v>
      </c>
      <c r="D1754" s="156"/>
      <c r="E1754" s="156" t="s">
        <v>1544</v>
      </c>
      <c r="F1754" s="156" t="s">
        <v>702</v>
      </c>
      <c r="G1754" s="154">
        <v>70000</v>
      </c>
    </row>
    <row r="1755" spans="1:7" ht="21.6" customHeight="1">
      <c r="A1755" s="154" t="s">
        <v>1313</v>
      </c>
      <c r="B1755" s="154" t="str" cm="1">
        <f t="array" ref="B1755">_xlfn.XLOOKUP(TRUE, ISNUMBER(SEARCH(工作表5!$A$1:$A$23, C1755)), 工作表5!$B$1:$B$23, "其他")</f>
        <v>顯像組</v>
      </c>
      <c r="C1755" s="144" t="s">
        <v>706</v>
      </c>
      <c r="D1755" s="156"/>
      <c r="E1755" s="156" t="s">
        <v>1545</v>
      </c>
      <c r="F1755" s="156" t="s">
        <v>705</v>
      </c>
      <c r="G1755" s="154">
        <v>70000</v>
      </c>
    </row>
    <row r="1756" spans="1:7" ht="21.6" customHeight="1">
      <c r="A1756" s="154" t="s">
        <v>1313</v>
      </c>
      <c r="B1756" s="154" t="str" cm="1">
        <f t="array" ref="B1756">_xlfn.XLOOKUP(TRUE, ISNUMBER(SEARCH(工作表5!$A$1:$A$23, C1756)), 工作表5!$B$1:$B$23, "其他")</f>
        <v>顯像組</v>
      </c>
      <c r="C1756" s="145" t="s">
        <v>709</v>
      </c>
      <c r="D1756" s="156"/>
      <c r="E1756" s="156" t="s">
        <v>1546</v>
      </c>
      <c r="F1756" s="156" t="s">
        <v>708</v>
      </c>
      <c r="G1756" s="154">
        <v>70000</v>
      </c>
    </row>
    <row r="1757" spans="1:7" ht="21.6" customHeight="1">
      <c r="A1757" s="154" t="s">
        <v>1313</v>
      </c>
      <c r="B1757" s="154" t="str" cm="1">
        <f t="array" ref="B1757">_xlfn.XLOOKUP(TRUE, ISNUMBER(SEARCH(工作表5!$A$1:$A$23, C1757)), 工作表5!$B$1:$B$23, "其他")</f>
        <v>滾筒組</v>
      </c>
      <c r="C1757" s="145" t="s">
        <v>415</v>
      </c>
      <c r="D1757" s="156"/>
      <c r="E1757" s="156" t="s">
        <v>1547</v>
      </c>
      <c r="F1757" s="156" t="s">
        <v>711</v>
      </c>
      <c r="G1757" s="154">
        <v>70000</v>
      </c>
    </row>
    <row r="1758" spans="1:7" ht="21.6" customHeight="1">
      <c r="A1758" s="154" t="s">
        <v>1313</v>
      </c>
      <c r="B1758" s="154" t="str" cm="1">
        <f t="array" ref="B1758">_xlfn.XLOOKUP(TRUE, ISNUMBER(SEARCH(工作表5!$A$1:$A$23, C1758)), 工作表5!$B$1:$B$23, "其他")</f>
        <v>轉寫組</v>
      </c>
      <c r="C1758" s="145" t="s">
        <v>533</v>
      </c>
      <c r="D1758" s="156"/>
      <c r="E1758" s="156" t="s">
        <v>1511</v>
      </c>
      <c r="F1758" s="156" t="s">
        <v>606</v>
      </c>
      <c r="G1758" s="154">
        <v>140000</v>
      </c>
    </row>
    <row r="1759" spans="1:7" ht="21.6" customHeight="1">
      <c r="A1759" s="154" t="s">
        <v>1313</v>
      </c>
      <c r="B1759" s="154" t="str" cm="1">
        <f t="array" ref="B1759">_xlfn.XLOOKUP(TRUE, ISNUMBER(SEARCH(工作表5!$A$1:$A$23, C1759)), 工作表5!$B$1:$B$23, "其他")</f>
        <v>轉寫組</v>
      </c>
      <c r="C1759" s="145" t="s">
        <v>1812</v>
      </c>
      <c r="D1759" s="156"/>
      <c r="E1759" s="156" t="s">
        <v>1512</v>
      </c>
      <c r="F1759" s="156" t="s">
        <v>608</v>
      </c>
      <c r="G1759" s="154">
        <v>210000</v>
      </c>
    </row>
    <row r="1760" spans="1:7" ht="21.6" customHeight="1">
      <c r="A1760" s="154" t="s">
        <v>1313</v>
      </c>
      <c r="B1760" s="154" t="str" cm="1">
        <f t="array" ref="B1760">_xlfn.XLOOKUP(TRUE, ISNUMBER(SEARCH(工作表5!$A$1:$A$23, C1760)), 工作表5!$B$1:$B$23, "其他")</f>
        <v>定著組</v>
      </c>
      <c r="C1760" s="145" t="s">
        <v>1809</v>
      </c>
      <c r="D1760" s="156"/>
      <c r="E1760" s="156" t="s">
        <v>1596</v>
      </c>
      <c r="F1760" s="156" t="s">
        <v>1755</v>
      </c>
      <c r="G1760" s="154">
        <v>280000</v>
      </c>
    </row>
    <row r="1761" spans="1:7" ht="21.6" customHeight="1">
      <c r="A1761" s="154" t="s">
        <v>1313</v>
      </c>
      <c r="B1761" s="154" t="str" cm="1">
        <f t="array" ref="B1761">_xlfn.XLOOKUP(TRUE, ISNUMBER(SEARCH(工作表5!$A$1:$A$23, C1761)), 工作表5!$B$1:$B$23, "其他")</f>
        <v>定著組</v>
      </c>
      <c r="C1761" s="145" t="s">
        <v>87</v>
      </c>
      <c r="D1761" s="156"/>
      <c r="E1761" s="156" t="s">
        <v>1597</v>
      </c>
      <c r="F1761" s="156" t="s">
        <v>844</v>
      </c>
      <c r="G1761" s="154">
        <v>280000</v>
      </c>
    </row>
    <row r="1762" spans="1:7" ht="21.6" customHeight="1">
      <c r="A1762" s="154" t="s">
        <v>1313</v>
      </c>
      <c r="B1762" s="154" t="str" cm="1">
        <f t="array" ref="B1762">_xlfn.XLOOKUP(TRUE, ISNUMBER(SEARCH(工作表5!$A$1:$A$23, C1762)), 工作表5!$B$1:$B$23, "其他")</f>
        <v>滾筒組</v>
      </c>
      <c r="C1762" s="144" t="s">
        <v>107</v>
      </c>
      <c r="D1762" s="156"/>
      <c r="E1762" s="156" t="s">
        <v>1598</v>
      </c>
      <c r="F1762" s="156" t="s">
        <v>846</v>
      </c>
      <c r="G1762" s="154">
        <v>70000</v>
      </c>
    </row>
    <row r="1763" spans="1:7" ht="21.6" customHeight="1">
      <c r="A1763" s="154" t="s">
        <v>1313</v>
      </c>
      <c r="B1763" s="154" t="str" cm="1">
        <f t="array" ref="B1763">_xlfn.XLOOKUP(TRUE, ISNUMBER(SEARCH(工作表5!$A$1:$A$23, C1763)), 工作表5!$B$1:$B$23, "其他")</f>
        <v>顯像組</v>
      </c>
      <c r="C1763" s="145" t="s">
        <v>104</v>
      </c>
      <c r="D1763" s="156"/>
      <c r="E1763" s="156" t="s">
        <v>1508</v>
      </c>
      <c r="F1763" s="156" t="s">
        <v>599</v>
      </c>
      <c r="G1763" s="154">
        <v>70000</v>
      </c>
    </row>
    <row r="1764" spans="1:7" ht="21.6" customHeight="1">
      <c r="A1764" s="154" t="s">
        <v>1313</v>
      </c>
      <c r="B1764" s="154" t="str" cm="1">
        <f t="array" ref="B1764">_xlfn.XLOOKUP(TRUE, ISNUMBER(SEARCH(工作表5!$A$1:$A$23, C1764)), 工作表5!$B$1:$B$23, "其他")</f>
        <v>顯像組</v>
      </c>
      <c r="C1764" s="144" t="s">
        <v>1822</v>
      </c>
      <c r="D1764" s="156"/>
      <c r="E1764" s="156" t="s">
        <v>1555</v>
      </c>
      <c r="F1764" s="156" t="s">
        <v>730</v>
      </c>
      <c r="G1764" s="154">
        <v>70000</v>
      </c>
    </row>
    <row r="1765" spans="1:7" ht="21.6" customHeight="1">
      <c r="A1765" s="154" t="s">
        <v>1313</v>
      </c>
      <c r="B1765" s="154" t="str" cm="1">
        <f t="array" ref="B1765">_xlfn.XLOOKUP(TRUE, ISNUMBER(SEARCH(工作表5!$A$1:$A$23, C1765)), 工作表5!$B$1:$B$23, "其他")</f>
        <v>定著組</v>
      </c>
      <c r="C1765" s="144" t="s">
        <v>733</v>
      </c>
      <c r="D1765" s="156"/>
      <c r="E1765" s="156" t="s">
        <v>1556</v>
      </c>
      <c r="F1765" s="156" t="s">
        <v>732</v>
      </c>
      <c r="G1765" s="154">
        <v>70000</v>
      </c>
    </row>
    <row r="1766" spans="1:7" ht="21.6" customHeight="1">
      <c r="A1766" s="154" t="s">
        <v>1313</v>
      </c>
      <c r="B1766" s="154" t="str" cm="1">
        <f t="array" ref="B1766">_xlfn.XLOOKUP(TRUE, ISNUMBER(SEARCH(工作表5!$A$1:$A$23, C1766)), 工作表5!$B$1:$B$23, "其他")</f>
        <v>定著組</v>
      </c>
      <c r="C1766" s="144" t="s">
        <v>736</v>
      </c>
      <c r="D1766" s="156"/>
      <c r="E1766" s="156" t="s">
        <v>1557</v>
      </c>
      <c r="F1766" s="156" t="s">
        <v>735</v>
      </c>
      <c r="G1766" s="154">
        <v>70000</v>
      </c>
    </row>
    <row r="1767" spans="1:7" ht="21.6" customHeight="1">
      <c r="A1767" s="154" t="s">
        <v>1313</v>
      </c>
      <c r="B1767" s="154" t="str" cm="1">
        <f t="array" ref="B1767">_xlfn.XLOOKUP(TRUE, ISNUMBER(SEARCH(工作表5!$A$1:$A$23, C1767)), 工作表5!$B$1:$B$23, "其他")</f>
        <v>其他</v>
      </c>
      <c r="C1767" s="144">
        <f>+$H$1434</f>
        <v>0</v>
      </c>
      <c r="D1767" s="156"/>
      <c r="E1767" s="156" t="s">
        <v>1599</v>
      </c>
      <c r="F1767" s="156" t="s">
        <v>848</v>
      </c>
      <c r="G1767" s="154">
        <v>280000</v>
      </c>
    </row>
    <row r="1768" spans="1:7" ht="21.6" customHeight="1">
      <c r="A1768" s="154" t="s">
        <v>1313</v>
      </c>
      <c r="B1768" s="154" t="str" cm="1">
        <f t="array" ref="B1768">_xlfn.XLOOKUP(TRUE, ISNUMBER(SEARCH(工作表5!$A$1:$A$23, C1768)), 工作表5!$B$1:$B$23, "其他")</f>
        <v>其他</v>
      </c>
      <c r="C1768" s="144">
        <f>+$H$1435</f>
        <v>0</v>
      </c>
      <c r="D1768" s="156"/>
      <c r="E1768" s="156" t="s">
        <v>1600</v>
      </c>
      <c r="F1768" s="156" t="s">
        <v>851</v>
      </c>
      <c r="G1768" s="154">
        <v>280000</v>
      </c>
    </row>
    <row r="1769" spans="1:7" ht="21.6" customHeight="1">
      <c r="A1769" s="154" t="s">
        <v>1313</v>
      </c>
      <c r="B1769" s="154" t="str" cm="1">
        <f t="array" ref="B1769">_xlfn.XLOOKUP(TRUE, ISNUMBER(SEARCH(工作表5!$A$1:$A$23, C1769)), 工作表5!$B$1:$B$23, "其他")</f>
        <v>轉寫組</v>
      </c>
      <c r="C1769" s="144" t="s">
        <v>1824</v>
      </c>
      <c r="D1769" s="156"/>
      <c r="E1769" s="156" t="s">
        <v>1513</v>
      </c>
      <c r="F1769" s="156" t="s">
        <v>610</v>
      </c>
      <c r="G1769" s="154">
        <v>210000</v>
      </c>
    </row>
    <row r="1770" spans="1:7" ht="21.6" customHeight="1">
      <c r="A1770" s="154" t="s">
        <v>1313</v>
      </c>
      <c r="B1770" s="154" t="str" cm="1">
        <f t="array" ref="B1770">_xlfn.XLOOKUP(TRUE, ISNUMBER(SEARCH(工作表5!$A$1:$A$23, C1770)), 工作表5!$B$1:$B$23, "其他")</f>
        <v>轉寫組</v>
      </c>
      <c r="C1770" s="144" t="s">
        <v>1825</v>
      </c>
      <c r="D1770" s="156"/>
      <c r="E1770" s="156" t="s">
        <v>1514</v>
      </c>
      <c r="F1770" s="156" t="s">
        <v>612</v>
      </c>
      <c r="G1770" s="154">
        <v>210000</v>
      </c>
    </row>
    <row r="1771" spans="1:7" ht="21.6" customHeight="1">
      <c r="A1771" s="154" t="s">
        <v>1313</v>
      </c>
      <c r="B1771" s="154" t="str" cm="1">
        <f t="array" ref="B1771">_xlfn.XLOOKUP(TRUE, ISNUMBER(SEARCH(工作表5!$A$1:$A$23, C1771)), 工作表5!$B$1:$B$23, "其他")</f>
        <v>其他</v>
      </c>
      <c r="C1771" s="144">
        <f>+$H$1137</f>
        <v>0</v>
      </c>
      <c r="D1771" s="156"/>
      <c r="E1771" s="156" t="s">
        <v>1515</v>
      </c>
      <c r="F1771" s="156" t="s">
        <v>614</v>
      </c>
      <c r="G1771" s="154">
        <v>210000</v>
      </c>
    </row>
    <row r="1772" spans="1:7" ht="21.6" customHeight="1">
      <c r="A1772" s="154" t="s">
        <v>1313</v>
      </c>
      <c r="B1772" s="154" t="str" cm="1">
        <f t="array" ref="B1772">_xlfn.XLOOKUP(TRUE, ISNUMBER(SEARCH(工作表5!$A$1:$A$23, C1772)), 工作表5!$B$1:$B$23, "其他")</f>
        <v>其他</v>
      </c>
      <c r="C1772" s="144" t="s">
        <v>101</v>
      </c>
      <c r="D1772" s="156"/>
      <c r="E1772" s="156" t="s">
        <v>1551</v>
      </c>
      <c r="F1772" s="156" t="s">
        <v>720</v>
      </c>
      <c r="G1772" s="154">
        <v>280000</v>
      </c>
    </row>
    <row r="1773" spans="1:7" ht="21.6" customHeight="1">
      <c r="A1773" s="154" t="s">
        <v>1313</v>
      </c>
      <c r="B1773" s="154" t="str" cm="1">
        <f t="array" ref="B1773">_xlfn.XLOOKUP(TRUE, ISNUMBER(SEARCH(工作表5!$A$1:$A$23, C1773)), 工作表5!$B$1:$B$23, "其他")</f>
        <v>其他</v>
      </c>
      <c r="C1773" s="144">
        <f>+$H$1440</f>
        <v>0</v>
      </c>
      <c r="D1773" s="156"/>
      <c r="E1773" s="156" t="s">
        <v>1519</v>
      </c>
      <c r="F1773" s="156" t="s">
        <v>623</v>
      </c>
      <c r="G1773" s="154">
        <v>280000</v>
      </c>
    </row>
    <row r="1774" spans="1:7" ht="21.6" customHeight="1">
      <c r="A1774" s="154" t="s">
        <v>1313</v>
      </c>
      <c r="B1774" s="154" t="str" cm="1">
        <f t="array" ref="B1774">_xlfn.XLOOKUP(TRUE, ISNUMBER(SEARCH(工作表5!$A$1:$A$23, C1774)), 工作表5!$B$1:$B$23, "其他")</f>
        <v>其他</v>
      </c>
      <c r="C1774" s="144">
        <f>+$H$1441</f>
        <v>0</v>
      </c>
      <c r="D1774" s="156"/>
      <c r="E1774" s="156" t="s">
        <v>1601</v>
      </c>
      <c r="F1774" s="156" t="s">
        <v>853</v>
      </c>
      <c r="G1774" s="154">
        <v>280000</v>
      </c>
    </row>
    <row r="1775" spans="1:7" ht="21.6" customHeight="1">
      <c r="A1775" s="154" t="s">
        <v>1313</v>
      </c>
      <c r="B1775" s="154" t="str" cm="1">
        <f t="array" ref="B1775">_xlfn.XLOOKUP(TRUE, ISNUMBER(SEARCH(工作表5!$A$1:$A$23, C1775)), 工作表5!$B$1:$B$23, "其他")</f>
        <v>定著組</v>
      </c>
      <c r="C1775" s="144" t="s">
        <v>90</v>
      </c>
      <c r="D1775" s="156"/>
      <c r="E1775" s="156" t="s">
        <v>1521</v>
      </c>
      <c r="F1775" s="156" t="s">
        <v>627</v>
      </c>
      <c r="G1775" s="154">
        <v>280000</v>
      </c>
    </row>
    <row r="1776" spans="1:7" ht="21.6" customHeight="1">
      <c r="A1776" s="154" t="s">
        <v>1313</v>
      </c>
      <c r="B1776" s="154" t="str" cm="1">
        <f t="array" ref="B1776">_xlfn.XLOOKUP(TRUE, ISNUMBER(SEARCH(工作表5!$A$1:$A$23, C1776)), 工作表5!$B$1:$B$23, "其他")</f>
        <v>取紙組</v>
      </c>
      <c r="C1776" s="144" t="s">
        <v>1836</v>
      </c>
      <c r="D1776" s="156"/>
      <c r="E1776" s="156" t="s">
        <v>1389</v>
      </c>
      <c r="F1776" s="156" t="s">
        <v>265</v>
      </c>
      <c r="G1776" s="154">
        <v>80000</v>
      </c>
    </row>
    <row r="1777" spans="1:7" ht="21.6" customHeight="1">
      <c r="A1777" s="154" t="s">
        <v>1313</v>
      </c>
      <c r="B1777" s="154" t="str" cm="1">
        <f t="array" ref="B1777">_xlfn.XLOOKUP(TRUE, ISNUMBER(SEARCH(工作表5!$A$1:$A$23, C1777)), 工作表5!$B$1:$B$23, "其他")</f>
        <v>取紙組</v>
      </c>
      <c r="C1777" s="144" t="s">
        <v>745</v>
      </c>
      <c r="D1777" s="156"/>
      <c r="E1777" s="156" t="s">
        <v>1389</v>
      </c>
      <c r="F1777" s="156" t="s">
        <v>265</v>
      </c>
      <c r="G1777" s="154">
        <v>80000</v>
      </c>
    </row>
    <row r="1778" spans="1:7" ht="21.6" customHeight="1">
      <c r="A1778" s="154" t="s">
        <v>1313</v>
      </c>
      <c r="B1778" s="154" t="str" cm="1">
        <f t="array" ref="B1778">_xlfn.XLOOKUP(TRUE, ISNUMBER(SEARCH(工作表5!$A$1:$A$23, C1778)), 工作表5!$B$1:$B$23, "其他")</f>
        <v>取紙組</v>
      </c>
      <c r="C1778" s="144" t="s">
        <v>1837</v>
      </c>
      <c r="D1778" s="156"/>
      <c r="E1778" s="156" t="s">
        <v>1561</v>
      </c>
      <c r="F1778" s="156" t="s">
        <v>747</v>
      </c>
      <c r="G1778" s="154">
        <v>80000</v>
      </c>
    </row>
    <row r="1779" spans="1:7" ht="21.6" customHeight="1">
      <c r="A1779" s="154" t="s">
        <v>1313</v>
      </c>
      <c r="B1779" s="154" t="str" cm="1">
        <f t="array" ref="B1779">_xlfn.XLOOKUP(TRUE, ISNUMBER(SEARCH(工作表5!$A$1:$A$23, C1779)), 工作表5!$B$1:$B$23, "其他")</f>
        <v>手送台</v>
      </c>
      <c r="C1779" s="144" t="s">
        <v>631</v>
      </c>
      <c r="D1779" s="156"/>
      <c r="E1779" s="156" t="s">
        <v>1392</v>
      </c>
      <c r="F1779" s="156" t="s">
        <v>274</v>
      </c>
      <c r="G1779" s="154">
        <v>80000</v>
      </c>
    </row>
    <row r="1780" spans="1:7" ht="21.6" customHeight="1">
      <c r="A1780" s="154" t="s">
        <v>1313</v>
      </c>
      <c r="B1780" s="154" t="str" cm="1">
        <f t="array" ref="B1780">_xlfn.XLOOKUP(TRUE, ISNUMBER(SEARCH(工作表5!$A$1:$A$23, C1780)), 工作表5!$B$1:$B$23, "其他")</f>
        <v>手送台</v>
      </c>
      <c r="C1780" s="144" t="s">
        <v>119</v>
      </c>
      <c r="D1780" s="156"/>
      <c r="E1780" s="156" t="s">
        <v>1602</v>
      </c>
      <c r="F1780" s="156" t="s">
        <v>856</v>
      </c>
      <c r="G1780" s="154">
        <v>80000</v>
      </c>
    </row>
    <row r="1781" spans="1:7" ht="21.6" customHeight="1">
      <c r="A1781" s="154" t="s">
        <v>1313</v>
      </c>
      <c r="B1781" s="154" t="str" cm="1">
        <f t="array" ref="B1781">_xlfn.XLOOKUP(TRUE, ISNUMBER(SEARCH(工作表5!$A$1:$A$23, C1781)), 工作表5!$B$1:$B$23, "其他")</f>
        <v>送稿機</v>
      </c>
      <c r="C1781" s="145" t="s">
        <v>1838</v>
      </c>
      <c r="D1781" s="156"/>
      <c r="E1781" s="156" t="s">
        <v>1375</v>
      </c>
      <c r="F1781" s="156" t="s">
        <v>226</v>
      </c>
      <c r="G1781" s="154">
        <v>120000</v>
      </c>
    </row>
    <row r="1782" spans="1:7" ht="21.6" customHeight="1">
      <c r="A1782" s="154" t="s">
        <v>1313</v>
      </c>
      <c r="B1782" s="154" t="str" cm="1">
        <f t="array" ref="B1782">_xlfn.XLOOKUP(TRUE, ISNUMBER(SEARCH(工作表5!$A$1:$A$23, C1782)), 工作表5!$B$1:$B$23, "其他")</f>
        <v>送稿機</v>
      </c>
      <c r="C1782" s="145" t="s">
        <v>1839</v>
      </c>
      <c r="D1782" s="156"/>
      <c r="E1782" s="156" t="s">
        <v>1376</v>
      </c>
      <c r="F1782" s="156" t="s">
        <v>230</v>
      </c>
      <c r="G1782" s="154">
        <v>120000</v>
      </c>
    </row>
    <row r="1783" spans="1:7" ht="21.6" customHeight="1">
      <c r="A1783" s="154" t="s">
        <v>1313</v>
      </c>
      <c r="B1783" s="154" t="str" cm="1">
        <f t="array" ref="B1783">_xlfn.XLOOKUP(TRUE, ISNUMBER(SEARCH(工作表5!$A$1:$A$23, C1783)), 工作表5!$B$1:$B$23, "其他")</f>
        <v>取紙組</v>
      </c>
      <c r="C1783" s="144" t="s">
        <v>1840</v>
      </c>
      <c r="D1783" s="156"/>
      <c r="E1783" s="156" t="s">
        <v>1377</v>
      </c>
      <c r="F1783" s="156" t="s">
        <v>232</v>
      </c>
      <c r="G1783" s="154">
        <v>160000</v>
      </c>
    </row>
    <row r="1784" spans="1:7" ht="21.6" customHeight="1">
      <c r="A1784" s="154" t="s">
        <v>1313</v>
      </c>
      <c r="B1784" s="154" t="str" cm="1">
        <f t="array" ref="B1784">_xlfn.XLOOKUP(TRUE, ISNUMBER(SEARCH(工作表5!$A$1:$A$23, C1784)), 工作表5!$B$1:$B$23, "其他")</f>
        <v>大容量取紙組</v>
      </c>
      <c r="C1784" s="144" t="s">
        <v>237</v>
      </c>
      <c r="D1784" s="156"/>
      <c r="E1784" s="156" t="s">
        <v>1378</v>
      </c>
      <c r="F1784" s="156" t="s">
        <v>236</v>
      </c>
      <c r="G1784" s="154">
        <v>160000</v>
      </c>
    </row>
    <row r="1785" spans="1:7" ht="21.6" customHeight="1">
      <c r="A1785" s="154" t="s">
        <v>1313</v>
      </c>
      <c r="B1785" s="154" t="str" cm="1">
        <f t="array" ref="B1785">_xlfn.XLOOKUP(TRUE, ISNUMBER(SEARCH(工作表5!$A$1:$A$23, C1785)), 工作表5!$B$1:$B$23, "其他")</f>
        <v>取紙組</v>
      </c>
      <c r="C1785" s="144" t="s">
        <v>749</v>
      </c>
      <c r="D1785" s="156"/>
      <c r="E1785" s="156" t="s">
        <v>1379</v>
      </c>
      <c r="F1785" s="156" t="s">
        <v>239</v>
      </c>
      <c r="G1785" s="154">
        <v>160000</v>
      </c>
    </row>
    <row r="1786" spans="1:7" ht="21.6" customHeight="1">
      <c r="A1786" s="154" t="s">
        <v>1313</v>
      </c>
      <c r="B1786" s="154" t="str" cm="1">
        <f t="array" ref="B1786">_xlfn.XLOOKUP(TRUE, ISNUMBER(SEARCH(工作表5!$A$1:$A$23, C1786)), 工作表5!$B$1:$B$23, "其他")</f>
        <v>顯像組</v>
      </c>
      <c r="C1786" s="144" t="s">
        <v>637</v>
      </c>
      <c r="D1786" s="156"/>
      <c r="E1786" s="156" t="s">
        <v>1603</v>
      </c>
      <c r="F1786" s="156" t="s">
        <v>859</v>
      </c>
      <c r="G1786" s="154">
        <v>70000</v>
      </c>
    </row>
    <row r="1787" spans="1:7" ht="21.6" customHeight="1">
      <c r="A1787" s="154" t="s">
        <v>1313</v>
      </c>
      <c r="B1787" s="154" t="str" cm="1">
        <f t="array" ref="B1787">_xlfn.XLOOKUP(TRUE, ISNUMBER(SEARCH(工作表5!$A$1:$A$23, C1787)), 工作表5!$B$1:$B$23, "其他")</f>
        <v>顯像組</v>
      </c>
      <c r="C1787" s="144" t="s">
        <v>755</v>
      </c>
      <c r="D1787" s="156"/>
      <c r="E1787" s="156" t="s">
        <v>1604</v>
      </c>
      <c r="F1787" s="156" t="s">
        <v>861</v>
      </c>
      <c r="G1787" s="154">
        <v>70000</v>
      </c>
    </row>
    <row r="1788" spans="1:7" ht="21.6" customHeight="1">
      <c r="A1788" s="154" t="s">
        <v>1313</v>
      </c>
      <c r="B1788" s="154" t="str" cm="1">
        <f t="array" ref="B1788">_xlfn.XLOOKUP(TRUE, ISNUMBER(SEARCH(工作表5!$A$1:$A$23, C1788)), 工作表5!$B$1:$B$23, "其他")</f>
        <v>定著組</v>
      </c>
      <c r="C1788" s="145" t="s">
        <v>244</v>
      </c>
      <c r="D1788" s="156"/>
      <c r="E1788" s="156" t="s">
        <v>1605</v>
      </c>
      <c r="F1788" s="156" t="s">
        <v>863</v>
      </c>
      <c r="G1788" s="154">
        <v>280000</v>
      </c>
    </row>
    <row r="1789" spans="1:7" ht="21.6" customHeight="1">
      <c r="A1789" s="154" t="s">
        <v>1313</v>
      </c>
      <c r="B1789" s="154" t="str" cm="1">
        <f t="array" ref="B1789">_xlfn.XLOOKUP(TRUE, ISNUMBER(SEARCH(工作表5!$A$1:$A$23, C1789)), 工作表5!$B$1:$B$23, "其他")</f>
        <v>其他</v>
      </c>
      <c r="C1789" s="144">
        <f>+$H$1456</f>
        <v>0</v>
      </c>
      <c r="D1789" s="156"/>
      <c r="E1789" s="156" t="s">
        <v>1525</v>
      </c>
      <c r="F1789" s="156" t="s">
        <v>644</v>
      </c>
      <c r="G1789" s="154">
        <v>210000</v>
      </c>
    </row>
    <row r="1790" spans="1:7" ht="21.6" customHeight="1">
      <c r="A1790" s="154" t="s">
        <v>1313</v>
      </c>
      <c r="B1790" s="154" t="str" cm="1">
        <f t="array" ref="B1790">_xlfn.XLOOKUP(TRUE, ISNUMBER(SEARCH(工作表5!$A$1:$A$23, C1790)), 工作表5!$B$1:$B$23, "其他")</f>
        <v>取紙組</v>
      </c>
      <c r="C1790" s="144" t="s">
        <v>758</v>
      </c>
      <c r="D1790" s="156"/>
      <c r="E1790" s="156" t="s">
        <v>1564</v>
      </c>
      <c r="F1790" s="156" t="s">
        <v>757</v>
      </c>
      <c r="G1790" s="154">
        <v>80000</v>
      </c>
    </row>
    <row r="1791" spans="1:7" ht="21.6" customHeight="1">
      <c r="A1791" s="154" t="s">
        <v>1313</v>
      </c>
      <c r="B1791" s="154" t="str" cm="1">
        <f t="array" ref="B1791">_xlfn.XLOOKUP(TRUE, ISNUMBER(SEARCH(工作表5!$A$1:$A$23, C1791)), 工作表5!$B$1:$B$23, "其他")</f>
        <v>送稿機</v>
      </c>
      <c r="C1791" s="144" t="s">
        <v>759</v>
      </c>
      <c r="D1791" s="156"/>
      <c r="E1791" s="156" t="s">
        <v>1383</v>
      </c>
      <c r="F1791" s="156" t="s">
        <v>249</v>
      </c>
      <c r="G1791" s="154">
        <v>120000</v>
      </c>
    </row>
    <row r="1792" spans="1:7" ht="21.6" customHeight="1">
      <c r="A1792" s="154" t="s">
        <v>1313</v>
      </c>
      <c r="B1792" s="154" t="str" cm="1">
        <f t="array" ref="B1792">_xlfn.XLOOKUP(TRUE, ISNUMBER(SEARCH(工作表5!$A$1:$A$23, C1792)), 工作表5!$B$1:$B$23, "其他")</f>
        <v>其他</v>
      </c>
      <c r="C1792" s="144" t="s">
        <v>760</v>
      </c>
      <c r="D1792" s="156"/>
      <c r="E1792" s="156" t="s">
        <v>1384</v>
      </c>
      <c r="F1792" s="156" t="s">
        <v>252</v>
      </c>
      <c r="G1792" s="154">
        <v>160000</v>
      </c>
    </row>
    <row r="1793" spans="1:7" ht="21.6" customHeight="1">
      <c r="A1793" s="154" t="s">
        <v>1313</v>
      </c>
      <c r="B1793" s="154" t="str" cm="1">
        <f t="array" ref="B1793">_xlfn.XLOOKUP(TRUE, ISNUMBER(SEARCH(工作表5!$A$1:$A$23, C1793)), 工作表5!$B$1:$B$23, "其他")</f>
        <v>定著組</v>
      </c>
      <c r="C1793" s="145" t="s">
        <v>585</v>
      </c>
      <c r="D1793" s="156"/>
      <c r="E1793" s="156" t="s">
        <v>1606</v>
      </c>
      <c r="F1793" s="156" t="s">
        <v>867</v>
      </c>
      <c r="G1793" s="154" t="e">
        <v>#VALUE!</v>
      </c>
    </row>
    <row r="1794" spans="1:7" ht="21.6" customHeight="1">
      <c r="A1794" s="154" t="s">
        <v>1313</v>
      </c>
      <c r="B1794" s="154" t="str" cm="1">
        <f t="array" ref="B1794">_xlfn.XLOOKUP(TRUE, ISNUMBER(SEARCH(工作表5!$A$1:$A$23, C1794)), 工作表5!$B$1:$B$23, "其他")</f>
        <v>顯像組</v>
      </c>
      <c r="C1794" s="145" t="s">
        <v>129</v>
      </c>
      <c r="D1794" s="156"/>
      <c r="E1794" s="156" t="s">
        <v>1607</v>
      </c>
      <c r="F1794" s="156" t="s">
        <v>869</v>
      </c>
      <c r="G1794" s="154" t="e">
        <v>#VALUE!</v>
      </c>
    </row>
    <row r="1795" spans="1:7" ht="21.6" customHeight="1">
      <c r="A1795" s="154" t="s">
        <v>1313</v>
      </c>
      <c r="B1795" s="154" t="str" cm="1">
        <f t="array" ref="B1795">_xlfn.XLOOKUP(TRUE, ISNUMBER(SEARCH(工作表5!$A$1:$A$23, C1795)), 工作表5!$B$1:$B$23, "其他")</f>
        <v>顯像組</v>
      </c>
      <c r="C1795" s="145" t="s">
        <v>772</v>
      </c>
      <c r="D1795" s="156"/>
      <c r="E1795" s="156" t="s">
        <v>1608</v>
      </c>
      <c r="F1795" s="156" t="s">
        <v>871</v>
      </c>
      <c r="G1795" s="154" t="e">
        <v>#VALUE!</v>
      </c>
    </row>
    <row r="1796" spans="1:7" ht="21.6" customHeight="1">
      <c r="A1796" s="154" t="s">
        <v>1313</v>
      </c>
      <c r="B1796" s="154" t="str" cm="1">
        <f t="array" ref="B1796">_xlfn.XLOOKUP(TRUE, ISNUMBER(SEARCH(工作表5!$A$1:$A$23, C1796)), 工作表5!$B$1:$B$23, "其他")</f>
        <v>顯像組</v>
      </c>
      <c r="C1796" s="145" t="s">
        <v>775</v>
      </c>
      <c r="D1796" s="156"/>
      <c r="E1796" s="156" t="s">
        <v>1609</v>
      </c>
      <c r="F1796" s="156" t="s">
        <v>873</v>
      </c>
      <c r="G1796" s="154" t="e">
        <v>#VALUE!</v>
      </c>
    </row>
    <row r="1797" spans="1:7" ht="21.6" customHeight="1">
      <c r="A1797" s="154" t="s">
        <v>1313</v>
      </c>
      <c r="B1797" s="154" t="str" cm="1">
        <f t="array" ref="B1797">_xlfn.XLOOKUP(TRUE, ISNUMBER(SEARCH(工作表5!$A$1:$A$23, C1797)), 工作表5!$B$1:$B$23, "其他")</f>
        <v>顯像組</v>
      </c>
      <c r="C1797" s="145" t="s">
        <v>778</v>
      </c>
      <c r="D1797" s="156"/>
      <c r="E1797" s="156" t="s">
        <v>1610</v>
      </c>
      <c r="F1797" s="156" t="s">
        <v>875</v>
      </c>
      <c r="G1797" s="154" t="e">
        <v>#VALUE!</v>
      </c>
    </row>
    <row r="1798" spans="1:7" ht="21.6" customHeight="1">
      <c r="A1798" s="154" t="s">
        <v>1313</v>
      </c>
      <c r="B1798" s="154" t="str" cm="1">
        <f t="array" ref="B1798">_xlfn.XLOOKUP(TRUE, ISNUMBER(SEARCH(工作表5!$A$1:$A$23, C1798)), 工作表5!$B$1:$B$23, "其他")</f>
        <v>滾筒組</v>
      </c>
      <c r="C1798" s="145" t="s">
        <v>781</v>
      </c>
      <c r="D1798" s="156"/>
      <c r="E1798" s="156" t="s">
        <v>1611</v>
      </c>
      <c r="F1798" s="156" t="s">
        <v>877</v>
      </c>
      <c r="G1798" s="154" t="e">
        <v>#VALUE!</v>
      </c>
    </row>
    <row r="1799" spans="1:7" ht="21.6" customHeight="1">
      <c r="A1799" s="154" t="s">
        <v>1313</v>
      </c>
      <c r="B1799" s="154" t="str" cm="1">
        <f t="array" ref="B1799">_xlfn.XLOOKUP(TRUE, ISNUMBER(SEARCH(工作表5!$A$1:$A$23, C1799)), 工作表5!$B$1:$B$23, "其他")</f>
        <v>滾筒組</v>
      </c>
      <c r="C1799" s="145" t="s">
        <v>784</v>
      </c>
      <c r="D1799" s="156"/>
      <c r="E1799" s="156" t="s">
        <v>1612</v>
      </c>
      <c r="F1799" s="156" t="s">
        <v>879</v>
      </c>
      <c r="G1799" s="154" t="e">
        <v>#VALUE!</v>
      </c>
    </row>
    <row r="1800" spans="1:7" ht="21.6" customHeight="1">
      <c r="A1800" s="154" t="s">
        <v>1313</v>
      </c>
      <c r="B1800" s="154" t="str" cm="1">
        <f t="array" ref="B1800">_xlfn.XLOOKUP(TRUE, ISNUMBER(SEARCH(工作表5!$A$1:$A$23, C1800)), 工作表5!$B$1:$B$23, "其他")</f>
        <v>滾筒組</v>
      </c>
      <c r="C1800" s="145" t="s">
        <v>787</v>
      </c>
      <c r="D1800" s="156"/>
      <c r="E1800" s="156" t="s">
        <v>1613</v>
      </c>
      <c r="F1800" s="156" t="s">
        <v>881</v>
      </c>
      <c r="G1800" s="154" t="e">
        <v>#VALUE!</v>
      </c>
    </row>
    <row r="1801" spans="1:7" ht="21.6" customHeight="1">
      <c r="A1801" s="154" t="s">
        <v>1313</v>
      </c>
      <c r="B1801" s="154" t="str" cm="1">
        <f t="array" ref="B1801">_xlfn.XLOOKUP(TRUE, ISNUMBER(SEARCH(工作表5!$A$1:$A$23, C1801)), 工作表5!$B$1:$B$23, "其他")</f>
        <v>滾筒組</v>
      </c>
      <c r="C1801" s="145" t="s">
        <v>790</v>
      </c>
      <c r="D1801" s="156"/>
      <c r="E1801" s="156" t="s">
        <v>1614</v>
      </c>
      <c r="F1801" s="156" t="s">
        <v>883</v>
      </c>
      <c r="G1801" s="154" t="e">
        <v>#VALUE!</v>
      </c>
    </row>
    <row r="1802" spans="1:7" ht="21.6" customHeight="1">
      <c r="A1802" s="154" t="s">
        <v>1313</v>
      </c>
      <c r="B1802" s="154" t="str" cm="1">
        <f t="array" ref="B1802">_xlfn.XLOOKUP(TRUE, ISNUMBER(SEARCH(工作表5!$A$1:$A$23, C1802)), 工作表5!$B$1:$B$23, "其他")</f>
        <v>轉寫組</v>
      </c>
      <c r="C1802" s="145" t="s">
        <v>1821</v>
      </c>
      <c r="D1802" s="156"/>
      <c r="E1802" s="156" t="s">
        <v>1576</v>
      </c>
      <c r="F1802" s="156" t="s">
        <v>792</v>
      </c>
      <c r="G1802" s="154" t="e">
        <v>#VALUE!</v>
      </c>
    </row>
    <row r="1803" spans="1:7" ht="21.6" customHeight="1">
      <c r="A1803" s="154" t="s">
        <v>1313</v>
      </c>
      <c r="B1803" s="154" t="str" cm="1">
        <f t="array" ref="B1803">_xlfn.XLOOKUP(TRUE, ISNUMBER(SEARCH(工作表5!$A$1:$A$23, C1803)), 工作表5!$B$1:$B$23, "其他")</f>
        <v>轉寫組</v>
      </c>
      <c r="C1803" s="144" t="s">
        <v>1805</v>
      </c>
      <c r="D1803" s="156"/>
      <c r="E1803" s="156" t="s">
        <v>1615</v>
      </c>
      <c r="F1803" s="156" t="s">
        <v>885</v>
      </c>
      <c r="G1803" s="154" t="e">
        <v>#VALUE!</v>
      </c>
    </row>
    <row r="1804" spans="1:7" ht="21.6" customHeight="1">
      <c r="A1804" s="154" t="s">
        <v>46</v>
      </c>
      <c r="B1804" s="154" t="str" cm="1">
        <f t="array" ref="B1804">_xlfn.XLOOKUP(TRUE, ISNUMBER(SEARCH(工作表5!$A$1:$A$23, C1804)), 工作表5!$B$1:$B$23, "其他")</f>
        <v>滾筒組</v>
      </c>
      <c r="C1804" s="143" t="s">
        <v>589</v>
      </c>
      <c r="D1804" s="156"/>
      <c r="E1804" s="156" t="s">
        <v>1504</v>
      </c>
      <c r="F1804" s="156" t="s">
        <v>588</v>
      </c>
      <c r="G1804" s="154">
        <v>210000</v>
      </c>
    </row>
    <row r="1805" spans="1:7" ht="21.6" customHeight="1">
      <c r="A1805" s="154" t="s">
        <v>46</v>
      </c>
      <c r="B1805" s="154" t="str" cm="1">
        <f t="array" ref="B1805">_xlfn.XLOOKUP(TRUE, ISNUMBER(SEARCH(工作表5!$A$1:$A$23, C1805)), 工作表5!$B$1:$B$23, "其他")</f>
        <v>滾筒組</v>
      </c>
      <c r="C1805" s="150" t="s">
        <v>887</v>
      </c>
      <c r="D1805" s="156"/>
      <c r="E1805" s="156" t="s">
        <v>1595</v>
      </c>
      <c r="F1805" s="156" t="s">
        <v>841</v>
      </c>
      <c r="G1805" s="154">
        <v>105000</v>
      </c>
    </row>
    <row r="1806" spans="1:7" ht="21.6" customHeight="1">
      <c r="A1806" s="154" t="s">
        <v>46</v>
      </c>
      <c r="B1806" s="154" t="str" cm="1">
        <f t="array" ref="B1806">_xlfn.XLOOKUP(TRUE, ISNUMBER(SEARCH(工作表5!$A$1:$A$23, C1806)), 工作表5!$B$1:$B$23, "其他")</f>
        <v>顯像組</v>
      </c>
      <c r="C1806" s="145" t="s">
        <v>502</v>
      </c>
      <c r="D1806" s="156"/>
      <c r="E1806" s="156" t="s">
        <v>1616</v>
      </c>
      <c r="F1806" s="156" t="s">
        <v>890</v>
      </c>
      <c r="G1806" s="154" t="e">
        <v>#VALUE!</v>
      </c>
    </row>
    <row r="1807" spans="1:7" ht="21.6" customHeight="1">
      <c r="A1807" s="154" t="s">
        <v>46</v>
      </c>
      <c r="B1807" s="154" t="str" cm="1">
        <f t="array" ref="B1807">_xlfn.XLOOKUP(TRUE, ISNUMBER(SEARCH(工作表5!$A$1:$A$23, C1807)), 工作表5!$B$1:$B$23, "其他")</f>
        <v>顯像組</v>
      </c>
      <c r="C1807" s="145" t="s">
        <v>703</v>
      </c>
      <c r="D1807" s="156"/>
      <c r="E1807" s="156" t="s">
        <v>1617</v>
      </c>
      <c r="F1807" s="156" t="s">
        <v>893</v>
      </c>
      <c r="G1807" s="154">
        <v>210000</v>
      </c>
    </row>
    <row r="1808" spans="1:7" ht="21.6" customHeight="1">
      <c r="A1808" s="154" t="s">
        <v>46</v>
      </c>
      <c r="B1808" s="154" t="str" cm="1">
        <f t="array" ref="B1808">_xlfn.XLOOKUP(TRUE, ISNUMBER(SEARCH(工作表5!$A$1:$A$23, C1808)), 工作表5!$B$1:$B$23, "其他")</f>
        <v>顯像組</v>
      </c>
      <c r="C1808" s="144" t="s">
        <v>706</v>
      </c>
      <c r="D1808" s="156"/>
      <c r="E1808" s="156" t="s">
        <v>1618</v>
      </c>
      <c r="F1808" s="156" t="s">
        <v>895</v>
      </c>
      <c r="G1808" s="154">
        <v>210000</v>
      </c>
    </row>
    <row r="1809" spans="1:7" ht="21.6" customHeight="1">
      <c r="A1809" s="154" t="s">
        <v>46</v>
      </c>
      <c r="B1809" s="154" t="str" cm="1">
        <f t="array" ref="B1809">_xlfn.XLOOKUP(TRUE, ISNUMBER(SEARCH(工作表5!$A$1:$A$23, C1809)), 工作表5!$B$1:$B$23, "其他")</f>
        <v>顯像組</v>
      </c>
      <c r="C1809" s="145" t="s">
        <v>709</v>
      </c>
      <c r="D1809" s="156"/>
      <c r="E1809" s="156" t="s">
        <v>1619</v>
      </c>
      <c r="F1809" s="156" t="s">
        <v>897</v>
      </c>
      <c r="G1809" s="154">
        <v>210000</v>
      </c>
    </row>
    <row r="1810" spans="1:7" ht="21.6" customHeight="1">
      <c r="A1810" s="154" t="s">
        <v>46</v>
      </c>
      <c r="B1810" s="154" t="str" cm="1">
        <f t="array" ref="B1810">_xlfn.XLOOKUP(TRUE, ISNUMBER(SEARCH(工作表5!$A$1:$A$23, C1810)), 工作表5!$B$1:$B$23, "其他")</f>
        <v>滾筒組</v>
      </c>
      <c r="C1810" s="145" t="s">
        <v>415</v>
      </c>
      <c r="D1810" s="156"/>
      <c r="E1810" s="156" t="s">
        <v>1547</v>
      </c>
      <c r="F1810" s="156" t="s">
        <v>711</v>
      </c>
      <c r="G1810" s="154" t="e">
        <v>#VALUE!</v>
      </c>
    </row>
    <row r="1811" spans="1:7" ht="21.6" customHeight="1">
      <c r="A1811" s="154" t="s">
        <v>46</v>
      </c>
      <c r="B1811" s="154" t="str" cm="1">
        <f t="array" ref="B1811">_xlfn.XLOOKUP(TRUE, ISNUMBER(SEARCH(工作表5!$A$1:$A$23, C1811)), 工作表5!$B$1:$B$23, "其他")</f>
        <v>滾筒組</v>
      </c>
      <c r="C1811" s="144" t="s">
        <v>597</v>
      </c>
      <c r="D1811" s="156"/>
      <c r="E1811" s="156" t="s">
        <v>1620</v>
      </c>
      <c r="F1811" s="156" t="s">
        <v>900</v>
      </c>
      <c r="G1811" s="154">
        <v>210000</v>
      </c>
    </row>
    <row r="1812" spans="1:7" ht="21.6" customHeight="1">
      <c r="A1812" s="154" t="s">
        <v>46</v>
      </c>
      <c r="B1812" s="154" t="str" cm="1">
        <f t="array" ref="B1812">_xlfn.XLOOKUP(TRUE, ISNUMBER(SEARCH(工作表5!$A$1:$A$23, C1812)), 工作表5!$B$1:$B$23, "其他")</f>
        <v>滾筒組</v>
      </c>
      <c r="C1812" s="144" t="s">
        <v>901</v>
      </c>
      <c r="D1812" s="156"/>
      <c r="E1812" s="156" t="s">
        <v>1598</v>
      </c>
      <c r="F1812" s="156" t="s">
        <v>846</v>
      </c>
      <c r="G1812" s="154">
        <v>105000</v>
      </c>
    </row>
    <row r="1813" spans="1:7" ht="21.6" customHeight="1">
      <c r="A1813" s="154" t="s">
        <v>46</v>
      </c>
      <c r="B1813" s="154" t="str" cm="1">
        <f t="array" ref="B1813">_xlfn.XLOOKUP(TRUE, ISNUMBER(SEARCH(工作表5!$A$1:$A$23, C1813)), 工作表5!$B$1:$B$23, "其他")</f>
        <v>顯像組</v>
      </c>
      <c r="C1813" s="145" t="s">
        <v>600</v>
      </c>
      <c r="D1813" s="156"/>
      <c r="E1813" s="156" t="s">
        <v>1508</v>
      </c>
      <c r="F1813" s="156" t="s">
        <v>599</v>
      </c>
      <c r="G1813" s="154" t="e">
        <v>#VALUE!</v>
      </c>
    </row>
    <row r="1814" spans="1:7" ht="21.6" customHeight="1">
      <c r="A1814" s="154" t="s">
        <v>46</v>
      </c>
      <c r="B1814" s="154" t="str" cm="1">
        <f t="array" ref="B1814">_xlfn.XLOOKUP(TRUE, ISNUMBER(SEARCH(工作表5!$A$1:$A$23, C1814)), 工作表5!$B$1:$B$23, "其他")</f>
        <v>顯像組</v>
      </c>
      <c r="C1814" s="144" t="s">
        <v>1822</v>
      </c>
      <c r="D1814" s="156"/>
      <c r="E1814" s="156" t="s">
        <v>1509</v>
      </c>
      <c r="F1814" s="156" t="s">
        <v>602</v>
      </c>
      <c r="G1814" s="154" t="e">
        <v>#VALUE!</v>
      </c>
    </row>
    <row r="1815" spans="1:7" ht="21.6" customHeight="1">
      <c r="A1815" s="154" t="s">
        <v>46</v>
      </c>
      <c r="B1815" s="154" t="str" cm="1">
        <f t="array" ref="B1815">_xlfn.XLOOKUP(TRUE, ISNUMBER(SEARCH(工作表5!$A$1:$A$23, C1815)), 工作表5!$B$1:$B$23, "其他")</f>
        <v>滾筒組</v>
      </c>
      <c r="C1815" s="144" t="s">
        <v>1823</v>
      </c>
      <c r="D1815" s="156"/>
      <c r="E1815" s="156" t="s">
        <v>1621</v>
      </c>
      <c r="F1815" s="156" t="s">
        <v>903</v>
      </c>
      <c r="G1815" s="154" t="e">
        <v>#VALUE!</v>
      </c>
    </row>
    <row r="1816" spans="1:7" ht="21.6" customHeight="1">
      <c r="A1816" s="154" t="s">
        <v>46</v>
      </c>
      <c r="B1816" s="154" t="str" cm="1">
        <f t="array" ref="B1816">_xlfn.XLOOKUP(TRUE, ISNUMBER(SEARCH(工作表5!$A$1:$A$23, C1816)), 工作表5!$B$1:$B$23, "其他")</f>
        <v>滾筒組</v>
      </c>
      <c r="C1816" s="144" t="s">
        <v>1823</v>
      </c>
      <c r="D1816" s="156"/>
      <c r="E1816" s="156" t="s">
        <v>1622</v>
      </c>
      <c r="F1816" s="156" t="s">
        <v>906</v>
      </c>
      <c r="G1816" s="154" t="e">
        <v>#VALUE!</v>
      </c>
    </row>
    <row r="1817" spans="1:7" ht="21.6" customHeight="1">
      <c r="A1817" s="154" t="s">
        <v>46</v>
      </c>
      <c r="B1817" s="154" t="str" cm="1">
        <f t="array" ref="B1817">_xlfn.XLOOKUP(TRUE, ISNUMBER(SEARCH(工作表5!$A$1:$A$23, C1817)), 工作表5!$B$1:$B$23, "其他")</f>
        <v>轉寫組</v>
      </c>
      <c r="C1817" s="145" t="s">
        <v>533</v>
      </c>
      <c r="D1817" s="156"/>
      <c r="E1817" s="156" t="s">
        <v>1511</v>
      </c>
      <c r="F1817" s="156" t="s">
        <v>606</v>
      </c>
      <c r="G1817" s="154">
        <v>210000</v>
      </c>
    </row>
    <row r="1818" spans="1:7" ht="21.6" customHeight="1">
      <c r="A1818" s="154" t="s">
        <v>46</v>
      </c>
      <c r="B1818" s="154" t="str" cm="1">
        <f t="array" ref="B1818">_xlfn.XLOOKUP(TRUE, ISNUMBER(SEARCH(工作表5!$A$1:$A$23, C1818)), 工作表5!$B$1:$B$23, "其他")</f>
        <v>轉寫組</v>
      </c>
      <c r="C1818" s="145" t="s">
        <v>1812</v>
      </c>
      <c r="D1818" s="156"/>
      <c r="E1818" s="156" t="s">
        <v>1512</v>
      </c>
      <c r="F1818" s="156" t="s">
        <v>608</v>
      </c>
      <c r="G1818" s="154">
        <v>210000</v>
      </c>
    </row>
    <row r="1819" spans="1:7" ht="21.6" customHeight="1">
      <c r="A1819" s="154" t="s">
        <v>46</v>
      </c>
      <c r="B1819" s="154" t="str" cm="1">
        <f t="array" ref="B1819">_xlfn.XLOOKUP(TRUE, ISNUMBER(SEARCH(工作表5!$A$1:$A$23, C1819)), 工作表5!$B$1:$B$23, "其他")</f>
        <v>轉寫組</v>
      </c>
      <c r="C1819" s="145" t="s">
        <v>1824</v>
      </c>
      <c r="D1819" s="156"/>
      <c r="E1819" s="156" t="s">
        <v>1513</v>
      </c>
      <c r="F1819" s="156" t="s">
        <v>610</v>
      </c>
      <c r="G1819" s="154">
        <v>210000</v>
      </c>
    </row>
    <row r="1820" spans="1:7" ht="21.6" customHeight="1">
      <c r="A1820" s="154" t="s">
        <v>46</v>
      </c>
      <c r="B1820" s="154" t="str" cm="1">
        <f t="array" ref="B1820">_xlfn.XLOOKUP(TRUE, ISNUMBER(SEARCH(工作表5!$A$1:$A$23, C1820)), 工作表5!$B$1:$B$23, "其他")</f>
        <v>轉寫組</v>
      </c>
      <c r="C1820" s="145" t="s">
        <v>1825</v>
      </c>
      <c r="D1820" s="156"/>
      <c r="E1820" s="156" t="s">
        <v>1514</v>
      </c>
      <c r="F1820" s="156" t="s">
        <v>612</v>
      </c>
      <c r="G1820" s="154">
        <v>210000</v>
      </c>
    </row>
    <row r="1821" spans="1:7" ht="21.6" customHeight="1">
      <c r="A1821" s="154" t="s">
        <v>46</v>
      </c>
      <c r="B1821" s="154" t="str" cm="1">
        <f t="array" ref="B1821">_xlfn.XLOOKUP(TRUE, ISNUMBER(SEARCH(工作表5!$A$1:$A$23, C1821)), 工作表5!$B$1:$B$23, "其他")</f>
        <v>轉寫組</v>
      </c>
      <c r="C1821" s="145" t="s">
        <v>1826</v>
      </c>
      <c r="D1821" s="156"/>
      <c r="E1821" s="156" t="s">
        <v>1515</v>
      </c>
      <c r="F1821" s="156" t="s">
        <v>614</v>
      </c>
      <c r="G1821" s="154">
        <v>210000</v>
      </c>
    </row>
    <row r="1822" spans="1:7" ht="21.6" customHeight="1">
      <c r="A1822" s="154" t="s">
        <v>46</v>
      </c>
      <c r="B1822" s="154" t="str" cm="1">
        <f t="array" ref="B1822">_xlfn.XLOOKUP(TRUE, ISNUMBER(SEARCH(工作表5!$A$1:$A$23, C1822)), 工作表5!$B$1:$B$23, "其他")</f>
        <v>其他</v>
      </c>
      <c r="C1822" s="144" t="s">
        <v>101</v>
      </c>
      <c r="D1822" s="156"/>
      <c r="E1822" s="156" t="s">
        <v>1551</v>
      </c>
      <c r="F1822" s="156" t="s">
        <v>720</v>
      </c>
      <c r="G1822" s="154">
        <v>630000</v>
      </c>
    </row>
    <row r="1823" spans="1:7" ht="21.6" customHeight="1">
      <c r="A1823" s="154" t="s">
        <v>46</v>
      </c>
      <c r="B1823" s="154" t="str" cm="1">
        <f t="array" ref="B1823">_xlfn.XLOOKUP(TRUE, ISNUMBER(SEARCH(工作表5!$A$1:$A$23, C1823)), 工作表5!$B$1:$B$23, "其他")</f>
        <v>定著組</v>
      </c>
      <c r="C1823" s="145" t="s">
        <v>1809</v>
      </c>
      <c r="D1823" s="156"/>
      <c r="E1823" s="156" t="s">
        <v>1623</v>
      </c>
      <c r="F1823" s="156" t="s">
        <v>909</v>
      </c>
      <c r="G1823" s="154">
        <v>280000</v>
      </c>
    </row>
    <row r="1824" spans="1:7" ht="21.6" customHeight="1">
      <c r="A1824" s="154" t="s">
        <v>46</v>
      </c>
      <c r="B1824" s="154" t="str" cm="1">
        <f t="array" ref="B1824">_xlfn.XLOOKUP(TRUE, ISNUMBER(SEARCH(工作表5!$A$1:$A$23, C1824)), 工作表5!$B$1:$B$23, "其他")</f>
        <v>定著組</v>
      </c>
      <c r="C1824" s="145" t="s">
        <v>87</v>
      </c>
      <c r="D1824" s="156"/>
      <c r="E1824" s="156" t="s">
        <v>1624</v>
      </c>
      <c r="F1824" s="156" t="s">
        <v>912</v>
      </c>
      <c r="G1824" s="154">
        <v>280000</v>
      </c>
    </row>
    <row r="1825" spans="1:7" ht="21.6" customHeight="1">
      <c r="A1825" s="154" t="s">
        <v>46</v>
      </c>
      <c r="B1825" s="154" t="str" cm="1">
        <f t="array" ref="B1825">_xlfn.XLOOKUP(TRUE, ISNUMBER(SEARCH(工作表5!$A$1:$A$23, C1825)), 工作表5!$B$1:$B$23, "其他")</f>
        <v>定著組</v>
      </c>
      <c r="C1825" s="144" t="s">
        <v>1827</v>
      </c>
      <c r="D1825" s="156"/>
      <c r="E1825" s="156" t="s">
        <v>1519</v>
      </c>
      <c r="F1825" s="156" t="s">
        <v>623</v>
      </c>
      <c r="G1825" s="154">
        <v>280000</v>
      </c>
    </row>
    <row r="1826" spans="1:7" ht="21.6" customHeight="1">
      <c r="A1826" s="154" t="s">
        <v>46</v>
      </c>
      <c r="B1826" s="154" t="str" cm="1">
        <f t="array" ref="B1826">_xlfn.XLOOKUP(TRUE, ISNUMBER(SEARCH(工作表5!$A$1:$A$23, C1826)), 工作表5!$B$1:$B$23, "其他")</f>
        <v>定著組</v>
      </c>
      <c r="C1826" s="144" t="s">
        <v>1828</v>
      </c>
      <c r="D1826" s="156"/>
      <c r="E1826" s="156" t="s">
        <v>1601</v>
      </c>
      <c r="F1826" s="156" t="s">
        <v>853</v>
      </c>
      <c r="G1826" s="154">
        <v>280000</v>
      </c>
    </row>
    <row r="1827" spans="1:7" ht="21.6" customHeight="1">
      <c r="A1827" s="154" t="s">
        <v>46</v>
      </c>
      <c r="B1827" s="154" t="str" cm="1">
        <f t="array" ref="B1827">_xlfn.XLOOKUP(TRUE, ISNUMBER(SEARCH(工作表5!$A$1:$A$23, C1827)), 工作表5!$B$1:$B$23, "其他")</f>
        <v>定著組</v>
      </c>
      <c r="C1827" s="145" t="s">
        <v>628</v>
      </c>
      <c r="D1827" s="156"/>
      <c r="E1827" s="156" t="s">
        <v>1521</v>
      </c>
      <c r="F1827" s="156" t="s">
        <v>627</v>
      </c>
      <c r="G1827" s="154">
        <v>280000</v>
      </c>
    </row>
    <row r="1828" spans="1:7" ht="21.6" customHeight="1">
      <c r="A1828" s="154" t="s">
        <v>46</v>
      </c>
      <c r="B1828" s="154" t="str" cm="1">
        <f t="array" ref="B1828">_xlfn.XLOOKUP(TRUE, ISNUMBER(SEARCH(工作表5!$A$1:$A$23, C1828)), 工作表5!$B$1:$B$23, "其他")</f>
        <v>手送台</v>
      </c>
      <c r="C1828" s="144" t="s">
        <v>631</v>
      </c>
      <c r="D1828" s="156"/>
      <c r="E1828" s="156" t="s">
        <v>1392</v>
      </c>
      <c r="F1828" s="156" t="s">
        <v>274</v>
      </c>
      <c r="G1828" s="154">
        <v>80000</v>
      </c>
    </row>
    <row r="1829" spans="1:7" ht="21.6" customHeight="1">
      <c r="A1829" s="154" t="s">
        <v>46</v>
      </c>
      <c r="B1829" s="154" t="str" cm="1">
        <f t="array" ref="B1829">_xlfn.XLOOKUP(TRUE, ISNUMBER(SEARCH(工作表5!$A$1:$A$23, C1829)), 工作表5!$B$1:$B$23, "其他")</f>
        <v>手送台</v>
      </c>
      <c r="C1829" s="144" t="s">
        <v>115</v>
      </c>
      <c r="D1829" s="156"/>
      <c r="E1829" s="156" t="s">
        <v>1393</v>
      </c>
      <c r="F1829" s="156" t="s">
        <v>277</v>
      </c>
      <c r="G1829" s="154">
        <v>80000</v>
      </c>
    </row>
    <row r="1830" spans="1:7" ht="21.6" customHeight="1">
      <c r="A1830" s="154" t="s">
        <v>46</v>
      </c>
      <c r="B1830" s="154" t="str" cm="1">
        <f t="array" ref="B1830">_xlfn.XLOOKUP(TRUE, ISNUMBER(SEARCH(工作表5!$A$1:$A$23, C1830)), 工作表5!$B$1:$B$23, "其他")</f>
        <v>取紙組</v>
      </c>
      <c r="C1830" s="144" t="s">
        <v>1841</v>
      </c>
      <c r="D1830" s="156"/>
      <c r="E1830" s="156" t="s">
        <v>1389</v>
      </c>
      <c r="F1830" s="156" t="s">
        <v>265</v>
      </c>
      <c r="G1830" s="154">
        <v>80000</v>
      </c>
    </row>
    <row r="1831" spans="1:7" ht="21.6" customHeight="1">
      <c r="A1831" s="154" t="s">
        <v>46</v>
      </c>
      <c r="B1831" s="154" t="str" cm="1">
        <f t="array" ref="B1831">_xlfn.XLOOKUP(TRUE, ISNUMBER(SEARCH(工作表5!$A$1:$A$23, C1831)), 工作表5!$B$1:$B$23, "其他")</f>
        <v>取紙組</v>
      </c>
      <c r="C1831" s="144" t="s">
        <v>797</v>
      </c>
      <c r="D1831" s="156"/>
      <c r="E1831" s="156" t="s">
        <v>1390</v>
      </c>
      <c r="F1831" s="156" t="s">
        <v>269</v>
      </c>
      <c r="G1831" s="154">
        <v>80000</v>
      </c>
    </row>
    <row r="1832" spans="1:7" ht="21.6" customHeight="1">
      <c r="A1832" s="154" t="s">
        <v>46</v>
      </c>
      <c r="B1832" s="154" t="str" cm="1">
        <f t="array" ref="B1832">_xlfn.XLOOKUP(TRUE, ISNUMBER(SEARCH(工作表5!$A$1:$A$23, C1832)), 工作表5!$B$1:$B$23, "其他")</f>
        <v>取紙組</v>
      </c>
      <c r="C1832" s="144" t="s">
        <v>1842</v>
      </c>
      <c r="D1832" s="156"/>
      <c r="E1832" s="156" t="s">
        <v>1391</v>
      </c>
      <c r="F1832" s="156" t="s">
        <v>272</v>
      </c>
      <c r="G1832" s="154">
        <v>80000</v>
      </c>
    </row>
    <row r="1833" spans="1:7" ht="21.6" customHeight="1">
      <c r="A1833" s="154" t="s">
        <v>46</v>
      </c>
      <c r="B1833" s="154" t="str" cm="1">
        <f t="array" ref="B1833">_xlfn.XLOOKUP(TRUE, ISNUMBER(SEARCH(工作表5!$A$1:$A$23, C1833)), 工作表5!$B$1:$B$23, "其他")</f>
        <v>送稿機</v>
      </c>
      <c r="C1833" s="144" t="s">
        <v>1781</v>
      </c>
      <c r="D1833" s="156"/>
      <c r="E1833" s="156" t="s">
        <v>1375</v>
      </c>
      <c r="F1833" s="156" t="s">
        <v>226</v>
      </c>
      <c r="G1833" s="154">
        <v>120000</v>
      </c>
    </row>
    <row r="1834" spans="1:7" ht="21.6" customHeight="1">
      <c r="A1834" s="154" t="s">
        <v>46</v>
      </c>
      <c r="B1834" s="154" t="str" cm="1">
        <f t="array" ref="B1834">_xlfn.XLOOKUP(TRUE, ISNUMBER(SEARCH(工作表5!$A$1:$A$23, C1834)), 工作表5!$B$1:$B$23, "其他")</f>
        <v>送稿機</v>
      </c>
      <c r="C1834" s="144" t="s">
        <v>278</v>
      </c>
      <c r="D1834" s="156"/>
      <c r="E1834" s="156" t="s">
        <v>1376</v>
      </c>
      <c r="F1834" s="156" t="s">
        <v>230</v>
      </c>
      <c r="G1834" s="154">
        <v>120000</v>
      </c>
    </row>
    <row r="1835" spans="1:7" ht="21.6" customHeight="1">
      <c r="A1835" s="154" t="s">
        <v>46</v>
      </c>
      <c r="B1835" s="154" t="str" cm="1">
        <f t="array" ref="B1835">_xlfn.XLOOKUP(TRUE, ISNUMBER(SEARCH(工作表5!$A$1:$A$23, C1835)), 工作表5!$B$1:$B$23, "其他")</f>
        <v>送稿機</v>
      </c>
      <c r="C1835" s="144" t="s">
        <v>1782</v>
      </c>
      <c r="D1835" s="156"/>
      <c r="E1835" s="156" t="s">
        <v>1394</v>
      </c>
      <c r="F1835" s="156" t="s">
        <v>281</v>
      </c>
      <c r="G1835" s="154">
        <v>120000</v>
      </c>
    </row>
    <row r="1836" spans="1:7" ht="21.6" customHeight="1">
      <c r="A1836" s="154" t="s">
        <v>46</v>
      </c>
      <c r="B1836" s="154" t="str" cm="1">
        <f t="array" ref="B1836">_xlfn.XLOOKUP(TRUE, ISNUMBER(SEARCH(工作表5!$A$1:$A$23, C1836)), 工作表5!$B$1:$B$23, "其他")</f>
        <v>送稿機</v>
      </c>
      <c r="C1836" s="144" t="s">
        <v>285</v>
      </c>
      <c r="D1836" s="156"/>
      <c r="E1836" s="156" t="s">
        <v>1395</v>
      </c>
      <c r="F1836" s="156" t="s">
        <v>226</v>
      </c>
      <c r="G1836" s="154">
        <v>120000</v>
      </c>
    </row>
    <row r="1837" spans="1:7" ht="21.6" customHeight="1">
      <c r="A1837" s="154" t="s">
        <v>46</v>
      </c>
      <c r="B1837" s="154" t="str" cm="1">
        <f t="array" ref="B1837">_xlfn.XLOOKUP(TRUE, ISNUMBER(SEARCH(工作表5!$A$1:$A$23, C1837)), 工作表5!$B$1:$B$23, "其他")</f>
        <v>送稿機</v>
      </c>
      <c r="C1837" s="144" t="s">
        <v>282</v>
      </c>
      <c r="D1837" s="156"/>
      <c r="E1837" s="156" t="s">
        <v>1396</v>
      </c>
      <c r="F1837" s="156" t="s">
        <v>288</v>
      </c>
      <c r="G1837" s="154">
        <v>120000</v>
      </c>
    </row>
    <row r="1838" spans="1:7" ht="21.6" customHeight="1">
      <c r="A1838" s="154" t="s">
        <v>46</v>
      </c>
      <c r="B1838" s="154" t="str" cm="1">
        <f t="array" ref="B1838">_xlfn.XLOOKUP(TRUE, ISNUMBER(SEARCH(工作表5!$A$1:$A$23, C1838)), 工作表5!$B$1:$B$23, "其他")</f>
        <v>取紙組</v>
      </c>
      <c r="C1838" s="144" t="s">
        <v>1843</v>
      </c>
      <c r="D1838" s="156"/>
      <c r="E1838" s="156" t="s">
        <v>1377</v>
      </c>
      <c r="F1838" s="156" t="s">
        <v>232</v>
      </c>
      <c r="G1838" s="154">
        <v>160000</v>
      </c>
    </row>
    <row r="1839" spans="1:7" ht="21.6" customHeight="1">
      <c r="A1839" s="154" t="s">
        <v>46</v>
      </c>
      <c r="B1839" s="154" t="str" cm="1">
        <f t="array" ref="B1839">_xlfn.XLOOKUP(TRUE, ISNUMBER(SEARCH(工作表5!$A$1:$A$23, C1839)), 工作表5!$B$1:$B$23, "其他")</f>
        <v>大容量取紙組</v>
      </c>
      <c r="C1839" s="144" t="s">
        <v>237</v>
      </c>
      <c r="D1839" s="156"/>
      <c r="E1839" s="156" t="s">
        <v>1378</v>
      </c>
      <c r="F1839" s="156" t="s">
        <v>236</v>
      </c>
      <c r="G1839" s="154">
        <v>160000</v>
      </c>
    </row>
    <row r="1840" spans="1:7" ht="21.6" customHeight="1">
      <c r="A1840" s="154" t="s">
        <v>46</v>
      </c>
      <c r="B1840" s="154" t="str" cm="1">
        <f t="array" ref="B1840">_xlfn.XLOOKUP(TRUE, ISNUMBER(SEARCH(工作表5!$A$1:$A$23, C1840)), 工作表5!$B$1:$B$23, "其他")</f>
        <v>取紙組</v>
      </c>
      <c r="C1840" s="144" t="s">
        <v>798</v>
      </c>
      <c r="D1840" s="156"/>
      <c r="E1840" s="156" t="s">
        <v>1379</v>
      </c>
      <c r="F1840" s="156" t="s">
        <v>239</v>
      </c>
      <c r="G1840" s="154">
        <v>160000</v>
      </c>
    </row>
    <row r="1841" spans="1:7" ht="21.6" customHeight="1">
      <c r="A1841" s="154" t="s">
        <v>46</v>
      </c>
      <c r="B1841" s="154" t="str" cm="1">
        <f t="array" ref="B1841">_xlfn.XLOOKUP(TRUE, ISNUMBER(SEARCH(工作表5!$A$1:$A$23, C1841)), 工作表5!$B$1:$B$23, "其他")</f>
        <v>顯像組</v>
      </c>
      <c r="C1841" s="144" t="s">
        <v>637</v>
      </c>
      <c r="D1841" s="156"/>
      <c r="E1841" s="156" t="s">
        <v>1625</v>
      </c>
      <c r="F1841" s="156" t="s">
        <v>914</v>
      </c>
      <c r="G1841" s="154">
        <v>210000</v>
      </c>
    </row>
    <row r="1842" spans="1:7" ht="21.6" customHeight="1">
      <c r="A1842" s="154" t="s">
        <v>46</v>
      </c>
      <c r="B1842" s="154" t="str" cm="1">
        <f t="array" ref="B1842">_xlfn.XLOOKUP(TRUE, ISNUMBER(SEARCH(工作表5!$A$1:$A$23, C1842)), 工作表5!$B$1:$B$23, "其他")</f>
        <v>顯像組</v>
      </c>
      <c r="C1842" s="144" t="s">
        <v>755</v>
      </c>
      <c r="D1842" s="156"/>
      <c r="E1842" s="156" t="s">
        <v>1626</v>
      </c>
      <c r="F1842" s="156" t="s">
        <v>916</v>
      </c>
      <c r="G1842" s="154">
        <v>105000</v>
      </c>
    </row>
    <row r="1843" spans="1:7" ht="21.6" customHeight="1">
      <c r="A1843" s="154" t="s">
        <v>46</v>
      </c>
      <c r="B1843" s="154" t="str" cm="1">
        <f t="array" ref="B1843">_xlfn.XLOOKUP(TRUE, ISNUMBER(SEARCH(工作表5!$A$1:$A$23, C1843)), 工作表5!$B$1:$B$23, "其他")</f>
        <v>取紙組</v>
      </c>
      <c r="C1843" s="144" t="s">
        <v>799</v>
      </c>
      <c r="D1843" s="156"/>
      <c r="E1843" s="156" t="s">
        <v>1399</v>
      </c>
      <c r="F1843" s="156" t="s">
        <v>296</v>
      </c>
      <c r="G1843" s="154">
        <v>80000</v>
      </c>
    </row>
    <row r="1844" spans="1:7" ht="21.6" customHeight="1">
      <c r="A1844" s="154" t="s">
        <v>46</v>
      </c>
      <c r="B1844" s="154" t="str" cm="1">
        <f t="array" ref="B1844">_xlfn.XLOOKUP(TRUE, ISNUMBER(SEARCH(工作表5!$A$1:$A$23, C1844)), 工作表5!$B$1:$B$23, "其他")</f>
        <v>送稿機</v>
      </c>
      <c r="C1844" s="144" t="s">
        <v>300</v>
      </c>
      <c r="D1844" s="156"/>
      <c r="E1844" s="156" t="s">
        <v>1400</v>
      </c>
      <c r="F1844" s="156" t="s">
        <v>299</v>
      </c>
      <c r="G1844" s="154">
        <v>120000</v>
      </c>
    </row>
    <row r="1845" spans="1:7" ht="21.6" customHeight="1">
      <c r="A1845" s="154" t="s">
        <v>46</v>
      </c>
      <c r="B1845" s="154" t="str" cm="1">
        <f t="array" ref="B1845">_xlfn.XLOOKUP(TRUE, ISNUMBER(SEARCH(工作表5!$A$1:$A$23, C1845)), 工作表5!$B$1:$B$23, "其他")</f>
        <v>送稿機</v>
      </c>
      <c r="C1845" s="144" t="s">
        <v>303</v>
      </c>
      <c r="D1845" s="156"/>
      <c r="E1845" s="156" t="s">
        <v>1401</v>
      </c>
      <c r="F1845" s="156" t="s">
        <v>302</v>
      </c>
      <c r="G1845" s="154">
        <v>120000</v>
      </c>
    </row>
    <row r="1846" spans="1:7" ht="21.6" customHeight="1">
      <c r="A1846" s="154" t="s">
        <v>46</v>
      </c>
      <c r="B1846" s="154" t="str" cm="1">
        <f t="array" ref="B1846">_xlfn.XLOOKUP(TRUE, ISNUMBER(SEARCH(工作表5!$A$1:$A$23, C1846)), 工作表5!$B$1:$B$23, "其他")</f>
        <v>其他</v>
      </c>
      <c r="C1846" s="144" t="s">
        <v>760</v>
      </c>
      <c r="D1846" s="156"/>
      <c r="E1846" s="156" t="s">
        <v>1384</v>
      </c>
      <c r="F1846" s="156" t="s">
        <v>252</v>
      </c>
      <c r="G1846" s="154">
        <v>160000</v>
      </c>
    </row>
    <row r="1847" spans="1:7" ht="21.6" customHeight="1">
      <c r="A1847" s="154" t="s">
        <v>46</v>
      </c>
      <c r="B1847" s="154" t="str" cm="1">
        <f t="array" ref="B1847">_xlfn.XLOOKUP(TRUE, ISNUMBER(SEARCH(工作表5!$A$1:$A$23, C1847)), 工作表5!$B$1:$B$23, "其他")</f>
        <v>定著組</v>
      </c>
      <c r="C1847" s="144" t="s">
        <v>642</v>
      </c>
      <c r="D1847" s="156"/>
      <c r="E1847" s="156" t="s">
        <v>1665</v>
      </c>
      <c r="F1847" s="156" t="s">
        <v>1017</v>
      </c>
      <c r="G1847" s="154">
        <v>280000</v>
      </c>
    </row>
    <row r="1848" spans="1:7" ht="21.6" customHeight="1">
      <c r="A1848" s="154" t="s">
        <v>46</v>
      </c>
      <c r="B1848" s="154" t="str" cm="1">
        <f t="array" ref="B1848">_xlfn.XLOOKUP(TRUE, ISNUMBER(SEARCH(工作表5!$A$1:$A$23, C1848)), 工作表5!$B$1:$B$23, "其他")</f>
        <v>定著組</v>
      </c>
      <c r="C1848" s="144" t="s">
        <v>642</v>
      </c>
      <c r="D1848" s="156"/>
      <c r="E1848" s="156" t="s">
        <v>1627</v>
      </c>
      <c r="F1848" s="156" t="s">
        <v>918</v>
      </c>
      <c r="G1848" s="154">
        <v>280000</v>
      </c>
    </row>
    <row r="1849" spans="1:7" ht="21.6" customHeight="1">
      <c r="A1849" s="154" t="s">
        <v>46</v>
      </c>
      <c r="B1849" s="154" t="str" cm="1">
        <f t="array" ref="B1849">_xlfn.XLOOKUP(TRUE, ISNUMBER(SEARCH(工作表5!$A$1:$A$23, C1849)), 工作表5!$B$1:$B$23, "其他")</f>
        <v>轉寫組</v>
      </c>
      <c r="C1849" s="144" t="s">
        <v>645</v>
      </c>
      <c r="D1849" s="156"/>
      <c r="E1849" s="156" t="s">
        <v>1525</v>
      </c>
      <c r="F1849" s="156" t="s">
        <v>644</v>
      </c>
      <c r="G1849" s="154">
        <v>210000</v>
      </c>
    </row>
    <row r="1850" spans="1:7" ht="21.6" customHeight="1">
      <c r="A1850" s="154" t="s">
        <v>46</v>
      </c>
      <c r="B1850" s="154" t="str" cm="1">
        <f t="array" ref="B1850">_xlfn.XLOOKUP(TRUE, ISNUMBER(SEARCH(工作表5!$A$1:$A$23, C1850)), 工作表5!$B$1:$B$23, "其他")</f>
        <v>定著組</v>
      </c>
      <c r="C1850" s="145" t="s">
        <v>585</v>
      </c>
      <c r="D1850" s="156"/>
      <c r="E1850" s="156" t="s">
        <v>1628</v>
      </c>
      <c r="F1850" s="156" t="s">
        <v>920</v>
      </c>
      <c r="G1850" s="154" t="e">
        <v>#VALUE!</v>
      </c>
    </row>
    <row r="1851" spans="1:7" ht="21.6" customHeight="1">
      <c r="A1851" s="154" t="s">
        <v>46</v>
      </c>
      <c r="B1851" s="154" t="str" cm="1">
        <f t="array" ref="B1851">_xlfn.XLOOKUP(TRUE, ISNUMBER(SEARCH(工作表5!$A$1:$A$23, C1851)), 工作表5!$B$1:$B$23, "其他")</f>
        <v>定著組</v>
      </c>
      <c r="C1851" s="145" t="s">
        <v>585</v>
      </c>
      <c r="D1851" s="156"/>
      <c r="E1851" s="156" t="s">
        <v>1629</v>
      </c>
      <c r="F1851" s="156" t="s">
        <v>922</v>
      </c>
      <c r="G1851" s="154" t="e">
        <v>#VALUE!</v>
      </c>
    </row>
    <row r="1852" spans="1:7" ht="21.6" customHeight="1">
      <c r="A1852" s="154" t="s">
        <v>46</v>
      </c>
      <c r="B1852" s="154" t="str" cm="1">
        <f t="array" ref="B1852">_xlfn.XLOOKUP(TRUE, ISNUMBER(SEARCH(工作表5!$A$1:$A$23, C1852)), 工作表5!$B$1:$B$23, "其他")</f>
        <v>顯像組</v>
      </c>
      <c r="C1852" s="145" t="s">
        <v>129</v>
      </c>
      <c r="D1852" s="156"/>
      <c r="E1852" s="156" t="s">
        <v>1630</v>
      </c>
      <c r="F1852" s="156" t="s">
        <v>924</v>
      </c>
      <c r="G1852" s="154" t="e">
        <v>#VALUE!</v>
      </c>
    </row>
    <row r="1853" spans="1:7" ht="21.6" customHeight="1">
      <c r="A1853" s="154" t="s">
        <v>46</v>
      </c>
      <c r="B1853" s="154" t="str" cm="1">
        <f t="array" ref="B1853">_xlfn.XLOOKUP(TRUE, ISNUMBER(SEARCH(工作表5!$A$1:$A$23, C1853)), 工作表5!$B$1:$B$23, "其他")</f>
        <v>顯像組</v>
      </c>
      <c r="C1853" s="145" t="s">
        <v>772</v>
      </c>
      <c r="D1853" s="156"/>
      <c r="E1853" s="156" t="s">
        <v>1631</v>
      </c>
      <c r="F1853" s="156" t="s">
        <v>927</v>
      </c>
      <c r="G1853" s="154" t="e">
        <v>#VALUE!</v>
      </c>
    </row>
    <row r="1854" spans="1:7" ht="21.6" customHeight="1">
      <c r="A1854" s="154" t="s">
        <v>46</v>
      </c>
      <c r="B1854" s="154" t="str" cm="1">
        <f t="array" ref="B1854">_xlfn.XLOOKUP(TRUE, ISNUMBER(SEARCH(工作表5!$A$1:$A$23, C1854)), 工作表5!$B$1:$B$23, "其他")</f>
        <v>顯像組</v>
      </c>
      <c r="C1854" s="145" t="s">
        <v>775</v>
      </c>
      <c r="D1854" s="156"/>
      <c r="E1854" s="156" t="s">
        <v>1632</v>
      </c>
      <c r="F1854" s="156" t="s">
        <v>929</v>
      </c>
      <c r="G1854" s="154" t="e">
        <v>#VALUE!</v>
      </c>
    </row>
    <row r="1855" spans="1:7" ht="21.6" customHeight="1">
      <c r="A1855" s="154" t="s">
        <v>46</v>
      </c>
      <c r="B1855" s="154" t="str" cm="1">
        <f t="array" ref="B1855">_xlfn.XLOOKUP(TRUE, ISNUMBER(SEARCH(工作表5!$A$1:$A$23, C1855)), 工作表5!$B$1:$B$23, "其他")</f>
        <v>顯像組</v>
      </c>
      <c r="C1855" s="145" t="s">
        <v>778</v>
      </c>
      <c r="D1855" s="156"/>
      <c r="E1855" s="156" t="s">
        <v>1633</v>
      </c>
      <c r="F1855" s="156" t="s">
        <v>931</v>
      </c>
      <c r="G1855" s="154" t="e">
        <v>#VALUE!</v>
      </c>
    </row>
    <row r="1856" spans="1:7" ht="21.6" customHeight="1">
      <c r="A1856" s="154" t="s">
        <v>46</v>
      </c>
      <c r="B1856" s="154" t="str" cm="1">
        <f t="array" ref="B1856">_xlfn.XLOOKUP(TRUE, ISNUMBER(SEARCH(工作表5!$A$1:$A$23, C1856)), 工作表5!$B$1:$B$23, "其他")</f>
        <v>顯像組</v>
      </c>
      <c r="C1856" s="145" t="s">
        <v>129</v>
      </c>
      <c r="D1856" s="156"/>
      <c r="E1856" s="156" t="s">
        <v>1634</v>
      </c>
      <c r="F1856" s="156" t="s">
        <v>933</v>
      </c>
      <c r="G1856" s="154" t="e">
        <v>#VALUE!</v>
      </c>
    </row>
    <row r="1857" spans="1:7" ht="21.6" customHeight="1">
      <c r="A1857" s="154" t="s">
        <v>46</v>
      </c>
      <c r="B1857" s="154" t="str" cm="1">
        <f t="array" ref="B1857">_xlfn.XLOOKUP(TRUE, ISNUMBER(SEARCH(工作表5!$A$1:$A$23, C1857)), 工作表5!$B$1:$B$23, "其他")</f>
        <v>顯像組</v>
      </c>
      <c r="C1857" s="145" t="s">
        <v>772</v>
      </c>
      <c r="D1857" s="156"/>
      <c r="E1857" s="156" t="s">
        <v>1635</v>
      </c>
      <c r="F1857" s="156" t="s">
        <v>936</v>
      </c>
      <c r="G1857" s="154" t="e">
        <v>#VALUE!</v>
      </c>
    </row>
    <row r="1858" spans="1:7" ht="21.6" customHeight="1">
      <c r="A1858" s="154" t="s">
        <v>46</v>
      </c>
      <c r="B1858" s="154" t="str" cm="1">
        <f t="array" ref="B1858">_xlfn.XLOOKUP(TRUE, ISNUMBER(SEARCH(工作表5!$A$1:$A$23, C1858)), 工作表5!$B$1:$B$23, "其他")</f>
        <v>顯像組</v>
      </c>
      <c r="C1858" s="145" t="s">
        <v>775</v>
      </c>
      <c r="D1858" s="156"/>
      <c r="E1858" s="156" t="s">
        <v>1636</v>
      </c>
      <c r="F1858" s="156" t="s">
        <v>938</v>
      </c>
      <c r="G1858" s="154" t="e">
        <v>#VALUE!</v>
      </c>
    </row>
    <row r="1859" spans="1:7" ht="21.6" customHeight="1">
      <c r="A1859" s="154" t="s">
        <v>46</v>
      </c>
      <c r="B1859" s="154" t="str" cm="1">
        <f t="array" ref="B1859">_xlfn.XLOOKUP(TRUE, ISNUMBER(SEARCH(工作表5!$A$1:$A$23, C1859)), 工作表5!$B$1:$B$23, "其他")</f>
        <v>顯像組</v>
      </c>
      <c r="C1859" s="145" t="s">
        <v>778</v>
      </c>
      <c r="D1859" s="156"/>
      <c r="E1859" s="156" t="s">
        <v>1637</v>
      </c>
      <c r="F1859" s="156" t="s">
        <v>940</v>
      </c>
      <c r="G1859" s="154" t="e">
        <v>#VALUE!</v>
      </c>
    </row>
    <row r="1860" spans="1:7" ht="21.6" customHeight="1">
      <c r="A1860" s="154" t="s">
        <v>46</v>
      </c>
      <c r="B1860" s="154" t="str" cm="1">
        <f t="array" ref="B1860">_xlfn.XLOOKUP(TRUE, ISNUMBER(SEARCH(工作表5!$A$1:$A$23, C1860)), 工作表5!$B$1:$B$23, "其他")</f>
        <v>轉寫組</v>
      </c>
      <c r="C1860" s="144" t="s">
        <v>1821</v>
      </c>
      <c r="D1860" s="156"/>
      <c r="E1860" s="156" t="s">
        <v>1528</v>
      </c>
      <c r="F1860" s="156" t="s">
        <v>651</v>
      </c>
      <c r="G1860" s="154" t="e">
        <v>#VALUE!</v>
      </c>
    </row>
    <row r="1861" spans="1:7" ht="21.6" customHeight="1">
      <c r="A1861" s="154" t="s">
        <v>46</v>
      </c>
      <c r="B1861" s="154" t="str" cm="1">
        <f t="array" ref="B1861">_xlfn.XLOOKUP(TRUE, ISNUMBER(SEARCH(工作表5!$A$1:$A$23, C1861)), 工作表5!$B$1:$B$23, "其他")</f>
        <v>轉寫組</v>
      </c>
      <c r="C1861" s="150" t="s">
        <v>1805</v>
      </c>
      <c r="D1861" s="156"/>
      <c r="E1861" s="156" t="s">
        <v>1638</v>
      </c>
      <c r="F1861" s="156" t="s">
        <v>942</v>
      </c>
      <c r="G1861" s="154" t="e">
        <v>#VALUE!</v>
      </c>
    </row>
    <row r="1862" spans="1:7" ht="21.6" customHeight="1">
      <c r="A1862" s="154" t="s">
        <v>48</v>
      </c>
      <c r="B1862" s="154" t="str" cm="1">
        <f t="array" ref="B1862">_xlfn.XLOOKUP(TRUE, ISNUMBER(SEARCH(工作表5!$A$1:$A$23, C1862)), 工作表5!$B$1:$B$23, "其他")</f>
        <v>滾筒組</v>
      </c>
      <c r="C1862" s="143" t="s">
        <v>589</v>
      </c>
      <c r="D1862" s="156"/>
      <c r="E1862" s="156" t="s">
        <v>1504</v>
      </c>
      <c r="F1862" s="156" t="s">
        <v>588</v>
      </c>
      <c r="G1862" s="154">
        <v>210000</v>
      </c>
    </row>
    <row r="1863" spans="1:7" ht="21.6" customHeight="1">
      <c r="A1863" s="154" t="s">
        <v>48</v>
      </c>
      <c r="B1863" s="154" t="str" cm="1">
        <f t="array" ref="B1863">_xlfn.XLOOKUP(TRUE, ISNUMBER(SEARCH(工作表5!$A$1:$A$23, C1863)), 工作表5!$B$1:$B$23, "其他")</f>
        <v>滾筒組</v>
      </c>
      <c r="C1863" s="150" t="s">
        <v>887</v>
      </c>
      <c r="D1863" s="156"/>
      <c r="E1863" s="156" t="s">
        <v>1595</v>
      </c>
      <c r="F1863" s="156" t="s">
        <v>841</v>
      </c>
      <c r="G1863" s="154">
        <v>105000</v>
      </c>
    </row>
    <row r="1864" spans="1:7" ht="21.6" customHeight="1">
      <c r="A1864" s="154" t="s">
        <v>48</v>
      </c>
      <c r="B1864" s="154" t="str" cm="1">
        <f t="array" ref="B1864">_xlfn.XLOOKUP(TRUE, ISNUMBER(SEARCH(工作表5!$A$1:$A$23, C1864)), 工作表5!$B$1:$B$23, "其他")</f>
        <v>顯像組</v>
      </c>
      <c r="C1864" s="145" t="s">
        <v>502</v>
      </c>
      <c r="D1864" s="156"/>
      <c r="E1864" s="156" t="s">
        <v>1505</v>
      </c>
      <c r="F1864" s="156" t="s">
        <v>592</v>
      </c>
      <c r="G1864" s="154" t="e">
        <v>#VALUE!</v>
      </c>
    </row>
    <row r="1865" spans="1:7" ht="21.6" customHeight="1">
      <c r="A1865" s="154" t="s">
        <v>48</v>
      </c>
      <c r="B1865" s="154" t="str" cm="1">
        <f t="array" ref="B1865">_xlfn.XLOOKUP(TRUE, ISNUMBER(SEARCH(工作表5!$A$1:$A$23, C1865)), 工作表5!$B$1:$B$23, "其他")</f>
        <v>顯像組</v>
      </c>
      <c r="C1865" s="145" t="s">
        <v>703</v>
      </c>
      <c r="D1865" s="156"/>
      <c r="E1865" s="156" t="s">
        <v>1639</v>
      </c>
      <c r="F1865" s="156" t="s">
        <v>944</v>
      </c>
      <c r="G1865" s="154">
        <v>210000</v>
      </c>
    </row>
    <row r="1866" spans="1:7" ht="21.6" customHeight="1">
      <c r="A1866" s="154" t="s">
        <v>48</v>
      </c>
      <c r="B1866" s="154" t="str" cm="1">
        <f t="array" ref="B1866">_xlfn.XLOOKUP(TRUE, ISNUMBER(SEARCH(工作表5!$A$1:$A$23, C1866)), 工作表5!$B$1:$B$23, "其他")</f>
        <v>顯像組</v>
      </c>
      <c r="C1866" s="144" t="s">
        <v>706</v>
      </c>
      <c r="D1866" s="156"/>
      <c r="E1866" s="156" t="s">
        <v>1640</v>
      </c>
      <c r="F1866" s="156" t="s">
        <v>946</v>
      </c>
      <c r="G1866" s="154">
        <v>210000</v>
      </c>
    </row>
    <row r="1867" spans="1:7" ht="21.6" customHeight="1">
      <c r="A1867" s="154" t="s">
        <v>48</v>
      </c>
      <c r="B1867" s="154" t="str" cm="1">
        <f t="array" ref="B1867">_xlfn.XLOOKUP(TRUE, ISNUMBER(SEARCH(工作表5!$A$1:$A$23, C1867)), 工作表5!$B$1:$B$23, "其他")</f>
        <v>顯像組</v>
      </c>
      <c r="C1867" s="145" t="s">
        <v>709</v>
      </c>
      <c r="D1867" s="156"/>
      <c r="E1867" s="156" t="s">
        <v>1641</v>
      </c>
      <c r="F1867" s="156" t="s">
        <v>948</v>
      </c>
      <c r="G1867" s="154">
        <v>210000</v>
      </c>
    </row>
    <row r="1868" spans="1:7" ht="21.6" customHeight="1">
      <c r="A1868" s="154" t="s">
        <v>48</v>
      </c>
      <c r="B1868" s="154" t="str" cm="1">
        <f t="array" ref="B1868">_xlfn.XLOOKUP(TRUE, ISNUMBER(SEARCH(工作表5!$A$1:$A$23, C1868)), 工作表5!$B$1:$B$23, "其他")</f>
        <v>滾筒組</v>
      </c>
      <c r="C1868" s="145" t="s">
        <v>415</v>
      </c>
      <c r="D1868" s="156"/>
      <c r="E1868" s="156" t="s">
        <v>1506</v>
      </c>
      <c r="F1868" s="156" t="s">
        <v>594</v>
      </c>
      <c r="G1868" s="154" t="e">
        <v>#VALUE!</v>
      </c>
    </row>
    <row r="1869" spans="1:7" ht="21.6" customHeight="1">
      <c r="A1869" s="154" t="s">
        <v>48</v>
      </c>
      <c r="B1869" s="154" t="str" cm="1">
        <f t="array" ref="B1869">_xlfn.XLOOKUP(TRUE, ISNUMBER(SEARCH(工作表5!$A$1:$A$23, C1869)), 工作表5!$B$1:$B$23, "其他")</f>
        <v>滾筒組</v>
      </c>
      <c r="C1869" s="144" t="s">
        <v>597</v>
      </c>
      <c r="D1869" s="156"/>
      <c r="E1869" s="156" t="s">
        <v>1507</v>
      </c>
      <c r="F1869" s="156" t="s">
        <v>596</v>
      </c>
      <c r="G1869" s="154">
        <v>210000</v>
      </c>
    </row>
    <row r="1870" spans="1:7" ht="21.6" customHeight="1">
      <c r="A1870" s="154" t="s">
        <v>48</v>
      </c>
      <c r="B1870" s="154" t="str" cm="1">
        <f t="array" ref="B1870">_xlfn.XLOOKUP(TRUE, ISNUMBER(SEARCH(工作表5!$A$1:$A$23, C1870)), 工作表5!$B$1:$B$23, "其他")</f>
        <v>滾筒組</v>
      </c>
      <c r="C1870" s="144" t="s">
        <v>901</v>
      </c>
      <c r="D1870" s="156"/>
      <c r="E1870" s="156" t="s">
        <v>1642</v>
      </c>
      <c r="F1870" s="156" t="s">
        <v>950</v>
      </c>
      <c r="G1870" s="154">
        <v>105000</v>
      </c>
    </row>
    <row r="1871" spans="1:7" ht="21.6" customHeight="1">
      <c r="A1871" s="154" t="s">
        <v>48</v>
      </c>
      <c r="B1871" s="154" t="str" cm="1">
        <f t="array" ref="B1871">_xlfn.XLOOKUP(TRUE, ISNUMBER(SEARCH(工作表5!$A$1:$A$23, C1871)), 工作表5!$B$1:$B$23, "其他")</f>
        <v>顯像組</v>
      </c>
      <c r="C1871" s="145" t="s">
        <v>600</v>
      </c>
      <c r="D1871" s="156"/>
      <c r="E1871" s="156" t="s">
        <v>1508</v>
      </c>
      <c r="F1871" s="156" t="s">
        <v>599</v>
      </c>
      <c r="G1871" s="154" t="e">
        <v>#VALUE!</v>
      </c>
    </row>
    <row r="1872" spans="1:7" ht="21.6" customHeight="1">
      <c r="A1872" s="154" t="s">
        <v>48</v>
      </c>
      <c r="B1872" s="154" t="str" cm="1">
        <f t="array" ref="B1872">_xlfn.XLOOKUP(TRUE, ISNUMBER(SEARCH(工作表5!$A$1:$A$23, C1872)), 工作表5!$B$1:$B$23, "其他")</f>
        <v>顯像組</v>
      </c>
      <c r="C1872" s="144" t="s">
        <v>1822</v>
      </c>
      <c r="D1872" s="156"/>
      <c r="E1872" s="156" t="s">
        <v>1509</v>
      </c>
      <c r="F1872" s="156" t="s">
        <v>602</v>
      </c>
      <c r="G1872" s="154" t="e">
        <v>#VALUE!</v>
      </c>
    </row>
    <row r="1873" spans="1:7" ht="21.6" customHeight="1">
      <c r="A1873" s="154" t="s">
        <v>48</v>
      </c>
      <c r="B1873" s="154" t="str" cm="1">
        <f t="array" ref="B1873">_xlfn.XLOOKUP(TRUE, ISNUMBER(SEARCH(工作表5!$A$1:$A$23, C1873)), 工作表5!$B$1:$B$23, "其他")</f>
        <v>滾筒組</v>
      </c>
      <c r="C1873" s="144" t="s">
        <v>1823</v>
      </c>
      <c r="D1873" s="156"/>
      <c r="E1873" s="156" t="s">
        <v>1510</v>
      </c>
      <c r="F1873" s="156" t="s">
        <v>604</v>
      </c>
      <c r="G1873" s="154" t="e">
        <v>#VALUE!</v>
      </c>
    </row>
    <row r="1874" spans="1:7" ht="21.6" customHeight="1">
      <c r="A1874" s="154" t="s">
        <v>48</v>
      </c>
      <c r="B1874" s="154" t="str" cm="1">
        <f t="array" ref="B1874">_xlfn.XLOOKUP(TRUE, ISNUMBER(SEARCH(工作表5!$A$1:$A$23, C1874)), 工作表5!$B$1:$B$23, "其他")</f>
        <v>轉寫組</v>
      </c>
      <c r="C1874" s="145" t="s">
        <v>533</v>
      </c>
      <c r="D1874" s="156"/>
      <c r="E1874" s="156" t="s">
        <v>1511</v>
      </c>
      <c r="F1874" s="156" t="s">
        <v>606</v>
      </c>
      <c r="G1874" s="154">
        <v>210000</v>
      </c>
    </row>
    <row r="1875" spans="1:7" ht="21.6" customHeight="1">
      <c r="A1875" s="154" t="s">
        <v>48</v>
      </c>
      <c r="B1875" s="154" t="str" cm="1">
        <f t="array" ref="B1875">_xlfn.XLOOKUP(TRUE, ISNUMBER(SEARCH(工作表5!$A$1:$A$23, C1875)), 工作表5!$B$1:$B$23, "其他")</f>
        <v>轉寫組</v>
      </c>
      <c r="C1875" s="145" t="s">
        <v>1812</v>
      </c>
      <c r="D1875" s="156"/>
      <c r="E1875" s="156" t="s">
        <v>1512</v>
      </c>
      <c r="F1875" s="156" t="s">
        <v>608</v>
      </c>
      <c r="G1875" s="154">
        <v>210000</v>
      </c>
    </row>
    <row r="1876" spans="1:7" ht="21.6" customHeight="1">
      <c r="A1876" s="154" t="s">
        <v>48</v>
      </c>
      <c r="B1876" s="154" t="str" cm="1">
        <f t="array" ref="B1876">_xlfn.XLOOKUP(TRUE, ISNUMBER(SEARCH(工作表5!$A$1:$A$23, C1876)), 工作表5!$B$1:$B$23, "其他")</f>
        <v>轉寫組</v>
      </c>
      <c r="C1876" s="145" t="s">
        <v>1824</v>
      </c>
      <c r="D1876" s="156"/>
      <c r="E1876" s="156" t="s">
        <v>1513</v>
      </c>
      <c r="F1876" s="156" t="s">
        <v>610</v>
      </c>
      <c r="G1876" s="154">
        <v>210000</v>
      </c>
    </row>
    <row r="1877" spans="1:7" ht="21.6" customHeight="1">
      <c r="A1877" s="154" t="s">
        <v>48</v>
      </c>
      <c r="B1877" s="154" t="str" cm="1">
        <f t="array" ref="B1877">_xlfn.XLOOKUP(TRUE, ISNUMBER(SEARCH(工作表5!$A$1:$A$23, C1877)), 工作表5!$B$1:$B$23, "其他")</f>
        <v>轉寫組</v>
      </c>
      <c r="C1877" s="145" t="s">
        <v>1825</v>
      </c>
      <c r="D1877" s="156"/>
      <c r="E1877" s="156" t="s">
        <v>1514</v>
      </c>
      <c r="F1877" s="156" t="s">
        <v>612</v>
      </c>
      <c r="G1877" s="154">
        <v>210000</v>
      </c>
    </row>
    <row r="1878" spans="1:7" ht="21.6" customHeight="1">
      <c r="A1878" s="154" t="s">
        <v>48</v>
      </c>
      <c r="B1878" s="154" t="str" cm="1">
        <f t="array" ref="B1878">_xlfn.XLOOKUP(TRUE, ISNUMBER(SEARCH(工作表5!$A$1:$A$23, C1878)), 工作表5!$B$1:$B$23, "其他")</f>
        <v>轉寫組</v>
      </c>
      <c r="C1878" s="145" t="s">
        <v>1826</v>
      </c>
      <c r="D1878" s="156"/>
      <c r="E1878" s="156" t="s">
        <v>1515</v>
      </c>
      <c r="F1878" s="156" t="s">
        <v>614</v>
      </c>
      <c r="G1878" s="154">
        <v>210000</v>
      </c>
    </row>
    <row r="1879" spans="1:7" ht="21.6" customHeight="1">
      <c r="A1879" s="154" t="s">
        <v>48</v>
      </c>
      <c r="B1879" s="154" t="str" cm="1">
        <f t="array" ref="B1879">_xlfn.XLOOKUP(TRUE, ISNUMBER(SEARCH(工作表5!$A$1:$A$23, C1879)), 工作表5!$B$1:$B$23, "其他")</f>
        <v>其他</v>
      </c>
      <c r="C1879" s="144" t="s">
        <v>101</v>
      </c>
      <c r="D1879" s="156"/>
      <c r="E1879" s="156" t="s">
        <v>1516</v>
      </c>
      <c r="F1879" s="156" t="s">
        <v>616</v>
      </c>
      <c r="G1879" s="154">
        <v>630000</v>
      </c>
    </row>
    <row r="1880" spans="1:7" ht="21.6" customHeight="1">
      <c r="A1880" s="154" t="s">
        <v>48</v>
      </c>
      <c r="B1880" s="154" t="str" cm="1">
        <f t="array" ref="B1880">_xlfn.XLOOKUP(TRUE, ISNUMBER(SEARCH(工作表5!$A$1:$A$23, C1880)), 工作表5!$B$1:$B$23, "其他")</f>
        <v>定著組</v>
      </c>
      <c r="C1880" s="145" t="s">
        <v>1809</v>
      </c>
      <c r="D1880" s="156"/>
      <c r="E1880" s="156" t="s">
        <v>1643</v>
      </c>
      <c r="F1880" s="156" t="s">
        <v>952</v>
      </c>
      <c r="G1880" s="154">
        <v>280000</v>
      </c>
    </row>
    <row r="1881" spans="1:7" ht="21.6" customHeight="1">
      <c r="A1881" s="154" t="s">
        <v>48</v>
      </c>
      <c r="B1881" s="154" t="str" cm="1">
        <f t="array" ref="B1881">_xlfn.XLOOKUP(TRUE, ISNUMBER(SEARCH(工作表5!$A$1:$A$23, C1881)), 工作表5!$B$1:$B$23, "其他")</f>
        <v>定著組</v>
      </c>
      <c r="C1881" s="145" t="s">
        <v>87</v>
      </c>
      <c r="D1881" s="156"/>
      <c r="E1881" s="156" t="s">
        <v>1518</v>
      </c>
      <c r="F1881" s="156" t="s">
        <v>621</v>
      </c>
      <c r="G1881" s="154">
        <v>280000</v>
      </c>
    </row>
    <row r="1882" spans="1:7" ht="21.6" customHeight="1">
      <c r="A1882" s="154" t="s">
        <v>48</v>
      </c>
      <c r="B1882" s="154" t="str" cm="1">
        <f t="array" ref="B1882">_xlfn.XLOOKUP(TRUE, ISNUMBER(SEARCH(工作表5!$A$1:$A$23, C1882)), 工作表5!$B$1:$B$23, "其他")</f>
        <v>定著組</v>
      </c>
      <c r="C1882" s="145" t="s">
        <v>628</v>
      </c>
      <c r="D1882" s="156"/>
      <c r="E1882" s="156" t="s">
        <v>1521</v>
      </c>
      <c r="F1882" s="156" t="s">
        <v>627</v>
      </c>
      <c r="G1882" s="154">
        <v>280000</v>
      </c>
    </row>
    <row r="1883" spans="1:7" ht="21.6" customHeight="1">
      <c r="A1883" s="154" t="s">
        <v>48</v>
      </c>
      <c r="B1883" s="154" t="str" cm="1">
        <f t="array" ref="B1883">_xlfn.XLOOKUP(TRUE, ISNUMBER(SEARCH(工作表5!$A$1:$A$23, C1883)), 工作表5!$B$1:$B$23, "其他")</f>
        <v>手送台</v>
      </c>
      <c r="C1883" s="144" t="s">
        <v>631</v>
      </c>
      <c r="D1883" s="156"/>
      <c r="E1883" s="156" t="s">
        <v>1522</v>
      </c>
      <c r="F1883" s="156" t="s">
        <v>630</v>
      </c>
      <c r="G1883" s="154">
        <v>120000</v>
      </c>
    </row>
    <row r="1884" spans="1:7" ht="21.6" customHeight="1">
      <c r="A1884" s="154" t="s">
        <v>48</v>
      </c>
      <c r="B1884" s="154" t="str" cm="1">
        <f t="array" ref="B1884">_xlfn.XLOOKUP(TRUE, ISNUMBER(SEARCH(工作表5!$A$1:$A$23, C1884)), 工作表5!$B$1:$B$23, "其他")</f>
        <v>手送台</v>
      </c>
      <c r="C1884" s="144" t="s">
        <v>115</v>
      </c>
      <c r="D1884" s="156"/>
      <c r="E1884" s="156" t="s">
        <v>1409</v>
      </c>
      <c r="F1884" s="156" t="s">
        <v>330</v>
      </c>
      <c r="G1884" s="154">
        <v>120000</v>
      </c>
    </row>
    <row r="1885" spans="1:7" ht="21.6" customHeight="1">
      <c r="A1885" s="154" t="s">
        <v>48</v>
      </c>
      <c r="B1885" s="154" t="str" cm="1">
        <f t="array" ref="B1885">_xlfn.XLOOKUP(TRUE, ISNUMBER(SEARCH(工作表5!$A$1:$A$23, C1885)), 工作表5!$B$1:$B$23, "其他")</f>
        <v>取紙組</v>
      </c>
      <c r="C1885" s="144" t="s">
        <v>1829</v>
      </c>
      <c r="D1885" s="156"/>
      <c r="E1885" s="156" t="s">
        <v>1389</v>
      </c>
      <c r="F1885" s="156" t="s">
        <v>265</v>
      </c>
      <c r="G1885" s="154">
        <v>80000</v>
      </c>
    </row>
    <row r="1886" spans="1:7" ht="21.6" customHeight="1">
      <c r="A1886" s="154" t="s">
        <v>48</v>
      </c>
      <c r="B1886" s="154" t="str" cm="1">
        <f t="array" ref="B1886">_xlfn.XLOOKUP(TRUE, ISNUMBER(SEARCH(工作表5!$A$1:$A$23, C1886)), 工作表5!$B$1:$B$23, "其他")</f>
        <v>取紙組</v>
      </c>
      <c r="C1886" s="144" t="s">
        <v>633</v>
      </c>
      <c r="D1886" s="156"/>
      <c r="E1886" s="156" t="s">
        <v>1390</v>
      </c>
      <c r="F1886" s="156" t="s">
        <v>269</v>
      </c>
      <c r="G1886" s="154">
        <v>80000</v>
      </c>
    </row>
    <row r="1887" spans="1:7" ht="21.6" customHeight="1">
      <c r="A1887" s="154" t="s">
        <v>48</v>
      </c>
      <c r="B1887" s="154" t="str" cm="1">
        <f t="array" ref="B1887">_xlfn.XLOOKUP(TRUE, ISNUMBER(SEARCH(工作表5!$A$1:$A$23, C1887)), 工作表5!$B$1:$B$23, "其他")</f>
        <v>取紙組</v>
      </c>
      <c r="C1887" s="144" t="s">
        <v>1830</v>
      </c>
      <c r="D1887" s="156"/>
      <c r="E1887" s="156" t="s">
        <v>1391</v>
      </c>
      <c r="F1887" s="156" t="s">
        <v>272</v>
      </c>
      <c r="G1887" s="154">
        <v>80000</v>
      </c>
    </row>
    <row r="1888" spans="1:7" ht="21.6" customHeight="1">
      <c r="A1888" s="154" t="s">
        <v>48</v>
      </c>
      <c r="B1888" s="154" t="str" cm="1">
        <f t="array" ref="B1888">_xlfn.XLOOKUP(TRUE, ISNUMBER(SEARCH(工作表5!$A$1:$A$23, C1888)), 工作表5!$B$1:$B$23, "其他")</f>
        <v>送稿機</v>
      </c>
      <c r="C1888" s="144" t="s">
        <v>1781</v>
      </c>
      <c r="D1888" s="156"/>
      <c r="E1888" s="156" t="s">
        <v>1375</v>
      </c>
      <c r="F1888" s="156" t="s">
        <v>226</v>
      </c>
      <c r="G1888" s="154">
        <v>120000</v>
      </c>
    </row>
    <row r="1889" spans="1:7" ht="21.6" customHeight="1">
      <c r="A1889" s="154" t="s">
        <v>48</v>
      </c>
      <c r="B1889" s="154" t="str" cm="1">
        <f t="array" ref="B1889">_xlfn.XLOOKUP(TRUE, ISNUMBER(SEARCH(工作表5!$A$1:$A$23, C1889)), 工作表5!$B$1:$B$23, "其他")</f>
        <v>送稿機</v>
      </c>
      <c r="C1889" s="144" t="s">
        <v>278</v>
      </c>
      <c r="D1889" s="156"/>
      <c r="E1889" s="156" t="s">
        <v>1376</v>
      </c>
      <c r="F1889" s="156" t="s">
        <v>230</v>
      </c>
      <c r="G1889" s="154">
        <v>120000</v>
      </c>
    </row>
    <row r="1890" spans="1:7" ht="21.6" customHeight="1">
      <c r="A1890" s="154" t="s">
        <v>48</v>
      </c>
      <c r="B1890" s="154" t="str" cm="1">
        <f t="array" ref="B1890">_xlfn.XLOOKUP(TRUE, ISNUMBER(SEARCH(工作表5!$A$1:$A$23, C1890)), 工作表5!$B$1:$B$23, "其他")</f>
        <v>送稿機</v>
      </c>
      <c r="C1890" s="144" t="s">
        <v>1782</v>
      </c>
      <c r="D1890" s="156"/>
      <c r="E1890" s="156" t="s">
        <v>1407</v>
      </c>
      <c r="F1890" s="156" t="s">
        <v>324</v>
      </c>
      <c r="G1890" s="154">
        <v>120000</v>
      </c>
    </row>
    <row r="1891" spans="1:7" ht="21.6" customHeight="1">
      <c r="A1891" s="154" t="s">
        <v>48</v>
      </c>
      <c r="B1891" s="154" t="str" cm="1">
        <f t="array" ref="B1891">_xlfn.XLOOKUP(TRUE, ISNUMBER(SEARCH(工作表5!$A$1:$A$23, C1891)), 工作表5!$B$1:$B$23, "其他")</f>
        <v>送稿機</v>
      </c>
      <c r="C1891" s="144" t="s">
        <v>285</v>
      </c>
      <c r="D1891" s="156"/>
      <c r="E1891" s="156" t="s">
        <v>1395</v>
      </c>
      <c r="F1891" s="156" t="s">
        <v>226</v>
      </c>
      <c r="G1891" s="154">
        <v>120000</v>
      </c>
    </row>
    <row r="1892" spans="1:7" ht="21.6" customHeight="1">
      <c r="A1892" s="154" t="s">
        <v>48</v>
      </c>
      <c r="B1892" s="154" t="str" cm="1">
        <f t="array" ref="B1892">_xlfn.XLOOKUP(TRUE, ISNUMBER(SEARCH(工作表5!$A$1:$A$23, C1892)), 工作表5!$B$1:$B$23, "其他")</f>
        <v>送稿機</v>
      </c>
      <c r="C1892" s="144" t="s">
        <v>282</v>
      </c>
      <c r="D1892" s="156"/>
      <c r="E1892" s="156" t="s">
        <v>1396</v>
      </c>
      <c r="F1892" s="156" t="s">
        <v>288</v>
      </c>
      <c r="G1892" s="154">
        <v>120000</v>
      </c>
    </row>
    <row r="1893" spans="1:7" ht="21.6" customHeight="1">
      <c r="A1893" s="154" t="s">
        <v>48</v>
      </c>
      <c r="B1893" s="154" t="str" cm="1">
        <f t="array" ref="B1893">_xlfn.XLOOKUP(TRUE, ISNUMBER(SEARCH(工作表5!$A$1:$A$23, C1893)), 工作表5!$B$1:$B$23, "其他")</f>
        <v>大容量取紙組</v>
      </c>
      <c r="C1893" s="144" t="s">
        <v>237</v>
      </c>
      <c r="D1893" s="156"/>
      <c r="E1893" s="156" t="s">
        <v>1408</v>
      </c>
      <c r="F1893" s="156" t="s">
        <v>327</v>
      </c>
      <c r="G1893" s="154">
        <v>320000</v>
      </c>
    </row>
    <row r="1894" spans="1:7" ht="21.6" customHeight="1">
      <c r="A1894" s="154" t="s">
        <v>48</v>
      </c>
      <c r="B1894" s="154" t="str" cm="1">
        <f t="array" ref="B1894">_xlfn.XLOOKUP(TRUE, ISNUMBER(SEARCH(工作表5!$A$1:$A$23, C1894)), 工作表5!$B$1:$B$23, "其他")</f>
        <v>取紙組</v>
      </c>
      <c r="C1894" s="144" t="s">
        <v>634</v>
      </c>
      <c r="D1894" s="156"/>
      <c r="E1894" s="156" t="s">
        <v>1409</v>
      </c>
      <c r="F1894" s="156" t="s">
        <v>330</v>
      </c>
      <c r="G1894" s="154">
        <v>320000</v>
      </c>
    </row>
    <row r="1895" spans="1:7" ht="21.6" customHeight="1">
      <c r="A1895" s="154" t="s">
        <v>48</v>
      </c>
      <c r="B1895" s="154" t="str" cm="1">
        <f t="array" ref="B1895">_xlfn.XLOOKUP(TRUE, ISNUMBER(SEARCH(工作表5!$A$1:$A$23, C1895)), 工作表5!$B$1:$B$23, "其他")</f>
        <v>其他</v>
      </c>
      <c r="C1895" s="144" t="s">
        <v>1784</v>
      </c>
      <c r="D1895" s="156"/>
      <c r="E1895" s="156" t="s">
        <v>1410</v>
      </c>
      <c r="F1895" s="156" t="s">
        <v>333</v>
      </c>
      <c r="G1895" s="154">
        <v>500000</v>
      </c>
    </row>
    <row r="1896" spans="1:7" ht="21.6" customHeight="1">
      <c r="A1896" s="154" t="s">
        <v>48</v>
      </c>
      <c r="B1896" s="154" t="str" cm="1">
        <f t="array" ref="B1896">_xlfn.XLOOKUP(TRUE, ISNUMBER(SEARCH(工作表5!$A$1:$A$23, C1896)), 工作表5!$B$1:$B$23, "其他")</f>
        <v>送稿機</v>
      </c>
      <c r="C1896" s="144" t="s">
        <v>337</v>
      </c>
      <c r="D1896" s="156"/>
      <c r="E1896" s="156" t="s">
        <v>1411</v>
      </c>
      <c r="F1896" s="156" t="s">
        <v>336</v>
      </c>
      <c r="G1896" s="154">
        <v>500000</v>
      </c>
    </row>
    <row r="1897" spans="1:7" ht="21.6" customHeight="1">
      <c r="A1897" s="154" t="s">
        <v>48</v>
      </c>
      <c r="B1897" s="154" t="str" cm="1">
        <f t="array" ref="B1897">_xlfn.XLOOKUP(TRUE, ISNUMBER(SEARCH(工作表5!$A$1:$A$23, C1897)), 工作表5!$B$1:$B$23, "其他")</f>
        <v>送稿機</v>
      </c>
      <c r="C1897" s="145" t="s">
        <v>341</v>
      </c>
      <c r="D1897" s="156"/>
      <c r="E1897" s="156" t="s">
        <v>1412</v>
      </c>
      <c r="F1897" s="156" t="s">
        <v>340</v>
      </c>
      <c r="G1897" s="154">
        <v>500000</v>
      </c>
    </row>
    <row r="1898" spans="1:7" ht="21.6" customHeight="1">
      <c r="A1898" s="154" t="s">
        <v>48</v>
      </c>
      <c r="B1898" s="154" t="str" cm="1">
        <f t="array" ref="B1898">_xlfn.XLOOKUP(TRUE, ISNUMBER(SEARCH(工作表5!$A$1:$A$23, C1898)), 工作表5!$B$1:$B$23, "其他")</f>
        <v>顯像組</v>
      </c>
      <c r="C1898" s="144" t="s">
        <v>637</v>
      </c>
      <c r="D1898" s="156"/>
      <c r="E1898" s="156" t="s">
        <v>1523</v>
      </c>
      <c r="F1898" s="156" t="s">
        <v>636</v>
      </c>
      <c r="G1898" s="154">
        <v>210000</v>
      </c>
    </row>
    <row r="1899" spans="1:7" ht="21.6" customHeight="1">
      <c r="A1899" s="154" t="s">
        <v>48</v>
      </c>
      <c r="B1899" s="154" t="str" cm="1">
        <f t="array" ref="B1899">_xlfn.XLOOKUP(TRUE, ISNUMBER(SEARCH(工作表5!$A$1:$A$23, C1899)), 工作表5!$B$1:$B$23, "其他")</f>
        <v>顯像組</v>
      </c>
      <c r="C1899" s="144" t="s">
        <v>755</v>
      </c>
      <c r="D1899" s="156"/>
      <c r="E1899" s="156" t="s">
        <v>1644</v>
      </c>
      <c r="F1899" s="156" t="s">
        <v>955</v>
      </c>
      <c r="G1899" s="154">
        <v>105000</v>
      </c>
    </row>
    <row r="1900" spans="1:7" ht="21.6" customHeight="1">
      <c r="A1900" s="154" t="s">
        <v>48</v>
      </c>
      <c r="B1900" s="154" t="str" cm="1">
        <f t="array" ref="B1900">_xlfn.XLOOKUP(TRUE, ISNUMBER(SEARCH(工作表5!$A$1:$A$23, C1900)), 工作表5!$B$1:$B$23, "其他")</f>
        <v>取紙組</v>
      </c>
      <c r="C1900" s="144" t="s">
        <v>638</v>
      </c>
      <c r="D1900" s="156"/>
      <c r="E1900" s="156" t="s">
        <v>1399</v>
      </c>
      <c r="F1900" s="156" t="s">
        <v>296</v>
      </c>
      <c r="G1900" s="154">
        <v>80000</v>
      </c>
    </row>
    <row r="1901" spans="1:7" ht="21.6" customHeight="1">
      <c r="A1901" s="154" t="s">
        <v>48</v>
      </c>
      <c r="B1901" s="154" t="str" cm="1">
        <f t="array" ref="B1901">_xlfn.XLOOKUP(TRUE, ISNUMBER(SEARCH(工作表5!$A$1:$A$23, C1901)), 工作表5!$B$1:$B$23, "其他")</f>
        <v>送稿機</v>
      </c>
      <c r="C1901" s="144" t="s">
        <v>300</v>
      </c>
      <c r="D1901" s="156"/>
      <c r="E1901" s="156" t="s">
        <v>1400</v>
      </c>
      <c r="F1901" s="156" t="s">
        <v>299</v>
      </c>
      <c r="G1901" s="154">
        <v>120000</v>
      </c>
    </row>
    <row r="1902" spans="1:7" ht="21.6" customHeight="1">
      <c r="A1902" s="154" t="s">
        <v>48</v>
      </c>
      <c r="B1902" s="154" t="str" cm="1">
        <f t="array" ref="B1902">_xlfn.XLOOKUP(TRUE, ISNUMBER(SEARCH(工作表5!$A$1:$A$23, C1902)), 工作表5!$B$1:$B$23, "其他")</f>
        <v>送稿機</v>
      </c>
      <c r="C1902" s="144" t="s">
        <v>303</v>
      </c>
      <c r="D1902" s="156"/>
      <c r="E1902" s="156" t="s">
        <v>1414</v>
      </c>
      <c r="F1902" s="156" t="s">
        <v>346</v>
      </c>
      <c r="G1902" s="154">
        <v>120000</v>
      </c>
    </row>
    <row r="1903" spans="1:7" ht="21.6" customHeight="1">
      <c r="A1903" s="154" t="s">
        <v>48</v>
      </c>
      <c r="B1903" s="154" t="str" cm="1">
        <f t="array" ref="B1903">_xlfn.XLOOKUP(TRUE, ISNUMBER(SEARCH(工作表5!$A$1:$A$23, C1903)), 工作表5!$B$1:$B$23, "其他")</f>
        <v>其他</v>
      </c>
      <c r="C1903" s="144" t="s">
        <v>349</v>
      </c>
      <c r="D1903" s="156"/>
      <c r="E1903" s="156" t="s">
        <v>1415</v>
      </c>
      <c r="F1903" s="156" t="s">
        <v>348</v>
      </c>
      <c r="G1903" s="154">
        <v>500000</v>
      </c>
    </row>
    <row r="1904" spans="1:7" ht="21.6" customHeight="1">
      <c r="A1904" s="154" t="s">
        <v>48</v>
      </c>
      <c r="B1904" s="154" t="str" cm="1">
        <f t="array" ref="B1904">_xlfn.XLOOKUP(TRUE, ISNUMBER(SEARCH(工作表5!$A$1:$A$23, C1904)), 工作表5!$B$1:$B$23, "其他")</f>
        <v>定著組</v>
      </c>
      <c r="C1904" s="144" t="s">
        <v>642</v>
      </c>
      <c r="D1904" s="156"/>
      <c r="E1904" s="156" t="s">
        <v>1645</v>
      </c>
      <c r="F1904" s="156" t="s">
        <v>957</v>
      </c>
      <c r="G1904" s="154">
        <v>280000</v>
      </c>
    </row>
    <row r="1905" spans="1:7" ht="21.6" customHeight="1">
      <c r="A1905" s="154" t="s">
        <v>48</v>
      </c>
      <c r="B1905" s="154" t="str" cm="1">
        <f t="array" ref="B1905">_xlfn.XLOOKUP(TRUE, ISNUMBER(SEARCH(工作表5!$A$1:$A$23, C1905)), 工作表5!$B$1:$B$23, "其他")</f>
        <v>轉寫組</v>
      </c>
      <c r="C1905" s="144" t="s">
        <v>645</v>
      </c>
      <c r="D1905" s="156"/>
      <c r="E1905" s="156" t="s">
        <v>1525</v>
      </c>
      <c r="F1905" s="156" t="s">
        <v>644</v>
      </c>
      <c r="G1905" s="154">
        <v>210000</v>
      </c>
    </row>
    <row r="1906" spans="1:7" ht="21.6" customHeight="1">
      <c r="A1906" s="154" t="s">
        <v>48</v>
      </c>
      <c r="B1906" s="154" t="str" cm="1">
        <f t="array" ref="B1906">_xlfn.XLOOKUP(TRUE, ISNUMBER(SEARCH(工作表5!$A$1:$A$23, C1906)), 工作表5!$B$1:$B$23, "其他")</f>
        <v>定著組</v>
      </c>
      <c r="C1906" s="145" t="s">
        <v>585</v>
      </c>
      <c r="D1906" s="156"/>
      <c r="E1906" s="156" t="s">
        <v>1664</v>
      </c>
      <c r="F1906" s="156" t="s">
        <v>1008</v>
      </c>
      <c r="G1906" s="154" t="e">
        <v>#VALUE!</v>
      </c>
    </row>
    <row r="1907" spans="1:7" ht="21.6" customHeight="1">
      <c r="A1907" s="154" t="s">
        <v>48</v>
      </c>
      <c r="B1907" s="154" t="str" cm="1">
        <f t="array" ref="B1907">_xlfn.XLOOKUP(TRUE, ISNUMBER(SEARCH(工作表5!$A$1:$A$23, C1907)), 工作表5!$B$1:$B$23, "其他")</f>
        <v>定著組</v>
      </c>
      <c r="C1907" s="145" t="s">
        <v>585</v>
      </c>
      <c r="D1907" s="156"/>
      <c r="E1907" s="156" t="s">
        <v>1646</v>
      </c>
      <c r="F1907" s="156" t="s">
        <v>959</v>
      </c>
      <c r="G1907" s="154" t="e">
        <v>#VALUE!</v>
      </c>
    </row>
    <row r="1908" spans="1:7" ht="21.6" customHeight="1">
      <c r="A1908" s="154" t="s">
        <v>48</v>
      </c>
      <c r="B1908" s="154" t="str" cm="1">
        <f t="array" ref="B1908">_xlfn.XLOOKUP(TRUE, ISNUMBER(SEARCH(工作表5!$A$1:$A$23, C1908)), 工作表5!$B$1:$B$23, "其他")</f>
        <v>顯像組</v>
      </c>
      <c r="C1908" s="145" t="s">
        <v>129</v>
      </c>
      <c r="D1908" s="156"/>
      <c r="E1908" s="156" t="s">
        <v>1647</v>
      </c>
      <c r="F1908" s="156" t="s">
        <v>962</v>
      </c>
      <c r="G1908" s="154" t="e">
        <v>#VALUE!</v>
      </c>
    </row>
    <row r="1909" spans="1:7" ht="21.6" customHeight="1">
      <c r="A1909" s="154" t="s">
        <v>48</v>
      </c>
      <c r="B1909" s="154" t="str" cm="1">
        <f t="array" ref="B1909">_xlfn.XLOOKUP(TRUE, ISNUMBER(SEARCH(工作表5!$A$1:$A$23, C1909)), 工作表5!$B$1:$B$23, "其他")</f>
        <v>顯像組</v>
      </c>
      <c r="C1909" s="145" t="s">
        <v>772</v>
      </c>
      <c r="D1909" s="156"/>
      <c r="E1909" s="156" t="s">
        <v>1648</v>
      </c>
      <c r="F1909" s="156" t="s">
        <v>964</v>
      </c>
      <c r="G1909" s="154" t="e">
        <v>#VALUE!</v>
      </c>
    </row>
    <row r="1910" spans="1:7" ht="21.6" customHeight="1">
      <c r="A1910" s="154" t="s">
        <v>48</v>
      </c>
      <c r="B1910" s="154" t="str" cm="1">
        <f t="array" ref="B1910">_xlfn.XLOOKUP(TRUE, ISNUMBER(SEARCH(工作表5!$A$1:$A$23, C1910)), 工作表5!$B$1:$B$23, "其他")</f>
        <v>顯像組</v>
      </c>
      <c r="C1910" s="145" t="s">
        <v>775</v>
      </c>
      <c r="D1910" s="156"/>
      <c r="E1910" s="156" t="s">
        <v>1649</v>
      </c>
      <c r="F1910" s="156" t="s">
        <v>966</v>
      </c>
      <c r="G1910" s="154" t="e">
        <v>#VALUE!</v>
      </c>
    </row>
    <row r="1911" spans="1:7" ht="21.6" customHeight="1">
      <c r="A1911" s="154" t="s">
        <v>48</v>
      </c>
      <c r="B1911" s="154" t="str" cm="1">
        <f t="array" ref="B1911">_xlfn.XLOOKUP(TRUE, ISNUMBER(SEARCH(工作表5!$A$1:$A$23, C1911)), 工作表5!$B$1:$B$23, "其他")</f>
        <v>顯像組</v>
      </c>
      <c r="C1911" s="145" t="s">
        <v>778</v>
      </c>
      <c r="D1911" s="156"/>
      <c r="E1911" s="156" t="s">
        <v>1650</v>
      </c>
      <c r="F1911" s="156" t="s">
        <v>968</v>
      </c>
      <c r="G1911" s="154" t="e">
        <v>#VALUE!</v>
      </c>
    </row>
    <row r="1912" spans="1:7" ht="21.6" customHeight="1">
      <c r="A1912" s="154" t="s">
        <v>48</v>
      </c>
      <c r="B1912" s="154" t="str" cm="1">
        <f t="array" ref="B1912">_xlfn.XLOOKUP(TRUE, ISNUMBER(SEARCH(工作表5!$A$1:$A$23, C1912)), 工作表5!$B$1:$B$23, "其他")</f>
        <v>轉寫組</v>
      </c>
      <c r="C1912" s="144" t="s">
        <v>1821</v>
      </c>
      <c r="D1912" s="156"/>
      <c r="E1912" s="156" t="s">
        <v>1528</v>
      </c>
      <c r="F1912" s="156" t="s">
        <v>651</v>
      </c>
      <c r="G1912" s="154" t="e">
        <v>#VALUE!</v>
      </c>
    </row>
    <row r="1913" spans="1:7" ht="21.6" customHeight="1">
      <c r="A1913" s="154" t="s">
        <v>48</v>
      </c>
      <c r="B1913" s="154" t="str" cm="1">
        <f t="array" ref="B1913">_xlfn.XLOOKUP(TRUE, ISNUMBER(SEARCH(工作表5!$A$1:$A$23, C1913)), 工作表5!$B$1:$B$23, "其他")</f>
        <v>轉寫組</v>
      </c>
      <c r="C1913" s="150" t="s">
        <v>1805</v>
      </c>
      <c r="D1913" s="156"/>
      <c r="E1913" s="156" t="s">
        <v>1651</v>
      </c>
      <c r="F1913" s="156" t="s">
        <v>970</v>
      </c>
      <c r="G1913" s="154" t="e">
        <v>#VALUE!</v>
      </c>
    </row>
    <row r="1914" spans="1:7" ht="21.6" customHeight="1">
      <c r="A1914" s="154" t="s">
        <v>1314</v>
      </c>
      <c r="B1914" s="154" t="str" cm="1">
        <f t="array" ref="B1914">_xlfn.XLOOKUP(TRUE, ISNUMBER(SEARCH(工作表5!$A$1:$A$23, C1914)), 工作表5!$B$1:$B$23, "其他")</f>
        <v>滾筒組</v>
      </c>
      <c r="C1914" s="143" t="s">
        <v>193</v>
      </c>
      <c r="D1914" s="156"/>
      <c r="E1914" s="156" t="s">
        <v>1595</v>
      </c>
      <c r="F1914" s="156" t="s">
        <v>841</v>
      </c>
      <c r="G1914" s="154">
        <v>75600</v>
      </c>
    </row>
    <row r="1915" spans="1:7" ht="21.6" customHeight="1">
      <c r="A1915" s="154" t="s">
        <v>1314</v>
      </c>
      <c r="B1915" s="154" t="str" cm="1">
        <f t="array" ref="B1915">_xlfn.XLOOKUP(TRUE, ISNUMBER(SEARCH(工作表5!$A$1:$A$23, C1915)), 工作表5!$B$1:$B$23, "其他")</f>
        <v>顯像組</v>
      </c>
      <c r="C1915" s="145" t="s">
        <v>502</v>
      </c>
      <c r="D1915" s="156"/>
      <c r="E1915" s="156" t="s">
        <v>1543</v>
      </c>
      <c r="F1915" s="156" t="s">
        <v>700</v>
      </c>
      <c r="G1915" s="154">
        <v>75600</v>
      </c>
    </row>
    <row r="1916" spans="1:7" ht="21.6" customHeight="1">
      <c r="A1916" s="154" t="s">
        <v>1314</v>
      </c>
      <c r="B1916" s="154" t="str" cm="1">
        <f t="array" ref="B1916">_xlfn.XLOOKUP(TRUE, ISNUMBER(SEARCH(工作表5!$A$1:$A$23, C1916)), 工作表5!$B$1:$B$23, "其他")</f>
        <v>顯像組</v>
      </c>
      <c r="C1916" s="145" t="s">
        <v>703</v>
      </c>
      <c r="D1916" s="156"/>
      <c r="E1916" s="156" t="s">
        <v>1544</v>
      </c>
      <c r="F1916" s="156" t="s">
        <v>702</v>
      </c>
      <c r="G1916" s="154">
        <v>75600</v>
      </c>
    </row>
    <row r="1917" spans="1:7" ht="21.6" customHeight="1">
      <c r="A1917" s="154" t="s">
        <v>1314</v>
      </c>
      <c r="B1917" s="154" t="str" cm="1">
        <f t="array" ref="B1917">_xlfn.XLOOKUP(TRUE, ISNUMBER(SEARCH(工作表5!$A$1:$A$23, C1917)), 工作表5!$B$1:$B$23, "其他")</f>
        <v>顯像組</v>
      </c>
      <c r="C1917" s="144" t="s">
        <v>706</v>
      </c>
      <c r="D1917" s="156"/>
      <c r="E1917" s="156" t="s">
        <v>1545</v>
      </c>
      <c r="F1917" s="156" t="s">
        <v>705</v>
      </c>
      <c r="G1917" s="154">
        <v>75600</v>
      </c>
    </row>
    <row r="1918" spans="1:7" ht="21.6" customHeight="1">
      <c r="A1918" s="154" t="s">
        <v>1314</v>
      </c>
      <c r="B1918" s="154" t="str" cm="1">
        <f t="array" ref="B1918">_xlfn.XLOOKUP(TRUE, ISNUMBER(SEARCH(工作表5!$A$1:$A$23, C1918)), 工作表5!$B$1:$B$23, "其他")</f>
        <v>顯像組</v>
      </c>
      <c r="C1918" s="145" t="s">
        <v>709</v>
      </c>
      <c r="D1918" s="156"/>
      <c r="E1918" s="156" t="s">
        <v>1546</v>
      </c>
      <c r="F1918" s="156" t="s">
        <v>708</v>
      </c>
      <c r="G1918" s="154">
        <v>75600</v>
      </c>
    </row>
    <row r="1919" spans="1:7" ht="21.6" customHeight="1">
      <c r="A1919" s="154" t="s">
        <v>1314</v>
      </c>
      <c r="B1919" s="154" t="str" cm="1">
        <f t="array" ref="B1919">_xlfn.XLOOKUP(TRUE, ISNUMBER(SEARCH(工作表5!$A$1:$A$23, C1919)), 工作表5!$B$1:$B$23, "其他")</f>
        <v>滾筒組</v>
      </c>
      <c r="C1919" s="145" t="s">
        <v>415</v>
      </c>
      <c r="D1919" s="156"/>
      <c r="E1919" s="156" t="s">
        <v>1547</v>
      </c>
      <c r="F1919" s="156" t="s">
        <v>711</v>
      </c>
      <c r="G1919" s="154">
        <v>75600</v>
      </c>
    </row>
    <row r="1920" spans="1:7" ht="21.6" customHeight="1">
      <c r="A1920" s="154" t="s">
        <v>1314</v>
      </c>
      <c r="B1920" s="154" t="str" cm="1">
        <f t="array" ref="B1920">_xlfn.XLOOKUP(TRUE, ISNUMBER(SEARCH(工作表5!$A$1:$A$23, C1920)), 工作表5!$B$1:$B$23, "其他")</f>
        <v>轉寫組</v>
      </c>
      <c r="C1920" s="145" t="s">
        <v>533</v>
      </c>
      <c r="D1920" s="156"/>
      <c r="E1920" s="156" t="s">
        <v>1511</v>
      </c>
      <c r="F1920" s="156" t="s">
        <v>606</v>
      </c>
      <c r="G1920" s="154">
        <v>151200</v>
      </c>
    </row>
    <row r="1921" spans="1:7" ht="21.6" customHeight="1">
      <c r="A1921" s="154" t="s">
        <v>1314</v>
      </c>
      <c r="B1921" s="154" t="str" cm="1">
        <f t="array" ref="B1921">_xlfn.XLOOKUP(TRUE, ISNUMBER(SEARCH(工作表5!$A$1:$A$23, C1921)), 工作表5!$B$1:$B$23, "其他")</f>
        <v>轉寫組</v>
      </c>
      <c r="C1921" s="145" t="s">
        <v>1812</v>
      </c>
      <c r="D1921" s="156"/>
      <c r="E1921" s="156" t="s">
        <v>1512</v>
      </c>
      <c r="F1921" s="156" t="s">
        <v>608</v>
      </c>
      <c r="G1921" s="154">
        <v>226800</v>
      </c>
    </row>
    <row r="1922" spans="1:7" ht="21.6" customHeight="1">
      <c r="A1922" s="154" t="s">
        <v>1314</v>
      </c>
      <c r="B1922" s="154" t="str" cm="1">
        <f t="array" ref="B1922">_xlfn.XLOOKUP(TRUE, ISNUMBER(SEARCH(工作表5!$A$1:$A$23, C1922)), 工作表5!$B$1:$B$23, "其他")</f>
        <v>定著組</v>
      </c>
      <c r="C1922" s="144" t="s">
        <v>1809</v>
      </c>
      <c r="D1922" s="156"/>
      <c r="E1922" s="156" t="s">
        <v>1666</v>
      </c>
      <c r="F1922" s="156" t="s">
        <v>1756</v>
      </c>
      <c r="G1922" s="154">
        <v>302400</v>
      </c>
    </row>
    <row r="1923" spans="1:7" ht="21.6" customHeight="1">
      <c r="A1923" s="154" t="s">
        <v>1314</v>
      </c>
      <c r="B1923" s="154" t="str" cm="1">
        <f t="array" ref="B1923">_xlfn.XLOOKUP(TRUE, ISNUMBER(SEARCH(工作表5!$A$1:$A$23, C1923)), 工作表5!$B$1:$B$23, "其他")</f>
        <v>定著組</v>
      </c>
      <c r="C1923" s="144" t="s">
        <v>87</v>
      </c>
      <c r="D1923" s="156"/>
      <c r="E1923" s="156" t="s">
        <v>1597</v>
      </c>
      <c r="F1923" s="156" t="s">
        <v>844</v>
      </c>
      <c r="G1923" s="154">
        <v>302400</v>
      </c>
    </row>
    <row r="1924" spans="1:7" ht="21.6" customHeight="1">
      <c r="A1924" s="154" t="s">
        <v>1314</v>
      </c>
      <c r="B1924" s="154" t="str" cm="1">
        <f t="array" ref="B1924">_xlfn.XLOOKUP(TRUE, ISNUMBER(SEARCH(工作表5!$A$1:$A$23, C1924)), 工作表5!$B$1:$B$23, "其他")</f>
        <v>滾筒組</v>
      </c>
      <c r="C1924" s="144" t="s">
        <v>107</v>
      </c>
      <c r="D1924" s="156"/>
      <c r="E1924" s="156" t="s">
        <v>1598</v>
      </c>
      <c r="F1924" s="156" t="s">
        <v>846</v>
      </c>
      <c r="G1924" s="154">
        <v>75600</v>
      </c>
    </row>
    <row r="1925" spans="1:7" ht="21.6" customHeight="1">
      <c r="A1925" s="154" t="s">
        <v>1314</v>
      </c>
      <c r="B1925" s="154" t="str" cm="1">
        <f t="array" ref="B1925">_xlfn.XLOOKUP(TRUE, ISNUMBER(SEARCH(工作表5!$A$1:$A$23, C1925)), 工作表5!$B$1:$B$23, "其他")</f>
        <v>顯像組</v>
      </c>
      <c r="C1925" s="145" t="s">
        <v>104</v>
      </c>
      <c r="D1925" s="156"/>
      <c r="E1925" s="156" t="s">
        <v>1508</v>
      </c>
      <c r="F1925" s="156" t="s">
        <v>599</v>
      </c>
      <c r="G1925" s="154">
        <v>75600</v>
      </c>
    </row>
    <row r="1926" spans="1:7" ht="21.6" customHeight="1">
      <c r="A1926" s="154" t="s">
        <v>1314</v>
      </c>
      <c r="B1926" s="154" t="str" cm="1">
        <f t="array" ref="B1926">_xlfn.XLOOKUP(TRUE, ISNUMBER(SEARCH(工作表5!$A$1:$A$23, C1926)), 工作表5!$B$1:$B$23, "其他")</f>
        <v>顯像組</v>
      </c>
      <c r="C1926" s="144" t="s">
        <v>1822</v>
      </c>
      <c r="D1926" s="156"/>
      <c r="E1926" s="156" t="s">
        <v>1555</v>
      </c>
      <c r="F1926" s="156" t="s">
        <v>730</v>
      </c>
      <c r="G1926" s="154">
        <v>75600</v>
      </c>
    </row>
    <row r="1927" spans="1:7" ht="21.6" customHeight="1">
      <c r="A1927" s="154" t="s">
        <v>1314</v>
      </c>
      <c r="B1927" s="154" t="str" cm="1">
        <f t="array" ref="B1927">_xlfn.XLOOKUP(TRUE, ISNUMBER(SEARCH(工作表5!$A$1:$A$23, C1927)), 工作表5!$B$1:$B$23, "其他")</f>
        <v>定著組</v>
      </c>
      <c r="C1927" s="144" t="s">
        <v>733</v>
      </c>
      <c r="D1927" s="156"/>
      <c r="E1927" s="156" t="s">
        <v>1556</v>
      </c>
      <c r="F1927" s="156" t="s">
        <v>732</v>
      </c>
      <c r="G1927" s="154">
        <v>75600</v>
      </c>
    </row>
    <row r="1928" spans="1:7" ht="21.6" customHeight="1">
      <c r="A1928" s="154" t="s">
        <v>1314</v>
      </c>
      <c r="B1928" s="154" t="str" cm="1">
        <f t="array" ref="B1928">_xlfn.XLOOKUP(TRUE, ISNUMBER(SEARCH(工作表5!$A$1:$A$23, C1928)), 工作表5!$B$1:$B$23, "其他")</f>
        <v>定著組</v>
      </c>
      <c r="C1928" s="144" t="s">
        <v>736</v>
      </c>
      <c r="D1928" s="156"/>
      <c r="E1928" s="156" t="s">
        <v>1557</v>
      </c>
      <c r="F1928" s="156" t="s">
        <v>735</v>
      </c>
      <c r="G1928" s="154">
        <v>75600</v>
      </c>
    </row>
    <row r="1929" spans="1:7" ht="21.6" customHeight="1">
      <c r="A1929" s="154" t="s">
        <v>1314</v>
      </c>
      <c r="B1929" s="154" t="str" cm="1">
        <f t="array" ref="B1929">_xlfn.XLOOKUP(TRUE, ISNUMBER(SEARCH(工作表5!$A$1:$A$23, C1929)), 工作表5!$B$1:$B$23, "其他")</f>
        <v>其他</v>
      </c>
      <c r="C1929" s="144">
        <f>+$H$1434</f>
        <v>0</v>
      </c>
      <c r="D1929" s="156"/>
      <c r="E1929" s="156" t="s">
        <v>1599</v>
      </c>
      <c r="F1929" s="156" t="s">
        <v>848</v>
      </c>
      <c r="G1929" s="154">
        <v>302400</v>
      </c>
    </row>
    <row r="1930" spans="1:7" ht="21.6" customHeight="1">
      <c r="A1930" s="154" t="s">
        <v>1314</v>
      </c>
      <c r="B1930" s="154" t="str" cm="1">
        <f t="array" ref="B1930">_xlfn.XLOOKUP(TRUE, ISNUMBER(SEARCH(工作表5!$A$1:$A$23, C1930)), 工作表5!$B$1:$B$23, "其他")</f>
        <v>其他</v>
      </c>
      <c r="C1930" s="144">
        <f>+$H$1435</f>
        <v>0</v>
      </c>
      <c r="D1930" s="156"/>
      <c r="E1930" s="156" t="s">
        <v>1600</v>
      </c>
      <c r="F1930" s="156" t="s">
        <v>851</v>
      </c>
      <c r="G1930" s="154">
        <v>302400</v>
      </c>
    </row>
    <row r="1931" spans="1:7" ht="21.6" customHeight="1">
      <c r="A1931" s="154" t="s">
        <v>1314</v>
      </c>
      <c r="B1931" s="154" t="str" cm="1">
        <f t="array" ref="B1931">_xlfn.XLOOKUP(TRUE, ISNUMBER(SEARCH(工作表5!$A$1:$A$23, C1931)), 工作表5!$B$1:$B$23, "其他")</f>
        <v>轉寫組</v>
      </c>
      <c r="C1931" s="144" t="s">
        <v>1824</v>
      </c>
      <c r="D1931" s="156"/>
      <c r="E1931" s="156" t="s">
        <v>1513</v>
      </c>
      <c r="F1931" s="156" t="s">
        <v>610</v>
      </c>
      <c r="G1931" s="154">
        <v>226800</v>
      </c>
    </row>
    <row r="1932" spans="1:7" ht="21.6" customHeight="1">
      <c r="A1932" s="154" t="s">
        <v>1314</v>
      </c>
      <c r="B1932" s="154" t="str" cm="1">
        <f t="array" ref="B1932">_xlfn.XLOOKUP(TRUE, ISNUMBER(SEARCH(工作表5!$A$1:$A$23, C1932)), 工作表5!$B$1:$B$23, "其他")</f>
        <v>轉寫組</v>
      </c>
      <c r="C1932" s="144" t="s">
        <v>1825</v>
      </c>
      <c r="D1932" s="156"/>
      <c r="E1932" s="156" t="s">
        <v>1514</v>
      </c>
      <c r="F1932" s="156" t="s">
        <v>612</v>
      </c>
      <c r="G1932" s="154">
        <v>226800</v>
      </c>
    </row>
    <row r="1933" spans="1:7" ht="21.6" customHeight="1">
      <c r="A1933" s="154" t="s">
        <v>1314</v>
      </c>
      <c r="B1933" s="154" t="str" cm="1">
        <f t="array" ref="B1933">_xlfn.XLOOKUP(TRUE, ISNUMBER(SEARCH(工作表5!$A$1:$A$23, C1933)), 工作表5!$B$1:$B$23, "其他")</f>
        <v>其他</v>
      </c>
      <c r="C1933" s="144">
        <f>+$H$1137</f>
        <v>0</v>
      </c>
      <c r="D1933" s="156"/>
      <c r="E1933" s="156" t="s">
        <v>1515</v>
      </c>
      <c r="F1933" s="156" t="s">
        <v>614</v>
      </c>
      <c r="G1933" s="154">
        <v>226800</v>
      </c>
    </row>
    <row r="1934" spans="1:7" ht="21.6" customHeight="1">
      <c r="A1934" s="154" t="s">
        <v>1314</v>
      </c>
      <c r="B1934" s="154" t="str" cm="1">
        <f t="array" ref="B1934">_xlfn.XLOOKUP(TRUE, ISNUMBER(SEARCH(工作表5!$A$1:$A$23, C1934)), 工作表5!$B$1:$B$23, "其他")</f>
        <v>其他</v>
      </c>
      <c r="C1934" s="144" t="s">
        <v>101</v>
      </c>
      <c r="D1934" s="156"/>
      <c r="E1934" s="156" t="s">
        <v>1551</v>
      </c>
      <c r="F1934" s="156" t="s">
        <v>720</v>
      </c>
      <c r="G1934" s="154">
        <v>302400</v>
      </c>
    </row>
    <row r="1935" spans="1:7" ht="21.6" customHeight="1">
      <c r="A1935" s="154" t="s">
        <v>1314</v>
      </c>
      <c r="B1935" s="154" t="str" cm="1">
        <f t="array" ref="B1935">_xlfn.XLOOKUP(TRUE, ISNUMBER(SEARCH(工作表5!$A$1:$A$23, C1935)), 工作表5!$B$1:$B$23, "其他")</f>
        <v>其他</v>
      </c>
      <c r="C1935" s="144">
        <f>+$H$1440</f>
        <v>0</v>
      </c>
      <c r="D1935" s="156"/>
      <c r="E1935" s="156" t="s">
        <v>1519</v>
      </c>
      <c r="F1935" s="156" t="s">
        <v>623</v>
      </c>
      <c r="G1935" s="154">
        <v>302400</v>
      </c>
    </row>
    <row r="1936" spans="1:7" ht="21.6" customHeight="1">
      <c r="A1936" s="154" t="s">
        <v>1314</v>
      </c>
      <c r="B1936" s="154" t="str" cm="1">
        <f t="array" ref="B1936">_xlfn.XLOOKUP(TRUE, ISNUMBER(SEARCH(工作表5!$A$1:$A$23, C1936)), 工作表5!$B$1:$B$23, "其他")</f>
        <v>其他</v>
      </c>
      <c r="C1936" s="144">
        <f>+$H$1441</f>
        <v>0</v>
      </c>
      <c r="D1936" s="156"/>
      <c r="E1936" s="156" t="s">
        <v>1601</v>
      </c>
      <c r="F1936" s="156" t="s">
        <v>853</v>
      </c>
      <c r="G1936" s="154">
        <v>302400</v>
      </c>
    </row>
    <row r="1937" spans="1:7" ht="21.6" customHeight="1">
      <c r="A1937" s="154" t="s">
        <v>1314</v>
      </c>
      <c r="B1937" s="154" t="str" cm="1">
        <f t="array" ref="B1937">_xlfn.XLOOKUP(TRUE, ISNUMBER(SEARCH(工作表5!$A$1:$A$23, C1937)), 工作表5!$B$1:$B$23, "其他")</f>
        <v>定著組</v>
      </c>
      <c r="C1937" s="144" t="s">
        <v>90</v>
      </c>
      <c r="D1937" s="156"/>
      <c r="E1937" s="156" t="s">
        <v>1521</v>
      </c>
      <c r="F1937" s="156" t="s">
        <v>627</v>
      </c>
      <c r="G1937" s="154">
        <v>302400</v>
      </c>
    </row>
    <row r="1938" spans="1:7" ht="21.6" customHeight="1">
      <c r="A1938" s="154" t="s">
        <v>1314</v>
      </c>
      <c r="B1938" s="154" t="str" cm="1">
        <f t="array" ref="B1938">_xlfn.XLOOKUP(TRUE, ISNUMBER(SEARCH(工作表5!$A$1:$A$23, C1938)), 工作表5!$B$1:$B$23, "其他")</f>
        <v>取紙組</v>
      </c>
      <c r="C1938" s="144" t="s">
        <v>1836</v>
      </c>
      <c r="D1938" s="156"/>
      <c r="E1938" s="156" t="s">
        <v>1389</v>
      </c>
      <c r="F1938" s="156" t="s">
        <v>265</v>
      </c>
      <c r="G1938" s="154">
        <v>80000</v>
      </c>
    </row>
    <row r="1939" spans="1:7" ht="21.6" customHeight="1">
      <c r="A1939" s="154" t="s">
        <v>1314</v>
      </c>
      <c r="B1939" s="154" t="str" cm="1">
        <f t="array" ref="B1939">_xlfn.XLOOKUP(TRUE, ISNUMBER(SEARCH(工作表5!$A$1:$A$23, C1939)), 工作表5!$B$1:$B$23, "其他")</f>
        <v>取紙組</v>
      </c>
      <c r="C1939" s="144" t="s">
        <v>745</v>
      </c>
      <c r="D1939" s="156"/>
      <c r="E1939" s="156" t="s">
        <v>1389</v>
      </c>
      <c r="F1939" s="156" t="s">
        <v>265</v>
      </c>
      <c r="G1939" s="154">
        <v>80000</v>
      </c>
    </row>
    <row r="1940" spans="1:7" ht="21.6" customHeight="1">
      <c r="A1940" s="154" t="s">
        <v>1314</v>
      </c>
      <c r="B1940" s="154" t="str" cm="1">
        <f t="array" ref="B1940">_xlfn.XLOOKUP(TRUE, ISNUMBER(SEARCH(工作表5!$A$1:$A$23, C1940)), 工作表5!$B$1:$B$23, "其他")</f>
        <v>取紙組</v>
      </c>
      <c r="C1940" s="144" t="s">
        <v>1837</v>
      </c>
      <c r="D1940" s="156"/>
      <c r="E1940" s="156" t="s">
        <v>1561</v>
      </c>
      <c r="F1940" s="156" t="s">
        <v>747</v>
      </c>
      <c r="G1940" s="154">
        <v>80000</v>
      </c>
    </row>
    <row r="1941" spans="1:7" ht="21.6" customHeight="1">
      <c r="A1941" s="154" t="s">
        <v>1314</v>
      </c>
      <c r="B1941" s="154" t="str" cm="1">
        <f t="array" ref="B1941">_xlfn.XLOOKUP(TRUE, ISNUMBER(SEARCH(工作表5!$A$1:$A$23, C1941)), 工作表5!$B$1:$B$23, "其他")</f>
        <v>手送台</v>
      </c>
      <c r="C1941" s="144" t="s">
        <v>631</v>
      </c>
      <c r="D1941" s="156"/>
      <c r="E1941" s="156" t="s">
        <v>1392</v>
      </c>
      <c r="F1941" s="156" t="s">
        <v>274</v>
      </c>
      <c r="G1941" s="154">
        <v>80000</v>
      </c>
    </row>
    <row r="1942" spans="1:7" ht="21.6" customHeight="1">
      <c r="A1942" s="154" t="s">
        <v>1314</v>
      </c>
      <c r="B1942" s="154" t="str" cm="1">
        <f t="array" ref="B1942">_xlfn.XLOOKUP(TRUE, ISNUMBER(SEARCH(工作表5!$A$1:$A$23, C1942)), 工作表5!$B$1:$B$23, "其他")</f>
        <v>手送台</v>
      </c>
      <c r="C1942" s="144" t="s">
        <v>119</v>
      </c>
      <c r="D1942" s="156"/>
      <c r="E1942" s="156" t="s">
        <v>1602</v>
      </c>
      <c r="F1942" s="156" t="s">
        <v>856</v>
      </c>
      <c r="G1942" s="154">
        <v>80000</v>
      </c>
    </row>
    <row r="1943" spans="1:7" ht="21.6" customHeight="1">
      <c r="A1943" s="154" t="s">
        <v>1314</v>
      </c>
      <c r="B1943" s="154" t="str" cm="1">
        <f t="array" ref="B1943">_xlfn.XLOOKUP(TRUE, ISNUMBER(SEARCH(工作表5!$A$1:$A$23, C1943)), 工作表5!$B$1:$B$23, "其他")</f>
        <v>送稿機</v>
      </c>
      <c r="C1943" s="145" t="s">
        <v>1838</v>
      </c>
      <c r="D1943" s="156"/>
      <c r="E1943" s="156" t="s">
        <v>1375</v>
      </c>
      <c r="F1943" s="156" t="s">
        <v>226</v>
      </c>
      <c r="G1943" s="154">
        <v>120000</v>
      </c>
    </row>
    <row r="1944" spans="1:7" ht="21.6" customHeight="1">
      <c r="A1944" s="154" t="s">
        <v>1314</v>
      </c>
      <c r="B1944" s="154" t="str" cm="1">
        <f t="array" ref="B1944">_xlfn.XLOOKUP(TRUE, ISNUMBER(SEARCH(工作表5!$A$1:$A$23, C1944)), 工作表5!$B$1:$B$23, "其他")</f>
        <v>送稿機</v>
      </c>
      <c r="C1944" s="145" t="s">
        <v>1839</v>
      </c>
      <c r="D1944" s="156"/>
      <c r="E1944" s="156" t="s">
        <v>1376</v>
      </c>
      <c r="F1944" s="156" t="s">
        <v>230</v>
      </c>
      <c r="G1944" s="154">
        <v>120000</v>
      </c>
    </row>
    <row r="1945" spans="1:7" ht="21.6" customHeight="1">
      <c r="A1945" s="154" t="s">
        <v>1314</v>
      </c>
      <c r="B1945" s="154" t="str" cm="1">
        <f t="array" ref="B1945">_xlfn.XLOOKUP(TRUE, ISNUMBER(SEARCH(工作表5!$A$1:$A$23, C1945)), 工作表5!$B$1:$B$23, "其他")</f>
        <v>取紙組</v>
      </c>
      <c r="C1945" s="144" t="s">
        <v>1840</v>
      </c>
      <c r="D1945" s="156"/>
      <c r="E1945" s="156" t="s">
        <v>1377</v>
      </c>
      <c r="F1945" s="156" t="s">
        <v>232</v>
      </c>
      <c r="G1945" s="154">
        <v>160000</v>
      </c>
    </row>
    <row r="1946" spans="1:7" ht="21.6" customHeight="1">
      <c r="A1946" s="154" t="s">
        <v>1314</v>
      </c>
      <c r="B1946" s="154" t="str" cm="1">
        <f t="array" ref="B1946">_xlfn.XLOOKUP(TRUE, ISNUMBER(SEARCH(工作表5!$A$1:$A$23, C1946)), 工作表5!$B$1:$B$23, "其他")</f>
        <v>大容量取紙組</v>
      </c>
      <c r="C1946" s="144" t="s">
        <v>237</v>
      </c>
      <c r="D1946" s="156"/>
      <c r="E1946" s="156" t="s">
        <v>1378</v>
      </c>
      <c r="F1946" s="156" t="s">
        <v>236</v>
      </c>
      <c r="G1946" s="154">
        <v>160000</v>
      </c>
    </row>
    <row r="1947" spans="1:7" ht="21.6" customHeight="1">
      <c r="A1947" s="154" t="s">
        <v>1314</v>
      </c>
      <c r="B1947" s="154" t="str" cm="1">
        <f t="array" ref="B1947">_xlfn.XLOOKUP(TRUE, ISNUMBER(SEARCH(工作表5!$A$1:$A$23, C1947)), 工作表5!$B$1:$B$23, "其他")</f>
        <v>取紙組</v>
      </c>
      <c r="C1947" s="144" t="s">
        <v>749</v>
      </c>
      <c r="D1947" s="156"/>
      <c r="E1947" s="156" t="s">
        <v>1379</v>
      </c>
      <c r="F1947" s="156" t="s">
        <v>239</v>
      </c>
      <c r="G1947" s="154">
        <v>160000</v>
      </c>
    </row>
    <row r="1948" spans="1:7" ht="21.6" customHeight="1">
      <c r="A1948" s="154" t="s">
        <v>1314</v>
      </c>
      <c r="B1948" s="154" t="str" cm="1">
        <f t="array" ref="B1948">_xlfn.XLOOKUP(TRUE, ISNUMBER(SEARCH(工作表5!$A$1:$A$23, C1948)), 工作表5!$B$1:$B$23, "其他")</f>
        <v>顯像組</v>
      </c>
      <c r="C1948" s="144" t="s">
        <v>637</v>
      </c>
      <c r="D1948" s="156"/>
      <c r="E1948" s="156" t="s">
        <v>1603</v>
      </c>
      <c r="F1948" s="156" t="s">
        <v>859</v>
      </c>
      <c r="G1948" s="154">
        <v>75600</v>
      </c>
    </row>
    <row r="1949" spans="1:7" ht="21.6" customHeight="1">
      <c r="A1949" s="154" t="s">
        <v>1314</v>
      </c>
      <c r="B1949" s="154" t="str" cm="1">
        <f t="array" ref="B1949">_xlfn.XLOOKUP(TRUE, ISNUMBER(SEARCH(工作表5!$A$1:$A$23, C1949)), 工作表5!$B$1:$B$23, "其他")</f>
        <v>顯像組</v>
      </c>
      <c r="C1949" s="144" t="s">
        <v>755</v>
      </c>
      <c r="D1949" s="156"/>
      <c r="E1949" s="156" t="s">
        <v>1604</v>
      </c>
      <c r="F1949" s="156" t="s">
        <v>861</v>
      </c>
      <c r="G1949" s="154">
        <v>75600</v>
      </c>
    </row>
    <row r="1950" spans="1:7" ht="21.6" customHeight="1">
      <c r="A1950" s="154" t="s">
        <v>1314</v>
      </c>
      <c r="B1950" s="154" t="str" cm="1">
        <f t="array" ref="B1950">_xlfn.XLOOKUP(TRUE, ISNUMBER(SEARCH(工作表5!$A$1:$A$23, C1950)), 工作表5!$B$1:$B$23, "其他")</f>
        <v>定著組</v>
      </c>
      <c r="C1950" s="145" t="s">
        <v>244</v>
      </c>
      <c r="D1950" s="156"/>
      <c r="E1950" s="156" t="s">
        <v>1667</v>
      </c>
      <c r="F1950" s="156" t="s">
        <v>1023</v>
      </c>
      <c r="G1950" s="154">
        <v>302400</v>
      </c>
    </row>
    <row r="1951" spans="1:7" ht="21.6" customHeight="1">
      <c r="A1951" s="154" t="s">
        <v>1314</v>
      </c>
      <c r="B1951" s="154" t="str" cm="1">
        <f t="array" ref="B1951">_xlfn.XLOOKUP(TRUE, ISNUMBER(SEARCH(工作表5!$A$1:$A$23, C1951)), 工作表5!$B$1:$B$23, "其他")</f>
        <v>其他</v>
      </c>
      <c r="C1951" s="144">
        <f>+$H$1456</f>
        <v>0</v>
      </c>
      <c r="D1951" s="156"/>
      <c r="E1951" s="156" t="s">
        <v>1525</v>
      </c>
      <c r="F1951" s="156" t="s">
        <v>644</v>
      </c>
      <c r="G1951" s="154">
        <v>226800</v>
      </c>
    </row>
    <row r="1952" spans="1:7" ht="21.6" customHeight="1">
      <c r="A1952" s="154" t="s">
        <v>1314</v>
      </c>
      <c r="B1952" s="154" t="str" cm="1">
        <f t="array" ref="B1952">_xlfn.XLOOKUP(TRUE, ISNUMBER(SEARCH(工作表5!$A$1:$A$23, C1952)), 工作表5!$B$1:$B$23, "其他")</f>
        <v>取紙組</v>
      </c>
      <c r="C1952" s="144" t="s">
        <v>758</v>
      </c>
      <c r="D1952" s="156"/>
      <c r="E1952" s="156" t="s">
        <v>1564</v>
      </c>
      <c r="F1952" s="156" t="s">
        <v>757</v>
      </c>
      <c r="G1952" s="154">
        <v>80000</v>
      </c>
    </row>
    <row r="1953" spans="1:7" ht="21.6" customHeight="1">
      <c r="A1953" s="154" t="s">
        <v>1314</v>
      </c>
      <c r="B1953" s="154" t="str" cm="1">
        <f t="array" ref="B1953">_xlfn.XLOOKUP(TRUE, ISNUMBER(SEARCH(工作表5!$A$1:$A$23, C1953)), 工作表5!$B$1:$B$23, "其他")</f>
        <v>送稿機</v>
      </c>
      <c r="C1953" s="144" t="s">
        <v>759</v>
      </c>
      <c r="D1953" s="156"/>
      <c r="E1953" s="156" t="s">
        <v>1383</v>
      </c>
      <c r="F1953" s="156" t="s">
        <v>249</v>
      </c>
      <c r="G1953" s="154">
        <v>120000</v>
      </c>
    </row>
    <row r="1954" spans="1:7" ht="21.6" customHeight="1">
      <c r="A1954" s="154" t="s">
        <v>1314</v>
      </c>
      <c r="B1954" s="154" t="str" cm="1">
        <f t="array" ref="B1954">_xlfn.XLOOKUP(TRUE, ISNUMBER(SEARCH(工作表5!$A$1:$A$23, C1954)), 工作表5!$B$1:$B$23, "其他")</f>
        <v>其他</v>
      </c>
      <c r="C1954" s="144" t="s">
        <v>760</v>
      </c>
      <c r="D1954" s="156"/>
      <c r="E1954" s="156" t="s">
        <v>1384</v>
      </c>
      <c r="F1954" s="156" t="s">
        <v>252</v>
      </c>
      <c r="G1954" s="154">
        <v>160000</v>
      </c>
    </row>
    <row r="1955" spans="1:7" ht="21.6" customHeight="1">
      <c r="A1955" s="154" t="s">
        <v>1314</v>
      </c>
      <c r="B1955" s="154" t="str" cm="1">
        <f t="array" ref="B1955">_xlfn.XLOOKUP(TRUE, ISNUMBER(SEARCH(工作表5!$A$1:$A$23, C1955)), 工作表5!$B$1:$B$23, "其他")</f>
        <v>定著組</v>
      </c>
      <c r="C1955" s="145" t="s">
        <v>585</v>
      </c>
      <c r="D1955" s="156"/>
      <c r="E1955" s="156" t="s">
        <v>1668</v>
      </c>
      <c r="F1955" s="156" t="s">
        <v>1025</v>
      </c>
      <c r="G1955" s="154" t="e">
        <v>#VALUE!</v>
      </c>
    </row>
    <row r="1956" spans="1:7" ht="21.6" customHeight="1">
      <c r="A1956" s="154" t="s">
        <v>1314</v>
      </c>
      <c r="B1956" s="154" t="str" cm="1">
        <f t="array" ref="B1956">_xlfn.XLOOKUP(TRUE, ISNUMBER(SEARCH(工作表5!$A$1:$A$23, C1956)), 工作表5!$B$1:$B$23, "其他")</f>
        <v>顯像組</v>
      </c>
      <c r="C1956" s="145" t="s">
        <v>129</v>
      </c>
      <c r="D1956" s="156"/>
      <c r="E1956" s="156" t="s">
        <v>1669</v>
      </c>
      <c r="F1956" s="156" t="s">
        <v>1027</v>
      </c>
      <c r="G1956" s="154" t="e">
        <v>#VALUE!</v>
      </c>
    </row>
    <row r="1957" spans="1:7" ht="21.6" customHeight="1">
      <c r="A1957" s="154" t="s">
        <v>1314</v>
      </c>
      <c r="B1957" s="154" t="str" cm="1">
        <f t="array" ref="B1957">_xlfn.XLOOKUP(TRUE, ISNUMBER(SEARCH(工作表5!$A$1:$A$23, C1957)), 工作表5!$B$1:$B$23, "其他")</f>
        <v>顯像組</v>
      </c>
      <c r="C1957" s="145" t="s">
        <v>772</v>
      </c>
      <c r="D1957" s="156"/>
      <c r="E1957" s="156" t="s">
        <v>1670</v>
      </c>
      <c r="F1957" s="156" t="s">
        <v>1029</v>
      </c>
      <c r="G1957" s="154" t="e">
        <v>#VALUE!</v>
      </c>
    </row>
    <row r="1958" spans="1:7" ht="21.6" customHeight="1">
      <c r="A1958" s="154" t="s">
        <v>1314</v>
      </c>
      <c r="B1958" s="154" t="str" cm="1">
        <f t="array" ref="B1958">_xlfn.XLOOKUP(TRUE, ISNUMBER(SEARCH(工作表5!$A$1:$A$23, C1958)), 工作表5!$B$1:$B$23, "其他")</f>
        <v>顯像組</v>
      </c>
      <c r="C1958" s="145" t="s">
        <v>775</v>
      </c>
      <c r="D1958" s="156"/>
      <c r="E1958" s="156" t="s">
        <v>1671</v>
      </c>
      <c r="F1958" s="156" t="s">
        <v>1031</v>
      </c>
      <c r="G1958" s="154" t="e">
        <v>#VALUE!</v>
      </c>
    </row>
    <row r="1959" spans="1:7" ht="21.6" customHeight="1">
      <c r="A1959" s="154" t="s">
        <v>1314</v>
      </c>
      <c r="B1959" s="154" t="str" cm="1">
        <f t="array" ref="B1959">_xlfn.XLOOKUP(TRUE, ISNUMBER(SEARCH(工作表5!$A$1:$A$23, C1959)), 工作表5!$B$1:$B$23, "其他")</f>
        <v>顯像組</v>
      </c>
      <c r="C1959" s="145" t="s">
        <v>778</v>
      </c>
      <c r="D1959" s="156"/>
      <c r="E1959" s="156" t="s">
        <v>1672</v>
      </c>
      <c r="F1959" s="156" t="s">
        <v>1033</v>
      </c>
      <c r="G1959" s="154" t="e">
        <v>#VALUE!</v>
      </c>
    </row>
    <row r="1960" spans="1:7" ht="21.6" customHeight="1">
      <c r="A1960" s="154" t="s">
        <v>1314</v>
      </c>
      <c r="B1960" s="154" t="str" cm="1">
        <f t="array" ref="B1960">_xlfn.XLOOKUP(TRUE, ISNUMBER(SEARCH(工作表5!$A$1:$A$23, C1960)), 工作表5!$B$1:$B$23, "其他")</f>
        <v>滾筒組</v>
      </c>
      <c r="C1960" s="145" t="s">
        <v>781</v>
      </c>
      <c r="D1960" s="156"/>
      <c r="E1960" s="156" t="s">
        <v>1611</v>
      </c>
      <c r="F1960" s="156" t="s">
        <v>877</v>
      </c>
      <c r="G1960" s="154" t="e">
        <v>#VALUE!</v>
      </c>
    </row>
    <row r="1961" spans="1:7" ht="21.6" customHeight="1">
      <c r="A1961" s="154" t="s">
        <v>1314</v>
      </c>
      <c r="B1961" s="154" t="str" cm="1">
        <f t="array" ref="B1961">_xlfn.XLOOKUP(TRUE, ISNUMBER(SEARCH(工作表5!$A$1:$A$23, C1961)), 工作表5!$B$1:$B$23, "其他")</f>
        <v>滾筒組</v>
      </c>
      <c r="C1961" s="145" t="s">
        <v>784</v>
      </c>
      <c r="D1961" s="156"/>
      <c r="E1961" s="156" t="s">
        <v>1612</v>
      </c>
      <c r="F1961" s="156" t="s">
        <v>879</v>
      </c>
      <c r="G1961" s="154" t="e">
        <v>#VALUE!</v>
      </c>
    </row>
    <row r="1962" spans="1:7" ht="21.6" customHeight="1">
      <c r="A1962" s="154" t="s">
        <v>1314</v>
      </c>
      <c r="B1962" s="154" t="str" cm="1">
        <f t="array" ref="B1962">_xlfn.XLOOKUP(TRUE, ISNUMBER(SEARCH(工作表5!$A$1:$A$23, C1962)), 工作表5!$B$1:$B$23, "其他")</f>
        <v>滾筒組</v>
      </c>
      <c r="C1962" s="145" t="s">
        <v>787</v>
      </c>
      <c r="D1962" s="156"/>
      <c r="E1962" s="156" t="s">
        <v>1613</v>
      </c>
      <c r="F1962" s="156" t="s">
        <v>881</v>
      </c>
      <c r="G1962" s="154" t="e">
        <v>#VALUE!</v>
      </c>
    </row>
    <row r="1963" spans="1:7" ht="21.6" customHeight="1">
      <c r="A1963" s="154" t="s">
        <v>1314</v>
      </c>
      <c r="B1963" s="154" t="str" cm="1">
        <f t="array" ref="B1963">_xlfn.XLOOKUP(TRUE, ISNUMBER(SEARCH(工作表5!$A$1:$A$23, C1963)), 工作表5!$B$1:$B$23, "其他")</f>
        <v>滾筒組</v>
      </c>
      <c r="C1963" s="145" t="s">
        <v>790</v>
      </c>
      <c r="D1963" s="156"/>
      <c r="E1963" s="156" t="s">
        <v>1614</v>
      </c>
      <c r="F1963" s="156" t="s">
        <v>883</v>
      </c>
      <c r="G1963" s="154" t="e">
        <v>#VALUE!</v>
      </c>
    </row>
    <row r="1964" spans="1:7" ht="21.6" customHeight="1">
      <c r="A1964" s="154" t="s">
        <v>1314</v>
      </c>
      <c r="B1964" s="154" t="str" cm="1">
        <f t="array" ref="B1964">_xlfn.XLOOKUP(TRUE, ISNUMBER(SEARCH(工作表5!$A$1:$A$23, C1964)), 工作表5!$B$1:$B$23, "其他")</f>
        <v>轉寫組</v>
      </c>
      <c r="C1964" s="145" t="s">
        <v>1821</v>
      </c>
      <c r="D1964" s="156"/>
      <c r="E1964" s="156" t="s">
        <v>1576</v>
      </c>
      <c r="F1964" s="156" t="s">
        <v>792</v>
      </c>
      <c r="G1964" s="154" t="e">
        <v>#VALUE!</v>
      </c>
    </row>
    <row r="1965" spans="1:7" ht="21.6" customHeight="1">
      <c r="A1965" s="154" t="s">
        <v>1314</v>
      </c>
      <c r="B1965" s="154" t="str" cm="1">
        <f t="array" ref="B1965">_xlfn.XLOOKUP(TRUE, ISNUMBER(SEARCH(工作表5!$A$1:$A$23, C1965)), 工作表5!$B$1:$B$23, "其他")</f>
        <v>轉寫組</v>
      </c>
      <c r="C1965" s="144" t="s">
        <v>1805</v>
      </c>
      <c r="D1965" s="156"/>
      <c r="E1965" s="156" t="s">
        <v>1615</v>
      </c>
      <c r="F1965" s="156" t="s">
        <v>885</v>
      </c>
      <c r="G1965" s="154" t="e">
        <v>#VALUE!</v>
      </c>
    </row>
    <row r="1966" spans="1:7" ht="21.6" customHeight="1">
      <c r="A1966" s="154" t="s">
        <v>50</v>
      </c>
      <c r="B1966" s="154" t="str" cm="1">
        <f t="array" ref="B1966">_xlfn.XLOOKUP(TRUE, ISNUMBER(SEARCH(工作表5!$A$1:$A$23, C1966)), 工作表5!$B$1:$B$23, "其他")</f>
        <v>滾筒組</v>
      </c>
      <c r="C1966" s="143" t="s">
        <v>589</v>
      </c>
      <c r="D1966" s="156"/>
      <c r="E1966" s="156" t="s">
        <v>1504</v>
      </c>
      <c r="F1966" s="156" t="s">
        <v>588</v>
      </c>
      <c r="G1966" s="154">
        <v>210000</v>
      </c>
    </row>
    <row r="1967" spans="1:7" ht="21.6" customHeight="1">
      <c r="A1967" s="154" t="s">
        <v>50</v>
      </c>
      <c r="B1967" s="154" t="str" cm="1">
        <f t="array" ref="B1967">_xlfn.XLOOKUP(TRUE, ISNUMBER(SEARCH(工作表5!$A$1:$A$23, C1967)), 工作表5!$B$1:$B$23, "其他")</f>
        <v>滾筒組</v>
      </c>
      <c r="C1967" s="150" t="s">
        <v>887</v>
      </c>
      <c r="D1967" s="156"/>
      <c r="E1967" s="156" t="s">
        <v>1595</v>
      </c>
      <c r="F1967" s="156" t="s">
        <v>841</v>
      </c>
      <c r="G1967" s="154">
        <v>105000</v>
      </c>
    </row>
    <row r="1968" spans="1:7" ht="21.6" customHeight="1">
      <c r="A1968" s="154" t="s">
        <v>50</v>
      </c>
      <c r="B1968" s="154" t="str" cm="1">
        <f t="array" ref="B1968">_xlfn.XLOOKUP(TRUE, ISNUMBER(SEARCH(工作表5!$A$1:$A$23, C1968)), 工作表5!$B$1:$B$23, "其他")</f>
        <v>顯像組</v>
      </c>
      <c r="C1968" s="145" t="s">
        <v>502</v>
      </c>
      <c r="D1968" s="156"/>
      <c r="E1968" s="156" t="s">
        <v>1616</v>
      </c>
      <c r="F1968" s="156" t="s">
        <v>890</v>
      </c>
      <c r="G1968" s="154" t="e">
        <v>#VALUE!</v>
      </c>
    </row>
    <row r="1969" spans="1:7" ht="21.6" customHeight="1">
      <c r="A1969" s="154" t="s">
        <v>50</v>
      </c>
      <c r="B1969" s="154" t="str" cm="1">
        <f t="array" ref="B1969">_xlfn.XLOOKUP(TRUE, ISNUMBER(SEARCH(工作表5!$A$1:$A$23, C1969)), 工作表5!$B$1:$B$23, "其他")</f>
        <v>顯像組</v>
      </c>
      <c r="C1969" s="145" t="s">
        <v>703</v>
      </c>
      <c r="D1969" s="156"/>
      <c r="E1969" s="156" t="s">
        <v>1617</v>
      </c>
      <c r="F1969" s="156" t="s">
        <v>893</v>
      </c>
      <c r="G1969" s="154">
        <v>210000</v>
      </c>
    </row>
    <row r="1970" spans="1:7" ht="21.6" customHeight="1">
      <c r="A1970" s="154" t="s">
        <v>50</v>
      </c>
      <c r="B1970" s="154" t="str" cm="1">
        <f t="array" ref="B1970">_xlfn.XLOOKUP(TRUE, ISNUMBER(SEARCH(工作表5!$A$1:$A$23, C1970)), 工作表5!$B$1:$B$23, "其他")</f>
        <v>顯像組</v>
      </c>
      <c r="C1970" s="144" t="s">
        <v>706</v>
      </c>
      <c r="D1970" s="156"/>
      <c r="E1970" s="156" t="s">
        <v>1618</v>
      </c>
      <c r="F1970" s="156" t="s">
        <v>895</v>
      </c>
      <c r="G1970" s="154">
        <v>210000</v>
      </c>
    </row>
    <row r="1971" spans="1:7" ht="21.6" customHeight="1">
      <c r="A1971" s="154" t="s">
        <v>50</v>
      </c>
      <c r="B1971" s="154" t="str" cm="1">
        <f t="array" ref="B1971">_xlfn.XLOOKUP(TRUE, ISNUMBER(SEARCH(工作表5!$A$1:$A$23, C1971)), 工作表5!$B$1:$B$23, "其他")</f>
        <v>顯像組</v>
      </c>
      <c r="C1971" s="145" t="s">
        <v>709</v>
      </c>
      <c r="D1971" s="156"/>
      <c r="E1971" s="156" t="s">
        <v>1619</v>
      </c>
      <c r="F1971" s="156" t="s">
        <v>897</v>
      </c>
      <c r="G1971" s="154">
        <v>210000</v>
      </c>
    </row>
    <row r="1972" spans="1:7" ht="21.6" customHeight="1">
      <c r="A1972" s="154" t="s">
        <v>50</v>
      </c>
      <c r="B1972" s="154" t="str" cm="1">
        <f t="array" ref="B1972">_xlfn.XLOOKUP(TRUE, ISNUMBER(SEARCH(工作表5!$A$1:$A$23, C1972)), 工作表5!$B$1:$B$23, "其他")</f>
        <v>滾筒組</v>
      </c>
      <c r="C1972" s="145" t="s">
        <v>415</v>
      </c>
      <c r="D1972" s="156"/>
      <c r="E1972" s="156" t="s">
        <v>1547</v>
      </c>
      <c r="F1972" s="156" t="s">
        <v>711</v>
      </c>
      <c r="G1972" s="154" t="e">
        <v>#VALUE!</v>
      </c>
    </row>
    <row r="1973" spans="1:7" ht="21.6" customHeight="1">
      <c r="A1973" s="154" t="s">
        <v>50</v>
      </c>
      <c r="B1973" s="154" t="str" cm="1">
        <f t="array" ref="B1973">_xlfn.XLOOKUP(TRUE, ISNUMBER(SEARCH(工作表5!$A$1:$A$23, C1973)), 工作表5!$B$1:$B$23, "其他")</f>
        <v>滾筒組</v>
      </c>
      <c r="C1973" s="144" t="s">
        <v>597</v>
      </c>
      <c r="D1973" s="156"/>
      <c r="E1973" s="156" t="s">
        <v>1620</v>
      </c>
      <c r="F1973" s="156" t="s">
        <v>900</v>
      </c>
      <c r="G1973" s="154">
        <v>210000</v>
      </c>
    </row>
    <row r="1974" spans="1:7" ht="21.6" customHeight="1">
      <c r="A1974" s="154" t="s">
        <v>50</v>
      </c>
      <c r="B1974" s="154" t="str" cm="1">
        <f t="array" ref="B1974">_xlfn.XLOOKUP(TRUE, ISNUMBER(SEARCH(工作表5!$A$1:$A$23, C1974)), 工作表5!$B$1:$B$23, "其他")</f>
        <v>滾筒組</v>
      </c>
      <c r="C1974" s="144" t="s">
        <v>901</v>
      </c>
      <c r="D1974" s="156"/>
      <c r="E1974" s="156" t="s">
        <v>1598</v>
      </c>
      <c r="F1974" s="156" t="s">
        <v>846</v>
      </c>
      <c r="G1974" s="154">
        <v>105000</v>
      </c>
    </row>
    <row r="1975" spans="1:7" ht="21.6" customHeight="1">
      <c r="A1975" s="154" t="s">
        <v>50</v>
      </c>
      <c r="B1975" s="154" t="str" cm="1">
        <f t="array" ref="B1975">_xlfn.XLOOKUP(TRUE, ISNUMBER(SEARCH(工作表5!$A$1:$A$23, C1975)), 工作表5!$B$1:$B$23, "其他")</f>
        <v>顯像組</v>
      </c>
      <c r="C1975" s="145" t="s">
        <v>600</v>
      </c>
      <c r="D1975" s="156"/>
      <c r="E1975" s="156" t="s">
        <v>1508</v>
      </c>
      <c r="F1975" s="156" t="s">
        <v>599</v>
      </c>
      <c r="G1975" s="154" t="e">
        <v>#VALUE!</v>
      </c>
    </row>
    <row r="1976" spans="1:7" ht="21.6" customHeight="1">
      <c r="A1976" s="154" t="s">
        <v>50</v>
      </c>
      <c r="B1976" s="154" t="str" cm="1">
        <f t="array" ref="B1976">_xlfn.XLOOKUP(TRUE, ISNUMBER(SEARCH(工作表5!$A$1:$A$23, C1976)), 工作表5!$B$1:$B$23, "其他")</f>
        <v>顯像組</v>
      </c>
      <c r="C1976" s="144" t="s">
        <v>1822</v>
      </c>
      <c r="D1976" s="156"/>
      <c r="E1976" s="156" t="s">
        <v>1509</v>
      </c>
      <c r="F1976" s="156" t="s">
        <v>602</v>
      </c>
      <c r="G1976" s="154" t="e">
        <v>#VALUE!</v>
      </c>
    </row>
    <row r="1977" spans="1:7" ht="21.6" customHeight="1">
      <c r="A1977" s="154" t="s">
        <v>50</v>
      </c>
      <c r="B1977" s="154" t="str" cm="1">
        <f t="array" ref="B1977">_xlfn.XLOOKUP(TRUE, ISNUMBER(SEARCH(工作表5!$A$1:$A$23, C1977)), 工作表5!$B$1:$B$23, "其他")</f>
        <v>滾筒組</v>
      </c>
      <c r="C1977" s="144" t="s">
        <v>1823</v>
      </c>
      <c r="D1977" s="156"/>
      <c r="E1977" s="156" t="s">
        <v>1621</v>
      </c>
      <c r="F1977" s="156" t="s">
        <v>903</v>
      </c>
      <c r="G1977" s="154" t="e">
        <v>#VALUE!</v>
      </c>
    </row>
    <row r="1978" spans="1:7" ht="21.6" customHeight="1">
      <c r="A1978" s="154" t="s">
        <v>50</v>
      </c>
      <c r="B1978" s="154" t="str" cm="1">
        <f t="array" ref="B1978">_xlfn.XLOOKUP(TRUE, ISNUMBER(SEARCH(工作表5!$A$1:$A$23, C1978)), 工作表5!$B$1:$B$23, "其他")</f>
        <v>滾筒組</v>
      </c>
      <c r="C1978" s="144" t="s">
        <v>1823</v>
      </c>
      <c r="D1978" s="156"/>
      <c r="E1978" s="156" t="s">
        <v>1622</v>
      </c>
      <c r="F1978" s="156" t="s">
        <v>906</v>
      </c>
      <c r="G1978" s="154" t="e">
        <v>#VALUE!</v>
      </c>
    </row>
    <row r="1979" spans="1:7" ht="21.6" customHeight="1">
      <c r="A1979" s="154" t="s">
        <v>50</v>
      </c>
      <c r="B1979" s="154" t="str" cm="1">
        <f t="array" ref="B1979">_xlfn.XLOOKUP(TRUE, ISNUMBER(SEARCH(工作表5!$A$1:$A$23, C1979)), 工作表5!$B$1:$B$23, "其他")</f>
        <v>轉寫組</v>
      </c>
      <c r="C1979" s="145" t="s">
        <v>1812</v>
      </c>
      <c r="D1979" s="156"/>
      <c r="E1979" s="156" t="s">
        <v>1511</v>
      </c>
      <c r="F1979" s="156" t="s">
        <v>606</v>
      </c>
      <c r="G1979" s="154">
        <v>210000</v>
      </c>
    </row>
    <row r="1980" spans="1:7" ht="21.6" customHeight="1">
      <c r="A1980" s="154" t="s">
        <v>50</v>
      </c>
      <c r="B1980" s="154" t="str" cm="1">
        <f t="array" ref="B1980">_xlfn.XLOOKUP(TRUE, ISNUMBER(SEARCH(工作表5!$A$1:$A$23, C1980)), 工作表5!$B$1:$B$23, "其他")</f>
        <v>轉寫組</v>
      </c>
      <c r="C1980" s="145" t="s">
        <v>1812</v>
      </c>
      <c r="D1980" s="156"/>
      <c r="E1980" s="156" t="s">
        <v>1512</v>
      </c>
      <c r="F1980" s="156" t="s">
        <v>608</v>
      </c>
      <c r="G1980" s="154">
        <v>210000</v>
      </c>
    </row>
    <row r="1981" spans="1:7" ht="21.6" customHeight="1">
      <c r="A1981" s="154" t="s">
        <v>50</v>
      </c>
      <c r="B1981" s="154" t="str" cm="1">
        <f t="array" ref="B1981">_xlfn.XLOOKUP(TRUE, ISNUMBER(SEARCH(工作表5!$A$1:$A$23, C1981)), 工作表5!$B$1:$B$23, "其他")</f>
        <v>轉寫組</v>
      </c>
      <c r="C1981" s="145" t="s">
        <v>1824</v>
      </c>
      <c r="D1981" s="156"/>
      <c r="E1981" s="156" t="s">
        <v>1513</v>
      </c>
      <c r="F1981" s="156" t="s">
        <v>610</v>
      </c>
      <c r="G1981" s="154">
        <v>210000</v>
      </c>
    </row>
    <row r="1982" spans="1:7" ht="21.6" customHeight="1">
      <c r="A1982" s="154" t="s">
        <v>50</v>
      </c>
      <c r="B1982" s="154" t="str" cm="1">
        <f t="array" ref="B1982">_xlfn.XLOOKUP(TRUE, ISNUMBER(SEARCH(工作表5!$A$1:$A$23, C1982)), 工作表5!$B$1:$B$23, "其他")</f>
        <v>轉寫組</v>
      </c>
      <c r="C1982" s="145" t="s">
        <v>1825</v>
      </c>
      <c r="D1982" s="156"/>
      <c r="E1982" s="156" t="s">
        <v>1514</v>
      </c>
      <c r="F1982" s="156" t="s">
        <v>612</v>
      </c>
      <c r="G1982" s="154">
        <v>210000</v>
      </c>
    </row>
    <row r="1983" spans="1:7" ht="21.6" customHeight="1">
      <c r="A1983" s="154" t="s">
        <v>50</v>
      </c>
      <c r="B1983" s="154" t="str" cm="1">
        <f t="array" ref="B1983">_xlfn.XLOOKUP(TRUE, ISNUMBER(SEARCH(工作表5!$A$1:$A$23, C1983)), 工作表5!$B$1:$B$23, "其他")</f>
        <v>轉寫組</v>
      </c>
      <c r="C1983" s="145" t="s">
        <v>1826</v>
      </c>
      <c r="D1983" s="156"/>
      <c r="E1983" s="156" t="s">
        <v>1515</v>
      </c>
      <c r="F1983" s="156" t="s">
        <v>614</v>
      </c>
      <c r="G1983" s="154">
        <v>210000</v>
      </c>
    </row>
    <row r="1984" spans="1:7" ht="21.6" customHeight="1">
      <c r="A1984" s="154" t="s">
        <v>50</v>
      </c>
      <c r="B1984" s="154" t="str" cm="1">
        <f t="array" ref="B1984">_xlfn.XLOOKUP(TRUE, ISNUMBER(SEARCH(工作表5!$A$1:$A$23, C1984)), 工作表5!$B$1:$B$23, "其他")</f>
        <v>其他</v>
      </c>
      <c r="C1984" s="144" t="s">
        <v>101</v>
      </c>
      <c r="D1984" s="156"/>
      <c r="E1984" s="156" t="s">
        <v>1551</v>
      </c>
      <c r="F1984" s="156" t="s">
        <v>720</v>
      </c>
      <c r="G1984" s="154">
        <v>680400</v>
      </c>
    </row>
    <row r="1985" spans="1:7" ht="21.6" customHeight="1">
      <c r="A1985" s="154" t="s">
        <v>50</v>
      </c>
      <c r="B1985" s="154" t="str" cm="1">
        <f t="array" ref="B1985">_xlfn.XLOOKUP(TRUE, ISNUMBER(SEARCH(工作表5!$A$1:$A$23, C1985)), 工作表5!$B$1:$B$23, "其他")</f>
        <v>定著組</v>
      </c>
      <c r="C1985" s="145" t="s">
        <v>1809</v>
      </c>
      <c r="D1985" s="156"/>
      <c r="E1985" s="156" t="s">
        <v>1673</v>
      </c>
      <c r="F1985" s="156" t="s">
        <v>1037</v>
      </c>
      <c r="G1985" s="154">
        <v>302400</v>
      </c>
    </row>
    <row r="1986" spans="1:7" ht="21.6" customHeight="1">
      <c r="A1986" s="154" t="s">
        <v>50</v>
      </c>
      <c r="B1986" s="154" t="str" cm="1">
        <f t="array" ref="B1986">_xlfn.XLOOKUP(TRUE, ISNUMBER(SEARCH(工作表5!$A$1:$A$23, C1986)), 工作表5!$B$1:$B$23, "其他")</f>
        <v>定著組</v>
      </c>
      <c r="C1986" s="145" t="s">
        <v>87</v>
      </c>
      <c r="D1986" s="156"/>
      <c r="E1986" s="156" t="s">
        <v>1624</v>
      </c>
      <c r="F1986" s="156" t="s">
        <v>912</v>
      </c>
      <c r="G1986" s="154">
        <v>302400</v>
      </c>
    </row>
    <row r="1987" spans="1:7" ht="21.6" customHeight="1">
      <c r="A1987" s="154" t="s">
        <v>50</v>
      </c>
      <c r="B1987" s="154" t="str" cm="1">
        <f t="array" ref="B1987">_xlfn.XLOOKUP(TRUE, ISNUMBER(SEARCH(工作表5!$A$1:$A$23, C1987)), 工作表5!$B$1:$B$23, "其他")</f>
        <v>定著組</v>
      </c>
      <c r="C1987" s="144" t="s">
        <v>1827</v>
      </c>
      <c r="D1987" s="156"/>
      <c r="E1987" s="156" t="s">
        <v>1519</v>
      </c>
      <c r="F1987" s="156" t="s">
        <v>623</v>
      </c>
      <c r="G1987" s="154">
        <v>302400</v>
      </c>
    </row>
    <row r="1988" spans="1:7" ht="21.6" customHeight="1">
      <c r="A1988" s="154" t="s">
        <v>50</v>
      </c>
      <c r="B1988" s="154" t="str" cm="1">
        <f t="array" ref="B1988">_xlfn.XLOOKUP(TRUE, ISNUMBER(SEARCH(工作表5!$A$1:$A$23, C1988)), 工作表5!$B$1:$B$23, "其他")</f>
        <v>定著組</v>
      </c>
      <c r="C1988" s="144" t="s">
        <v>1828</v>
      </c>
      <c r="D1988" s="156"/>
      <c r="E1988" s="156" t="s">
        <v>1520</v>
      </c>
      <c r="F1988" s="156" t="s">
        <v>625</v>
      </c>
      <c r="G1988" s="154">
        <v>302400</v>
      </c>
    </row>
    <row r="1989" spans="1:7" ht="21.6" customHeight="1">
      <c r="A1989" s="154" t="s">
        <v>50</v>
      </c>
      <c r="B1989" s="154" t="str" cm="1">
        <f t="array" ref="B1989">_xlfn.XLOOKUP(TRUE, ISNUMBER(SEARCH(工作表5!$A$1:$A$23, C1989)), 工作表5!$B$1:$B$23, "其他")</f>
        <v>定著組</v>
      </c>
      <c r="C1989" s="145" t="s">
        <v>628</v>
      </c>
      <c r="D1989" s="156"/>
      <c r="E1989" s="156" t="s">
        <v>1521</v>
      </c>
      <c r="F1989" s="156" t="s">
        <v>627</v>
      </c>
      <c r="G1989" s="154">
        <v>302400</v>
      </c>
    </row>
    <row r="1990" spans="1:7" ht="21.6" customHeight="1">
      <c r="A1990" s="154" t="s">
        <v>50</v>
      </c>
      <c r="B1990" s="154" t="str" cm="1">
        <f t="array" ref="B1990">_xlfn.XLOOKUP(TRUE, ISNUMBER(SEARCH(工作表5!$A$1:$A$23, C1990)), 工作表5!$B$1:$B$23, "其他")</f>
        <v>手送台</v>
      </c>
      <c r="C1990" s="144" t="s">
        <v>631</v>
      </c>
      <c r="D1990" s="156"/>
      <c r="E1990" s="156" t="s">
        <v>1392</v>
      </c>
      <c r="F1990" s="156" t="s">
        <v>274</v>
      </c>
      <c r="G1990" s="154">
        <v>80000</v>
      </c>
    </row>
    <row r="1991" spans="1:7" ht="21.6" customHeight="1">
      <c r="A1991" s="154" t="s">
        <v>50</v>
      </c>
      <c r="B1991" s="154" t="str" cm="1">
        <f t="array" ref="B1991">_xlfn.XLOOKUP(TRUE, ISNUMBER(SEARCH(工作表5!$A$1:$A$23, C1991)), 工作表5!$B$1:$B$23, "其他")</f>
        <v>手送台</v>
      </c>
      <c r="C1991" s="144" t="s">
        <v>115</v>
      </c>
      <c r="D1991" s="156"/>
      <c r="E1991" s="156" t="s">
        <v>1393</v>
      </c>
      <c r="F1991" s="156" t="s">
        <v>277</v>
      </c>
      <c r="G1991" s="154">
        <v>80000</v>
      </c>
    </row>
    <row r="1992" spans="1:7" ht="21.6" customHeight="1">
      <c r="A1992" s="154" t="s">
        <v>50</v>
      </c>
      <c r="B1992" s="154" t="str" cm="1">
        <f t="array" ref="B1992">_xlfn.XLOOKUP(TRUE, ISNUMBER(SEARCH(工作表5!$A$1:$A$23, C1992)), 工作表5!$B$1:$B$23, "其他")</f>
        <v>取紙組</v>
      </c>
      <c r="C1992" s="144" t="s">
        <v>1841</v>
      </c>
      <c r="D1992" s="156"/>
      <c r="E1992" s="156" t="s">
        <v>1389</v>
      </c>
      <c r="F1992" s="156" t="s">
        <v>265</v>
      </c>
      <c r="G1992" s="154">
        <v>80000</v>
      </c>
    </row>
    <row r="1993" spans="1:7" ht="21.6" customHeight="1">
      <c r="A1993" s="154" t="s">
        <v>50</v>
      </c>
      <c r="B1993" s="154" t="str" cm="1">
        <f t="array" ref="B1993">_xlfn.XLOOKUP(TRUE, ISNUMBER(SEARCH(工作表5!$A$1:$A$23, C1993)), 工作表5!$B$1:$B$23, "其他")</f>
        <v>取紙組</v>
      </c>
      <c r="C1993" s="144" t="s">
        <v>797</v>
      </c>
      <c r="D1993" s="156"/>
      <c r="E1993" s="156" t="s">
        <v>1390</v>
      </c>
      <c r="F1993" s="156" t="s">
        <v>269</v>
      </c>
      <c r="G1993" s="154">
        <v>80000</v>
      </c>
    </row>
    <row r="1994" spans="1:7" ht="21.6" customHeight="1">
      <c r="A1994" s="154" t="s">
        <v>50</v>
      </c>
      <c r="B1994" s="154" t="str" cm="1">
        <f t="array" ref="B1994">_xlfn.XLOOKUP(TRUE, ISNUMBER(SEARCH(工作表5!$A$1:$A$23, C1994)), 工作表5!$B$1:$B$23, "其他")</f>
        <v>取紙組</v>
      </c>
      <c r="C1994" s="144" t="s">
        <v>1842</v>
      </c>
      <c r="D1994" s="156"/>
      <c r="E1994" s="156" t="s">
        <v>1391</v>
      </c>
      <c r="F1994" s="156" t="s">
        <v>272</v>
      </c>
      <c r="G1994" s="154">
        <v>80000</v>
      </c>
    </row>
    <row r="1995" spans="1:7" ht="21.6" customHeight="1">
      <c r="A1995" s="154" t="s">
        <v>50</v>
      </c>
      <c r="B1995" s="154" t="str" cm="1">
        <f t="array" ref="B1995">_xlfn.XLOOKUP(TRUE, ISNUMBER(SEARCH(工作表5!$A$1:$A$23, C1995)), 工作表5!$B$1:$B$23, "其他")</f>
        <v>送稿機</v>
      </c>
      <c r="C1995" s="144" t="s">
        <v>1781</v>
      </c>
      <c r="D1995" s="156"/>
      <c r="E1995" s="156" t="s">
        <v>1375</v>
      </c>
      <c r="F1995" s="156" t="s">
        <v>226</v>
      </c>
      <c r="G1995" s="154">
        <v>120000</v>
      </c>
    </row>
    <row r="1996" spans="1:7" ht="21.6" customHeight="1">
      <c r="A1996" s="154" t="s">
        <v>50</v>
      </c>
      <c r="B1996" s="154" t="str" cm="1">
        <f t="array" ref="B1996">_xlfn.XLOOKUP(TRUE, ISNUMBER(SEARCH(工作表5!$A$1:$A$23, C1996)), 工作表5!$B$1:$B$23, "其他")</f>
        <v>送稿機</v>
      </c>
      <c r="C1996" s="144" t="s">
        <v>278</v>
      </c>
      <c r="D1996" s="156"/>
      <c r="E1996" s="156" t="s">
        <v>1376</v>
      </c>
      <c r="F1996" s="156" t="s">
        <v>230</v>
      </c>
      <c r="G1996" s="154">
        <v>120000</v>
      </c>
    </row>
    <row r="1997" spans="1:7" ht="21.6" customHeight="1">
      <c r="A1997" s="154" t="s">
        <v>50</v>
      </c>
      <c r="B1997" s="154" t="str" cm="1">
        <f t="array" ref="B1997">_xlfn.XLOOKUP(TRUE, ISNUMBER(SEARCH(工作表5!$A$1:$A$23, C1997)), 工作表5!$B$1:$B$23, "其他")</f>
        <v>送稿機</v>
      </c>
      <c r="C1997" s="144" t="s">
        <v>1782</v>
      </c>
      <c r="D1997" s="156"/>
      <c r="E1997" s="156" t="s">
        <v>1394</v>
      </c>
      <c r="F1997" s="156" t="s">
        <v>281</v>
      </c>
      <c r="G1997" s="154">
        <v>120000</v>
      </c>
    </row>
    <row r="1998" spans="1:7" ht="21.6" customHeight="1">
      <c r="A1998" s="154" t="s">
        <v>50</v>
      </c>
      <c r="B1998" s="154" t="str" cm="1">
        <f t="array" ref="B1998">_xlfn.XLOOKUP(TRUE, ISNUMBER(SEARCH(工作表5!$A$1:$A$23, C1998)), 工作表5!$B$1:$B$23, "其他")</f>
        <v>送稿機</v>
      </c>
      <c r="C1998" s="144" t="s">
        <v>285</v>
      </c>
      <c r="D1998" s="156"/>
      <c r="E1998" s="156" t="s">
        <v>1395</v>
      </c>
      <c r="F1998" s="156" t="s">
        <v>226</v>
      </c>
      <c r="G1998" s="154">
        <v>120000</v>
      </c>
    </row>
    <row r="1999" spans="1:7" ht="21.6" customHeight="1">
      <c r="A1999" s="154" t="s">
        <v>50</v>
      </c>
      <c r="B1999" s="154" t="str" cm="1">
        <f t="array" ref="B1999">_xlfn.XLOOKUP(TRUE, ISNUMBER(SEARCH(工作表5!$A$1:$A$23, C1999)), 工作表5!$B$1:$B$23, "其他")</f>
        <v>送稿機</v>
      </c>
      <c r="C1999" s="144" t="s">
        <v>282</v>
      </c>
      <c r="D1999" s="156"/>
      <c r="E1999" s="156" t="s">
        <v>1396</v>
      </c>
      <c r="F1999" s="156" t="s">
        <v>288</v>
      </c>
      <c r="G1999" s="154">
        <v>120000</v>
      </c>
    </row>
    <row r="2000" spans="1:7" ht="21.6" customHeight="1">
      <c r="A2000" s="154" t="s">
        <v>50</v>
      </c>
      <c r="B2000" s="154" t="str" cm="1">
        <f t="array" ref="B2000">_xlfn.XLOOKUP(TRUE, ISNUMBER(SEARCH(工作表5!$A$1:$A$23, C2000)), 工作表5!$B$1:$B$23, "其他")</f>
        <v>取紙組</v>
      </c>
      <c r="C2000" s="144" t="s">
        <v>1843</v>
      </c>
      <c r="D2000" s="156"/>
      <c r="E2000" s="156" t="s">
        <v>1377</v>
      </c>
      <c r="F2000" s="156" t="s">
        <v>232</v>
      </c>
      <c r="G2000" s="154">
        <v>160000</v>
      </c>
    </row>
    <row r="2001" spans="1:7" ht="21.6" customHeight="1">
      <c r="A2001" s="154" t="s">
        <v>50</v>
      </c>
      <c r="B2001" s="154" t="str" cm="1">
        <f t="array" ref="B2001">_xlfn.XLOOKUP(TRUE, ISNUMBER(SEARCH(工作表5!$A$1:$A$23, C2001)), 工作表5!$B$1:$B$23, "其他")</f>
        <v>大容量取紙組</v>
      </c>
      <c r="C2001" s="144" t="s">
        <v>237</v>
      </c>
      <c r="D2001" s="156"/>
      <c r="E2001" s="156" t="s">
        <v>1378</v>
      </c>
      <c r="F2001" s="156" t="s">
        <v>236</v>
      </c>
      <c r="G2001" s="154">
        <v>160000</v>
      </c>
    </row>
    <row r="2002" spans="1:7" ht="21.6" customHeight="1">
      <c r="A2002" s="154" t="s">
        <v>50</v>
      </c>
      <c r="B2002" s="154" t="str" cm="1">
        <f t="array" ref="B2002">_xlfn.XLOOKUP(TRUE, ISNUMBER(SEARCH(工作表5!$A$1:$A$23, C2002)), 工作表5!$B$1:$B$23, "其他")</f>
        <v>取紙組</v>
      </c>
      <c r="C2002" s="144" t="s">
        <v>798</v>
      </c>
      <c r="D2002" s="156"/>
      <c r="E2002" s="156" t="s">
        <v>1379</v>
      </c>
      <c r="F2002" s="156" t="s">
        <v>239</v>
      </c>
      <c r="G2002" s="154">
        <v>160000</v>
      </c>
    </row>
    <row r="2003" spans="1:7" ht="21.6" customHeight="1">
      <c r="A2003" s="154" t="s">
        <v>50</v>
      </c>
      <c r="B2003" s="154" t="str" cm="1">
        <f t="array" ref="B2003">_xlfn.XLOOKUP(TRUE, ISNUMBER(SEARCH(工作表5!$A$1:$A$23, C2003)), 工作表5!$B$1:$B$23, "其他")</f>
        <v>顯像組</v>
      </c>
      <c r="C2003" s="144" t="s">
        <v>637</v>
      </c>
      <c r="D2003" s="156"/>
      <c r="E2003" s="156" t="s">
        <v>1625</v>
      </c>
      <c r="F2003" s="156" t="s">
        <v>914</v>
      </c>
      <c r="G2003" s="154">
        <v>210000</v>
      </c>
    </row>
    <row r="2004" spans="1:7" ht="21.6" customHeight="1">
      <c r="A2004" s="154" t="s">
        <v>50</v>
      </c>
      <c r="B2004" s="154" t="str" cm="1">
        <f t="array" ref="B2004">_xlfn.XLOOKUP(TRUE, ISNUMBER(SEARCH(工作表5!$A$1:$A$23, C2004)), 工作表5!$B$1:$B$23, "其他")</f>
        <v>顯像組</v>
      </c>
      <c r="C2004" s="144" t="s">
        <v>755</v>
      </c>
      <c r="D2004" s="156"/>
      <c r="E2004" s="156" t="s">
        <v>1626</v>
      </c>
      <c r="F2004" s="156" t="s">
        <v>916</v>
      </c>
      <c r="G2004" s="154">
        <v>105000</v>
      </c>
    </row>
    <row r="2005" spans="1:7" ht="21.6" customHeight="1">
      <c r="A2005" s="154" t="s">
        <v>50</v>
      </c>
      <c r="B2005" s="154" t="str" cm="1">
        <f t="array" ref="B2005">_xlfn.XLOOKUP(TRUE, ISNUMBER(SEARCH(工作表5!$A$1:$A$23, C2005)), 工作表5!$B$1:$B$23, "其他")</f>
        <v>取紙組</v>
      </c>
      <c r="C2005" s="144" t="s">
        <v>799</v>
      </c>
      <c r="D2005" s="156"/>
      <c r="E2005" s="156" t="s">
        <v>1399</v>
      </c>
      <c r="F2005" s="156" t="s">
        <v>296</v>
      </c>
      <c r="G2005" s="154">
        <v>80000</v>
      </c>
    </row>
    <row r="2006" spans="1:7" ht="21.6" customHeight="1">
      <c r="A2006" s="154" t="s">
        <v>50</v>
      </c>
      <c r="B2006" s="154" t="str" cm="1">
        <f t="array" ref="B2006">_xlfn.XLOOKUP(TRUE, ISNUMBER(SEARCH(工作表5!$A$1:$A$23, C2006)), 工作表5!$B$1:$B$23, "其他")</f>
        <v>送稿機</v>
      </c>
      <c r="C2006" s="144" t="s">
        <v>300</v>
      </c>
      <c r="D2006" s="156"/>
      <c r="E2006" s="156" t="s">
        <v>1400</v>
      </c>
      <c r="F2006" s="156" t="s">
        <v>299</v>
      </c>
      <c r="G2006" s="154">
        <v>120000</v>
      </c>
    </row>
    <row r="2007" spans="1:7" ht="21.6" customHeight="1">
      <c r="A2007" s="154" t="s">
        <v>50</v>
      </c>
      <c r="B2007" s="154" t="str" cm="1">
        <f t="array" ref="B2007">_xlfn.XLOOKUP(TRUE, ISNUMBER(SEARCH(工作表5!$A$1:$A$23, C2007)), 工作表5!$B$1:$B$23, "其他")</f>
        <v>送稿機</v>
      </c>
      <c r="C2007" s="144" t="s">
        <v>303</v>
      </c>
      <c r="D2007" s="156"/>
      <c r="E2007" s="156" t="s">
        <v>1401</v>
      </c>
      <c r="F2007" s="156" t="s">
        <v>302</v>
      </c>
      <c r="G2007" s="154">
        <v>120000</v>
      </c>
    </row>
    <row r="2008" spans="1:7" ht="21.6" customHeight="1">
      <c r="A2008" s="154" t="s">
        <v>50</v>
      </c>
      <c r="B2008" s="154" t="str" cm="1">
        <f t="array" ref="B2008">_xlfn.XLOOKUP(TRUE, ISNUMBER(SEARCH(工作表5!$A$1:$A$23, C2008)), 工作表5!$B$1:$B$23, "其他")</f>
        <v>其他</v>
      </c>
      <c r="C2008" s="144" t="s">
        <v>760</v>
      </c>
      <c r="D2008" s="156"/>
      <c r="E2008" s="156" t="s">
        <v>1384</v>
      </c>
      <c r="F2008" s="156" t="s">
        <v>252</v>
      </c>
      <c r="G2008" s="154">
        <v>160000</v>
      </c>
    </row>
    <row r="2009" spans="1:7" ht="21.6" customHeight="1">
      <c r="A2009" s="154" t="s">
        <v>50</v>
      </c>
      <c r="B2009" s="154" t="str" cm="1">
        <f t="array" ref="B2009">_xlfn.XLOOKUP(TRUE, ISNUMBER(SEARCH(工作表5!$A$1:$A$23, C2009)), 工作表5!$B$1:$B$23, "其他")</f>
        <v>定著組</v>
      </c>
      <c r="C2009" s="144" t="s">
        <v>642</v>
      </c>
      <c r="D2009" s="156"/>
      <c r="E2009" s="156" t="s">
        <v>1674</v>
      </c>
      <c r="F2009" s="156" t="s">
        <v>1039</v>
      </c>
      <c r="G2009" s="154">
        <v>302400</v>
      </c>
    </row>
    <row r="2010" spans="1:7" ht="21.6" customHeight="1">
      <c r="A2010" s="154" t="s">
        <v>50</v>
      </c>
      <c r="B2010" s="154" t="str" cm="1">
        <f t="array" ref="B2010">_xlfn.XLOOKUP(TRUE, ISNUMBER(SEARCH(工作表5!$A$1:$A$23, C2010)), 工作表5!$B$1:$B$23, "其他")</f>
        <v>轉寫組</v>
      </c>
      <c r="C2010" s="144" t="s">
        <v>645</v>
      </c>
      <c r="D2010" s="156"/>
      <c r="E2010" s="156" t="s">
        <v>1525</v>
      </c>
      <c r="F2010" s="156" t="s">
        <v>644</v>
      </c>
      <c r="G2010" s="154">
        <v>210000</v>
      </c>
    </row>
    <row r="2011" spans="1:7" ht="21.6" customHeight="1">
      <c r="A2011" s="154" t="s">
        <v>50</v>
      </c>
      <c r="B2011" s="154" t="str" cm="1">
        <f t="array" ref="B2011">_xlfn.XLOOKUP(TRUE, ISNUMBER(SEARCH(工作表5!$A$1:$A$23, C2011)), 工作表5!$B$1:$B$23, "其他")</f>
        <v>定著組</v>
      </c>
      <c r="C2011" s="145" t="s">
        <v>585</v>
      </c>
      <c r="D2011" s="156"/>
      <c r="E2011" s="156" t="s">
        <v>1675</v>
      </c>
      <c r="F2011" s="156" t="s">
        <v>1041</v>
      </c>
      <c r="G2011" s="154" t="e">
        <v>#VALUE!</v>
      </c>
    </row>
    <row r="2012" spans="1:7" ht="21.6" customHeight="1">
      <c r="A2012" s="154" t="s">
        <v>50</v>
      </c>
      <c r="B2012" s="154" t="str" cm="1">
        <f t="array" ref="B2012">_xlfn.XLOOKUP(TRUE, ISNUMBER(SEARCH(工作表5!$A$1:$A$23, C2012)), 工作表5!$B$1:$B$23, "其他")</f>
        <v>定著組</v>
      </c>
      <c r="C2012" s="145" t="s">
        <v>585</v>
      </c>
      <c r="D2012" s="156"/>
      <c r="E2012" s="156" t="s">
        <v>1676</v>
      </c>
      <c r="F2012" s="156" t="s">
        <v>1043</v>
      </c>
      <c r="G2012" s="154" t="e">
        <v>#VALUE!</v>
      </c>
    </row>
    <row r="2013" spans="1:7" ht="21.6" customHeight="1">
      <c r="A2013" s="154" t="s">
        <v>50</v>
      </c>
      <c r="B2013" s="154" t="str" cm="1">
        <f t="array" ref="B2013">_xlfn.XLOOKUP(TRUE, ISNUMBER(SEARCH(工作表5!$A$1:$A$23, C2013)), 工作表5!$B$1:$B$23, "其他")</f>
        <v>顯像組</v>
      </c>
      <c r="C2013" s="145" t="s">
        <v>129</v>
      </c>
      <c r="D2013" s="156"/>
      <c r="E2013" s="156" t="s">
        <v>1677</v>
      </c>
      <c r="F2013" s="156" t="s">
        <v>1045</v>
      </c>
      <c r="G2013" s="154" t="e">
        <v>#VALUE!</v>
      </c>
    </row>
    <row r="2014" spans="1:7" ht="21.6" customHeight="1">
      <c r="A2014" s="154" t="s">
        <v>50</v>
      </c>
      <c r="B2014" s="154" t="str" cm="1">
        <f t="array" ref="B2014">_xlfn.XLOOKUP(TRUE, ISNUMBER(SEARCH(工作表5!$A$1:$A$23, C2014)), 工作表5!$B$1:$B$23, "其他")</f>
        <v>顯像組</v>
      </c>
      <c r="C2014" s="145" t="s">
        <v>772</v>
      </c>
      <c r="D2014" s="156"/>
      <c r="E2014" s="156" t="s">
        <v>1678</v>
      </c>
      <c r="F2014" s="156" t="s">
        <v>1048</v>
      </c>
      <c r="G2014" s="154" t="e">
        <v>#VALUE!</v>
      </c>
    </row>
    <row r="2015" spans="1:7" ht="21.6" customHeight="1">
      <c r="A2015" s="154" t="s">
        <v>50</v>
      </c>
      <c r="B2015" s="154" t="str" cm="1">
        <f t="array" ref="B2015">_xlfn.XLOOKUP(TRUE, ISNUMBER(SEARCH(工作表5!$A$1:$A$23, C2015)), 工作表5!$B$1:$B$23, "其他")</f>
        <v>顯像組</v>
      </c>
      <c r="C2015" s="145" t="s">
        <v>775</v>
      </c>
      <c r="D2015" s="156"/>
      <c r="E2015" s="156" t="s">
        <v>1679</v>
      </c>
      <c r="F2015" s="156" t="s">
        <v>1050</v>
      </c>
      <c r="G2015" s="154" t="e">
        <v>#VALUE!</v>
      </c>
    </row>
    <row r="2016" spans="1:7" ht="21.6" customHeight="1">
      <c r="A2016" s="154" t="s">
        <v>50</v>
      </c>
      <c r="B2016" s="154" t="str" cm="1">
        <f t="array" ref="B2016">_xlfn.XLOOKUP(TRUE, ISNUMBER(SEARCH(工作表5!$A$1:$A$23, C2016)), 工作表5!$B$1:$B$23, "其他")</f>
        <v>顯像組</v>
      </c>
      <c r="C2016" s="145" t="s">
        <v>778</v>
      </c>
      <c r="D2016" s="156"/>
      <c r="E2016" s="156" t="s">
        <v>1680</v>
      </c>
      <c r="F2016" s="156" t="s">
        <v>1052</v>
      </c>
      <c r="G2016" s="154" t="e">
        <v>#VALUE!</v>
      </c>
    </row>
    <row r="2017" spans="1:7" ht="21.6" customHeight="1">
      <c r="A2017" s="154" t="s">
        <v>50</v>
      </c>
      <c r="B2017" s="154" t="str" cm="1">
        <f t="array" ref="B2017">_xlfn.XLOOKUP(TRUE, ISNUMBER(SEARCH(工作表5!$A$1:$A$23, C2017)), 工作表5!$B$1:$B$23, "其他")</f>
        <v>顯像組</v>
      </c>
      <c r="C2017" s="145" t="s">
        <v>129</v>
      </c>
      <c r="D2017" s="156"/>
      <c r="E2017" s="156" t="s">
        <v>1681</v>
      </c>
      <c r="F2017" s="156" t="s">
        <v>1054</v>
      </c>
      <c r="G2017" s="154" t="e">
        <v>#VALUE!</v>
      </c>
    </row>
    <row r="2018" spans="1:7" ht="21.6" customHeight="1">
      <c r="A2018" s="154" t="s">
        <v>50</v>
      </c>
      <c r="B2018" s="154" t="str" cm="1">
        <f t="array" ref="B2018">_xlfn.XLOOKUP(TRUE, ISNUMBER(SEARCH(工作表5!$A$1:$A$23, C2018)), 工作表5!$B$1:$B$23, "其他")</f>
        <v>顯像組</v>
      </c>
      <c r="C2018" s="145" t="s">
        <v>772</v>
      </c>
      <c r="D2018" s="156"/>
      <c r="E2018" s="156" t="s">
        <v>1682</v>
      </c>
      <c r="F2018" s="156" t="s">
        <v>1057</v>
      </c>
      <c r="G2018" s="154" t="e">
        <v>#VALUE!</v>
      </c>
    </row>
    <row r="2019" spans="1:7" ht="21.6" customHeight="1">
      <c r="A2019" s="154" t="s">
        <v>50</v>
      </c>
      <c r="B2019" s="154" t="str" cm="1">
        <f t="array" ref="B2019">_xlfn.XLOOKUP(TRUE, ISNUMBER(SEARCH(工作表5!$A$1:$A$23, C2019)), 工作表5!$B$1:$B$23, "其他")</f>
        <v>顯像組</v>
      </c>
      <c r="C2019" s="145" t="s">
        <v>775</v>
      </c>
      <c r="D2019" s="156"/>
      <c r="E2019" s="156" t="s">
        <v>1683</v>
      </c>
      <c r="F2019" s="156" t="s">
        <v>1059</v>
      </c>
      <c r="G2019" s="154" t="e">
        <v>#VALUE!</v>
      </c>
    </row>
    <row r="2020" spans="1:7" ht="21.6" customHeight="1">
      <c r="A2020" s="154" t="s">
        <v>50</v>
      </c>
      <c r="B2020" s="154" t="str" cm="1">
        <f t="array" ref="B2020">_xlfn.XLOOKUP(TRUE, ISNUMBER(SEARCH(工作表5!$A$1:$A$23, C2020)), 工作表5!$B$1:$B$23, "其他")</f>
        <v>顯像組</v>
      </c>
      <c r="C2020" s="145" t="s">
        <v>778</v>
      </c>
      <c r="D2020" s="156"/>
      <c r="E2020" s="156" t="s">
        <v>1684</v>
      </c>
      <c r="F2020" s="156" t="s">
        <v>1061</v>
      </c>
      <c r="G2020" s="154" t="e">
        <v>#VALUE!</v>
      </c>
    </row>
    <row r="2021" spans="1:7" ht="21.6" customHeight="1">
      <c r="A2021" s="154" t="s">
        <v>50</v>
      </c>
      <c r="B2021" s="154" t="str" cm="1">
        <f t="array" ref="B2021">_xlfn.XLOOKUP(TRUE, ISNUMBER(SEARCH(工作表5!$A$1:$A$23, C2021)), 工作表5!$B$1:$B$23, "其他")</f>
        <v>轉寫組</v>
      </c>
      <c r="C2021" s="144" t="s">
        <v>1821</v>
      </c>
      <c r="D2021" s="156"/>
      <c r="E2021" s="156" t="s">
        <v>1528</v>
      </c>
      <c r="F2021" s="156" t="s">
        <v>651</v>
      </c>
      <c r="G2021" s="154" t="e">
        <v>#VALUE!</v>
      </c>
    </row>
    <row r="2022" spans="1:7" ht="21.6" customHeight="1">
      <c r="A2022" s="154" t="s">
        <v>50</v>
      </c>
      <c r="B2022" s="154" t="str" cm="1">
        <f t="array" ref="B2022">_xlfn.XLOOKUP(TRUE, ISNUMBER(SEARCH(工作表5!$A$1:$A$23, C2022)), 工作表5!$B$1:$B$23, "其他")</f>
        <v>轉寫組</v>
      </c>
      <c r="C2022" s="150" t="s">
        <v>1805</v>
      </c>
      <c r="D2022" s="156"/>
      <c r="E2022" s="156" t="s">
        <v>1638</v>
      </c>
      <c r="F2022" s="156" t="s">
        <v>942</v>
      </c>
      <c r="G2022" s="154" t="e">
        <v>#VALUE!</v>
      </c>
    </row>
    <row r="2023" spans="1:7" ht="21.6" customHeight="1">
      <c r="A2023" s="154" t="s">
        <v>52</v>
      </c>
      <c r="B2023" s="154" t="str" cm="1">
        <f t="array" ref="B2023">_xlfn.XLOOKUP(TRUE, ISNUMBER(SEARCH(工作表5!$A$1:$A$23, C2023)), 工作表5!$B$1:$B$23, "其他")</f>
        <v>滾筒組</v>
      </c>
      <c r="C2023" s="143" t="s">
        <v>589</v>
      </c>
      <c r="D2023" s="156"/>
      <c r="E2023" s="156" t="s">
        <v>1504</v>
      </c>
      <c r="F2023" s="156" t="s">
        <v>588</v>
      </c>
      <c r="G2023" s="154">
        <v>210000</v>
      </c>
    </row>
    <row r="2024" spans="1:7" ht="21.6" customHeight="1">
      <c r="A2024" s="154" t="s">
        <v>52</v>
      </c>
      <c r="B2024" s="154" t="str" cm="1">
        <f t="array" ref="B2024">_xlfn.XLOOKUP(TRUE, ISNUMBER(SEARCH(工作表5!$A$1:$A$23, C2024)), 工作表5!$B$1:$B$23, "其他")</f>
        <v>滾筒組</v>
      </c>
      <c r="C2024" s="150" t="s">
        <v>887</v>
      </c>
      <c r="D2024" s="156"/>
      <c r="E2024" s="156" t="s">
        <v>1595</v>
      </c>
      <c r="F2024" s="156" t="s">
        <v>841</v>
      </c>
      <c r="G2024" s="154">
        <v>105000</v>
      </c>
    </row>
    <row r="2025" spans="1:7" ht="21.6" customHeight="1">
      <c r="A2025" s="154" t="s">
        <v>52</v>
      </c>
      <c r="B2025" s="154" t="str" cm="1">
        <f t="array" ref="B2025">_xlfn.XLOOKUP(TRUE, ISNUMBER(SEARCH(工作表5!$A$1:$A$23, C2025)), 工作表5!$B$1:$B$23, "其他")</f>
        <v>顯像組</v>
      </c>
      <c r="C2025" s="145" t="s">
        <v>502</v>
      </c>
      <c r="D2025" s="156"/>
      <c r="E2025" s="156" t="s">
        <v>1505</v>
      </c>
      <c r="F2025" s="156" t="s">
        <v>592</v>
      </c>
      <c r="G2025" s="154" t="e">
        <v>#VALUE!</v>
      </c>
    </row>
    <row r="2026" spans="1:7" ht="21.6" customHeight="1">
      <c r="A2026" s="154" t="s">
        <v>52</v>
      </c>
      <c r="B2026" s="154" t="str" cm="1">
        <f t="array" ref="B2026">_xlfn.XLOOKUP(TRUE, ISNUMBER(SEARCH(工作表5!$A$1:$A$23, C2026)), 工作表5!$B$1:$B$23, "其他")</f>
        <v>顯像組</v>
      </c>
      <c r="C2026" s="145" t="s">
        <v>703</v>
      </c>
      <c r="D2026" s="156"/>
      <c r="E2026" s="156" t="s">
        <v>1639</v>
      </c>
      <c r="F2026" s="156" t="s">
        <v>944</v>
      </c>
      <c r="G2026" s="154">
        <v>210000</v>
      </c>
    </row>
    <row r="2027" spans="1:7" ht="21.6" customHeight="1">
      <c r="A2027" s="154" t="s">
        <v>52</v>
      </c>
      <c r="B2027" s="154" t="str" cm="1">
        <f t="array" ref="B2027">_xlfn.XLOOKUP(TRUE, ISNUMBER(SEARCH(工作表5!$A$1:$A$23, C2027)), 工作表5!$B$1:$B$23, "其他")</f>
        <v>顯像組</v>
      </c>
      <c r="C2027" s="144" t="s">
        <v>706</v>
      </c>
      <c r="D2027" s="156"/>
      <c r="E2027" s="156" t="s">
        <v>1640</v>
      </c>
      <c r="F2027" s="156" t="s">
        <v>946</v>
      </c>
      <c r="G2027" s="154">
        <v>210000</v>
      </c>
    </row>
    <row r="2028" spans="1:7" ht="21.6" customHeight="1">
      <c r="A2028" s="154" t="s">
        <v>52</v>
      </c>
      <c r="B2028" s="154" t="str" cm="1">
        <f t="array" ref="B2028">_xlfn.XLOOKUP(TRUE, ISNUMBER(SEARCH(工作表5!$A$1:$A$23, C2028)), 工作表5!$B$1:$B$23, "其他")</f>
        <v>顯像組</v>
      </c>
      <c r="C2028" s="145" t="s">
        <v>709</v>
      </c>
      <c r="D2028" s="156"/>
      <c r="E2028" s="156" t="s">
        <v>1641</v>
      </c>
      <c r="F2028" s="156" t="s">
        <v>948</v>
      </c>
      <c r="G2028" s="154">
        <v>210000</v>
      </c>
    </row>
    <row r="2029" spans="1:7" ht="21.6" customHeight="1">
      <c r="A2029" s="154" t="s">
        <v>52</v>
      </c>
      <c r="B2029" s="154" t="str" cm="1">
        <f t="array" ref="B2029">_xlfn.XLOOKUP(TRUE, ISNUMBER(SEARCH(工作表5!$A$1:$A$23, C2029)), 工作表5!$B$1:$B$23, "其他")</f>
        <v>滾筒組</v>
      </c>
      <c r="C2029" s="145" t="s">
        <v>415</v>
      </c>
      <c r="D2029" s="156"/>
      <c r="E2029" s="156" t="s">
        <v>1506</v>
      </c>
      <c r="F2029" s="156" t="s">
        <v>594</v>
      </c>
      <c r="G2029" s="154" t="e">
        <v>#VALUE!</v>
      </c>
    </row>
    <row r="2030" spans="1:7" ht="21.6" customHeight="1">
      <c r="A2030" s="154" t="s">
        <v>52</v>
      </c>
      <c r="B2030" s="154" t="str" cm="1">
        <f t="array" ref="B2030">_xlfn.XLOOKUP(TRUE, ISNUMBER(SEARCH(工作表5!$A$1:$A$23, C2030)), 工作表5!$B$1:$B$23, "其他")</f>
        <v>滾筒組</v>
      </c>
      <c r="C2030" s="144" t="s">
        <v>597</v>
      </c>
      <c r="D2030" s="156"/>
      <c r="E2030" s="156" t="s">
        <v>1507</v>
      </c>
      <c r="F2030" s="156" t="s">
        <v>596</v>
      </c>
      <c r="G2030" s="154">
        <v>210000</v>
      </c>
    </row>
    <row r="2031" spans="1:7" ht="21.6" customHeight="1">
      <c r="A2031" s="154" t="s">
        <v>52</v>
      </c>
      <c r="B2031" s="154" t="str" cm="1">
        <f t="array" ref="B2031">_xlfn.XLOOKUP(TRUE, ISNUMBER(SEARCH(工作表5!$A$1:$A$23, C2031)), 工作表5!$B$1:$B$23, "其他")</f>
        <v>滾筒組</v>
      </c>
      <c r="C2031" s="144" t="s">
        <v>901</v>
      </c>
      <c r="D2031" s="156"/>
      <c r="E2031" s="156" t="s">
        <v>1642</v>
      </c>
      <c r="F2031" s="156" t="s">
        <v>950</v>
      </c>
      <c r="G2031" s="154">
        <v>105000</v>
      </c>
    </row>
    <row r="2032" spans="1:7" ht="21.6" customHeight="1">
      <c r="A2032" s="154" t="s">
        <v>52</v>
      </c>
      <c r="B2032" s="154" t="str" cm="1">
        <f t="array" ref="B2032">_xlfn.XLOOKUP(TRUE, ISNUMBER(SEARCH(工作表5!$A$1:$A$23, C2032)), 工作表5!$B$1:$B$23, "其他")</f>
        <v>顯像組</v>
      </c>
      <c r="C2032" s="145" t="s">
        <v>600</v>
      </c>
      <c r="D2032" s="156"/>
      <c r="E2032" s="156" t="s">
        <v>1508</v>
      </c>
      <c r="F2032" s="156" t="s">
        <v>599</v>
      </c>
      <c r="G2032" s="154" t="e">
        <v>#VALUE!</v>
      </c>
    </row>
    <row r="2033" spans="1:7" ht="21.6" customHeight="1">
      <c r="A2033" s="154" t="s">
        <v>52</v>
      </c>
      <c r="B2033" s="154" t="str" cm="1">
        <f t="array" ref="B2033">_xlfn.XLOOKUP(TRUE, ISNUMBER(SEARCH(工作表5!$A$1:$A$23, C2033)), 工作表5!$B$1:$B$23, "其他")</f>
        <v>顯像組</v>
      </c>
      <c r="C2033" s="144" t="s">
        <v>1822</v>
      </c>
      <c r="D2033" s="156"/>
      <c r="E2033" s="156" t="s">
        <v>1509</v>
      </c>
      <c r="F2033" s="156" t="s">
        <v>602</v>
      </c>
      <c r="G2033" s="154" t="e">
        <v>#VALUE!</v>
      </c>
    </row>
    <row r="2034" spans="1:7" ht="21.6" customHeight="1">
      <c r="A2034" s="154" t="s">
        <v>52</v>
      </c>
      <c r="B2034" s="154" t="str" cm="1">
        <f t="array" ref="B2034">_xlfn.XLOOKUP(TRUE, ISNUMBER(SEARCH(工作表5!$A$1:$A$23, C2034)), 工作表5!$B$1:$B$23, "其他")</f>
        <v>滾筒組</v>
      </c>
      <c r="C2034" s="144" t="s">
        <v>1823</v>
      </c>
      <c r="D2034" s="156"/>
      <c r="E2034" s="156" t="s">
        <v>1510</v>
      </c>
      <c r="F2034" s="156" t="s">
        <v>604</v>
      </c>
      <c r="G2034" s="154" t="e">
        <v>#VALUE!</v>
      </c>
    </row>
    <row r="2035" spans="1:7" ht="21.6" customHeight="1">
      <c r="A2035" s="154" t="s">
        <v>52</v>
      </c>
      <c r="B2035" s="154" t="str" cm="1">
        <f t="array" ref="B2035">_xlfn.XLOOKUP(TRUE, ISNUMBER(SEARCH(工作表5!$A$1:$A$23, C2035)), 工作表5!$B$1:$B$23, "其他")</f>
        <v>轉寫組</v>
      </c>
      <c r="C2035" s="145" t="s">
        <v>1812</v>
      </c>
      <c r="D2035" s="156"/>
      <c r="E2035" s="156" t="s">
        <v>1511</v>
      </c>
      <c r="F2035" s="156" t="s">
        <v>606</v>
      </c>
      <c r="G2035" s="154">
        <v>210000</v>
      </c>
    </row>
    <row r="2036" spans="1:7" ht="21.6" customHeight="1">
      <c r="A2036" s="154" t="s">
        <v>52</v>
      </c>
      <c r="B2036" s="154" t="str" cm="1">
        <f t="array" ref="B2036">_xlfn.XLOOKUP(TRUE, ISNUMBER(SEARCH(工作表5!$A$1:$A$23, C2036)), 工作表5!$B$1:$B$23, "其他")</f>
        <v>轉寫組</v>
      </c>
      <c r="C2036" s="145" t="s">
        <v>1812</v>
      </c>
      <c r="D2036" s="156"/>
      <c r="E2036" s="156" t="s">
        <v>1512</v>
      </c>
      <c r="F2036" s="156" t="s">
        <v>608</v>
      </c>
      <c r="G2036" s="154">
        <v>210000</v>
      </c>
    </row>
    <row r="2037" spans="1:7" ht="21.6" customHeight="1">
      <c r="A2037" s="154" t="s">
        <v>52</v>
      </c>
      <c r="B2037" s="154" t="str" cm="1">
        <f t="array" ref="B2037">_xlfn.XLOOKUP(TRUE, ISNUMBER(SEARCH(工作表5!$A$1:$A$23, C2037)), 工作表5!$B$1:$B$23, "其他")</f>
        <v>轉寫組</v>
      </c>
      <c r="C2037" s="145" t="s">
        <v>1824</v>
      </c>
      <c r="D2037" s="156"/>
      <c r="E2037" s="156" t="s">
        <v>1513</v>
      </c>
      <c r="F2037" s="156" t="s">
        <v>610</v>
      </c>
      <c r="G2037" s="154">
        <v>210000</v>
      </c>
    </row>
    <row r="2038" spans="1:7" ht="21.6" customHeight="1">
      <c r="A2038" s="154" t="s">
        <v>52</v>
      </c>
      <c r="B2038" s="154" t="str" cm="1">
        <f t="array" ref="B2038">_xlfn.XLOOKUP(TRUE, ISNUMBER(SEARCH(工作表5!$A$1:$A$23, C2038)), 工作表5!$B$1:$B$23, "其他")</f>
        <v>轉寫組</v>
      </c>
      <c r="C2038" s="145" t="s">
        <v>1825</v>
      </c>
      <c r="D2038" s="156"/>
      <c r="E2038" s="156" t="s">
        <v>1514</v>
      </c>
      <c r="F2038" s="156" t="s">
        <v>612</v>
      </c>
      <c r="G2038" s="154">
        <v>210000</v>
      </c>
    </row>
    <row r="2039" spans="1:7" ht="21.6" customHeight="1">
      <c r="A2039" s="154" t="s">
        <v>52</v>
      </c>
      <c r="B2039" s="154" t="str" cm="1">
        <f t="array" ref="B2039">_xlfn.XLOOKUP(TRUE, ISNUMBER(SEARCH(工作表5!$A$1:$A$23, C2039)), 工作表5!$B$1:$B$23, "其他")</f>
        <v>轉寫組</v>
      </c>
      <c r="C2039" s="145" t="s">
        <v>1826</v>
      </c>
      <c r="D2039" s="156"/>
      <c r="E2039" s="156" t="s">
        <v>1515</v>
      </c>
      <c r="F2039" s="156" t="s">
        <v>614</v>
      </c>
      <c r="G2039" s="154">
        <v>210000</v>
      </c>
    </row>
    <row r="2040" spans="1:7" ht="21.6" customHeight="1">
      <c r="A2040" s="154" t="s">
        <v>52</v>
      </c>
      <c r="B2040" s="154" t="str" cm="1">
        <f t="array" ref="B2040">_xlfn.XLOOKUP(TRUE, ISNUMBER(SEARCH(工作表5!$A$1:$A$23, C2040)), 工作表5!$B$1:$B$23, "其他")</f>
        <v>其他</v>
      </c>
      <c r="C2040" s="144" t="s">
        <v>101</v>
      </c>
      <c r="D2040" s="156"/>
      <c r="E2040" s="156" t="s">
        <v>1516</v>
      </c>
      <c r="F2040" s="156" t="s">
        <v>616</v>
      </c>
      <c r="G2040" s="154">
        <v>680400</v>
      </c>
    </row>
    <row r="2041" spans="1:7" ht="21.6" customHeight="1">
      <c r="A2041" s="154" t="s">
        <v>52</v>
      </c>
      <c r="B2041" s="154" t="str" cm="1">
        <f t="array" ref="B2041">_xlfn.XLOOKUP(TRUE, ISNUMBER(SEARCH(工作表5!$A$1:$A$23, C2041)), 工作表5!$B$1:$B$23, "其他")</f>
        <v>定著組</v>
      </c>
      <c r="C2041" s="145" t="s">
        <v>1809</v>
      </c>
      <c r="D2041" s="156"/>
      <c r="E2041" s="156" t="s">
        <v>1673</v>
      </c>
      <c r="F2041" s="156" t="s">
        <v>1037</v>
      </c>
      <c r="G2041" s="154">
        <v>302400</v>
      </c>
    </row>
    <row r="2042" spans="1:7" ht="21.6" customHeight="1">
      <c r="A2042" s="154" t="s">
        <v>52</v>
      </c>
      <c r="B2042" s="154" t="str" cm="1">
        <f t="array" ref="B2042">_xlfn.XLOOKUP(TRUE, ISNUMBER(SEARCH(工作表5!$A$1:$A$23, C2042)), 工作表5!$B$1:$B$23, "其他")</f>
        <v>定著組</v>
      </c>
      <c r="C2042" s="145" t="s">
        <v>87</v>
      </c>
      <c r="D2042" s="156"/>
      <c r="E2042" s="156" t="s">
        <v>1624</v>
      </c>
      <c r="F2042" s="156" t="s">
        <v>912</v>
      </c>
      <c r="G2042" s="154">
        <v>302400</v>
      </c>
    </row>
    <row r="2043" spans="1:7" ht="21.6" customHeight="1">
      <c r="A2043" s="154" t="s">
        <v>52</v>
      </c>
      <c r="B2043" s="154" t="str" cm="1">
        <f t="array" ref="B2043">_xlfn.XLOOKUP(TRUE, ISNUMBER(SEARCH(工作表5!$A$1:$A$23, C2043)), 工作表5!$B$1:$B$23, "其他")</f>
        <v>定著組</v>
      </c>
      <c r="C2043" s="144" t="s">
        <v>1827</v>
      </c>
      <c r="D2043" s="156"/>
      <c r="E2043" s="156" t="s">
        <v>1519</v>
      </c>
      <c r="F2043" s="156" t="s">
        <v>623</v>
      </c>
      <c r="G2043" s="154">
        <v>302400</v>
      </c>
    </row>
    <row r="2044" spans="1:7" ht="21.6" customHeight="1">
      <c r="A2044" s="154" t="s">
        <v>52</v>
      </c>
      <c r="B2044" s="154" t="str" cm="1">
        <f t="array" ref="B2044">_xlfn.XLOOKUP(TRUE, ISNUMBER(SEARCH(工作表5!$A$1:$A$23, C2044)), 工作表5!$B$1:$B$23, "其他")</f>
        <v>定著組</v>
      </c>
      <c r="C2044" s="144" t="s">
        <v>1828</v>
      </c>
      <c r="D2044" s="156"/>
      <c r="E2044" s="156" t="s">
        <v>1520</v>
      </c>
      <c r="F2044" s="156" t="s">
        <v>625</v>
      </c>
      <c r="G2044" s="154">
        <v>302400</v>
      </c>
    </row>
    <row r="2045" spans="1:7" ht="21.6" customHeight="1">
      <c r="A2045" s="154" t="s">
        <v>52</v>
      </c>
      <c r="B2045" s="154" t="str" cm="1">
        <f t="array" ref="B2045">_xlfn.XLOOKUP(TRUE, ISNUMBER(SEARCH(工作表5!$A$1:$A$23, C2045)), 工作表5!$B$1:$B$23, "其他")</f>
        <v>定著組</v>
      </c>
      <c r="C2045" s="145" t="s">
        <v>628</v>
      </c>
      <c r="D2045" s="156"/>
      <c r="E2045" s="156" t="s">
        <v>1521</v>
      </c>
      <c r="F2045" s="156" t="s">
        <v>627</v>
      </c>
      <c r="G2045" s="154">
        <v>302400</v>
      </c>
    </row>
    <row r="2046" spans="1:7" ht="21.6" customHeight="1">
      <c r="A2046" s="154" t="s">
        <v>52</v>
      </c>
      <c r="B2046" s="154" t="str" cm="1">
        <f t="array" ref="B2046">_xlfn.XLOOKUP(TRUE, ISNUMBER(SEARCH(工作表5!$A$1:$A$23, C2046)), 工作表5!$B$1:$B$23, "其他")</f>
        <v>手送台</v>
      </c>
      <c r="C2046" s="144" t="s">
        <v>631</v>
      </c>
      <c r="D2046" s="156"/>
      <c r="E2046" s="156" t="s">
        <v>1522</v>
      </c>
      <c r="F2046" s="156" t="s">
        <v>630</v>
      </c>
      <c r="G2046" s="154">
        <v>120000</v>
      </c>
    </row>
    <row r="2047" spans="1:7" ht="21.6" customHeight="1">
      <c r="A2047" s="154" t="s">
        <v>52</v>
      </c>
      <c r="B2047" s="154" t="str" cm="1">
        <f t="array" ref="B2047">_xlfn.XLOOKUP(TRUE, ISNUMBER(SEARCH(工作表5!$A$1:$A$23, C2047)), 工作表5!$B$1:$B$23, "其他")</f>
        <v>手送台</v>
      </c>
      <c r="C2047" s="144" t="s">
        <v>115</v>
      </c>
      <c r="D2047" s="156"/>
      <c r="E2047" s="156" t="s">
        <v>1409</v>
      </c>
      <c r="F2047" s="156" t="s">
        <v>330</v>
      </c>
      <c r="G2047" s="154">
        <v>120000</v>
      </c>
    </row>
    <row r="2048" spans="1:7" ht="21.6" customHeight="1">
      <c r="A2048" s="154" t="s">
        <v>52</v>
      </c>
      <c r="B2048" s="154" t="str" cm="1">
        <f t="array" ref="B2048">_xlfn.XLOOKUP(TRUE, ISNUMBER(SEARCH(工作表5!$A$1:$A$23, C2048)), 工作表5!$B$1:$B$23, "其他")</f>
        <v>取紙組</v>
      </c>
      <c r="C2048" s="144" t="s">
        <v>1829</v>
      </c>
      <c r="D2048" s="156"/>
      <c r="E2048" s="156" t="s">
        <v>1389</v>
      </c>
      <c r="F2048" s="156" t="s">
        <v>265</v>
      </c>
      <c r="G2048" s="154">
        <v>80000</v>
      </c>
    </row>
    <row r="2049" spans="1:7" ht="21.6" customHeight="1">
      <c r="A2049" s="154" t="s">
        <v>52</v>
      </c>
      <c r="B2049" s="154" t="str" cm="1">
        <f t="array" ref="B2049">_xlfn.XLOOKUP(TRUE, ISNUMBER(SEARCH(工作表5!$A$1:$A$23, C2049)), 工作表5!$B$1:$B$23, "其他")</f>
        <v>取紙組</v>
      </c>
      <c r="C2049" s="144" t="s">
        <v>633</v>
      </c>
      <c r="D2049" s="156"/>
      <c r="E2049" s="156" t="s">
        <v>1390</v>
      </c>
      <c r="F2049" s="156" t="s">
        <v>269</v>
      </c>
      <c r="G2049" s="154">
        <v>80000</v>
      </c>
    </row>
    <row r="2050" spans="1:7" ht="21.6" customHeight="1">
      <c r="A2050" s="154" t="s">
        <v>52</v>
      </c>
      <c r="B2050" s="154" t="str" cm="1">
        <f t="array" ref="B2050">_xlfn.XLOOKUP(TRUE, ISNUMBER(SEARCH(工作表5!$A$1:$A$23, C2050)), 工作表5!$B$1:$B$23, "其他")</f>
        <v>取紙組</v>
      </c>
      <c r="C2050" s="144" t="s">
        <v>1830</v>
      </c>
      <c r="D2050" s="156"/>
      <c r="E2050" s="156" t="s">
        <v>1391</v>
      </c>
      <c r="F2050" s="156" t="s">
        <v>272</v>
      </c>
      <c r="G2050" s="154">
        <v>80000</v>
      </c>
    </row>
    <row r="2051" spans="1:7" ht="21.6" customHeight="1">
      <c r="A2051" s="154" t="s">
        <v>52</v>
      </c>
      <c r="B2051" s="154" t="str" cm="1">
        <f t="array" ref="B2051">_xlfn.XLOOKUP(TRUE, ISNUMBER(SEARCH(工作表5!$A$1:$A$23, C2051)), 工作表5!$B$1:$B$23, "其他")</f>
        <v>送稿機</v>
      </c>
      <c r="C2051" s="144" t="s">
        <v>1781</v>
      </c>
      <c r="D2051" s="156"/>
      <c r="E2051" s="156" t="s">
        <v>1375</v>
      </c>
      <c r="F2051" s="156" t="s">
        <v>226</v>
      </c>
      <c r="G2051" s="154">
        <v>120000</v>
      </c>
    </row>
    <row r="2052" spans="1:7" ht="21.6" customHeight="1">
      <c r="A2052" s="154" t="s">
        <v>52</v>
      </c>
      <c r="B2052" s="154" t="str" cm="1">
        <f t="array" ref="B2052">_xlfn.XLOOKUP(TRUE, ISNUMBER(SEARCH(工作表5!$A$1:$A$23, C2052)), 工作表5!$B$1:$B$23, "其他")</f>
        <v>送稿機</v>
      </c>
      <c r="C2052" s="144" t="s">
        <v>278</v>
      </c>
      <c r="D2052" s="156"/>
      <c r="E2052" s="156" t="s">
        <v>1376</v>
      </c>
      <c r="F2052" s="156" t="s">
        <v>230</v>
      </c>
      <c r="G2052" s="154">
        <v>120000</v>
      </c>
    </row>
    <row r="2053" spans="1:7" ht="21.6" customHeight="1">
      <c r="A2053" s="154" t="s">
        <v>52</v>
      </c>
      <c r="B2053" s="154" t="str" cm="1">
        <f t="array" ref="B2053">_xlfn.XLOOKUP(TRUE, ISNUMBER(SEARCH(工作表5!$A$1:$A$23, C2053)), 工作表5!$B$1:$B$23, "其他")</f>
        <v>送稿機</v>
      </c>
      <c r="C2053" s="144" t="s">
        <v>1782</v>
      </c>
      <c r="D2053" s="156"/>
      <c r="E2053" s="156" t="s">
        <v>1407</v>
      </c>
      <c r="F2053" s="156" t="s">
        <v>324</v>
      </c>
      <c r="G2053" s="154">
        <v>120000</v>
      </c>
    </row>
    <row r="2054" spans="1:7" ht="21.6" customHeight="1">
      <c r="A2054" s="154" t="s">
        <v>52</v>
      </c>
      <c r="B2054" s="154" t="str" cm="1">
        <f t="array" ref="B2054">_xlfn.XLOOKUP(TRUE, ISNUMBER(SEARCH(工作表5!$A$1:$A$23, C2054)), 工作表5!$B$1:$B$23, "其他")</f>
        <v>送稿機</v>
      </c>
      <c r="C2054" s="144" t="s">
        <v>285</v>
      </c>
      <c r="D2054" s="156"/>
      <c r="E2054" s="156" t="s">
        <v>1395</v>
      </c>
      <c r="F2054" s="156" t="s">
        <v>226</v>
      </c>
      <c r="G2054" s="154">
        <v>120000</v>
      </c>
    </row>
    <row r="2055" spans="1:7" ht="21.6" customHeight="1">
      <c r="A2055" s="154" t="s">
        <v>52</v>
      </c>
      <c r="B2055" s="154" t="str" cm="1">
        <f t="array" ref="B2055">_xlfn.XLOOKUP(TRUE, ISNUMBER(SEARCH(工作表5!$A$1:$A$23, C2055)), 工作表5!$B$1:$B$23, "其他")</f>
        <v>送稿機</v>
      </c>
      <c r="C2055" s="144" t="s">
        <v>282</v>
      </c>
      <c r="D2055" s="156"/>
      <c r="E2055" s="156" t="s">
        <v>1396</v>
      </c>
      <c r="F2055" s="156" t="s">
        <v>288</v>
      </c>
      <c r="G2055" s="154">
        <v>120000</v>
      </c>
    </row>
    <row r="2056" spans="1:7" ht="21.6" customHeight="1">
      <c r="A2056" s="154" t="s">
        <v>52</v>
      </c>
      <c r="B2056" s="154" t="str" cm="1">
        <f t="array" ref="B2056">_xlfn.XLOOKUP(TRUE, ISNUMBER(SEARCH(工作表5!$A$1:$A$23, C2056)), 工作表5!$B$1:$B$23, "其他")</f>
        <v>大容量取紙組</v>
      </c>
      <c r="C2056" s="144" t="s">
        <v>237</v>
      </c>
      <c r="D2056" s="156"/>
      <c r="E2056" s="156" t="s">
        <v>1408</v>
      </c>
      <c r="F2056" s="156" t="s">
        <v>327</v>
      </c>
      <c r="G2056" s="154">
        <v>320000</v>
      </c>
    </row>
    <row r="2057" spans="1:7" ht="21.6" customHeight="1">
      <c r="A2057" s="154" t="s">
        <v>52</v>
      </c>
      <c r="B2057" s="154" t="str" cm="1">
        <f t="array" ref="B2057">_xlfn.XLOOKUP(TRUE, ISNUMBER(SEARCH(工作表5!$A$1:$A$23, C2057)), 工作表5!$B$1:$B$23, "其他")</f>
        <v>取紙組</v>
      </c>
      <c r="C2057" s="144" t="s">
        <v>634</v>
      </c>
      <c r="D2057" s="156"/>
      <c r="E2057" s="156" t="s">
        <v>1409</v>
      </c>
      <c r="F2057" s="156" t="s">
        <v>330</v>
      </c>
      <c r="G2057" s="154">
        <v>320000</v>
      </c>
    </row>
    <row r="2058" spans="1:7" ht="21.6" customHeight="1">
      <c r="A2058" s="154" t="s">
        <v>52</v>
      </c>
      <c r="B2058" s="154" t="str" cm="1">
        <f t="array" ref="B2058">_xlfn.XLOOKUP(TRUE, ISNUMBER(SEARCH(工作表5!$A$1:$A$23, C2058)), 工作表5!$B$1:$B$23, "其他")</f>
        <v>其他</v>
      </c>
      <c r="C2058" s="144" t="s">
        <v>1784</v>
      </c>
      <c r="D2058" s="156"/>
      <c r="E2058" s="156" t="s">
        <v>1410</v>
      </c>
      <c r="F2058" s="156" t="s">
        <v>333</v>
      </c>
      <c r="G2058" s="154">
        <v>500000</v>
      </c>
    </row>
    <row r="2059" spans="1:7" ht="21.6" customHeight="1">
      <c r="A2059" s="154" t="s">
        <v>52</v>
      </c>
      <c r="B2059" s="154" t="str" cm="1">
        <f t="array" ref="B2059">_xlfn.XLOOKUP(TRUE, ISNUMBER(SEARCH(工作表5!$A$1:$A$23, C2059)), 工作表5!$B$1:$B$23, "其他")</f>
        <v>送稿機</v>
      </c>
      <c r="C2059" s="144" t="s">
        <v>337</v>
      </c>
      <c r="D2059" s="156"/>
      <c r="E2059" s="156" t="s">
        <v>1411</v>
      </c>
      <c r="F2059" s="156" t="s">
        <v>336</v>
      </c>
      <c r="G2059" s="154">
        <v>500000</v>
      </c>
    </row>
    <row r="2060" spans="1:7" ht="21.6" customHeight="1">
      <c r="A2060" s="154" t="s">
        <v>52</v>
      </c>
      <c r="B2060" s="154" t="str" cm="1">
        <f t="array" ref="B2060">_xlfn.XLOOKUP(TRUE, ISNUMBER(SEARCH(工作表5!$A$1:$A$23, C2060)), 工作表5!$B$1:$B$23, "其他")</f>
        <v>送稿機</v>
      </c>
      <c r="C2060" s="145" t="s">
        <v>341</v>
      </c>
      <c r="D2060" s="156"/>
      <c r="E2060" s="156" t="s">
        <v>1412</v>
      </c>
      <c r="F2060" s="156" t="s">
        <v>340</v>
      </c>
      <c r="G2060" s="154">
        <v>500000</v>
      </c>
    </row>
    <row r="2061" spans="1:7" ht="21.6" customHeight="1">
      <c r="A2061" s="154" t="s">
        <v>52</v>
      </c>
      <c r="B2061" s="154" t="str" cm="1">
        <f t="array" ref="B2061">_xlfn.XLOOKUP(TRUE, ISNUMBER(SEARCH(工作表5!$A$1:$A$23, C2061)), 工作表5!$B$1:$B$23, "其他")</f>
        <v>顯像組</v>
      </c>
      <c r="C2061" s="144" t="s">
        <v>637</v>
      </c>
      <c r="D2061" s="156"/>
      <c r="E2061" s="156" t="s">
        <v>1523</v>
      </c>
      <c r="F2061" s="156" t="s">
        <v>636</v>
      </c>
      <c r="G2061" s="154">
        <v>210000</v>
      </c>
    </row>
    <row r="2062" spans="1:7" ht="21.6" customHeight="1">
      <c r="A2062" s="154" t="s">
        <v>52</v>
      </c>
      <c r="B2062" s="154" t="str" cm="1">
        <f t="array" ref="B2062">_xlfn.XLOOKUP(TRUE, ISNUMBER(SEARCH(工作表5!$A$1:$A$23, C2062)), 工作表5!$B$1:$B$23, "其他")</f>
        <v>顯像組</v>
      </c>
      <c r="C2062" s="144" t="s">
        <v>755</v>
      </c>
      <c r="D2062" s="156"/>
      <c r="E2062" s="156" t="s">
        <v>1644</v>
      </c>
      <c r="F2062" s="156" t="s">
        <v>955</v>
      </c>
      <c r="G2062" s="154">
        <v>105000</v>
      </c>
    </row>
    <row r="2063" spans="1:7" ht="21.6" customHeight="1">
      <c r="A2063" s="154" t="s">
        <v>52</v>
      </c>
      <c r="B2063" s="154" t="str" cm="1">
        <f t="array" ref="B2063">_xlfn.XLOOKUP(TRUE, ISNUMBER(SEARCH(工作表5!$A$1:$A$23, C2063)), 工作表5!$B$1:$B$23, "其他")</f>
        <v>取紙組</v>
      </c>
      <c r="C2063" s="144" t="s">
        <v>638</v>
      </c>
      <c r="D2063" s="156"/>
      <c r="E2063" s="156" t="s">
        <v>1399</v>
      </c>
      <c r="F2063" s="156" t="s">
        <v>296</v>
      </c>
      <c r="G2063" s="154">
        <v>80000</v>
      </c>
    </row>
    <row r="2064" spans="1:7" ht="21.6" customHeight="1">
      <c r="A2064" s="154" t="s">
        <v>52</v>
      </c>
      <c r="B2064" s="154" t="str" cm="1">
        <f t="array" ref="B2064">_xlfn.XLOOKUP(TRUE, ISNUMBER(SEARCH(工作表5!$A$1:$A$23, C2064)), 工作表5!$B$1:$B$23, "其他")</f>
        <v>送稿機</v>
      </c>
      <c r="C2064" s="144" t="s">
        <v>300</v>
      </c>
      <c r="D2064" s="156"/>
      <c r="E2064" s="156" t="s">
        <v>1400</v>
      </c>
      <c r="F2064" s="156" t="s">
        <v>299</v>
      </c>
      <c r="G2064" s="154">
        <v>120000</v>
      </c>
    </row>
    <row r="2065" spans="1:7" ht="21.6" customHeight="1">
      <c r="A2065" s="154" t="s">
        <v>52</v>
      </c>
      <c r="B2065" s="154" t="str" cm="1">
        <f t="array" ref="B2065">_xlfn.XLOOKUP(TRUE, ISNUMBER(SEARCH(工作表5!$A$1:$A$23, C2065)), 工作表5!$B$1:$B$23, "其他")</f>
        <v>送稿機</v>
      </c>
      <c r="C2065" s="144" t="s">
        <v>303</v>
      </c>
      <c r="D2065" s="156"/>
      <c r="E2065" s="156" t="s">
        <v>1414</v>
      </c>
      <c r="F2065" s="156" t="s">
        <v>346</v>
      </c>
      <c r="G2065" s="154">
        <v>120000</v>
      </c>
    </row>
    <row r="2066" spans="1:7" ht="21.6" customHeight="1">
      <c r="A2066" s="154" t="s">
        <v>52</v>
      </c>
      <c r="B2066" s="154" t="str" cm="1">
        <f t="array" ref="B2066">_xlfn.XLOOKUP(TRUE, ISNUMBER(SEARCH(工作表5!$A$1:$A$23, C2066)), 工作表5!$B$1:$B$23, "其他")</f>
        <v>其他</v>
      </c>
      <c r="C2066" s="144" t="s">
        <v>349</v>
      </c>
      <c r="D2066" s="156"/>
      <c r="E2066" s="156" t="s">
        <v>1415</v>
      </c>
      <c r="F2066" s="156" t="s">
        <v>348</v>
      </c>
      <c r="G2066" s="154">
        <v>500000</v>
      </c>
    </row>
    <row r="2067" spans="1:7" ht="21.6" customHeight="1">
      <c r="A2067" s="154" t="s">
        <v>52</v>
      </c>
      <c r="B2067" s="154" t="str" cm="1">
        <f t="array" ref="B2067">_xlfn.XLOOKUP(TRUE, ISNUMBER(SEARCH(工作表5!$A$1:$A$23, C2067)), 工作表5!$B$1:$B$23, "其他")</f>
        <v>定著組</v>
      </c>
      <c r="C2067" s="144" t="s">
        <v>642</v>
      </c>
      <c r="D2067" s="156"/>
      <c r="E2067" s="156" t="s">
        <v>1674</v>
      </c>
      <c r="F2067" s="156" t="s">
        <v>1039</v>
      </c>
      <c r="G2067" s="154">
        <v>302400</v>
      </c>
    </row>
    <row r="2068" spans="1:7" ht="21.6" customHeight="1">
      <c r="A2068" s="154" t="s">
        <v>52</v>
      </c>
      <c r="B2068" s="154" t="str" cm="1">
        <f t="array" ref="B2068">_xlfn.XLOOKUP(TRUE, ISNUMBER(SEARCH(工作表5!$A$1:$A$23, C2068)), 工作表5!$B$1:$B$23, "其他")</f>
        <v>轉寫組</v>
      </c>
      <c r="C2068" s="144" t="s">
        <v>645</v>
      </c>
      <c r="D2068" s="156"/>
      <c r="E2068" s="156" t="s">
        <v>1525</v>
      </c>
      <c r="F2068" s="156" t="s">
        <v>644</v>
      </c>
      <c r="G2068" s="154">
        <v>210000</v>
      </c>
    </row>
    <row r="2069" spans="1:7" ht="21.6" customHeight="1">
      <c r="A2069" s="154" t="s">
        <v>52</v>
      </c>
      <c r="B2069" s="154" t="str" cm="1">
        <f t="array" ref="B2069">_xlfn.XLOOKUP(TRUE, ISNUMBER(SEARCH(工作表5!$A$1:$A$23, C2069)), 工作表5!$B$1:$B$23, "其他")</f>
        <v>定著組</v>
      </c>
      <c r="C2069" s="145" t="s">
        <v>585</v>
      </c>
      <c r="D2069" s="156"/>
      <c r="E2069" s="156" t="s">
        <v>1685</v>
      </c>
      <c r="F2069" s="156" t="s">
        <v>1063</v>
      </c>
      <c r="G2069" s="154" t="e">
        <v>#VALUE!</v>
      </c>
    </row>
    <row r="2070" spans="1:7" ht="21.6" customHeight="1">
      <c r="A2070" s="154" t="s">
        <v>52</v>
      </c>
      <c r="B2070" s="154" t="str" cm="1">
        <f t="array" ref="B2070">_xlfn.XLOOKUP(TRUE, ISNUMBER(SEARCH(工作表5!$A$1:$A$23, C2070)), 工作表5!$B$1:$B$23, "其他")</f>
        <v>顯像組</v>
      </c>
      <c r="C2070" s="145" t="s">
        <v>129</v>
      </c>
      <c r="D2070" s="156"/>
      <c r="E2070" s="156" t="s">
        <v>1527</v>
      </c>
      <c r="F2070" s="156" t="s">
        <v>649</v>
      </c>
      <c r="G2070" s="154" t="e">
        <v>#VALUE!</v>
      </c>
    </row>
    <row r="2071" spans="1:7" ht="21.6" customHeight="1">
      <c r="A2071" s="154" t="s">
        <v>52</v>
      </c>
      <c r="B2071" s="154" t="str" cm="1">
        <f t="array" ref="B2071">_xlfn.XLOOKUP(TRUE, ISNUMBER(SEARCH(工作表5!$A$1:$A$23, C2071)), 工作表5!$B$1:$B$23, "其他")</f>
        <v>顯像組</v>
      </c>
      <c r="C2071" s="145" t="s">
        <v>772</v>
      </c>
      <c r="D2071" s="156"/>
      <c r="E2071" s="156" t="s">
        <v>1686</v>
      </c>
      <c r="F2071" s="156" t="s">
        <v>1065</v>
      </c>
      <c r="G2071" s="154" t="e">
        <v>#VALUE!</v>
      </c>
    </row>
    <row r="2072" spans="1:7" ht="21.6" customHeight="1">
      <c r="A2072" s="154" t="s">
        <v>52</v>
      </c>
      <c r="B2072" s="154" t="str" cm="1">
        <f t="array" ref="B2072">_xlfn.XLOOKUP(TRUE, ISNUMBER(SEARCH(工作表5!$A$1:$A$23, C2072)), 工作表5!$B$1:$B$23, "其他")</f>
        <v>顯像組</v>
      </c>
      <c r="C2072" s="145" t="s">
        <v>775</v>
      </c>
      <c r="D2072" s="156"/>
      <c r="E2072" s="156" t="s">
        <v>1687</v>
      </c>
      <c r="F2072" s="156" t="s">
        <v>1067</v>
      </c>
      <c r="G2072" s="154" t="e">
        <v>#VALUE!</v>
      </c>
    </row>
    <row r="2073" spans="1:7" ht="21.6" customHeight="1">
      <c r="A2073" s="154" t="s">
        <v>52</v>
      </c>
      <c r="B2073" s="154" t="str" cm="1">
        <f t="array" ref="B2073">_xlfn.XLOOKUP(TRUE, ISNUMBER(SEARCH(工作表5!$A$1:$A$23, C2073)), 工作表5!$B$1:$B$23, "其他")</f>
        <v>顯像組</v>
      </c>
      <c r="C2073" s="145" t="s">
        <v>778</v>
      </c>
      <c r="D2073" s="156"/>
      <c r="E2073" s="156" t="s">
        <v>1688</v>
      </c>
      <c r="F2073" s="156" t="s">
        <v>1069</v>
      </c>
      <c r="G2073" s="154" t="e">
        <v>#VALUE!</v>
      </c>
    </row>
    <row r="2074" spans="1:7" ht="21.6" customHeight="1">
      <c r="A2074" s="154" t="s">
        <v>52</v>
      </c>
      <c r="B2074" s="154" t="str" cm="1">
        <f t="array" ref="B2074">_xlfn.XLOOKUP(TRUE, ISNUMBER(SEARCH(工作表5!$A$1:$A$23, C2074)), 工作表5!$B$1:$B$23, "其他")</f>
        <v>轉寫組</v>
      </c>
      <c r="C2074" s="144" t="s">
        <v>1821</v>
      </c>
      <c r="D2074" s="156"/>
      <c r="E2074" s="156" t="s">
        <v>1528</v>
      </c>
      <c r="F2074" s="156" t="s">
        <v>651</v>
      </c>
      <c r="G2074" s="154" t="e">
        <v>#VALUE!</v>
      </c>
    </row>
    <row r="2075" spans="1:7" ht="21.6" customHeight="1">
      <c r="A2075" s="154" t="s">
        <v>52</v>
      </c>
      <c r="B2075" s="154" t="str" cm="1">
        <f t="array" ref="B2075">_xlfn.XLOOKUP(TRUE, ISNUMBER(SEARCH(工作表5!$A$1:$A$23, C2075)), 工作表5!$B$1:$B$23, "其他")</f>
        <v>轉寫組</v>
      </c>
      <c r="C2075" s="150" t="s">
        <v>1805</v>
      </c>
      <c r="D2075" s="156"/>
      <c r="E2075" s="156" t="s">
        <v>1651</v>
      </c>
      <c r="F2075" s="156" t="s">
        <v>970</v>
      </c>
      <c r="G2075" s="154" t="e">
        <v>#VALUE!</v>
      </c>
    </row>
    <row r="2076" spans="1:7" ht="21.6" customHeight="1">
      <c r="A2076" s="154" t="s">
        <v>1315</v>
      </c>
      <c r="B2076" s="154" t="str" cm="1">
        <f t="array" ref="B2076">_xlfn.XLOOKUP(TRUE, ISNUMBER(SEARCH(工作表5!$A$1:$A$23, C2076)), 工作表5!$B$1:$B$23, "其他")</f>
        <v>滾筒組</v>
      </c>
      <c r="C2076" s="143" t="s">
        <v>193</v>
      </c>
      <c r="D2076" s="156"/>
      <c r="E2076" s="156" t="s">
        <v>1595</v>
      </c>
      <c r="F2076" s="156" t="s">
        <v>841</v>
      </c>
      <c r="G2076" s="154">
        <v>84000</v>
      </c>
    </row>
    <row r="2077" spans="1:7" ht="21.6" customHeight="1">
      <c r="A2077" s="154" t="s">
        <v>1315</v>
      </c>
      <c r="B2077" s="154" t="str" cm="1">
        <f t="array" ref="B2077">_xlfn.XLOOKUP(TRUE, ISNUMBER(SEARCH(工作表5!$A$1:$A$23, C2077)), 工作表5!$B$1:$B$23, "其他")</f>
        <v>顯像組</v>
      </c>
      <c r="C2077" s="145" t="s">
        <v>502</v>
      </c>
      <c r="D2077" s="156"/>
      <c r="E2077" s="156" t="s">
        <v>1543</v>
      </c>
      <c r="F2077" s="156" t="s">
        <v>700</v>
      </c>
      <c r="G2077" s="154">
        <v>84000</v>
      </c>
    </row>
    <row r="2078" spans="1:7" ht="21.6" customHeight="1">
      <c r="A2078" s="154" t="s">
        <v>1315</v>
      </c>
      <c r="B2078" s="154" t="str" cm="1">
        <f t="array" ref="B2078">_xlfn.XLOOKUP(TRUE, ISNUMBER(SEARCH(工作表5!$A$1:$A$23, C2078)), 工作表5!$B$1:$B$23, "其他")</f>
        <v>顯像組</v>
      </c>
      <c r="C2078" s="145" t="s">
        <v>703</v>
      </c>
      <c r="D2078" s="156"/>
      <c r="E2078" s="156" t="s">
        <v>1544</v>
      </c>
      <c r="F2078" s="156" t="s">
        <v>702</v>
      </c>
      <c r="G2078" s="154">
        <v>84000</v>
      </c>
    </row>
    <row r="2079" spans="1:7" ht="21.6" customHeight="1">
      <c r="A2079" s="154" t="s">
        <v>1315</v>
      </c>
      <c r="B2079" s="154" t="str" cm="1">
        <f t="array" ref="B2079">_xlfn.XLOOKUP(TRUE, ISNUMBER(SEARCH(工作表5!$A$1:$A$23, C2079)), 工作表5!$B$1:$B$23, "其他")</f>
        <v>顯像組</v>
      </c>
      <c r="C2079" s="144" t="s">
        <v>706</v>
      </c>
      <c r="D2079" s="156"/>
      <c r="E2079" s="156" t="s">
        <v>1545</v>
      </c>
      <c r="F2079" s="156" t="s">
        <v>705</v>
      </c>
      <c r="G2079" s="154">
        <v>84000</v>
      </c>
    </row>
    <row r="2080" spans="1:7" ht="21.6" customHeight="1">
      <c r="A2080" s="154" t="s">
        <v>1315</v>
      </c>
      <c r="B2080" s="154" t="str" cm="1">
        <f t="array" ref="B2080">_xlfn.XLOOKUP(TRUE, ISNUMBER(SEARCH(工作表5!$A$1:$A$23, C2080)), 工作表5!$B$1:$B$23, "其他")</f>
        <v>顯像組</v>
      </c>
      <c r="C2080" s="145" t="s">
        <v>709</v>
      </c>
      <c r="D2080" s="156"/>
      <c r="E2080" s="156" t="s">
        <v>1546</v>
      </c>
      <c r="F2080" s="156" t="s">
        <v>708</v>
      </c>
      <c r="G2080" s="154">
        <v>84000</v>
      </c>
    </row>
    <row r="2081" spans="1:7" ht="21.6" customHeight="1">
      <c r="A2081" s="154" t="s">
        <v>1315</v>
      </c>
      <c r="B2081" s="154" t="str" cm="1">
        <f t="array" ref="B2081">_xlfn.XLOOKUP(TRUE, ISNUMBER(SEARCH(工作表5!$A$1:$A$23, C2081)), 工作表5!$B$1:$B$23, "其他")</f>
        <v>滾筒組</v>
      </c>
      <c r="C2081" s="145" t="s">
        <v>415</v>
      </c>
      <c r="D2081" s="156"/>
      <c r="E2081" s="156" t="s">
        <v>1547</v>
      </c>
      <c r="F2081" s="156" t="s">
        <v>711</v>
      </c>
      <c r="G2081" s="154">
        <v>84000</v>
      </c>
    </row>
    <row r="2082" spans="1:7" ht="21.6" customHeight="1">
      <c r="A2082" s="154" t="s">
        <v>1315</v>
      </c>
      <c r="B2082" s="154" t="str" cm="1">
        <f t="array" ref="B2082">_xlfn.XLOOKUP(TRUE, ISNUMBER(SEARCH(工作表5!$A$1:$A$23, C2082)), 工作表5!$B$1:$B$23, "其他")</f>
        <v>轉寫組</v>
      </c>
      <c r="C2082" s="145" t="s">
        <v>533</v>
      </c>
      <c r="D2082" s="156"/>
      <c r="E2082" s="156" t="s">
        <v>1511</v>
      </c>
      <c r="F2082" s="156" t="s">
        <v>606</v>
      </c>
      <c r="G2082" s="154">
        <v>168000</v>
      </c>
    </row>
    <row r="2083" spans="1:7" ht="21.6" customHeight="1">
      <c r="A2083" s="154" t="s">
        <v>1315</v>
      </c>
      <c r="B2083" s="154" t="str" cm="1">
        <f t="array" ref="B2083">_xlfn.XLOOKUP(TRUE, ISNUMBER(SEARCH(工作表5!$A$1:$A$23, C2083)), 工作表5!$B$1:$B$23, "其他")</f>
        <v>轉寫組</v>
      </c>
      <c r="C2083" s="145" t="s">
        <v>1812</v>
      </c>
      <c r="D2083" s="156"/>
      <c r="E2083" s="156" t="s">
        <v>1512</v>
      </c>
      <c r="F2083" s="156" t="s">
        <v>608</v>
      </c>
      <c r="G2083" s="154">
        <v>252000</v>
      </c>
    </row>
    <row r="2084" spans="1:7" ht="21.6" customHeight="1">
      <c r="A2084" s="154" t="s">
        <v>1315</v>
      </c>
      <c r="B2084" s="154" t="str" cm="1">
        <f t="array" ref="B2084">_xlfn.XLOOKUP(TRUE, ISNUMBER(SEARCH(工作表5!$A$1:$A$23, C2084)), 工作表5!$B$1:$B$23, "其他")</f>
        <v>定著組</v>
      </c>
      <c r="C2084" s="144" t="s">
        <v>1809</v>
      </c>
      <c r="D2084" s="156"/>
      <c r="E2084" s="156" t="s">
        <v>1666</v>
      </c>
      <c r="F2084" s="156" t="s">
        <v>1756</v>
      </c>
      <c r="G2084" s="154">
        <v>336000</v>
      </c>
    </row>
    <row r="2085" spans="1:7" ht="21.6" customHeight="1">
      <c r="A2085" s="154" t="s">
        <v>1315</v>
      </c>
      <c r="B2085" s="154" t="str" cm="1">
        <f t="array" ref="B2085">_xlfn.XLOOKUP(TRUE, ISNUMBER(SEARCH(工作表5!$A$1:$A$23, C2085)), 工作表5!$B$1:$B$23, "其他")</f>
        <v>定著組</v>
      </c>
      <c r="C2085" s="144" t="s">
        <v>87</v>
      </c>
      <c r="D2085" s="156"/>
      <c r="E2085" s="156" t="s">
        <v>1597</v>
      </c>
      <c r="F2085" s="156" t="s">
        <v>844</v>
      </c>
      <c r="G2085" s="154">
        <v>336000</v>
      </c>
    </row>
    <row r="2086" spans="1:7" ht="21.6" customHeight="1">
      <c r="A2086" s="154" t="s">
        <v>1315</v>
      </c>
      <c r="B2086" s="154" t="str" cm="1">
        <f t="array" ref="B2086">_xlfn.XLOOKUP(TRUE, ISNUMBER(SEARCH(工作表5!$A$1:$A$23, C2086)), 工作表5!$B$1:$B$23, "其他")</f>
        <v>滾筒組</v>
      </c>
      <c r="C2086" s="144" t="s">
        <v>107</v>
      </c>
      <c r="D2086" s="156"/>
      <c r="E2086" s="156" t="s">
        <v>1598</v>
      </c>
      <c r="F2086" s="156" t="s">
        <v>846</v>
      </c>
      <c r="G2086" s="154">
        <v>84000</v>
      </c>
    </row>
    <row r="2087" spans="1:7" ht="21.6" customHeight="1">
      <c r="A2087" s="154" t="s">
        <v>1315</v>
      </c>
      <c r="B2087" s="154" t="str" cm="1">
        <f t="array" ref="B2087">_xlfn.XLOOKUP(TRUE, ISNUMBER(SEARCH(工作表5!$A$1:$A$23, C2087)), 工作表5!$B$1:$B$23, "其他")</f>
        <v>顯像組</v>
      </c>
      <c r="C2087" s="145" t="s">
        <v>104</v>
      </c>
      <c r="D2087" s="156"/>
      <c r="E2087" s="156" t="s">
        <v>1508</v>
      </c>
      <c r="F2087" s="156" t="s">
        <v>599</v>
      </c>
      <c r="G2087" s="154">
        <v>84000</v>
      </c>
    </row>
    <row r="2088" spans="1:7" ht="21.6" customHeight="1">
      <c r="A2088" s="154" t="s">
        <v>1315</v>
      </c>
      <c r="B2088" s="154" t="str" cm="1">
        <f t="array" ref="B2088">_xlfn.XLOOKUP(TRUE, ISNUMBER(SEARCH(工作表5!$A$1:$A$23, C2088)), 工作表5!$B$1:$B$23, "其他")</f>
        <v>顯像組</v>
      </c>
      <c r="C2088" s="144" t="s">
        <v>1822</v>
      </c>
      <c r="D2088" s="156"/>
      <c r="E2088" s="156" t="s">
        <v>1555</v>
      </c>
      <c r="F2088" s="156" t="s">
        <v>730</v>
      </c>
      <c r="G2088" s="154">
        <v>84000</v>
      </c>
    </row>
    <row r="2089" spans="1:7" ht="21.6" customHeight="1">
      <c r="A2089" s="154" t="s">
        <v>1315</v>
      </c>
      <c r="B2089" s="154" t="str" cm="1">
        <f t="array" ref="B2089">_xlfn.XLOOKUP(TRUE, ISNUMBER(SEARCH(工作表5!$A$1:$A$23, C2089)), 工作表5!$B$1:$B$23, "其他")</f>
        <v>定著組</v>
      </c>
      <c r="C2089" s="144" t="s">
        <v>733</v>
      </c>
      <c r="D2089" s="156"/>
      <c r="E2089" s="156" t="s">
        <v>1556</v>
      </c>
      <c r="F2089" s="156" t="s">
        <v>732</v>
      </c>
      <c r="G2089" s="154">
        <v>84000</v>
      </c>
    </row>
    <row r="2090" spans="1:7" ht="21.6" customHeight="1">
      <c r="A2090" s="154" t="s">
        <v>1315</v>
      </c>
      <c r="B2090" s="154" t="str" cm="1">
        <f t="array" ref="B2090">_xlfn.XLOOKUP(TRUE, ISNUMBER(SEARCH(工作表5!$A$1:$A$23, C2090)), 工作表5!$B$1:$B$23, "其他")</f>
        <v>定著組</v>
      </c>
      <c r="C2090" s="144" t="s">
        <v>736</v>
      </c>
      <c r="D2090" s="156"/>
      <c r="E2090" s="156" t="s">
        <v>1557</v>
      </c>
      <c r="F2090" s="156" t="s">
        <v>735</v>
      </c>
      <c r="G2090" s="154">
        <v>84000</v>
      </c>
    </row>
    <row r="2091" spans="1:7" ht="21.6" customHeight="1">
      <c r="A2091" s="154" t="s">
        <v>1315</v>
      </c>
      <c r="B2091" s="154" t="str" cm="1">
        <f t="array" ref="B2091">_xlfn.XLOOKUP(TRUE, ISNUMBER(SEARCH(工作表5!$A$1:$A$23, C2091)), 工作表5!$B$1:$B$23, "其他")</f>
        <v>其他</v>
      </c>
      <c r="C2091" s="144">
        <f>+$H$1434</f>
        <v>0</v>
      </c>
      <c r="D2091" s="156"/>
      <c r="E2091" s="156" t="s">
        <v>1599</v>
      </c>
      <c r="F2091" s="156" t="s">
        <v>848</v>
      </c>
      <c r="G2091" s="154">
        <v>336000</v>
      </c>
    </row>
    <row r="2092" spans="1:7" ht="21.6" customHeight="1">
      <c r="A2092" s="154" t="s">
        <v>1315</v>
      </c>
      <c r="B2092" s="154" t="str" cm="1">
        <f t="array" ref="B2092">_xlfn.XLOOKUP(TRUE, ISNUMBER(SEARCH(工作表5!$A$1:$A$23, C2092)), 工作表5!$B$1:$B$23, "其他")</f>
        <v>其他</v>
      </c>
      <c r="C2092" s="144">
        <f>+$H$1435</f>
        <v>0</v>
      </c>
      <c r="D2092" s="156"/>
      <c r="E2092" s="156" t="s">
        <v>1600</v>
      </c>
      <c r="F2092" s="156" t="s">
        <v>851</v>
      </c>
      <c r="G2092" s="154">
        <v>336000</v>
      </c>
    </row>
    <row r="2093" spans="1:7" ht="21.6" customHeight="1">
      <c r="A2093" s="154" t="s">
        <v>1315</v>
      </c>
      <c r="B2093" s="154" t="str" cm="1">
        <f t="array" ref="B2093">_xlfn.XLOOKUP(TRUE, ISNUMBER(SEARCH(工作表5!$A$1:$A$23, C2093)), 工作表5!$B$1:$B$23, "其他")</f>
        <v>轉寫組</v>
      </c>
      <c r="C2093" s="144" t="s">
        <v>1824</v>
      </c>
      <c r="D2093" s="156"/>
      <c r="E2093" s="156" t="s">
        <v>1513</v>
      </c>
      <c r="F2093" s="156" t="s">
        <v>610</v>
      </c>
      <c r="G2093" s="154">
        <v>252000</v>
      </c>
    </row>
    <row r="2094" spans="1:7" ht="21.6" customHeight="1">
      <c r="A2094" s="154" t="s">
        <v>1315</v>
      </c>
      <c r="B2094" s="154" t="str" cm="1">
        <f t="array" ref="B2094">_xlfn.XLOOKUP(TRUE, ISNUMBER(SEARCH(工作表5!$A$1:$A$23, C2094)), 工作表5!$B$1:$B$23, "其他")</f>
        <v>轉寫組</v>
      </c>
      <c r="C2094" s="144" t="s">
        <v>1825</v>
      </c>
      <c r="D2094" s="156"/>
      <c r="E2094" s="156" t="s">
        <v>1514</v>
      </c>
      <c r="F2094" s="156" t="s">
        <v>612</v>
      </c>
      <c r="G2094" s="154">
        <v>252000</v>
      </c>
    </row>
    <row r="2095" spans="1:7" ht="21.6" customHeight="1">
      <c r="A2095" s="154" t="s">
        <v>1315</v>
      </c>
      <c r="B2095" s="154" t="str" cm="1">
        <f t="array" ref="B2095">_xlfn.XLOOKUP(TRUE, ISNUMBER(SEARCH(工作表5!$A$1:$A$23, C2095)), 工作表5!$B$1:$B$23, "其他")</f>
        <v>其他</v>
      </c>
      <c r="C2095" s="144">
        <f>+$H$1137</f>
        <v>0</v>
      </c>
      <c r="D2095" s="156"/>
      <c r="E2095" s="156" t="s">
        <v>1515</v>
      </c>
      <c r="F2095" s="156" t="s">
        <v>614</v>
      </c>
      <c r="G2095" s="154">
        <v>252000</v>
      </c>
    </row>
    <row r="2096" spans="1:7" ht="21.6" customHeight="1">
      <c r="A2096" s="154" t="s">
        <v>1315</v>
      </c>
      <c r="B2096" s="154" t="str" cm="1">
        <f t="array" ref="B2096">_xlfn.XLOOKUP(TRUE, ISNUMBER(SEARCH(工作表5!$A$1:$A$23, C2096)), 工作表5!$B$1:$B$23, "其他")</f>
        <v>其他</v>
      </c>
      <c r="C2096" s="144" t="s">
        <v>101</v>
      </c>
      <c r="D2096" s="156"/>
      <c r="E2096" s="156" t="s">
        <v>1551</v>
      </c>
      <c r="F2096" s="156" t="s">
        <v>720</v>
      </c>
      <c r="G2096" s="154">
        <v>336000</v>
      </c>
    </row>
    <row r="2097" spans="1:7" ht="21.6" customHeight="1">
      <c r="A2097" s="154" t="s">
        <v>1315</v>
      </c>
      <c r="B2097" s="154" t="str" cm="1">
        <f t="array" ref="B2097">_xlfn.XLOOKUP(TRUE, ISNUMBER(SEARCH(工作表5!$A$1:$A$23, C2097)), 工作表5!$B$1:$B$23, "其他")</f>
        <v>其他</v>
      </c>
      <c r="C2097" s="144">
        <f>+$H$1440</f>
        <v>0</v>
      </c>
      <c r="D2097" s="156"/>
      <c r="E2097" s="156" t="s">
        <v>1519</v>
      </c>
      <c r="F2097" s="156" t="s">
        <v>623</v>
      </c>
      <c r="G2097" s="154">
        <v>336000</v>
      </c>
    </row>
    <row r="2098" spans="1:7" ht="21.6" customHeight="1">
      <c r="A2098" s="154" t="s">
        <v>1315</v>
      </c>
      <c r="B2098" s="154" t="str" cm="1">
        <f t="array" ref="B2098">_xlfn.XLOOKUP(TRUE, ISNUMBER(SEARCH(工作表5!$A$1:$A$23, C2098)), 工作表5!$B$1:$B$23, "其他")</f>
        <v>其他</v>
      </c>
      <c r="C2098" s="144">
        <f>+$H$1441</f>
        <v>0</v>
      </c>
      <c r="D2098" s="156"/>
      <c r="E2098" s="156" t="s">
        <v>1601</v>
      </c>
      <c r="F2098" s="156" t="s">
        <v>853</v>
      </c>
      <c r="G2098" s="154">
        <v>336000</v>
      </c>
    </row>
    <row r="2099" spans="1:7" ht="21.6" customHeight="1">
      <c r="A2099" s="154" t="s">
        <v>1315</v>
      </c>
      <c r="B2099" s="154" t="str" cm="1">
        <f t="array" ref="B2099">_xlfn.XLOOKUP(TRUE, ISNUMBER(SEARCH(工作表5!$A$1:$A$23, C2099)), 工作表5!$B$1:$B$23, "其他")</f>
        <v>定著組</v>
      </c>
      <c r="C2099" s="144" t="s">
        <v>90</v>
      </c>
      <c r="D2099" s="156"/>
      <c r="E2099" s="156" t="s">
        <v>1521</v>
      </c>
      <c r="F2099" s="156" t="s">
        <v>627</v>
      </c>
      <c r="G2099" s="154">
        <v>336000</v>
      </c>
    </row>
    <row r="2100" spans="1:7" ht="21.6" customHeight="1">
      <c r="A2100" s="154" t="s">
        <v>1315</v>
      </c>
      <c r="B2100" s="154" t="str" cm="1">
        <f t="array" ref="B2100">_xlfn.XLOOKUP(TRUE, ISNUMBER(SEARCH(工作表5!$A$1:$A$23, C2100)), 工作表5!$B$1:$B$23, "其他")</f>
        <v>取紙組</v>
      </c>
      <c r="C2100" s="144" t="s">
        <v>1836</v>
      </c>
      <c r="D2100" s="156"/>
      <c r="E2100" s="156" t="s">
        <v>1389</v>
      </c>
      <c r="F2100" s="156" t="s">
        <v>265</v>
      </c>
      <c r="G2100" s="154">
        <v>80000</v>
      </c>
    </row>
    <row r="2101" spans="1:7" ht="21.6" customHeight="1">
      <c r="A2101" s="154" t="s">
        <v>1315</v>
      </c>
      <c r="B2101" s="154" t="str" cm="1">
        <f t="array" ref="B2101">_xlfn.XLOOKUP(TRUE, ISNUMBER(SEARCH(工作表5!$A$1:$A$23, C2101)), 工作表5!$B$1:$B$23, "其他")</f>
        <v>取紙組</v>
      </c>
      <c r="C2101" s="144" t="s">
        <v>745</v>
      </c>
      <c r="D2101" s="156"/>
      <c r="E2101" s="156" t="s">
        <v>1389</v>
      </c>
      <c r="F2101" s="156" t="s">
        <v>265</v>
      </c>
      <c r="G2101" s="154">
        <v>80000</v>
      </c>
    </row>
    <row r="2102" spans="1:7" ht="21.6" customHeight="1">
      <c r="A2102" s="154" t="s">
        <v>1315</v>
      </c>
      <c r="B2102" s="154" t="str" cm="1">
        <f t="array" ref="B2102">_xlfn.XLOOKUP(TRUE, ISNUMBER(SEARCH(工作表5!$A$1:$A$23, C2102)), 工作表5!$B$1:$B$23, "其他")</f>
        <v>取紙組</v>
      </c>
      <c r="C2102" s="144" t="s">
        <v>1837</v>
      </c>
      <c r="D2102" s="156"/>
      <c r="E2102" s="156" t="s">
        <v>1561</v>
      </c>
      <c r="F2102" s="156" t="s">
        <v>747</v>
      </c>
      <c r="G2102" s="154">
        <v>80000</v>
      </c>
    </row>
    <row r="2103" spans="1:7" ht="21.6" customHeight="1">
      <c r="A2103" s="154" t="s">
        <v>1315</v>
      </c>
      <c r="B2103" s="154" t="str" cm="1">
        <f t="array" ref="B2103">_xlfn.XLOOKUP(TRUE, ISNUMBER(SEARCH(工作表5!$A$1:$A$23, C2103)), 工作表5!$B$1:$B$23, "其他")</f>
        <v>手送台</v>
      </c>
      <c r="C2103" s="144" t="s">
        <v>631</v>
      </c>
      <c r="D2103" s="156"/>
      <c r="E2103" s="156" t="s">
        <v>1392</v>
      </c>
      <c r="F2103" s="156" t="s">
        <v>274</v>
      </c>
      <c r="G2103" s="154">
        <v>80000</v>
      </c>
    </row>
    <row r="2104" spans="1:7" ht="21.6" customHeight="1">
      <c r="A2104" s="154" t="s">
        <v>1315</v>
      </c>
      <c r="B2104" s="154" t="str" cm="1">
        <f t="array" ref="B2104">_xlfn.XLOOKUP(TRUE, ISNUMBER(SEARCH(工作表5!$A$1:$A$23, C2104)), 工作表5!$B$1:$B$23, "其他")</f>
        <v>手送台</v>
      </c>
      <c r="C2104" s="144" t="s">
        <v>119</v>
      </c>
      <c r="D2104" s="156"/>
      <c r="E2104" s="156" t="s">
        <v>1602</v>
      </c>
      <c r="F2104" s="156" t="s">
        <v>856</v>
      </c>
      <c r="G2104" s="154">
        <v>80000</v>
      </c>
    </row>
    <row r="2105" spans="1:7" ht="21.6" customHeight="1">
      <c r="A2105" s="154" t="s">
        <v>1315</v>
      </c>
      <c r="B2105" s="154" t="str" cm="1">
        <f t="array" ref="B2105">_xlfn.XLOOKUP(TRUE, ISNUMBER(SEARCH(工作表5!$A$1:$A$23, C2105)), 工作表5!$B$1:$B$23, "其他")</f>
        <v>送稿機</v>
      </c>
      <c r="C2105" s="145" t="s">
        <v>1838</v>
      </c>
      <c r="D2105" s="156"/>
      <c r="E2105" s="156" t="s">
        <v>1375</v>
      </c>
      <c r="F2105" s="156" t="s">
        <v>226</v>
      </c>
      <c r="G2105" s="154">
        <v>120000</v>
      </c>
    </row>
    <row r="2106" spans="1:7" ht="21.6" customHeight="1">
      <c r="A2106" s="154" t="s">
        <v>1315</v>
      </c>
      <c r="B2106" s="154" t="str" cm="1">
        <f t="array" ref="B2106">_xlfn.XLOOKUP(TRUE, ISNUMBER(SEARCH(工作表5!$A$1:$A$23, C2106)), 工作表5!$B$1:$B$23, "其他")</f>
        <v>送稿機</v>
      </c>
      <c r="C2106" s="145" t="s">
        <v>1839</v>
      </c>
      <c r="D2106" s="156"/>
      <c r="E2106" s="156" t="s">
        <v>1376</v>
      </c>
      <c r="F2106" s="156" t="s">
        <v>230</v>
      </c>
      <c r="G2106" s="154">
        <v>120000</v>
      </c>
    </row>
    <row r="2107" spans="1:7" ht="21.6" customHeight="1">
      <c r="A2107" s="154" t="s">
        <v>1315</v>
      </c>
      <c r="B2107" s="154" t="str" cm="1">
        <f t="array" ref="B2107">_xlfn.XLOOKUP(TRUE, ISNUMBER(SEARCH(工作表5!$A$1:$A$23, C2107)), 工作表5!$B$1:$B$23, "其他")</f>
        <v>取紙組</v>
      </c>
      <c r="C2107" s="144" t="s">
        <v>1840</v>
      </c>
      <c r="D2107" s="156"/>
      <c r="E2107" s="156" t="s">
        <v>1377</v>
      </c>
      <c r="F2107" s="156" t="s">
        <v>232</v>
      </c>
      <c r="G2107" s="154">
        <v>160000</v>
      </c>
    </row>
    <row r="2108" spans="1:7" ht="21.6" customHeight="1">
      <c r="A2108" s="154" t="s">
        <v>1315</v>
      </c>
      <c r="B2108" s="154" t="str" cm="1">
        <f t="array" ref="B2108">_xlfn.XLOOKUP(TRUE, ISNUMBER(SEARCH(工作表5!$A$1:$A$23, C2108)), 工作表5!$B$1:$B$23, "其他")</f>
        <v>大容量取紙組</v>
      </c>
      <c r="C2108" s="144" t="s">
        <v>237</v>
      </c>
      <c r="D2108" s="156"/>
      <c r="E2108" s="156" t="s">
        <v>1378</v>
      </c>
      <c r="F2108" s="156" t="s">
        <v>236</v>
      </c>
      <c r="G2108" s="154">
        <v>160000</v>
      </c>
    </row>
    <row r="2109" spans="1:7" ht="21.6" customHeight="1">
      <c r="A2109" s="154" t="s">
        <v>1315</v>
      </c>
      <c r="B2109" s="154" t="str" cm="1">
        <f t="array" ref="B2109">_xlfn.XLOOKUP(TRUE, ISNUMBER(SEARCH(工作表5!$A$1:$A$23, C2109)), 工作表5!$B$1:$B$23, "其他")</f>
        <v>取紙組</v>
      </c>
      <c r="C2109" s="144" t="s">
        <v>749</v>
      </c>
      <c r="D2109" s="156"/>
      <c r="E2109" s="156" t="s">
        <v>1379</v>
      </c>
      <c r="F2109" s="156" t="s">
        <v>239</v>
      </c>
      <c r="G2109" s="154">
        <v>160000</v>
      </c>
    </row>
    <row r="2110" spans="1:7" ht="21.6" customHeight="1">
      <c r="A2110" s="154" t="s">
        <v>1315</v>
      </c>
      <c r="B2110" s="154" t="str" cm="1">
        <f t="array" ref="B2110">_xlfn.XLOOKUP(TRUE, ISNUMBER(SEARCH(工作表5!$A$1:$A$23, C2110)), 工作表5!$B$1:$B$23, "其他")</f>
        <v>顯像組</v>
      </c>
      <c r="C2110" s="144" t="s">
        <v>637</v>
      </c>
      <c r="D2110" s="156"/>
      <c r="E2110" s="156" t="s">
        <v>1603</v>
      </c>
      <c r="F2110" s="156" t="s">
        <v>859</v>
      </c>
      <c r="G2110" s="154">
        <v>84000</v>
      </c>
    </row>
    <row r="2111" spans="1:7" ht="21.6" customHeight="1">
      <c r="A2111" s="154" t="s">
        <v>1315</v>
      </c>
      <c r="B2111" s="154" t="str" cm="1">
        <f t="array" ref="B2111">_xlfn.XLOOKUP(TRUE, ISNUMBER(SEARCH(工作表5!$A$1:$A$23, C2111)), 工作表5!$B$1:$B$23, "其他")</f>
        <v>顯像組</v>
      </c>
      <c r="C2111" s="144" t="s">
        <v>755</v>
      </c>
      <c r="D2111" s="156"/>
      <c r="E2111" s="156" t="s">
        <v>1604</v>
      </c>
      <c r="F2111" s="156" t="s">
        <v>861</v>
      </c>
      <c r="G2111" s="154">
        <v>84000</v>
      </c>
    </row>
    <row r="2112" spans="1:7" ht="21.6" customHeight="1">
      <c r="A2112" s="154" t="s">
        <v>1315</v>
      </c>
      <c r="B2112" s="154" t="str" cm="1">
        <f t="array" ref="B2112">_xlfn.XLOOKUP(TRUE, ISNUMBER(SEARCH(工作表5!$A$1:$A$23, C2112)), 工作表5!$B$1:$B$23, "其他")</f>
        <v>定著組</v>
      </c>
      <c r="C2112" s="145" t="s">
        <v>244</v>
      </c>
      <c r="D2112" s="156"/>
      <c r="E2112" s="156" t="s">
        <v>1667</v>
      </c>
      <c r="F2112" s="156" t="s">
        <v>1023</v>
      </c>
      <c r="G2112" s="154">
        <v>336000</v>
      </c>
    </row>
    <row r="2113" spans="1:7" ht="21.6" customHeight="1">
      <c r="A2113" s="154" t="s">
        <v>1315</v>
      </c>
      <c r="B2113" s="154" t="str" cm="1">
        <f t="array" ref="B2113">_xlfn.XLOOKUP(TRUE, ISNUMBER(SEARCH(工作表5!$A$1:$A$23, C2113)), 工作表5!$B$1:$B$23, "其他")</f>
        <v>其他</v>
      </c>
      <c r="C2113" s="144">
        <f>+$H$1456</f>
        <v>0</v>
      </c>
      <c r="D2113" s="156"/>
      <c r="E2113" s="156" t="s">
        <v>1525</v>
      </c>
      <c r="F2113" s="156" t="s">
        <v>644</v>
      </c>
      <c r="G2113" s="154">
        <v>252000</v>
      </c>
    </row>
    <row r="2114" spans="1:7" ht="21.6" customHeight="1">
      <c r="A2114" s="154" t="s">
        <v>1315</v>
      </c>
      <c r="B2114" s="154" t="str" cm="1">
        <f t="array" ref="B2114">_xlfn.XLOOKUP(TRUE, ISNUMBER(SEARCH(工作表5!$A$1:$A$23, C2114)), 工作表5!$B$1:$B$23, "其他")</f>
        <v>取紙組</v>
      </c>
      <c r="C2114" s="144" t="s">
        <v>758</v>
      </c>
      <c r="D2114" s="156"/>
      <c r="E2114" s="156" t="s">
        <v>1564</v>
      </c>
      <c r="F2114" s="156" t="s">
        <v>757</v>
      </c>
      <c r="G2114" s="154">
        <v>80000</v>
      </c>
    </row>
    <row r="2115" spans="1:7" ht="21.6" customHeight="1">
      <c r="A2115" s="154" t="s">
        <v>1315</v>
      </c>
      <c r="B2115" s="154" t="str" cm="1">
        <f t="array" ref="B2115">_xlfn.XLOOKUP(TRUE, ISNUMBER(SEARCH(工作表5!$A$1:$A$23, C2115)), 工作表5!$B$1:$B$23, "其他")</f>
        <v>送稿機</v>
      </c>
      <c r="C2115" s="144" t="s">
        <v>759</v>
      </c>
      <c r="D2115" s="156"/>
      <c r="E2115" s="156" t="s">
        <v>1383</v>
      </c>
      <c r="F2115" s="156" t="s">
        <v>249</v>
      </c>
      <c r="G2115" s="154">
        <v>120000</v>
      </c>
    </row>
    <row r="2116" spans="1:7" ht="21.6" customHeight="1">
      <c r="A2116" s="154" t="s">
        <v>1315</v>
      </c>
      <c r="B2116" s="154" t="str" cm="1">
        <f t="array" ref="B2116">_xlfn.XLOOKUP(TRUE, ISNUMBER(SEARCH(工作表5!$A$1:$A$23, C2116)), 工作表5!$B$1:$B$23, "其他")</f>
        <v>其他</v>
      </c>
      <c r="C2116" s="144" t="s">
        <v>760</v>
      </c>
      <c r="D2116" s="156"/>
      <c r="E2116" s="156" t="s">
        <v>1384</v>
      </c>
      <c r="F2116" s="156" t="s">
        <v>252</v>
      </c>
      <c r="G2116" s="154">
        <v>160000</v>
      </c>
    </row>
    <row r="2117" spans="1:7" ht="21.6" customHeight="1">
      <c r="A2117" s="154" t="s">
        <v>1315</v>
      </c>
      <c r="B2117" s="154" t="str" cm="1">
        <f t="array" ref="B2117">_xlfn.XLOOKUP(TRUE, ISNUMBER(SEARCH(工作表5!$A$1:$A$23, C2117)), 工作表5!$B$1:$B$23, "其他")</f>
        <v>定著組</v>
      </c>
      <c r="C2117" s="145" t="s">
        <v>585</v>
      </c>
      <c r="D2117" s="156"/>
      <c r="E2117" s="156" t="s">
        <v>1668</v>
      </c>
      <c r="F2117" s="156" t="s">
        <v>1025</v>
      </c>
      <c r="G2117" s="154" t="e">
        <v>#VALUE!</v>
      </c>
    </row>
    <row r="2118" spans="1:7" ht="21.6" customHeight="1">
      <c r="A2118" s="154" t="s">
        <v>1315</v>
      </c>
      <c r="B2118" s="154" t="str" cm="1">
        <f t="array" ref="B2118">_xlfn.XLOOKUP(TRUE, ISNUMBER(SEARCH(工作表5!$A$1:$A$23, C2118)), 工作表5!$B$1:$B$23, "其他")</f>
        <v>顯像組</v>
      </c>
      <c r="C2118" s="145" t="s">
        <v>129</v>
      </c>
      <c r="D2118" s="156"/>
      <c r="E2118" s="156" t="s">
        <v>1669</v>
      </c>
      <c r="F2118" s="156" t="s">
        <v>1027</v>
      </c>
      <c r="G2118" s="154" t="e">
        <v>#VALUE!</v>
      </c>
    </row>
    <row r="2119" spans="1:7" ht="21.6" customHeight="1">
      <c r="A2119" s="154" t="s">
        <v>1315</v>
      </c>
      <c r="B2119" s="154" t="str" cm="1">
        <f t="array" ref="B2119">_xlfn.XLOOKUP(TRUE, ISNUMBER(SEARCH(工作表5!$A$1:$A$23, C2119)), 工作表5!$B$1:$B$23, "其他")</f>
        <v>顯像組</v>
      </c>
      <c r="C2119" s="145" t="s">
        <v>772</v>
      </c>
      <c r="D2119" s="156"/>
      <c r="E2119" s="156" t="s">
        <v>1670</v>
      </c>
      <c r="F2119" s="156" t="s">
        <v>1029</v>
      </c>
      <c r="G2119" s="154" t="e">
        <v>#VALUE!</v>
      </c>
    </row>
    <row r="2120" spans="1:7" ht="21.6" customHeight="1">
      <c r="A2120" s="154" t="s">
        <v>1315</v>
      </c>
      <c r="B2120" s="154" t="str" cm="1">
        <f t="array" ref="B2120">_xlfn.XLOOKUP(TRUE, ISNUMBER(SEARCH(工作表5!$A$1:$A$23, C2120)), 工作表5!$B$1:$B$23, "其他")</f>
        <v>顯像組</v>
      </c>
      <c r="C2120" s="145" t="s">
        <v>775</v>
      </c>
      <c r="D2120" s="156"/>
      <c r="E2120" s="156" t="s">
        <v>1671</v>
      </c>
      <c r="F2120" s="156" t="s">
        <v>1031</v>
      </c>
      <c r="G2120" s="154" t="e">
        <v>#VALUE!</v>
      </c>
    </row>
    <row r="2121" spans="1:7" ht="21.6" customHeight="1">
      <c r="A2121" s="154" t="s">
        <v>1315</v>
      </c>
      <c r="B2121" s="154" t="str" cm="1">
        <f t="array" ref="B2121">_xlfn.XLOOKUP(TRUE, ISNUMBER(SEARCH(工作表5!$A$1:$A$23, C2121)), 工作表5!$B$1:$B$23, "其他")</f>
        <v>顯像組</v>
      </c>
      <c r="C2121" s="145" t="s">
        <v>778</v>
      </c>
      <c r="D2121" s="156"/>
      <c r="E2121" s="156" t="s">
        <v>1672</v>
      </c>
      <c r="F2121" s="156" t="s">
        <v>1033</v>
      </c>
      <c r="G2121" s="154" t="e">
        <v>#VALUE!</v>
      </c>
    </row>
    <row r="2122" spans="1:7" ht="21.6" customHeight="1">
      <c r="A2122" s="154" t="s">
        <v>1315</v>
      </c>
      <c r="B2122" s="154" t="str" cm="1">
        <f t="array" ref="B2122">_xlfn.XLOOKUP(TRUE, ISNUMBER(SEARCH(工作表5!$A$1:$A$23, C2122)), 工作表5!$B$1:$B$23, "其他")</f>
        <v>滾筒組</v>
      </c>
      <c r="C2122" s="145" t="s">
        <v>781</v>
      </c>
      <c r="D2122" s="156"/>
      <c r="E2122" s="156" t="s">
        <v>1611</v>
      </c>
      <c r="F2122" s="156" t="s">
        <v>877</v>
      </c>
      <c r="G2122" s="154" t="e">
        <v>#VALUE!</v>
      </c>
    </row>
    <row r="2123" spans="1:7" ht="21.6" customHeight="1">
      <c r="A2123" s="154" t="s">
        <v>1315</v>
      </c>
      <c r="B2123" s="154" t="str" cm="1">
        <f t="array" ref="B2123">_xlfn.XLOOKUP(TRUE, ISNUMBER(SEARCH(工作表5!$A$1:$A$23, C2123)), 工作表5!$B$1:$B$23, "其他")</f>
        <v>滾筒組</v>
      </c>
      <c r="C2123" s="145" t="s">
        <v>784</v>
      </c>
      <c r="D2123" s="156"/>
      <c r="E2123" s="156" t="s">
        <v>1612</v>
      </c>
      <c r="F2123" s="156" t="s">
        <v>879</v>
      </c>
      <c r="G2123" s="154" t="e">
        <v>#VALUE!</v>
      </c>
    </row>
    <row r="2124" spans="1:7" ht="21.6" customHeight="1">
      <c r="A2124" s="154" t="s">
        <v>1315</v>
      </c>
      <c r="B2124" s="154" t="str" cm="1">
        <f t="array" ref="B2124">_xlfn.XLOOKUP(TRUE, ISNUMBER(SEARCH(工作表5!$A$1:$A$23, C2124)), 工作表5!$B$1:$B$23, "其他")</f>
        <v>滾筒組</v>
      </c>
      <c r="C2124" s="145" t="s">
        <v>787</v>
      </c>
      <c r="D2124" s="156"/>
      <c r="E2124" s="156" t="s">
        <v>1613</v>
      </c>
      <c r="F2124" s="156" t="s">
        <v>881</v>
      </c>
      <c r="G2124" s="154" t="e">
        <v>#VALUE!</v>
      </c>
    </row>
    <row r="2125" spans="1:7" ht="21.6" customHeight="1">
      <c r="A2125" s="154" t="s">
        <v>1315</v>
      </c>
      <c r="B2125" s="154" t="str" cm="1">
        <f t="array" ref="B2125">_xlfn.XLOOKUP(TRUE, ISNUMBER(SEARCH(工作表5!$A$1:$A$23, C2125)), 工作表5!$B$1:$B$23, "其他")</f>
        <v>滾筒組</v>
      </c>
      <c r="C2125" s="145" t="s">
        <v>790</v>
      </c>
      <c r="D2125" s="156"/>
      <c r="E2125" s="156" t="s">
        <v>1614</v>
      </c>
      <c r="F2125" s="156" t="s">
        <v>883</v>
      </c>
      <c r="G2125" s="154" t="e">
        <v>#VALUE!</v>
      </c>
    </row>
    <row r="2126" spans="1:7" ht="21.6" customHeight="1">
      <c r="A2126" s="154" t="s">
        <v>1315</v>
      </c>
      <c r="B2126" s="154" t="str" cm="1">
        <f t="array" ref="B2126">_xlfn.XLOOKUP(TRUE, ISNUMBER(SEARCH(工作表5!$A$1:$A$23, C2126)), 工作表5!$B$1:$B$23, "其他")</f>
        <v>轉寫組</v>
      </c>
      <c r="C2126" s="145" t="s">
        <v>1821</v>
      </c>
      <c r="D2126" s="156"/>
      <c r="E2126" s="156" t="s">
        <v>1576</v>
      </c>
      <c r="F2126" s="156" t="s">
        <v>792</v>
      </c>
      <c r="G2126" s="154" t="e">
        <v>#VALUE!</v>
      </c>
    </row>
    <row r="2127" spans="1:7" ht="21.6" customHeight="1">
      <c r="A2127" s="154" t="s">
        <v>1315</v>
      </c>
      <c r="B2127" s="154" t="str" cm="1">
        <f t="array" ref="B2127">_xlfn.XLOOKUP(TRUE, ISNUMBER(SEARCH(工作表5!$A$1:$A$23, C2127)), 工作表5!$B$1:$B$23, "其他")</f>
        <v>轉寫組</v>
      </c>
      <c r="C2127" s="144" t="s">
        <v>1805</v>
      </c>
      <c r="D2127" s="156"/>
      <c r="E2127" s="156" t="s">
        <v>1615</v>
      </c>
      <c r="F2127" s="156" t="s">
        <v>885</v>
      </c>
      <c r="G2127" s="154" t="e">
        <v>#VALUE!</v>
      </c>
    </row>
    <row r="2128" spans="1:7" ht="21.6" customHeight="1">
      <c r="A2128" s="154" t="s">
        <v>54</v>
      </c>
      <c r="B2128" s="154" t="str" cm="1">
        <f t="array" ref="B2128">_xlfn.XLOOKUP(TRUE, ISNUMBER(SEARCH(工作表5!$A$1:$A$23, C2128)), 工作表5!$B$1:$B$23, "其他")</f>
        <v>滾筒組</v>
      </c>
      <c r="C2128" s="143" t="s">
        <v>589</v>
      </c>
      <c r="D2128" s="156"/>
      <c r="E2128" s="156" t="s">
        <v>1504</v>
      </c>
      <c r="F2128" s="156" t="s">
        <v>588</v>
      </c>
      <c r="G2128" s="154">
        <v>210000</v>
      </c>
    </row>
    <row r="2129" spans="1:7" ht="21.6" customHeight="1">
      <c r="A2129" s="154" t="s">
        <v>54</v>
      </c>
      <c r="B2129" s="154" t="str" cm="1">
        <f t="array" ref="B2129">_xlfn.XLOOKUP(TRUE, ISNUMBER(SEARCH(工作表5!$A$1:$A$23, C2129)), 工作表5!$B$1:$B$23, "其他")</f>
        <v>滾筒組</v>
      </c>
      <c r="C2129" s="150" t="s">
        <v>887</v>
      </c>
      <c r="D2129" s="156"/>
      <c r="E2129" s="156" t="s">
        <v>1595</v>
      </c>
      <c r="F2129" s="156" t="s">
        <v>841</v>
      </c>
      <c r="G2129" s="154">
        <v>105000</v>
      </c>
    </row>
    <row r="2130" spans="1:7" ht="21.6" customHeight="1">
      <c r="A2130" s="154" t="s">
        <v>54</v>
      </c>
      <c r="B2130" s="154" t="str" cm="1">
        <f t="array" ref="B2130">_xlfn.XLOOKUP(TRUE, ISNUMBER(SEARCH(工作表5!$A$1:$A$23, C2130)), 工作表5!$B$1:$B$23, "其他")</f>
        <v>顯像組</v>
      </c>
      <c r="C2130" s="145" t="s">
        <v>502</v>
      </c>
      <c r="D2130" s="156"/>
      <c r="E2130" s="156" t="s">
        <v>1616</v>
      </c>
      <c r="F2130" s="156" t="s">
        <v>890</v>
      </c>
      <c r="G2130" s="154" t="e">
        <v>#VALUE!</v>
      </c>
    </row>
    <row r="2131" spans="1:7" ht="21.6" customHeight="1">
      <c r="A2131" s="154" t="s">
        <v>54</v>
      </c>
      <c r="B2131" s="154" t="str" cm="1">
        <f t="array" ref="B2131">_xlfn.XLOOKUP(TRUE, ISNUMBER(SEARCH(工作表5!$A$1:$A$23, C2131)), 工作表5!$B$1:$B$23, "其他")</f>
        <v>顯像組</v>
      </c>
      <c r="C2131" s="145" t="s">
        <v>703</v>
      </c>
      <c r="D2131" s="156"/>
      <c r="E2131" s="156" t="s">
        <v>1617</v>
      </c>
      <c r="F2131" s="156" t="s">
        <v>893</v>
      </c>
      <c r="G2131" s="154">
        <v>210000</v>
      </c>
    </row>
    <row r="2132" spans="1:7" ht="21.6" customHeight="1">
      <c r="A2132" s="154" t="s">
        <v>54</v>
      </c>
      <c r="B2132" s="154" t="str" cm="1">
        <f t="array" ref="B2132">_xlfn.XLOOKUP(TRUE, ISNUMBER(SEARCH(工作表5!$A$1:$A$23, C2132)), 工作表5!$B$1:$B$23, "其他")</f>
        <v>顯像組</v>
      </c>
      <c r="C2132" s="144" t="s">
        <v>706</v>
      </c>
      <c r="D2132" s="156"/>
      <c r="E2132" s="156" t="s">
        <v>1618</v>
      </c>
      <c r="F2132" s="156" t="s">
        <v>895</v>
      </c>
      <c r="G2132" s="154">
        <v>210000</v>
      </c>
    </row>
    <row r="2133" spans="1:7" ht="21.6" customHeight="1">
      <c r="A2133" s="154" t="s">
        <v>54</v>
      </c>
      <c r="B2133" s="154" t="str" cm="1">
        <f t="array" ref="B2133">_xlfn.XLOOKUP(TRUE, ISNUMBER(SEARCH(工作表5!$A$1:$A$23, C2133)), 工作表5!$B$1:$B$23, "其他")</f>
        <v>顯像組</v>
      </c>
      <c r="C2133" s="145" t="s">
        <v>709</v>
      </c>
      <c r="D2133" s="156"/>
      <c r="E2133" s="156" t="s">
        <v>1619</v>
      </c>
      <c r="F2133" s="156" t="s">
        <v>897</v>
      </c>
      <c r="G2133" s="154">
        <v>210000</v>
      </c>
    </row>
    <row r="2134" spans="1:7" ht="21.6" customHeight="1">
      <c r="A2134" s="154" t="s">
        <v>54</v>
      </c>
      <c r="B2134" s="154" t="str" cm="1">
        <f t="array" ref="B2134">_xlfn.XLOOKUP(TRUE, ISNUMBER(SEARCH(工作表5!$A$1:$A$23, C2134)), 工作表5!$B$1:$B$23, "其他")</f>
        <v>滾筒組</v>
      </c>
      <c r="C2134" s="145" t="s">
        <v>415</v>
      </c>
      <c r="D2134" s="156"/>
      <c r="E2134" s="156" t="s">
        <v>1547</v>
      </c>
      <c r="F2134" s="156" t="s">
        <v>711</v>
      </c>
      <c r="G2134" s="154" t="e">
        <v>#VALUE!</v>
      </c>
    </row>
    <row r="2135" spans="1:7" ht="21.6" customHeight="1">
      <c r="A2135" s="154" t="s">
        <v>54</v>
      </c>
      <c r="B2135" s="154" t="str" cm="1">
        <f t="array" ref="B2135">_xlfn.XLOOKUP(TRUE, ISNUMBER(SEARCH(工作表5!$A$1:$A$23, C2135)), 工作表5!$B$1:$B$23, "其他")</f>
        <v>滾筒組</v>
      </c>
      <c r="C2135" s="144" t="s">
        <v>597</v>
      </c>
      <c r="D2135" s="156"/>
      <c r="E2135" s="156" t="s">
        <v>1620</v>
      </c>
      <c r="F2135" s="156" t="s">
        <v>900</v>
      </c>
      <c r="G2135" s="154">
        <v>210000</v>
      </c>
    </row>
    <row r="2136" spans="1:7" ht="21.6" customHeight="1">
      <c r="A2136" s="154" t="s">
        <v>54</v>
      </c>
      <c r="B2136" s="154" t="str" cm="1">
        <f t="array" ref="B2136">_xlfn.XLOOKUP(TRUE, ISNUMBER(SEARCH(工作表5!$A$1:$A$23, C2136)), 工作表5!$B$1:$B$23, "其他")</f>
        <v>滾筒組</v>
      </c>
      <c r="C2136" s="144" t="s">
        <v>901</v>
      </c>
      <c r="D2136" s="156"/>
      <c r="E2136" s="156" t="s">
        <v>1598</v>
      </c>
      <c r="F2136" s="156" t="s">
        <v>846</v>
      </c>
      <c r="G2136" s="154">
        <v>105000</v>
      </c>
    </row>
    <row r="2137" spans="1:7" ht="21.6" customHeight="1">
      <c r="A2137" s="154" t="s">
        <v>54</v>
      </c>
      <c r="B2137" s="154" t="str" cm="1">
        <f t="array" ref="B2137">_xlfn.XLOOKUP(TRUE, ISNUMBER(SEARCH(工作表5!$A$1:$A$23, C2137)), 工作表5!$B$1:$B$23, "其他")</f>
        <v>顯像組</v>
      </c>
      <c r="C2137" s="145" t="s">
        <v>600</v>
      </c>
      <c r="D2137" s="156"/>
      <c r="E2137" s="156" t="s">
        <v>1508</v>
      </c>
      <c r="F2137" s="156" t="s">
        <v>599</v>
      </c>
      <c r="G2137" s="154" t="e">
        <v>#VALUE!</v>
      </c>
    </row>
    <row r="2138" spans="1:7" ht="21.6" customHeight="1">
      <c r="A2138" s="154" t="s">
        <v>54</v>
      </c>
      <c r="B2138" s="154" t="str" cm="1">
        <f t="array" ref="B2138">_xlfn.XLOOKUP(TRUE, ISNUMBER(SEARCH(工作表5!$A$1:$A$23, C2138)), 工作表5!$B$1:$B$23, "其他")</f>
        <v>顯像組</v>
      </c>
      <c r="C2138" s="144" t="s">
        <v>1822</v>
      </c>
      <c r="D2138" s="156"/>
      <c r="E2138" s="156" t="s">
        <v>1509</v>
      </c>
      <c r="F2138" s="156" t="s">
        <v>602</v>
      </c>
      <c r="G2138" s="154" t="e">
        <v>#VALUE!</v>
      </c>
    </row>
    <row r="2139" spans="1:7" ht="21.6" customHeight="1">
      <c r="A2139" s="154" t="s">
        <v>54</v>
      </c>
      <c r="B2139" s="154" t="str" cm="1">
        <f t="array" ref="B2139">_xlfn.XLOOKUP(TRUE, ISNUMBER(SEARCH(工作表5!$A$1:$A$23, C2139)), 工作表5!$B$1:$B$23, "其他")</f>
        <v>滾筒組</v>
      </c>
      <c r="C2139" s="144" t="s">
        <v>1823</v>
      </c>
      <c r="D2139" s="156"/>
      <c r="E2139" s="156" t="s">
        <v>1621</v>
      </c>
      <c r="F2139" s="156" t="s">
        <v>903</v>
      </c>
      <c r="G2139" s="154" t="e">
        <v>#VALUE!</v>
      </c>
    </row>
    <row r="2140" spans="1:7" ht="21.6" customHeight="1">
      <c r="A2140" s="154" t="s">
        <v>54</v>
      </c>
      <c r="B2140" s="154" t="str" cm="1">
        <f t="array" ref="B2140">_xlfn.XLOOKUP(TRUE, ISNUMBER(SEARCH(工作表5!$A$1:$A$23, C2140)), 工作表5!$B$1:$B$23, "其他")</f>
        <v>滾筒組</v>
      </c>
      <c r="C2140" s="144" t="s">
        <v>1823</v>
      </c>
      <c r="D2140" s="156"/>
      <c r="E2140" s="156" t="s">
        <v>1622</v>
      </c>
      <c r="F2140" s="156" t="s">
        <v>906</v>
      </c>
      <c r="G2140" s="154" t="e">
        <v>#VALUE!</v>
      </c>
    </row>
    <row r="2141" spans="1:7" ht="21.6" customHeight="1">
      <c r="A2141" s="154" t="s">
        <v>54</v>
      </c>
      <c r="B2141" s="154" t="str" cm="1">
        <f t="array" ref="B2141">_xlfn.XLOOKUP(TRUE, ISNUMBER(SEARCH(工作表5!$A$1:$A$23, C2141)), 工作表5!$B$1:$B$23, "其他")</f>
        <v>轉寫組</v>
      </c>
      <c r="C2141" s="145" t="s">
        <v>533</v>
      </c>
      <c r="D2141" s="156"/>
      <c r="E2141" s="156" t="s">
        <v>1511</v>
      </c>
      <c r="F2141" s="156" t="s">
        <v>606</v>
      </c>
      <c r="G2141" s="154">
        <v>210000</v>
      </c>
    </row>
    <row r="2142" spans="1:7" ht="21.6" customHeight="1">
      <c r="A2142" s="154" t="s">
        <v>54</v>
      </c>
      <c r="B2142" s="154" t="str" cm="1">
        <f t="array" ref="B2142">_xlfn.XLOOKUP(TRUE, ISNUMBER(SEARCH(工作表5!$A$1:$A$23, C2142)), 工作表5!$B$1:$B$23, "其他")</f>
        <v>轉寫組</v>
      </c>
      <c r="C2142" s="145" t="s">
        <v>1812</v>
      </c>
      <c r="D2142" s="156"/>
      <c r="E2142" s="156" t="s">
        <v>1512</v>
      </c>
      <c r="F2142" s="156" t="s">
        <v>608</v>
      </c>
      <c r="G2142" s="154">
        <v>210000</v>
      </c>
    </row>
    <row r="2143" spans="1:7" ht="21.6" customHeight="1">
      <c r="A2143" s="154" t="s">
        <v>54</v>
      </c>
      <c r="B2143" s="154" t="str" cm="1">
        <f t="array" ref="B2143">_xlfn.XLOOKUP(TRUE, ISNUMBER(SEARCH(工作表5!$A$1:$A$23, C2143)), 工作表5!$B$1:$B$23, "其他")</f>
        <v>轉寫組</v>
      </c>
      <c r="C2143" s="145" t="s">
        <v>1824</v>
      </c>
      <c r="D2143" s="156"/>
      <c r="E2143" s="156" t="s">
        <v>1513</v>
      </c>
      <c r="F2143" s="156" t="s">
        <v>610</v>
      </c>
      <c r="G2143" s="154">
        <v>210000</v>
      </c>
    </row>
    <row r="2144" spans="1:7" ht="21.6" customHeight="1">
      <c r="A2144" s="154" t="s">
        <v>54</v>
      </c>
      <c r="B2144" s="154" t="str" cm="1">
        <f t="array" ref="B2144">_xlfn.XLOOKUP(TRUE, ISNUMBER(SEARCH(工作表5!$A$1:$A$23, C2144)), 工作表5!$B$1:$B$23, "其他")</f>
        <v>轉寫組</v>
      </c>
      <c r="C2144" s="145" t="s">
        <v>1825</v>
      </c>
      <c r="D2144" s="156"/>
      <c r="E2144" s="156" t="s">
        <v>1514</v>
      </c>
      <c r="F2144" s="156" t="s">
        <v>612</v>
      </c>
      <c r="G2144" s="154">
        <v>210000</v>
      </c>
    </row>
    <row r="2145" spans="1:7" ht="21.6" customHeight="1">
      <c r="A2145" s="154" t="s">
        <v>54</v>
      </c>
      <c r="B2145" s="154" t="str" cm="1">
        <f t="array" ref="B2145">_xlfn.XLOOKUP(TRUE, ISNUMBER(SEARCH(工作表5!$A$1:$A$23, C2145)), 工作表5!$B$1:$B$23, "其他")</f>
        <v>轉寫組</v>
      </c>
      <c r="C2145" s="145" t="s">
        <v>1826</v>
      </c>
      <c r="D2145" s="156"/>
      <c r="E2145" s="156" t="s">
        <v>1515</v>
      </c>
      <c r="F2145" s="156" t="s">
        <v>614</v>
      </c>
      <c r="G2145" s="154">
        <v>210000</v>
      </c>
    </row>
    <row r="2146" spans="1:7" ht="21.6" customHeight="1">
      <c r="A2146" s="154" t="s">
        <v>54</v>
      </c>
      <c r="B2146" s="154" t="str" cm="1">
        <f t="array" ref="B2146">_xlfn.XLOOKUP(TRUE, ISNUMBER(SEARCH(工作表5!$A$1:$A$23, C2146)), 工作表5!$B$1:$B$23, "其他")</f>
        <v>其他</v>
      </c>
      <c r="C2146" s="144" t="s">
        <v>101</v>
      </c>
      <c r="D2146" s="156"/>
      <c r="E2146" s="156" t="s">
        <v>1551</v>
      </c>
      <c r="F2146" s="156" t="s">
        <v>720</v>
      </c>
      <c r="G2146" s="154">
        <v>756000</v>
      </c>
    </row>
    <row r="2147" spans="1:7" ht="21.6" customHeight="1">
      <c r="A2147" s="154" t="s">
        <v>54</v>
      </c>
      <c r="B2147" s="154" t="str" cm="1">
        <f t="array" ref="B2147">_xlfn.XLOOKUP(TRUE, ISNUMBER(SEARCH(工作表5!$A$1:$A$23, C2147)), 工作表5!$B$1:$B$23, "其他")</f>
        <v>定著組</v>
      </c>
      <c r="C2147" s="145" t="s">
        <v>1809</v>
      </c>
      <c r="D2147" s="156"/>
      <c r="E2147" s="156" t="s">
        <v>1673</v>
      </c>
      <c r="F2147" s="156" t="s">
        <v>1037</v>
      </c>
      <c r="G2147" s="154">
        <v>336000</v>
      </c>
    </row>
    <row r="2148" spans="1:7" ht="21.6" customHeight="1">
      <c r="A2148" s="154" t="s">
        <v>54</v>
      </c>
      <c r="B2148" s="154" t="str" cm="1">
        <f t="array" ref="B2148">_xlfn.XLOOKUP(TRUE, ISNUMBER(SEARCH(工作表5!$A$1:$A$23, C2148)), 工作表5!$B$1:$B$23, "其他")</f>
        <v>定著組</v>
      </c>
      <c r="C2148" s="145" t="s">
        <v>87</v>
      </c>
      <c r="D2148" s="156"/>
      <c r="E2148" s="156" t="s">
        <v>1624</v>
      </c>
      <c r="F2148" s="156" t="s">
        <v>912</v>
      </c>
      <c r="G2148" s="154">
        <v>336000</v>
      </c>
    </row>
    <row r="2149" spans="1:7" ht="21.6" customHeight="1">
      <c r="A2149" s="154" t="s">
        <v>54</v>
      </c>
      <c r="B2149" s="154" t="str" cm="1">
        <f t="array" ref="B2149">_xlfn.XLOOKUP(TRUE, ISNUMBER(SEARCH(工作表5!$A$1:$A$23, C2149)), 工作表5!$B$1:$B$23, "其他")</f>
        <v>定著組</v>
      </c>
      <c r="C2149" s="144" t="s">
        <v>1827</v>
      </c>
      <c r="D2149" s="156"/>
      <c r="E2149" s="156" t="s">
        <v>1519</v>
      </c>
      <c r="F2149" s="156" t="s">
        <v>623</v>
      </c>
      <c r="G2149" s="154">
        <v>336000</v>
      </c>
    </row>
    <row r="2150" spans="1:7" ht="21.6" customHeight="1">
      <c r="A2150" s="154" t="s">
        <v>54</v>
      </c>
      <c r="B2150" s="154" t="str" cm="1">
        <f t="array" ref="B2150">_xlfn.XLOOKUP(TRUE, ISNUMBER(SEARCH(工作表5!$A$1:$A$23, C2150)), 工作表5!$B$1:$B$23, "其他")</f>
        <v>定著組</v>
      </c>
      <c r="C2150" s="144" t="s">
        <v>1828</v>
      </c>
      <c r="D2150" s="156"/>
      <c r="E2150" s="156" t="s">
        <v>1520</v>
      </c>
      <c r="F2150" s="156" t="s">
        <v>625</v>
      </c>
      <c r="G2150" s="154">
        <v>336000</v>
      </c>
    </row>
    <row r="2151" spans="1:7" ht="21.6" customHeight="1">
      <c r="A2151" s="154" t="s">
        <v>54</v>
      </c>
      <c r="B2151" s="154" t="str" cm="1">
        <f t="array" ref="B2151">_xlfn.XLOOKUP(TRUE, ISNUMBER(SEARCH(工作表5!$A$1:$A$23, C2151)), 工作表5!$B$1:$B$23, "其他")</f>
        <v>定著組</v>
      </c>
      <c r="C2151" s="145" t="s">
        <v>628</v>
      </c>
      <c r="D2151" s="156"/>
      <c r="E2151" s="156" t="s">
        <v>1521</v>
      </c>
      <c r="F2151" s="156" t="s">
        <v>627</v>
      </c>
      <c r="G2151" s="154">
        <v>336000</v>
      </c>
    </row>
    <row r="2152" spans="1:7" ht="21.6" customHeight="1">
      <c r="A2152" s="154" t="s">
        <v>54</v>
      </c>
      <c r="B2152" s="154" t="str" cm="1">
        <f t="array" ref="B2152">_xlfn.XLOOKUP(TRUE, ISNUMBER(SEARCH(工作表5!$A$1:$A$23, C2152)), 工作表5!$B$1:$B$23, "其他")</f>
        <v>手送台</v>
      </c>
      <c r="C2152" s="144" t="s">
        <v>631</v>
      </c>
      <c r="D2152" s="156"/>
      <c r="E2152" s="156" t="s">
        <v>1392</v>
      </c>
      <c r="F2152" s="156" t="s">
        <v>274</v>
      </c>
      <c r="G2152" s="154">
        <v>80000</v>
      </c>
    </row>
    <row r="2153" spans="1:7" ht="21.6" customHeight="1">
      <c r="A2153" s="154" t="s">
        <v>54</v>
      </c>
      <c r="B2153" s="154" t="str" cm="1">
        <f t="array" ref="B2153">_xlfn.XLOOKUP(TRUE, ISNUMBER(SEARCH(工作表5!$A$1:$A$23, C2153)), 工作表5!$B$1:$B$23, "其他")</f>
        <v>手送台</v>
      </c>
      <c r="C2153" s="144" t="s">
        <v>115</v>
      </c>
      <c r="D2153" s="156"/>
      <c r="E2153" s="156" t="s">
        <v>1393</v>
      </c>
      <c r="F2153" s="156" t="s">
        <v>277</v>
      </c>
      <c r="G2153" s="154">
        <v>80000</v>
      </c>
    </row>
    <row r="2154" spans="1:7" ht="21.6" customHeight="1">
      <c r="A2154" s="154" t="s">
        <v>54</v>
      </c>
      <c r="B2154" s="154" t="str" cm="1">
        <f t="array" ref="B2154">_xlfn.XLOOKUP(TRUE, ISNUMBER(SEARCH(工作表5!$A$1:$A$23, C2154)), 工作表5!$B$1:$B$23, "其他")</f>
        <v>取紙組</v>
      </c>
      <c r="C2154" s="144" t="s">
        <v>1841</v>
      </c>
      <c r="D2154" s="156"/>
      <c r="E2154" s="156" t="s">
        <v>1389</v>
      </c>
      <c r="F2154" s="156" t="s">
        <v>265</v>
      </c>
      <c r="G2154" s="154">
        <v>80000</v>
      </c>
    </row>
    <row r="2155" spans="1:7" ht="21.6" customHeight="1">
      <c r="A2155" s="154" t="s">
        <v>54</v>
      </c>
      <c r="B2155" s="154" t="str" cm="1">
        <f t="array" ref="B2155">_xlfn.XLOOKUP(TRUE, ISNUMBER(SEARCH(工作表5!$A$1:$A$23, C2155)), 工作表5!$B$1:$B$23, "其他")</f>
        <v>取紙組</v>
      </c>
      <c r="C2155" s="144" t="s">
        <v>797</v>
      </c>
      <c r="D2155" s="156"/>
      <c r="E2155" s="156" t="s">
        <v>1390</v>
      </c>
      <c r="F2155" s="156" t="s">
        <v>269</v>
      </c>
      <c r="G2155" s="154">
        <v>80000</v>
      </c>
    </row>
    <row r="2156" spans="1:7" ht="21.6" customHeight="1">
      <c r="A2156" s="154" t="s">
        <v>54</v>
      </c>
      <c r="B2156" s="154" t="str" cm="1">
        <f t="array" ref="B2156">_xlfn.XLOOKUP(TRUE, ISNUMBER(SEARCH(工作表5!$A$1:$A$23, C2156)), 工作表5!$B$1:$B$23, "其他")</f>
        <v>取紙組</v>
      </c>
      <c r="C2156" s="144" t="s">
        <v>1842</v>
      </c>
      <c r="D2156" s="156"/>
      <c r="E2156" s="156" t="s">
        <v>1391</v>
      </c>
      <c r="F2156" s="156" t="s">
        <v>272</v>
      </c>
      <c r="G2156" s="154">
        <v>80000</v>
      </c>
    </row>
    <row r="2157" spans="1:7" ht="21.6" customHeight="1">
      <c r="A2157" s="154" t="s">
        <v>54</v>
      </c>
      <c r="B2157" s="154" t="str" cm="1">
        <f t="array" ref="B2157">_xlfn.XLOOKUP(TRUE, ISNUMBER(SEARCH(工作表5!$A$1:$A$23, C2157)), 工作表5!$B$1:$B$23, "其他")</f>
        <v>送稿機</v>
      </c>
      <c r="C2157" s="144" t="s">
        <v>1781</v>
      </c>
      <c r="D2157" s="156"/>
      <c r="E2157" s="156" t="s">
        <v>1375</v>
      </c>
      <c r="F2157" s="156" t="s">
        <v>226</v>
      </c>
      <c r="G2157" s="154">
        <v>120000</v>
      </c>
    </row>
    <row r="2158" spans="1:7" ht="21.6" customHeight="1">
      <c r="A2158" s="154" t="s">
        <v>54</v>
      </c>
      <c r="B2158" s="154" t="str" cm="1">
        <f t="array" ref="B2158">_xlfn.XLOOKUP(TRUE, ISNUMBER(SEARCH(工作表5!$A$1:$A$23, C2158)), 工作表5!$B$1:$B$23, "其他")</f>
        <v>送稿機</v>
      </c>
      <c r="C2158" s="144" t="s">
        <v>278</v>
      </c>
      <c r="D2158" s="156"/>
      <c r="E2158" s="156" t="s">
        <v>1376</v>
      </c>
      <c r="F2158" s="156" t="s">
        <v>230</v>
      </c>
      <c r="G2158" s="154">
        <v>120000</v>
      </c>
    </row>
    <row r="2159" spans="1:7" ht="21.6" customHeight="1">
      <c r="A2159" s="154" t="s">
        <v>54</v>
      </c>
      <c r="B2159" s="154" t="str" cm="1">
        <f t="array" ref="B2159">_xlfn.XLOOKUP(TRUE, ISNUMBER(SEARCH(工作表5!$A$1:$A$23, C2159)), 工作表5!$B$1:$B$23, "其他")</f>
        <v>送稿機</v>
      </c>
      <c r="C2159" s="144" t="s">
        <v>1782</v>
      </c>
      <c r="D2159" s="156"/>
      <c r="E2159" s="156" t="s">
        <v>1394</v>
      </c>
      <c r="F2159" s="156" t="s">
        <v>281</v>
      </c>
      <c r="G2159" s="154">
        <v>120000</v>
      </c>
    </row>
    <row r="2160" spans="1:7" ht="21.6" customHeight="1">
      <c r="A2160" s="154" t="s">
        <v>54</v>
      </c>
      <c r="B2160" s="154" t="str" cm="1">
        <f t="array" ref="B2160">_xlfn.XLOOKUP(TRUE, ISNUMBER(SEARCH(工作表5!$A$1:$A$23, C2160)), 工作表5!$B$1:$B$23, "其他")</f>
        <v>送稿機</v>
      </c>
      <c r="C2160" s="144" t="s">
        <v>285</v>
      </c>
      <c r="D2160" s="156"/>
      <c r="E2160" s="156" t="s">
        <v>1395</v>
      </c>
      <c r="F2160" s="156" t="s">
        <v>226</v>
      </c>
      <c r="G2160" s="154">
        <v>120000</v>
      </c>
    </row>
    <row r="2161" spans="1:7" ht="21.6" customHeight="1">
      <c r="A2161" s="154" t="s">
        <v>54</v>
      </c>
      <c r="B2161" s="154" t="str" cm="1">
        <f t="array" ref="B2161">_xlfn.XLOOKUP(TRUE, ISNUMBER(SEARCH(工作表5!$A$1:$A$23, C2161)), 工作表5!$B$1:$B$23, "其他")</f>
        <v>送稿機</v>
      </c>
      <c r="C2161" s="144" t="s">
        <v>282</v>
      </c>
      <c r="D2161" s="156"/>
      <c r="E2161" s="156" t="s">
        <v>1396</v>
      </c>
      <c r="F2161" s="156" t="s">
        <v>288</v>
      </c>
      <c r="G2161" s="154">
        <v>120000</v>
      </c>
    </row>
    <row r="2162" spans="1:7" ht="21.6" customHeight="1">
      <c r="A2162" s="154" t="s">
        <v>54</v>
      </c>
      <c r="B2162" s="154" t="str" cm="1">
        <f t="array" ref="B2162">_xlfn.XLOOKUP(TRUE, ISNUMBER(SEARCH(工作表5!$A$1:$A$23, C2162)), 工作表5!$B$1:$B$23, "其他")</f>
        <v>取紙組</v>
      </c>
      <c r="C2162" s="144" t="s">
        <v>1843</v>
      </c>
      <c r="D2162" s="156"/>
      <c r="E2162" s="156" t="s">
        <v>1377</v>
      </c>
      <c r="F2162" s="156" t="s">
        <v>232</v>
      </c>
      <c r="G2162" s="154">
        <v>160000</v>
      </c>
    </row>
    <row r="2163" spans="1:7" ht="21.6" customHeight="1">
      <c r="A2163" s="154" t="s">
        <v>54</v>
      </c>
      <c r="B2163" s="154" t="str" cm="1">
        <f t="array" ref="B2163">_xlfn.XLOOKUP(TRUE, ISNUMBER(SEARCH(工作表5!$A$1:$A$23, C2163)), 工作表5!$B$1:$B$23, "其他")</f>
        <v>大容量取紙組</v>
      </c>
      <c r="C2163" s="144" t="s">
        <v>237</v>
      </c>
      <c r="D2163" s="156"/>
      <c r="E2163" s="156" t="s">
        <v>1378</v>
      </c>
      <c r="F2163" s="156" t="s">
        <v>236</v>
      </c>
      <c r="G2163" s="154">
        <v>160000</v>
      </c>
    </row>
    <row r="2164" spans="1:7" ht="21.6" customHeight="1">
      <c r="A2164" s="154" t="s">
        <v>54</v>
      </c>
      <c r="B2164" s="154" t="str" cm="1">
        <f t="array" ref="B2164">_xlfn.XLOOKUP(TRUE, ISNUMBER(SEARCH(工作表5!$A$1:$A$23, C2164)), 工作表5!$B$1:$B$23, "其他")</f>
        <v>取紙組</v>
      </c>
      <c r="C2164" s="144" t="s">
        <v>798</v>
      </c>
      <c r="D2164" s="156"/>
      <c r="E2164" s="156" t="s">
        <v>1379</v>
      </c>
      <c r="F2164" s="156" t="s">
        <v>239</v>
      </c>
      <c r="G2164" s="154">
        <v>160000</v>
      </c>
    </row>
    <row r="2165" spans="1:7" ht="21.6" customHeight="1">
      <c r="A2165" s="154" t="s">
        <v>54</v>
      </c>
      <c r="B2165" s="154" t="str" cm="1">
        <f t="array" ref="B2165">_xlfn.XLOOKUP(TRUE, ISNUMBER(SEARCH(工作表5!$A$1:$A$23, C2165)), 工作表5!$B$1:$B$23, "其他")</f>
        <v>顯像組</v>
      </c>
      <c r="C2165" s="144" t="s">
        <v>637</v>
      </c>
      <c r="D2165" s="156"/>
      <c r="E2165" s="156" t="s">
        <v>1625</v>
      </c>
      <c r="F2165" s="156" t="s">
        <v>914</v>
      </c>
      <c r="G2165" s="154">
        <v>210000</v>
      </c>
    </row>
    <row r="2166" spans="1:7" ht="21.6" customHeight="1">
      <c r="A2166" s="154" t="s">
        <v>54</v>
      </c>
      <c r="B2166" s="154" t="str" cm="1">
        <f t="array" ref="B2166">_xlfn.XLOOKUP(TRUE, ISNUMBER(SEARCH(工作表5!$A$1:$A$23, C2166)), 工作表5!$B$1:$B$23, "其他")</f>
        <v>顯像組</v>
      </c>
      <c r="C2166" s="144" t="s">
        <v>755</v>
      </c>
      <c r="D2166" s="156"/>
      <c r="E2166" s="156" t="s">
        <v>1626</v>
      </c>
      <c r="F2166" s="156" t="s">
        <v>916</v>
      </c>
      <c r="G2166" s="154">
        <v>105000</v>
      </c>
    </row>
    <row r="2167" spans="1:7" ht="21.6" customHeight="1">
      <c r="A2167" s="154" t="s">
        <v>54</v>
      </c>
      <c r="B2167" s="154" t="str" cm="1">
        <f t="array" ref="B2167">_xlfn.XLOOKUP(TRUE, ISNUMBER(SEARCH(工作表5!$A$1:$A$23, C2167)), 工作表5!$B$1:$B$23, "其他")</f>
        <v>取紙組</v>
      </c>
      <c r="C2167" s="144" t="s">
        <v>799</v>
      </c>
      <c r="D2167" s="156"/>
      <c r="E2167" s="156" t="s">
        <v>1399</v>
      </c>
      <c r="F2167" s="156" t="s">
        <v>296</v>
      </c>
      <c r="G2167" s="154">
        <v>80000</v>
      </c>
    </row>
    <row r="2168" spans="1:7" ht="21.6" customHeight="1">
      <c r="A2168" s="154" t="s">
        <v>54</v>
      </c>
      <c r="B2168" s="154" t="str" cm="1">
        <f t="array" ref="B2168">_xlfn.XLOOKUP(TRUE, ISNUMBER(SEARCH(工作表5!$A$1:$A$23, C2168)), 工作表5!$B$1:$B$23, "其他")</f>
        <v>送稿機</v>
      </c>
      <c r="C2168" s="144" t="s">
        <v>300</v>
      </c>
      <c r="D2168" s="156"/>
      <c r="E2168" s="156" t="s">
        <v>1400</v>
      </c>
      <c r="F2168" s="156" t="s">
        <v>299</v>
      </c>
      <c r="G2168" s="154">
        <v>120000</v>
      </c>
    </row>
    <row r="2169" spans="1:7" ht="21.6" customHeight="1">
      <c r="A2169" s="154" t="s">
        <v>54</v>
      </c>
      <c r="B2169" s="154" t="str" cm="1">
        <f t="array" ref="B2169">_xlfn.XLOOKUP(TRUE, ISNUMBER(SEARCH(工作表5!$A$1:$A$23, C2169)), 工作表5!$B$1:$B$23, "其他")</f>
        <v>送稿機</v>
      </c>
      <c r="C2169" s="144" t="s">
        <v>303</v>
      </c>
      <c r="D2169" s="156"/>
      <c r="E2169" s="156" t="s">
        <v>1401</v>
      </c>
      <c r="F2169" s="156" t="s">
        <v>302</v>
      </c>
      <c r="G2169" s="154">
        <v>120000</v>
      </c>
    </row>
    <row r="2170" spans="1:7" ht="21.6" customHeight="1">
      <c r="A2170" s="154" t="s">
        <v>54</v>
      </c>
      <c r="B2170" s="154" t="str" cm="1">
        <f t="array" ref="B2170">_xlfn.XLOOKUP(TRUE, ISNUMBER(SEARCH(工作表5!$A$1:$A$23, C2170)), 工作表5!$B$1:$B$23, "其他")</f>
        <v>其他</v>
      </c>
      <c r="C2170" s="144" t="s">
        <v>760</v>
      </c>
      <c r="D2170" s="156"/>
      <c r="E2170" s="156" t="s">
        <v>1384</v>
      </c>
      <c r="F2170" s="156" t="s">
        <v>252</v>
      </c>
      <c r="G2170" s="154">
        <v>160000</v>
      </c>
    </row>
    <row r="2171" spans="1:7" ht="21.6" customHeight="1">
      <c r="A2171" s="154" t="s">
        <v>54</v>
      </c>
      <c r="B2171" s="154" t="str" cm="1">
        <f t="array" ref="B2171">_xlfn.XLOOKUP(TRUE, ISNUMBER(SEARCH(工作表5!$A$1:$A$23, C2171)), 工作表5!$B$1:$B$23, "其他")</f>
        <v>定著組</v>
      </c>
      <c r="C2171" s="144" t="s">
        <v>642</v>
      </c>
      <c r="D2171" s="156"/>
      <c r="E2171" s="156" t="s">
        <v>1674</v>
      </c>
      <c r="F2171" s="156" t="s">
        <v>1039</v>
      </c>
      <c r="G2171" s="154">
        <v>336000</v>
      </c>
    </row>
    <row r="2172" spans="1:7" ht="21.6" customHeight="1">
      <c r="A2172" s="154" t="s">
        <v>54</v>
      </c>
      <c r="B2172" s="154" t="str" cm="1">
        <f t="array" ref="B2172">_xlfn.XLOOKUP(TRUE, ISNUMBER(SEARCH(工作表5!$A$1:$A$23, C2172)), 工作表5!$B$1:$B$23, "其他")</f>
        <v>轉寫組</v>
      </c>
      <c r="C2172" s="144" t="s">
        <v>645</v>
      </c>
      <c r="D2172" s="156"/>
      <c r="E2172" s="156" t="s">
        <v>1525</v>
      </c>
      <c r="F2172" s="156" t="s">
        <v>644</v>
      </c>
      <c r="G2172" s="154">
        <v>210000</v>
      </c>
    </row>
    <row r="2173" spans="1:7" ht="21.6" customHeight="1">
      <c r="A2173" s="154" t="s">
        <v>54</v>
      </c>
      <c r="B2173" s="154" t="str" cm="1">
        <f t="array" ref="B2173">_xlfn.XLOOKUP(TRUE, ISNUMBER(SEARCH(工作表5!$A$1:$A$23, C2173)), 工作表5!$B$1:$B$23, "其他")</f>
        <v>定著組</v>
      </c>
      <c r="C2173" s="145" t="s">
        <v>585</v>
      </c>
      <c r="D2173" s="156"/>
      <c r="E2173" s="156" t="s">
        <v>1675</v>
      </c>
      <c r="F2173" s="156" t="s">
        <v>1041</v>
      </c>
      <c r="G2173" s="154" t="e">
        <v>#VALUE!</v>
      </c>
    </row>
    <row r="2174" spans="1:7" ht="21.6" customHeight="1">
      <c r="A2174" s="154" t="s">
        <v>54</v>
      </c>
      <c r="B2174" s="154" t="str" cm="1">
        <f t="array" ref="B2174">_xlfn.XLOOKUP(TRUE, ISNUMBER(SEARCH(工作表5!$A$1:$A$23, C2174)), 工作表5!$B$1:$B$23, "其他")</f>
        <v>定著組</v>
      </c>
      <c r="C2174" s="145" t="s">
        <v>585</v>
      </c>
      <c r="D2174" s="156"/>
      <c r="E2174" s="156" t="s">
        <v>1676</v>
      </c>
      <c r="F2174" s="156" t="s">
        <v>1043</v>
      </c>
      <c r="G2174" s="154" t="e">
        <v>#VALUE!</v>
      </c>
    </row>
    <row r="2175" spans="1:7" ht="21.6" customHeight="1">
      <c r="A2175" s="154" t="s">
        <v>54</v>
      </c>
      <c r="B2175" s="154" t="str" cm="1">
        <f t="array" ref="B2175">_xlfn.XLOOKUP(TRUE, ISNUMBER(SEARCH(工作表5!$A$1:$A$23, C2175)), 工作表5!$B$1:$B$23, "其他")</f>
        <v>顯像組</v>
      </c>
      <c r="C2175" s="145" t="s">
        <v>129</v>
      </c>
      <c r="D2175" s="156"/>
      <c r="E2175" s="156" t="s">
        <v>1677</v>
      </c>
      <c r="F2175" s="156" t="s">
        <v>1045</v>
      </c>
      <c r="G2175" s="154" t="e">
        <v>#VALUE!</v>
      </c>
    </row>
    <row r="2176" spans="1:7" ht="21.6" customHeight="1">
      <c r="A2176" s="154" t="s">
        <v>54</v>
      </c>
      <c r="B2176" s="154" t="str" cm="1">
        <f t="array" ref="B2176">_xlfn.XLOOKUP(TRUE, ISNUMBER(SEARCH(工作表5!$A$1:$A$23, C2176)), 工作表5!$B$1:$B$23, "其他")</f>
        <v>顯像組</v>
      </c>
      <c r="C2176" s="145" t="s">
        <v>772</v>
      </c>
      <c r="D2176" s="156"/>
      <c r="E2176" s="156" t="s">
        <v>1678</v>
      </c>
      <c r="F2176" s="156" t="s">
        <v>1048</v>
      </c>
      <c r="G2176" s="154" t="e">
        <v>#VALUE!</v>
      </c>
    </row>
    <row r="2177" spans="1:7" ht="21.6" customHeight="1">
      <c r="A2177" s="154" t="s">
        <v>54</v>
      </c>
      <c r="B2177" s="154" t="str" cm="1">
        <f t="array" ref="B2177">_xlfn.XLOOKUP(TRUE, ISNUMBER(SEARCH(工作表5!$A$1:$A$23, C2177)), 工作表5!$B$1:$B$23, "其他")</f>
        <v>顯像組</v>
      </c>
      <c r="C2177" s="145" t="s">
        <v>775</v>
      </c>
      <c r="D2177" s="156"/>
      <c r="E2177" s="156" t="s">
        <v>1679</v>
      </c>
      <c r="F2177" s="156" t="s">
        <v>1050</v>
      </c>
      <c r="G2177" s="154" t="e">
        <v>#VALUE!</v>
      </c>
    </row>
    <row r="2178" spans="1:7" ht="21.6" customHeight="1">
      <c r="A2178" s="154" t="s">
        <v>54</v>
      </c>
      <c r="B2178" s="154" t="str" cm="1">
        <f t="array" ref="B2178">_xlfn.XLOOKUP(TRUE, ISNUMBER(SEARCH(工作表5!$A$1:$A$23, C2178)), 工作表5!$B$1:$B$23, "其他")</f>
        <v>顯像組</v>
      </c>
      <c r="C2178" s="145" t="s">
        <v>778</v>
      </c>
      <c r="D2178" s="156"/>
      <c r="E2178" s="156" t="s">
        <v>1680</v>
      </c>
      <c r="F2178" s="156" t="s">
        <v>1052</v>
      </c>
      <c r="G2178" s="154" t="e">
        <v>#VALUE!</v>
      </c>
    </row>
    <row r="2179" spans="1:7" ht="21.6" customHeight="1">
      <c r="A2179" s="154" t="s">
        <v>54</v>
      </c>
      <c r="B2179" s="154" t="str" cm="1">
        <f t="array" ref="B2179">_xlfn.XLOOKUP(TRUE, ISNUMBER(SEARCH(工作表5!$A$1:$A$23, C2179)), 工作表5!$B$1:$B$23, "其他")</f>
        <v>顯像組</v>
      </c>
      <c r="C2179" s="145" t="s">
        <v>129</v>
      </c>
      <c r="D2179" s="156"/>
      <c r="E2179" s="156" t="s">
        <v>1681</v>
      </c>
      <c r="F2179" s="156" t="s">
        <v>1054</v>
      </c>
      <c r="G2179" s="154" t="e">
        <v>#VALUE!</v>
      </c>
    </row>
    <row r="2180" spans="1:7" ht="21.6" customHeight="1">
      <c r="A2180" s="154" t="s">
        <v>54</v>
      </c>
      <c r="B2180" s="154" t="str" cm="1">
        <f t="array" ref="B2180">_xlfn.XLOOKUP(TRUE, ISNUMBER(SEARCH(工作表5!$A$1:$A$23, C2180)), 工作表5!$B$1:$B$23, "其他")</f>
        <v>顯像組</v>
      </c>
      <c r="C2180" s="145" t="s">
        <v>772</v>
      </c>
      <c r="D2180" s="156"/>
      <c r="E2180" s="156" t="s">
        <v>1682</v>
      </c>
      <c r="F2180" s="156" t="s">
        <v>1057</v>
      </c>
      <c r="G2180" s="154" t="e">
        <v>#VALUE!</v>
      </c>
    </row>
    <row r="2181" spans="1:7" ht="21.6" customHeight="1">
      <c r="A2181" s="154" t="s">
        <v>54</v>
      </c>
      <c r="B2181" s="154" t="str" cm="1">
        <f t="array" ref="B2181">_xlfn.XLOOKUP(TRUE, ISNUMBER(SEARCH(工作表5!$A$1:$A$23, C2181)), 工作表5!$B$1:$B$23, "其他")</f>
        <v>顯像組</v>
      </c>
      <c r="C2181" s="145" t="s">
        <v>775</v>
      </c>
      <c r="D2181" s="156"/>
      <c r="E2181" s="156" t="s">
        <v>1683</v>
      </c>
      <c r="F2181" s="156" t="s">
        <v>1059</v>
      </c>
      <c r="G2181" s="154" t="e">
        <v>#VALUE!</v>
      </c>
    </row>
    <row r="2182" spans="1:7" ht="21.6" customHeight="1">
      <c r="A2182" s="154" t="s">
        <v>54</v>
      </c>
      <c r="B2182" s="154" t="str" cm="1">
        <f t="array" ref="B2182">_xlfn.XLOOKUP(TRUE, ISNUMBER(SEARCH(工作表5!$A$1:$A$23, C2182)), 工作表5!$B$1:$B$23, "其他")</f>
        <v>顯像組</v>
      </c>
      <c r="C2182" s="145" t="s">
        <v>778</v>
      </c>
      <c r="D2182" s="156"/>
      <c r="E2182" s="156" t="s">
        <v>1684</v>
      </c>
      <c r="F2182" s="156" t="s">
        <v>1061</v>
      </c>
      <c r="G2182" s="154" t="e">
        <v>#VALUE!</v>
      </c>
    </row>
    <row r="2183" spans="1:7" ht="21.6" customHeight="1">
      <c r="A2183" s="154" t="s">
        <v>54</v>
      </c>
      <c r="B2183" s="154" t="str" cm="1">
        <f t="array" ref="B2183">_xlfn.XLOOKUP(TRUE, ISNUMBER(SEARCH(工作表5!$A$1:$A$23, C2183)), 工作表5!$B$1:$B$23, "其他")</f>
        <v>轉寫組</v>
      </c>
      <c r="C2183" s="144" t="s">
        <v>1821</v>
      </c>
      <c r="D2183" s="156"/>
      <c r="E2183" s="156" t="s">
        <v>1528</v>
      </c>
      <c r="F2183" s="156" t="s">
        <v>651</v>
      </c>
      <c r="G2183" s="154" t="e">
        <v>#VALUE!</v>
      </c>
    </row>
    <row r="2184" spans="1:7" ht="21.6" customHeight="1">
      <c r="A2184" s="154" t="s">
        <v>54</v>
      </c>
      <c r="B2184" s="154" t="str" cm="1">
        <f t="array" ref="B2184">_xlfn.XLOOKUP(TRUE, ISNUMBER(SEARCH(工作表5!$A$1:$A$23, C2184)), 工作表5!$B$1:$B$23, "其他")</f>
        <v>轉寫組</v>
      </c>
      <c r="C2184" s="150" t="s">
        <v>1805</v>
      </c>
      <c r="D2184" s="156"/>
      <c r="E2184" s="156" t="s">
        <v>1638</v>
      </c>
      <c r="F2184" s="156" t="s">
        <v>942</v>
      </c>
      <c r="G2184" s="154" t="e">
        <v>#VALUE!</v>
      </c>
    </row>
    <row r="2185" spans="1:7" ht="21.6" customHeight="1">
      <c r="A2185" s="154" t="s">
        <v>1316</v>
      </c>
      <c r="B2185" s="154" t="str" cm="1">
        <f t="array" ref="B2185">_xlfn.XLOOKUP(TRUE, ISNUMBER(SEARCH(工作表5!$A$1:$A$23, C2185)), 工作表5!$B$1:$B$23, "其他")</f>
        <v>滾筒組</v>
      </c>
      <c r="C2185" s="143" t="s">
        <v>71</v>
      </c>
      <c r="D2185" s="156"/>
      <c r="E2185" s="156" t="s">
        <v>1689</v>
      </c>
      <c r="F2185" s="156" t="s">
        <v>1075</v>
      </c>
      <c r="G2185" s="154">
        <v>248000</v>
      </c>
    </row>
    <row r="2186" spans="1:7" ht="21.6" customHeight="1">
      <c r="A2186" s="154" t="s">
        <v>1316</v>
      </c>
      <c r="B2186" s="154" t="str" cm="1">
        <f t="array" ref="B2186">_xlfn.XLOOKUP(TRUE, ISNUMBER(SEARCH(工作表5!$A$1:$A$23, C2186)), 工作表5!$B$1:$B$23, "其他")</f>
        <v>顯像組</v>
      </c>
      <c r="C2186" s="145" t="s">
        <v>502</v>
      </c>
      <c r="D2186" s="156"/>
      <c r="E2186" s="156" t="s">
        <v>1690</v>
      </c>
      <c r="F2186" s="156" t="s">
        <v>1077</v>
      </c>
      <c r="G2186" s="154" t="e">
        <v>#VALUE!</v>
      </c>
    </row>
    <row r="2187" spans="1:7" ht="21.6" customHeight="1">
      <c r="A2187" s="154" t="s">
        <v>1316</v>
      </c>
      <c r="B2187" s="154" t="str" cm="1">
        <f t="array" ref="B2187">_xlfn.XLOOKUP(TRUE, ISNUMBER(SEARCH(工作表5!$A$1:$A$23, C2187)), 工作表5!$B$1:$B$23, "其他")</f>
        <v>顯像組</v>
      </c>
      <c r="C2187" s="145" t="s">
        <v>703</v>
      </c>
      <c r="D2187" s="156"/>
      <c r="E2187" s="156" t="s">
        <v>1691</v>
      </c>
      <c r="F2187" s="156" t="s">
        <v>1079</v>
      </c>
      <c r="G2187" s="154" t="e">
        <v>#VALUE!</v>
      </c>
    </row>
    <row r="2188" spans="1:7" ht="21.6" customHeight="1">
      <c r="A2188" s="154" t="s">
        <v>1316</v>
      </c>
      <c r="B2188" s="154" t="str" cm="1">
        <f t="array" ref="B2188">_xlfn.XLOOKUP(TRUE, ISNUMBER(SEARCH(工作表5!$A$1:$A$23, C2188)), 工作表5!$B$1:$B$23, "其他")</f>
        <v>顯像組</v>
      </c>
      <c r="C2188" s="144" t="s">
        <v>706</v>
      </c>
      <c r="D2188" s="156"/>
      <c r="E2188" s="156" t="s">
        <v>1692</v>
      </c>
      <c r="F2188" s="156" t="s">
        <v>1081</v>
      </c>
      <c r="G2188" s="154" t="e">
        <v>#VALUE!</v>
      </c>
    </row>
    <row r="2189" spans="1:7" ht="21.6" customHeight="1">
      <c r="A2189" s="154" t="s">
        <v>1316</v>
      </c>
      <c r="B2189" s="154" t="str" cm="1">
        <f t="array" ref="B2189">_xlfn.XLOOKUP(TRUE, ISNUMBER(SEARCH(工作表5!$A$1:$A$23, C2189)), 工作表5!$B$1:$B$23, "其他")</f>
        <v>顯像組</v>
      </c>
      <c r="C2189" s="145" t="s">
        <v>709</v>
      </c>
      <c r="D2189" s="156"/>
      <c r="E2189" s="156" t="s">
        <v>1693</v>
      </c>
      <c r="F2189" s="156" t="s">
        <v>1083</v>
      </c>
      <c r="G2189" s="154" t="e">
        <v>#VALUE!</v>
      </c>
    </row>
    <row r="2190" spans="1:7" ht="21.6" customHeight="1">
      <c r="A2190" s="154" t="s">
        <v>1316</v>
      </c>
      <c r="B2190" s="154" t="str" cm="1">
        <f t="array" ref="B2190">_xlfn.XLOOKUP(TRUE, ISNUMBER(SEARCH(工作表5!$A$1:$A$23, C2190)), 工作表5!$B$1:$B$23, "其他")</f>
        <v>滾筒組</v>
      </c>
      <c r="C2190" s="145" t="s">
        <v>415</v>
      </c>
      <c r="D2190" s="156"/>
      <c r="E2190" s="156" t="s">
        <v>1694</v>
      </c>
      <c r="F2190" s="156" t="s">
        <v>1085</v>
      </c>
      <c r="G2190" s="154">
        <v>248000</v>
      </c>
    </row>
    <row r="2191" spans="1:7" ht="21.6" customHeight="1">
      <c r="A2191" s="154" t="s">
        <v>1316</v>
      </c>
      <c r="B2191" s="154" t="str" cm="1">
        <f t="array" ref="B2191">_xlfn.XLOOKUP(TRUE, ISNUMBER(SEARCH(工作表5!$A$1:$A$23, C2191)), 工作表5!$B$1:$B$23, "其他")</f>
        <v>定著組</v>
      </c>
      <c r="C2191" s="144" t="s">
        <v>1809</v>
      </c>
      <c r="D2191" s="156"/>
      <c r="E2191" s="156" t="s">
        <v>1695</v>
      </c>
      <c r="F2191" s="156" t="s">
        <v>1087</v>
      </c>
      <c r="G2191" s="154">
        <v>225000</v>
      </c>
    </row>
    <row r="2192" spans="1:7" ht="21.6" customHeight="1">
      <c r="A2192" s="154" t="s">
        <v>1316</v>
      </c>
      <c r="B2192" s="154" t="str" cm="1">
        <f t="array" ref="B2192">_xlfn.XLOOKUP(TRUE, ISNUMBER(SEARCH(工作表5!$A$1:$A$23, C2192)), 工作表5!$B$1:$B$23, "其他")</f>
        <v>定著組</v>
      </c>
      <c r="C2192" s="144" t="s">
        <v>1090</v>
      </c>
      <c r="D2192" s="156"/>
      <c r="E2192" s="156" t="s">
        <v>1696</v>
      </c>
      <c r="F2192" s="156" t="s">
        <v>1089</v>
      </c>
      <c r="G2192" s="154">
        <v>225000</v>
      </c>
    </row>
    <row r="2193" spans="1:7" ht="21.6" customHeight="1">
      <c r="A2193" s="154" t="s">
        <v>1316</v>
      </c>
      <c r="B2193" s="154" t="str" cm="1">
        <f t="array" ref="B2193">_xlfn.XLOOKUP(TRUE, ISNUMBER(SEARCH(工作表5!$A$1:$A$23, C2193)), 工作表5!$B$1:$B$23, "其他")</f>
        <v>定著組</v>
      </c>
      <c r="C2193" s="144" t="s">
        <v>1810</v>
      </c>
      <c r="D2193" s="156"/>
      <c r="E2193" s="156" t="s">
        <v>1697</v>
      </c>
      <c r="F2193" s="156" t="s">
        <v>1092</v>
      </c>
      <c r="G2193" s="154">
        <v>450000</v>
      </c>
    </row>
    <row r="2194" spans="1:7" ht="21.6" customHeight="1">
      <c r="A2194" s="154" t="s">
        <v>1316</v>
      </c>
      <c r="B2194" s="154" t="str" cm="1">
        <f t="array" ref="B2194">_xlfn.XLOOKUP(TRUE, ISNUMBER(SEARCH(工作表5!$A$1:$A$23, C2194)), 工作表5!$B$1:$B$23, "其他")</f>
        <v>轉寫組</v>
      </c>
      <c r="C2194" s="144" t="s">
        <v>1095</v>
      </c>
      <c r="D2194" s="156"/>
      <c r="E2194" s="156" t="s">
        <v>1698</v>
      </c>
      <c r="F2194" s="156" t="s">
        <v>1094</v>
      </c>
      <c r="G2194" s="154">
        <v>248000</v>
      </c>
    </row>
    <row r="2195" spans="1:7" ht="21.6" customHeight="1">
      <c r="A2195" s="154" t="s">
        <v>1316</v>
      </c>
      <c r="B2195" s="154" t="str" cm="1">
        <f t="array" ref="B2195">_xlfn.XLOOKUP(TRUE, ISNUMBER(SEARCH(工作表5!$A$1:$A$23, C2195)), 工作表5!$B$1:$B$23, "其他")</f>
        <v>轉寫組</v>
      </c>
      <c r="C2195" s="144" t="s">
        <v>533</v>
      </c>
      <c r="D2195" s="156"/>
      <c r="E2195" s="156" t="s">
        <v>1699</v>
      </c>
      <c r="F2195" s="156" t="s">
        <v>1097</v>
      </c>
      <c r="G2195" s="154">
        <v>248000</v>
      </c>
    </row>
    <row r="2196" spans="1:7" ht="21.6" customHeight="1">
      <c r="A2196" s="154" t="s">
        <v>1316</v>
      </c>
      <c r="B2196" s="154" t="str" cm="1">
        <f t="array" ref="B2196">_xlfn.XLOOKUP(TRUE, ISNUMBER(SEARCH(工作表5!$A$1:$A$23, C2196)), 工作表5!$B$1:$B$23, "其他")</f>
        <v>轉寫組</v>
      </c>
      <c r="C2196" s="145" t="s">
        <v>1812</v>
      </c>
      <c r="D2196" s="156"/>
      <c r="E2196" s="156" t="s">
        <v>1700</v>
      </c>
      <c r="F2196" s="156" t="s">
        <v>1099</v>
      </c>
      <c r="G2196" s="154">
        <v>248000</v>
      </c>
    </row>
    <row r="2197" spans="1:7" ht="21.6" customHeight="1">
      <c r="A2197" s="154" t="s">
        <v>1316</v>
      </c>
      <c r="B2197" s="154" t="str" cm="1">
        <f t="array" ref="B2197">_xlfn.XLOOKUP(TRUE, ISNUMBER(SEARCH(工作表5!$A$1:$A$23, C2197)), 工作表5!$B$1:$B$23, "其他")</f>
        <v>轉寫組</v>
      </c>
      <c r="C2197" s="145" t="s">
        <v>1102</v>
      </c>
      <c r="D2197" s="156"/>
      <c r="E2197" s="156" t="s">
        <v>1701</v>
      </c>
      <c r="F2197" s="156" t="s">
        <v>1101</v>
      </c>
      <c r="G2197" s="154">
        <v>248000</v>
      </c>
    </row>
    <row r="2198" spans="1:7" ht="21.6" customHeight="1">
      <c r="A2198" s="154" t="s">
        <v>1316</v>
      </c>
      <c r="B2198" s="154" t="str" cm="1">
        <f t="array" ref="B2198">_xlfn.XLOOKUP(TRUE, ISNUMBER(SEARCH(工作表5!$A$1:$A$23, C2198)), 工作表5!$B$1:$B$23, "其他")</f>
        <v>轉寫組</v>
      </c>
      <c r="C2198" s="148" t="s">
        <v>1848</v>
      </c>
      <c r="D2198" s="156"/>
      <c r="E2198" s="156" t="s">
        <v>1702</v>
      </c>
      <c r="F2198" s="156" t="s">
        <v>1104</v>
      </c>
      <c r="G2198" s="154">
        <v>248000</v>
      </c>
    </row>
    <row r="2199" spans="1:7" ht="21.6" customHeight="1">
      <c r="A2199" s="154" t="s">
        <v>1316</v>
      </c>
      <c r="B2199" s="154" t="str" cm="1">
        <f t="array" ref="B2199">_xlfn.XLOOKUP(TRUE, ISNUMBER(SEARCH(工作表5!$A$1:$A$23, C2199)), 工作表5!$B$1:$B$23, "其他")</f>
        <v>轉寫組</v>
      </c>
      <c r="C2199" s="145" t="s">
        <v>1849</v>
      </c>
      <c r="D2199" s="156"/>
      <c r="E2199" s="156" t="s">
        <v>1703</v>
      </c>
      <c r="F2199" s="156" t="s">
        <v>1106</v>
      </c>
      <c r="G2199" s="154">
        <v>496000</v>
      </c>
    </row>
    <row r="2200" spans="1:7" ht="21.6" customHeight="1">
      <c r="A2200" s="154" t="s">
        <v>1316</v>
      </c>
      <c r="B2200" s="154" t="str" cm="1">
        <f t="array" ref="B2200">_xlfn.XLOOKUP(TRUE, ISNUMBER(SEARCH(工作表5!$A$1:$A$23, C2200)), 工作表5!$B$1:$B$23, "其他")</f>
        <v>滾筒組</v>
      </c>
      <c r="C2200" s="144" t="s">
        <v>107</v>
      </c>
      <c r="D2200" s="156"/>
      <c r="E2200" s="156" t="s">
        <v>1472</v>
      </c>
      <c r="F2200" s="156" t="s">
        <v>507</v>
      </c>
      <c r="G2200" s="154">
        <v>248000</v>
      </c>
    </row>
    <row r="2201" spans="1:7" ht="21.6" customHeight="1">
      <c r="A2201" s="154" t="s">
        <v>1316</v>
      </c>
      <c r="B2201" s="154" t="str" cm="1">
        <f t="array" ref="B2201">_xlfn.XLOOKUP(TRUE, ISNUMBER(SEARCH(工作表5!$A$1:$A$23, C2201)), 工作表5!$B$1:$B$23, "其他")</f>
        <v>顯像組</v>
      </c>
      <c r="C2201" s="145" t="s">
        <v>104</v>
      </c>
      <c r="D2201" s="156"/>
      <c r="E2201" s="156" t="s">
        <v>1704</v>
      </c>
      <c r="F2201" s="156" t="s">
        <v>1108</v>
      </c>
      <c r="G2201" s="154">
        <v>248000</v>
      </c>
    </row>
    <row r="2202" spans="1:7" ht="21.6" customHeight="1">
      <c r="A2202" s="154" t="s">
        <v>1316</v>
      </c>
      <c r="B2202" s="154" t="str" cm="1">
        <f t="array" ref="B2202">_xlfn.XLOOKUP(TRUE, ISNUMBER(SEARCH(工作表5!$A$1:$A$23, C2202)), 工作表5!$B$1:$B$23, "其他")</f>
        <v>顯像組</v>
      </c>
      <c r="C2202" s="145" t="s">
        <v>1806</v>
      </c>
      <c r="D2202" s="156"/>
      <c r="E2202" s="156" t="s">
        <v>1474</v>
      </c>
      <c r="F2202" s="156" t="s">
        <v>511</v>
      </c>
      <c r="G2202" s="154">
        <v>248000</v>
      </c>
    </row>
    <row r="2203" spans="1:7" ht="21.6" customHeight="1">
      <c r="A2203" s="154" t="s">
        <v>1316</v>
      </c>
      <c r="B2203" s="154" t="str" cm="1">
        <f t="array" ref="B2203">_xlfn.XLOOKUP(TRUE, ISNUMBER(SEARCH(工作表5!$A$1:$A$23, C2203)), 工作表5!$B$1:$B$23, "其他")</f>
        <v>其他</v>
      </c>
      <c r="C2203" s="145" t="s">
        <v>1808</v>
      </c>
      <c r="D2203" s="156"/>
      <c r="E2203" s="156" t="s">
        <v>1477</v>
      </c>
      <c r="F2203" s="156" t="s">
        <v>518</v>
      </c>
      <c r="G2203" s="154">
        <v>248000</v>
      </c>
    </row>
    <row r="2204" spans="1:7" ht="21.6" customHeight="1">
      <c r="A2204" s="154" t="s">
        <v>1316</v>
      </c>
      <c r="B2204" s="154" t="str" cm="1">
        <f t="array" ref="B2204">_xlfn.XLOOKUP(TRUE, ISNUMBER(SEARCH(工作表5!$A$1:$A$23, C2204)), 工作表5!$B$1:$B$23, "其他")</f>
        <v>其他</v>
      </c>
      <c r="C2204" s="144" t="s">
        <v>101</v>
      </c>
      <c r="D2204" s="156"/>
      <c r="E2204" s="156" t="s">
        <v>1478</v>
      </c>
      <c r="F2204" s="156" t="s">
        <v>520</v>
      </c>
      <c r="G2204" s="154">
        <v>248000</v>
      </c>
    </row>
    <row r="2205" spans="1:7" ht="21.6" customHeight="1">
      <c r="A2205" s="154" t="s">
        <v>1316</v>
      </c>
      <c r="B2205" s="154" t="str" cm="1">
        <f t="array" ref="B2205">_xlfn.XLOOKUP(TRUE, ISNUMBER(SEARCH(工作表5!$A$1:$A$23, C2205)), 工作表5!$B$1:$B$23, "其他")</f>
        <v>其他</v>
      </c>
      <c r="C2205" s="145" t="s">
        <v>523</v>
      </c>
      <c r="D2205" s="156"/>
      <c r="E2205" s="156" t="s">
        <v>1479</v>
      </c>
      <c r="F2205" s="156" t="s">
        <v>522</v>
      </c>
      <c r="G2205" s="154">
        <v>248000</v>
      </c>
    </row>
    <row r="2206" spans="1:7" ht="21.6" customHeight="1">
      <c r="A2206" s="154" t="s">
        <v>1316</v>
      </c>
      <c r="B2206" s="154" t="str" cm="1">
        <f t="array" ref="B2206">_xlfn.XLOOKUP(TRUE, ISNUMBER(SEARCH(工作表5!$A$1:$A$23, C2206)), 工作表5!$B$1:$B$23, "其他")</f>
        <v>定著組</v>
      </c>
      <c r="C2206" s="144" t="s">
        <v>90</v>
      </c>
      <c r="D2206" s="156"/>
      <c r="E2206" s="156" t="s">
        <v>1705</v>
      </c>
      <c r="F2206" s="156" t="s">
        <v>1110</v>
      </c>
      <c r="G2206" s="154">
        <v>450000</v>
      </c>
    </row>
    <row r="2207" spans="1:7" ht="21.6" customHeight="1">
      <c r="A2207" s="154" t="s">
        <v>1316</v>
      </c>
      <c r="B2207" s="154" t="str" cm="1">
        <f t="array" ref="B2207">_xlfn.XLOOKUP(TRUE, ISNUMBER(SEARCH(工作表5!$A$1:$A$23, C2207)), 工作表5!$B$1:$B$23, "其他")</f>
        <v>定著組</v>
      </c>
      <c r="C2207" s="145" t="s">
        <v>1850</v>
      </c>
      <c r="D2207" s="156"/>
      <c r="E2207" s="156" t="s">
        <v>1706</v>
      </c>
      <c r="F2207" s="156" t="s">
        <v>1112</v>
      </c>
      <c r="G2207" s="154">
        <v>225000</v>
      </c>
    </row>
    <row r="2208" spans="1:7" ht="21.6" customHeight="1">
      <c r="A2208" s="154" t="s">
        <v>1316</v>
      </c>
      <c r="B2208" s="154" t="str" cm="1">
        <f t="array" ref="B2208">_xlfn.XLOOKUP(TRUE, ISNUMBER(SEARCH(工作表5!$A$1:$A$23, C2208)), 工作表5!$B$1:$B$23, "其他")</f>
        <v>轉寫組</v>
      </c>
      <c r="C2208" s="145" t="s">
        <v>1813</v>
      </c>
      <c r="D2208" s="156"/>
      <c r="E2208" s="156" t="s">
        <v>1707</v>
      </c>
      <c r="F2208" s="156" t="s">
        <v>1114</v>
      </c>
      <c r="G2208" s="154">
        <v>248000</v>
      </c>
    </row>
    <row r="2209" spans="1:7" ht="21.6" customHeight="1">
      <c r="A2209" s="154" t="s">
        <v>1316</v>
      </c>
      <c r="B2209" s="154" t="str" cm="1">
        <f t="array" ref="B2209">_xlfn.XLOOKUP(TRUE, ISNUMBER(SEARCH(工作表5!$A$1:$A$23, C2209)), 工作表5!$B$1:$B$23, "其他")</f>
        <v>轉寫組</v>
      </c>
      <c r="C2209" s="145" t="s">
        <v>1814</v>
      </c>
      <c r="D2209" s="156"/>
      <c r="E2209" s="156" t="s">
        <v>1708</v>
      </c>
      <c r="F2209" s="156" t="s">
        <v>1116</v>
      </c>
      <c r="G2209" s="154">
        <v>248000</v>
      </c>
    </row>
    <row r="2210" spans="1:7" ht="21.6" customHeight="1">
      <c r="A2210" s="154" t="s">
        <v>1316</v>
      </c>
      <c r="B2210" s="154" t="str" cm="1">
        <f t="array" ref="B2210">_xlfn.XLOOKUP(TRUE, ISNUMBER(SEARCH(工作表5!$A$1:$A$23, C2210)), 工作表5!$B$1:$B$23, "其他")</f>
        <v>轉寫組</v>
      </c>
      <c r="C2210" s="145" t="s">
        <v>1815</v>
      </c>
      <c r="D2210" s="156"/>
      <c r="E2210" s="156" t="s">
        <v>1709</v>
      </c>
      <c r="F2210" s="156" t="s">
        <v>1118</v>
      </c>
      <c r="G2210" s="154">
        <v>248000</v>
      </c>
    </row>
    <row r="2211" spans="1:7" ht="21.6" customHeight="1">
      <c r="A2211" s="154" t="s">
        <v>1316</v>
      </c>
      <c r="B2211" s="154" t="str" cm="1">
        <f t="array" ref="B2211">_xlfn.XLOOKUP(TRUE, ISNUMBER(SEARCH(工作表5!$A$1:$A$23, C2211)), 工作表5!$B$1:$B$23, "其他")</f>
        <v>其他</v>
      </c>
      <c r="C2211" s="145" t="s">
        <v>1851</v>
      </c>
      <c r="D2211" s="156"/>
      <c r="E2211" s="156" t="s">
        <v>1710</v>
      </c>
      <c r="F2211" s="156" t="s">
        <v>1120</v>
      </c>
      <c r="G2211" s="154">
        <v>496000</v>
      </c>
    </row>
    <row r="2212" spans="1:7" ht="21.6" customHeight="1">
      <c r="A2212" s="154" t="s">
        <v>1316</v>
      </c>
      <c r="B2212" s="154" t="str" cm="1">
        <f t="array" ref="B2212">_xlfn.XLOOKUP(TRUE, ISNUMBER(SEARCH(工作表5!$A$1:$A$23, C2212)), 工作表5!$B$1:$B$23, "其他")</f>
        <v>其他</v>
      </c>
      <c r="C2212" s="145" t="s">
        <v>1852</v>
      </c>
      <c r="D2212" s="156"/>
      <c r="E2212" s="156" t="s">
        <v>1711</v>
      </c>
      <c r="F2212" s="156" t="s">
        <v>1122</v>
      </c>
      <c r="G2212" s="154">
        <v>496000</v>
      </c>
    </row>
    <row r="2213" spans="1:7" ht="21.6" customHeight="1">
      <c r="A2213" s="154" t="s">
        <v>1316</v>
      </c>
      <c r="B2213" s="154" t="str" cm="1">
        <f t="array" ref="B2213">_xlfn.XLOOKUP(TRUE, ISNUMBER(SEARCH(工作表5!$A$1:$A$23, C2213)), 工作表5!$B$1:$B$23, "其他")</f>
        <v>取紙組</v>
      </c>
      <c r="C2213" s="144" t="s">
        <v>1816</v>
      </c>
      <c r="D2213" s="156"/>
      <c r="E2213" s="156" t="s">
        <v>1452</v>
      </c>
      <c r="F2213" s="156" t="s">
        <v>226</v>
      </c>
      <c r="G2213" s="154" t="e">
        <v>#VALUE!</v>
      </c>
    </row>
    <row r="2214" spans="1:7" ht="21.6" customHeight="1">
      <c r="A2214" s="154" t="s">
        <v>1316</v>
      </c>
      <c r="B2214" s="154" t="str" cm="1">
        <f t="array" ref="B2214">_xlfn.XLOOKUP(TRUE, ISNUMBER(SEARCH(工作表5!$A$1:$A$23, C2214)), 工作表5!$B$1:$B$23, "其他")</f>
        <v>取紙組</v>
      </c>
      <c r="C2214" s="144" t="s">
        <v>1816</v>
      </c>
      <c r="D2214" s="156"/>
      <c r="E2214" s="156" t="s">
        <v>1452</v>
      </c>
      <c r="F2214" s="156" t="s">
        <v>226</v>
      </c>
      <c r="G2214" s="154" t="e">
        <v>#VALUE!</v>
      </c>
    </row>
    <row r="2215" spans="1:7" ht="21.6" customHeight="1">
      <c r="A2215" s="154" t="s">
        <v>1316</v>
      </c>
      <c r="B2215" s="154" t="str" cm="1">
        <f t="array" ref="B2215">_xlfn.XLOOKUP(TRUE, ISNUMBER(SEARCH(工作表5!$A$1:$A$23, C2215)), 工作表5!$B$1:$B$23, "其他")</f>
        <v>取紙組</v>
      </c>
      <c r="C2215" s="144" t="s">
        <v>1817</v>
      </c>
      <c r="D2215" s="156"/>
      <c r="E2215" s="156" t="s">
        <v>1453</v>
      </c>
      <c r="F2215" s="156" t="s">
        <v>458</v>
      </c>
      <c r="G2215" s="154" t="e">
        <v>#VALUE!</v>
      </c>
    </row>
    <row r="2216" spans="1:7" ht="21.6" customHeight="1">
      <c r="A2216" s="154" t="s">
        <v>1316</v>
      </c>
      <c r="B2216" s="154" t="str" cm="1">
        <f t="array" ref="B2216">_xlfn.XLOOKUP(TRUE, ISNUMBER(SEARCH(工作表5!$A$1:$A$23, C2216)), 工作表5!$B$1:$B$23, "其他")</f>
        <v>送稿機</v>
      </c>
      <c r="C2216" s="145" t="s">
        <v>1838</v>
      </c>
      <c r="D2216" s="156"/>
      <c r="E2216" s="156" t="s">
        <v>1375</v>
      </c>
      <c r="F2216" s="156" t="s">
        <v>226</v>
      </c>
      <c r="G2216" s="154" t="e">
        <v>#VALUE!</v>
      </c>
    </row>
    <row r="2217" spans="1:7" ht="21.6" customHeight="1">
      <c r="A2217" s="154" t="s">
        <v>1316</v>
      </c>
      <c r="B2217" s="154" t="str" cm="1">
        <f t="array" ref="B2217">_xlfn.XLOOKUP(TRUE, ISNUMBER(SEARCH(工作表5!$A$1:$A$23, C2217)), 工作表5!$B$1:$B$23, "其他")</f>
        <v>送稿機</v>
      </c>
      <c r="C2217" s="144" t="s">
        <v>1123</v>
      </c>
      <c r="D2217" s="156"/>
      <c r="E2217" s="156" t="s">
        <v>1375</v>
      </c>
      <c r="F2217" s="156" t="s">
        <v>226</v>
      </c>
      <c r="G2217" s="154" t="e">
        <v>#VALUE!</v>
      </c>
    </row>
    <row r="2218" spans="1:7" ht="21.6" customHeight="1">
      <c r="A2218" s="154" t="s">
        <v>1316</v>
      </c>
      <c r="B2218" s="154" t="str" cm="1">
        <f t="array" ref="B2218">_xlfn.XLOOKUP(TRUE, ISNUMBER(SEARCH(工作表5!$A$1:$A$23, C2218)), 工作表5!$B$1:$B$23, "其他")</f>
        <v>送稿機</v>
      </c>
      <c r="C2218" s="145" t="s">
        <v>1839</v>
      </c>
      <c r="D2218" s="156"/>
      <c r="E2218" s="156" t="s">
        <v>1376</v>
      </c>
      <c r="F2218" s="156" t="s">
        <v>230</v>
      </c>
      <c r="G2218" s="154" t="e">
        <v>#VALUE!</v>
      </c>
    </row>
    <row r="2219" spans="1:7" ht="21.6" customHeight="1">
      <c r="A2219" s="154" t="s">
        <v>1316</v>
      </c>
      <c r="B2219" s="154" t="str" cm="1">
        <f t="array" ref="B2219">_xlfn.XLOOKUP(TRUE, ISNUMBER(SEARCH(工作表5!$A$1:$A$23, C2219)), 工作表5!$B$1:$B$23, "其他")</f>
        <v>其他</v>
      </c>
      <c r="C2219" s="144" t="s">
        <v>1853</v>
      </c>
      <c r="D2219" s="156"/>
      <c r="E2219" s="156" t="s">
        <v>1410</v>
      </c>
      <c r="F2219" s="156" t="s">
        <v>333</v>
      </c>
      <c r="G2219" s="154">
        <v>500000</v>
      </c>
    </row>
    <row r="2220" spans="1:7" ht="21.6" customHeight="1">
      <c r="A2220" s="154" t="s">
        <v>1316</v>
      </c>
      <c r="B2220" s="154" t="str" cm="1">
        <f t="array" ref="B2220">_xlfn.XLOOKUP(TRUE, ISNUMBER(SEARCH(工作表5!$A$1:$A$23, C2220)), 工作表5!$B$1:$B$23, "其他")</f>
        <v>送稿機</v>
      </c>
      <c r="C2220" s="144" t="s">
        <v>1125</v>
      </c>
      <c r="D2220" s="156"/>
      <c r="E2220" s="156" t="s">
        <v>1452</v>
      </c>
      <c r="F2220" s="156" t="s">
        <v>226</v>
      </c>
      <c r="G2220" s="154">
        <v>500000</v>
      </c>
    </row>
    <row r="2221" spans="1:7" ht="21.6" customHeight="1">
      <c r="A2221" s="154" t="s">
        <v>1316</v>
      </c>
      <c r="B2221" s="154" t="str" cm="1">
        <f t="array" ref="B2221">_xlfn.XLOOKUP(TRUE, ISNUMBER(SEARCH(工作表5!$A$1:$A$23, C2221)), 工作表5!$B$1:$B$23, "其他")</f>
        <v>送稿機</v>
      </c>
      <c r="C2221" s="145" t="s">
        <v>1126</v>
      </c>
      <c r="D2221" s="156"/>
      <c r="E2221" s="156" t="s">
        <v>1457</v>
      </c>
      <c r="F2221" s="156" t="s">
        <v>468</v>
      </c>
      <c r="G2221" s="154">
        <v>500000</v>
      </c>
    </row>
    <row r="2222" spans="1:7" ht="21.6" customHeight="1">
      <c r="A2222" s="154" t="s">
        <v>1316</v>
      </c>
      <c r="B2222" s="154" t="str" cm="1">
        <f t="array" ref="B2222">_xlfn.XLOOKUP(TRUE, ISNUMBER(SEARCH(工作表5!$A$1:$A$23, C2222)), 工作表5!$B$1:$B$23, "其他")</f>
        <v>手送台</v>
      </c>
      <c r="C2222" s="145" t="s">
        <v>1819</v>
      </c>
      <c r="D2222" s="156"/>
      <c r="E2222" s="156" t="s">
        <v>1489</v>
      </c>
      <c r="F2222" s="156" t="s">
        <v>549</v>
      </c>
      <c r="G2222" s="154">
        <v>100000</v>
      </c>
    </row>
    <row r="2223" spans="1:7" ht="21.6" customHeight="1">
      <c r="A2223" s="154" t="s">
        <v>1316</v>
      </c>
      <c r="B2223" s="154" t="str" cm="1">
        <f t="array" ref="B2223">_xlfn.XLOOKUP(TRUE, ISNUMBER(SEARCH(工作表5!$A$1:$A$23, C2223)), 工作表5!$B$1:$B$23, "其他")</f>
        <v>手送台</v>
      </c>
      <c r="C2223" s="144" t="s">
        <v>553</v>
      </c>
      <c r="D2223" s="156"/>
      <c r="E2223" s="156" t="s">
        <v>1490</v>
      </c>
      <c r="F2223" s="156" t="s">
        <v>552</v>
      </c>
      <c r="G2223" s="154">
        <v>100000</v>
      </c>
    </row>
    <row r="2224" spans="1:7" ht="21.6" customHeight="1">
      <c r="A2224" s="154" t="s">
        <v>1316</v>
      </c>
      <c r="B2224" s="154" t="str" cm="1">
        <f t="array" ref="B2224">_xlfn.XLOOKUP(TRUE, ISNUMBER(SEARCH(工作表5!$A$1:$A$23, C2224)), 工作表5!$B$1:$B$23, "其他")</f>
        <v>手送台</v>
      </c>
      <c r="C2224" s="144" t="s">
        <v>550</v>
      </c>
      <c r="D2224" s="156"/>
      <c r="E2224" s="156" t="s">
        <v>1491</v>
      </c>
      <c r="F2224" s="156" t="s">
        <v>555</v>
      </c>
      <c r="G2224" s="154">
        <v>100000</v>
      </c>
    </row>
    <row r="2225" spans="1:7" ht="21.6" customHeight="1">
      <c r="A2225" s="154" t="s">
        <v>1316</v>
      </c>
      <c r="B2225" s="154" t="str" cm="1">
        <f t="array" ref="B2225">_xlfn.XLOOKUP(TRUE, ISNUMBER(SEARCH(工作表5!$A$1:$A$23, C2225)), 工作表5!$B$1:$B$23, "其他")</f>
        <v>其他</v>
      </c>
      <c r="C2225" s="145" t="s">
        <v>558</v>
      </c>
      <c r="D2225" s="156"/>
      <c r="E2225" s="156" t="s">
        <v>1712</v>
      </c>
      <c r="F2225" s="156" t="s">
        <v>1128</v>
      </c>
      <c r="G2225" s="154">
        <v>248000</v>
      </c>
    </row>
    <row r="2226" spans="1:7" ht="21.6" customHeight="1">
      <c r="A2226" s="154" t="s">
        <v>1316</v>
      </c>
      <c r="B2226" s="154" t="str" cm="1">
        <f t="array" ref="B2226">_xlfn.XLOOKUP(TRUE, ISNUMBER(SEARCH(工作表5!$A$1:$A$23, C2226)), 工作表5!$B$1:$B$23, "其他")</f>
        <v>轉寫組</v>
      </c>
      <c r="C2226" s="145" t="s">
        <v>1820</v>
      </c>
      <c r="D2226" s="156"/>
      <c r="E2226" s="156" t="s">
        <v>1713</v>
      </c>
      <c r="F2226" s="156" t="s">
        <v>1130</v>
      </c>
      <c r="G2226" s="154">
        <v>248000</v>
      </c>
    </row>
    <row r="2227" spans="1:7" ht="21.6" customHeight="1">
      <c r="A2227" s="154" t="s">
        <v>1316</v>
      </c>
      <c r="B2227" s="154" t="str" cm="1">
        <f t="array" ref="B2227">_xlfn.XLOOKUP(TRUE, ISNUMBER(SEARCH(工作表5!$A$1:$A$23, C2227)), 工作表5!$B$1:$B$23, "其他")</f>
        <v>定著組</v>
      </c>
      <c r="C2227" s="145" t="s">
        <v>244</v>
      </c>
      <c r="D2227" s="156"/>
      <c r="E2227" s="156" t="s">
        <v>1714</v>
      </c>
      <c r="F2227" s="156" t="s">
        <v>1132</v>
      </c>
      <c r="G2227" s="154">
        <v>450000</v>
      </c>
    </row>
    <row r="2228" spans="1:7" ht="21.6" customHeight="1">
      <c r="A2228" s="154" t="s">
        <v>1316</v>
      </c>
      <c r="B2228" s="154" t="str" cm="1">
        <f t="array" ref="B2228">_xlfn.XLOOKUP(TRUE, ISNUMBER(SEARCH(工作表5!$A$1:$A$23, C2228)), 工作表5!$B$1:$B$23, "其他")</f>
        <v>轉寫組</v>
      </c>
      <c r="C2228" s="145" t="s">
        <v>1135</v>
      </c>
      <c r="D2228" s="156"/>
      <c r="E2228" s="156" t="s">
        <v>1715</v>
      </c>
      <c r="F2228" s="156" t="s">
        <v>1134</v>
      </c>
      <c r="G2228" s="154">
        <v>248000</v>
      </c>
    </row>
    <row r="2229" spans="1:7" ht="21.6" customHeight="1">
      <c r="A2229" s="154" t="s">
        <v>1316</v>
      </c>
      <c r="B2229" s="154" t="str" cm="1">
        <f t="array" ref="B2229">_xlfn.XLOOKUP(TRUE, ISNUMBER(SEARCH(工作表5!$A$1:$A$23, C2229)), 工作表5!$B$1:$B$23, "其他")</f>
        <v>其他</v>
      </c>
      <c r="C2229" s="145" t="s">
        <v>1803</v>
      </c>
      <c r="D2229" s="156"/>
      <c r="E2229" s="156" t="s">
        <v>1495</v>
      </c>
      <c r="F2229" s="156" t="s">
        <v>564</v>
      </c>
      <c r="G2229" s="154">
        <v>248000</v>
      </c>
    </row>
    <row r="2230" spans="1:7" ht="21.6" customHeight="1">
      <c r="A2230" s="154" t="s">
        <v>1316</v>
      </c>
      <c r="B2230" s="154" t="str" cm="1">
        <f t="array" ref="B2230">_xlfn.XLOOKUP(TRUE, ISNUMBER(SEARCH(工作表5!$A$1:$A$23, C2230)), 工作表5!$B$1:$B$23, "其他")</f>
        <v>其他</v>
      </c>
      <c r="C2230" s="145" t="s">
        <v>1803</v>
      </c>
      <c r="D2230" s="156"/>
      <c r="E2230" s="156" t="s">
        <v>1716</v>
      </c>
      <c r="F2230" s="156" t="s">
        <v>1137</v>
      </c>
      <c r="G2230" s="154">
        <v>496000</v>
      </c>
    </row>
    <row r="2231" spans="1:7" ht="21.6" customHeight="1">
      <c r="A2231" s="154" t="s">
        <v>1316</v>
      </c>
      <c r="B2231" s="154" t="str" cm="1">
        <f t="array" ref="B2231">_xlfn.XLOOKUP(TRUE, ISNUMBER(SEARCH(工作表5!$A$1:$A$23, C2231)), 工作表5!$B$1:$B$23, "其他")</f>
        <v>取紙組</v>
      </c>
      <c r="C2231" s="144" t="s">
        <v>567</v>
      </c>
      <c r="D2231" s="156"/>
      <c r="E2231" s="156" t="s">
        <v>1462</v>
      </c>
      <c r="F2231" s="156" t="s">
        <v>482</v>
      </c>
      <c r="G2231" s="154" t="e">
        <v>#VALUE!</v>
      </c>
    </row>
    <row r="2232" spans="1:7" ht="21.6" customHeight="1">
      <c r="A2232" s="154" t="s">
        <v>1316</v>
      </c>
      <c r="B2232" s="154" t="str" cm="1">
        <f t="array" ref="B2232">_xlfn.XLOOKUP(TRUE, ISNUMBER(SEARCH(工作表5!$A$1:$A$23, C2232)), 工作表5!$B$1:$B$23, "其他")</f>
        <v>其他</v>
      </c>
      <c r="C2232" s="144" t="s">
        <v>1138</v>
      </c>
      <c r="D2232" s="156"/>
      <c r="E2232" s="156" t="s">
        <v>1463</v>
      </c>
      <c r="F2232" s="156" t="s">
        <v>485</v>
      </c>
      <c r="G2232" s="154">
        <v>500000</v>
      </c>
    </row>
    <row r="2233" spans="1:7" ht="21.6" customHeight="1">
      <c r="A2233" s="154" t="s">
        <v>1316</v>
      </c>
      <c r="B2233" s="154" t="str" cm="1">
        <f t="array" ref="B2233">_xlfn.XLOOKUP(TRUE, ISNUMBER(SEARCH(工作表5!$A$1:$A$23, C2233)), 工作表5!$B$1:$B$23, "其他")</f>
        <v>送稿機</v>
      </c>
      <c r="C2233" s="145" t="s">
        <v>1854</v>
      </c>
      <c r="D2233" s="156"/>
      <c r="E2233" s="156" t="s">
        <v>1383</v>
      </c>
      <c r="F2233" s="156" t="s">
        <v>249</v>
      </c>
      <c r="G2233" s="154" t="e">
        <v>#VALUE!</v>
      </c>
    </row>
    <row r="2234" spans="1:7" ht="21.6" customHeight="1">
      <c r="A2234" s="154" t="s">
        <v>1316</v>
      </c>
      <c r="B2234" s="154" t="str" cm="1">
        <f t="array" ref="B2234">_xlfn.XLOOKUP(TRUE, ISNUMBER(SEARCH(工作表5!$A$1:$A$23, C2234)), 工作表5!$B$1:$B$23, "其他")</f>
        <v>滾筒組</v>
      </c>
      <c r="C2234" s="145" t="s">
        <v>132</v>
      </c>
      <c r="D2234" s="156"/>
      <c r="E2234" s="156" t="s">
        <v>1717</v>
      </c>
      <c r="F2234" s="156" t="s">
        <v>1140</v>
      </c>
      <c r="G2234" s="154" t="e">
        <v>#VALUE!</v>
      </c>
    </row>
    <row r="2235" spans="1:7" ht="21.6" customHeight="1">
      <c r="A2235" s="154" t="s">
        <v>1316</v>
      </c>
      <c r="B2235" s="154" t="str" cm="1">
        <f t="array" ref="B2235">_xlfn.XLOOKUP(TRUE, ISNUMBER(SEARCH(工作表5!$A$1:$A$23, C2235)), 工作表5!$B$1:$B$23, "其他")</f>
        <v>顯像組</v>
      </c>
      <c r="C2235" s="145" t="s">
        <v>129</v>
      </c>
      <c r="D2235" s="156"/>
      <c r="E2235" s="156" t="s">
        <v>1718</v>
      </c>
      <c r="F2235" s="156" t="s">
        <v>1142</v>
      </c>
      <c r="G2235" s="154" t="e">
        <v>#VALUE!</v>
      </c>
    </row>
    <row r="2236" spans="1:7" ht="21.6" customHeight="1">
      <c r="A2236" s="154" t="s">
        <v>1316</v>
      </c>
      <c r="B2236" s="154" t="str" cm="1">
        <f t="array" ref="B2236">_xlfn.XLOOKUP(TRUE, ISNUMBER(SEARCH(工作表5!$A$1:$A$23, C2236)), 工作表5!$B$1:$B$23, "其他")</f>
        <v>顯像組</v>
      </c>
      <c r="C2236" s="144" t="s">
        <v>135</v>
      </c>
      <c r="D2236" s="156"/>
      <c r="E2236" s="156" t="s">
        <v>1719</v>
      </c>
      <c r="F2236" s="156" t="s">
        <v>1144</v>
      </c>
      <c r="G2236" s="154" t="e">
        <v>#VALUE!</v>
      </c>
    </row>
    <row r="2237" spans="1:7" ht="21.6" customHeight="1">
      <c r="A2237" s="154" t="s">
        <v>1316</v>
      </c>
      <c r="B2237" s="154" t="str" cm="1">
        <f t="array" ref="B2237">_xlfn.XLOOKUP(TRUE, ISNUMBER(SEARCH(工作表5!$A$1:$A$23, C2237)), 工作表5!$B$1:$B$23, "其他")</f>
        <v>轉寫組</v>
      </c>
      <c r="C2237" s="144" t="s">
        <v>1821</v>
      </c>
      <c r="D2237" s="156"/>
      <c r="E2237" s="156" t="s">
        <v>1720</v>
      </c>
      <c r="F2237" s="156" t="s">
        <v>1146</v>
      </c>
      <c r="G2237" s="154" t="e">
        <v>#VALUE!</v>
      </c>
    </row>
    <row r="2238" spans="1:7" ht="21.6" customHeight="1">
      <c r="A2238" s="154" t="s">
        <v>1316</v>
      </c>
      <c r="B2238" s="154" t="str" cm="1">
        <f t="array" ref="B2238">_xlfn.XLOOKUP(TRUE, ISNUMBER(SEARCH(工作表5!$A$1:$A$23, C2238)), 工作表5!$B$1:$B$23, "其他")</f>
        <v>轉寫組</v>
      </c>
      <c r="C2238" s="144" t="s">
        <v>582</v>
      </c>
      <c r="D2238" s="156"/>
      <c r="E2238" s="156" t="s">
        <v>1721</v>
      </c>
      <c r="F2238" s="156" t="s">
        <v>1148</v>
      </c>
      <c r="G2238" s="154" t="e">
        <v>#VALUE!</v>
      </c>
    </row>
    <row r="2239" spans="1:7" ht="21.6" customHeight="1">
      <c r="A2239" s="154" t="s">
        <v>1316</v>
      </c>
      <c r="B2239" s="154" t="str" cm="1">
        <f t="array" ref="B2239">_xlfn.XLOOKUP(TRUE, ISNUMBER(SEARCH(工作表5!$A$1:$A$23, C2239)), 工作表5!$B$1:$B$23, "其他")</f>
        <v>定著組</v>
      </c>
      <c r="C2239" s="149" t="s">
        <v>1151</v>
      </c>
      <c r="D2239" s="156"/>
      <c r="E2239" s="156" t="s">
        <v>1722</v>
      </c>
      <c r="F2239" s="156" t="s">
        <v>1150</v>
      </c>
      <c r="G2239" s="154" t="e">
        <v>#VALUE!</v>
      </c>
    </row>
    <row r="2240" spans="1:7" ht="21.6" customHeight="1">
      <c r="A2240" s="154" t="s">
        <v>56</v>
      </c>
      <c r="B2240" s="154" t="str" cm="1">
        <f t="array" ref="B2240">_xlfn.XLOOKUP(TRUE, ISNUMBER(SEARCH(工作表5!$A$1:$A$23, C2240)), 工作表5!$B$1:$B$23, "其他")</f>
        <v>滾筒組</v>
      </c>
      <c r="C2240" s="143" t="s">
        <v>71</v>
      </c>
      <c r="D2240" s="156"/>
      <c r="E2240" s="156" t="s">
        <v>1469</v>
      </c>
      <c r="F2240" s="156" t="s">
        <v>499</v>
      </c>
      <c r="G2240" s="154">
        <v>480000</v>
      </c>
    </row>
    <row r="2241" spans="1:7" ht="21.6" customHeight="1">
      <c r="A2241" s="154" t="s">
        <v>56</v>
      </c>
      <c r="B2241" s="154" t="str" cm="1">
        <f t="array" ref="B2241">_xlfn.XLOOKUP(TRUE, ISNUMBER(SEARCH(工作表5!$A$1:$A$23, C2241)), 工作表5!$B$1:$B$23, "其他")</f>
        <v>顯像組</v>
      </c>
      <c r="C2241" s="145" t="s">
        <v>502</v>
      </c>
      <c r="D2241" s="156"/>
      <c r="E2241" s="156" t="s">
        <v>1470</v>
      </c>
      <c r="F2241" s="156" t="s">
        <v>501</v>
      </c>
      <c r="G2241" s="154" t="e">
        <v>#VALUE!</v>
      </c>
    </row>
    <row r="2242" spans="1:7" ht="21.6" customHeight="1">
      <c r="A2242" s="154" t="s">
        <v>56</v>
      </c>
      <c r="B2242" s="154" t="str" cm="1">
        <f t="array" ref="B2242">_xlfn.XLOOKUP(TRUE, ISNUMBER(SEARCH(工作表5!$A$1:$A$23, C2242)), 工作表5!$B$1:$B$23, "其他")</f>
        <v>顯像組</v>
      </c>
      <c r="C2242" s="145" t="s">
        <v>703</v>
      </c>
      <c r="D2242" s="156"/>
      <c r="E2242" s="156" t="s">
        <v>1723</v>
      </c>
      <c r="F2242" s="156" t="s">
        <v>1153</v>
      </c>
      <c r="G2242" s="154" t="e">
        <v>#VALUE!</v>
      </c>
    </row>
    <row r="2243" spans="1:7" ht="21.6" customHeight="1">
      <c r="A2243" s="154" t="s">
        <v>56</v>
      </c>
      <c r="B2243" s="154" t="str" cm="1">
        <f t="array" ref="B2243">_xlfn.XLOOKUP(TRUE, ISNUMBER(SEARCH(工作表5!$A$1:$A$23, C2243)), 工作表5!$B$1:$B$23, "其他")</f>
        <v>顯像組</v>
      </c>
      <c r="C2243" s="144" t="s">
        <v>706</v>
      </c>
      <c r="D2243" s="156"/>
      <c r="E2243" s="156" t="s">
        <v>1724</v>
      </c>
      <c r="F2243" s="156" t="s">
        <v>1155</v>
      </c>
      <c r="G2243" s="154" t="e">
        <v>#VALUE!</v>
      </c>
    </row>
    <row r="2244" spans="1:7" ht="21.6" customHeight="1">
      <c r="A2244" s="154" t="s">
        <v>56</v>
      </c>
      <c r="B2244" s="154" t="str" cm="1">
        <f t="array" ref="B2244">_xlfn.XLOOKUP(TRUE, ISNUMBER(SEARCH(工作表5!$A$1:$A$23, C2244)), 工作表5!$B$1:$B$23, "其他")</f>
        <v>顯像組</v>
      </c>
      <c r="C2244" s="145" t="s">
        <v>709</v>
      </c>
      <c r="D2244" s="156"/>
      <c r="E2244" s="156" t="s">
        <v>1725</v>
      </c>
      <c r="F2244" s="156" t="s">
        <v>1157</v>
      </c>
      <c r="G2244" s="154" t="e">
        <v>#VALUE!</v>
      </c>
    </row>
    <row r="2245" spans="1:7" ht="21.6" customHeight="1">
      <c r="A2245" s="154" t="s">
        <v>56</v>
      </c>
      <c r="B2245" s="154" t="str" cm="1">
        <f t="array" ref="B2245">_xlfn.XLOOKUP(TRUE, ISNUMBER(SEARCH(工作表5!$A$1:$A$23, C2245)), 工作表5!$B$1:$B$23, "其他")</f>
        <v>滾筒組</v>
      </c>
      <c r="C2245" s="145" t="s">
        <v>415</v>
      </c>
      <c r="D2245" s="156"/>
      <c r="E2245" s="156" t="s">
        <v>1471</v>
      </c>
      <c r="F2245" s="156" t="s">
        <v>505</v>
      </c>
      <c r="G2245" s="154">
        <v>480000</v>
      </c>
    </row>
    <row r="2246" spans="1:7" ht="21.6" customHeight="1">
      <c r="A2246" s="154" t="s">
        <v>56</v>
      </c>
      <c r="B2246" s="154" t="str" cm="1">
        <f t="array" ref="B2246">_xlfn.XLOOKUP(TRUE, ISNUMBER(SEARCH(工作表5!$A$1:$A$23, C2246)), 工作表5!$B$1:$B$23, "其他")</f>
        <v>滾筒組</v>
      </c>
      <c r="C2246" s="144" t="s">
        <v>107</v>
      </c>
      <c r="D2246" s="156"/>
      <c r="E2246" s="156" t="s">
        <v>1472</v>
      </c>
      <c r="F2246" s="156" t="s">
        <v>507</v>
      </c>
      <c r="G2246" s="154">
        <v>480000</v>
      </c>
    </row>
    <row r="2247" spans="1:7" ht="21.6" customHeight="1">
      <c r="A2247" s="154" t="s">
        <v>56</v>
      </c>
      <c r="B2247" s="154" t="str" cm="1">
        <f t="array" ref="B2247">_xlfn.XLOOKUP(TRUE, ISNUMBER(SEARCH(工作表5!$A$1:$A$23, C2247)), 工作表5!$B$1:$B$23, "其他")</f>
        <v>顯像組</v>
      </c>
      <c r="C2247" s="145" t="s">
        <v>104</v>
      </c>
      <c r="D2247" s="156"/>
      <c r="E2247" s="156" t="s">
        <v>1473</v>
      </c>
      <c r="F2247" s="156" t="s">
        <v>509</v>
      </c>
      <c r="G2247" s="154">
        <v>480000</v>
      </c>
    </row>
    <row r="2248" spans="1:7" ht="21.6" customHeight="1">
      <c r="A2248" s="154" t="s">
        <v>56</v>
      </c>
      <c r="B2248" s="154" t="str" cm="1">
        <f t="array" ref="B2248">_xlfn.XLOOKUP(TRUE, ISNUMBER(SEARCH(工作表5!$A$1:$A$23, C2248)), 工作表5!$B$1:$B$23, "其他")</f>
        <v>顯像組</v>
      </c>
      <c r="C2248" s="145" t="s">
        <v>1806</v>
      </c>
      <c r="D2248" s="156"/>
      <c r="E2248" s="156" t="s">
        <v>1474</v>
      </c>
      <c r="F2248" s="156" t="s">
        <v>511</v>
      </c>
      <c r="G2248" s="154">
        <v>480000</v>
      </c>
    </row>
    <row r="2249" spans="1:7" ht="21.6" customHeight="1">
      <c r="A2249" s="154" t="s">
        <v>56</v>
      </c>
      <c r="B2249" s="154" t="str" cm="1">
        <f t="array" ref="B2249">_xlfn.XLOOKUP(TRUE, ISNUMBER(SEARCH(工作表5!$A$1:$A$23, C2249)), 工作表5!$B$1:$B$23, "其他")</f>
        <v>滾筒組</v>
      </c>
      <c r="C2249" s="145" t="s">
        <v>1807</v>
      </c>
      <c r="D2249" s="156"/>
      <c r="E2249" s="156" t="s">
        <v>1475</v>
      </c>
      <c r="F2249" s="156" t="s">
        <v>513</v>
      </c>
      <c r="G2249" s="154">
        <v>480000</v>
      </c>
    </row>
    <row r="2250" spans="1:7" ht="21.6" customHeight="1">
      <c r="A2250" s="154" t="s">
        <v>56</v>
      </c>
      <c r="B2250" s="154" t="str" cm="1">
        <f t="array" ref="B2250">_xlfn.XLOOKUP(TRUE, ISNUMBER(SEARCH(工作表5!$A$1:$A$23, C2250)), 工作表5!$B$1:$B$23, "其他")</f>
        <v>滾筒組</v>
      </c>
      <c r="C2250" s="145" t="s">
        <v>516</v>
      </c>
      <c r="D2250" s="156"/>
      <c r="E2250" s="156" t="s">
        <v>1476</v>
      </c>
      <c r="F2250" s="156" t="s">
        <v>515</v>
      </c>
      <c r="G2250" s="154">
        <v>480000</v>
      </c>
    </row>
    <row r="2251" spans="1:7" ht="21.6" customHeight="1">
      <c r="A2251" s="154" t="s">
        <v>56</v>
      </c>
      <c r="B2251" s="154" t="str" cm="1">
        <f t="array" ref="B2251">_xlfn.XLOOKUP(TRUE, ISNUMBER(SEARCH(工作表5!$A$1:$A$23, C2251)), 工作表5!$B$1:$B$23, "其他")</f>
        <v>其他</v>
      </c>
      <c r="C2251" s="145" t="s">
        <v>1808</v>
      </c>
      <c r="D2251" s="156"/>
      <c r="E2251" s="156" t="s">
        <v>1477</v>
      </c>
      <c r="F2251" s="156" t="s">
        <v>518</v>
      </c>
      <c r="G2251" s="154">
        <v>480000</v>
      </c>
    </row>
    <row r="2252" spans="1:7" ht="21.6" customHeight="1">
      <c r="A2252" s="154" t="s">
        <v>56</v>
      </c>
      <c r="B2252" s="154" t="str" cm="1">
        <f t="array" ref="B2252">_xlfn.XLOOKUP(TRUE, ISNUMBER(SEARCH(工作表5!$A$1:$A$23, C2252)), 工作表5!$B$1:$B$23, "其他")</f>
        <v>其他</v>
      </c>
      <c r="C2252" s="144" t="s">
        <v>101</v>
      </c>
      <c r="D2252" s="156"/>
      <c r="E2252" s="156" t="s">
        <v>1478</v>
      </c>
      <c r="F2252" s="156" t="s">
        <v>520</v>
      </c>
      <c r="G2252" s="154">
        <v>480000</v>
      </c>
    </row>
    <row r="2253" spans="1:7" ht="21.6" customHeight="1">
      <c r="A2253" s="154" t="s">
        <v>56</v>
      </c>
      <c r="B2253" s="154" t="str" cm="1">
        <f t="array" ref="B2253">_xlfn.XLOOKUP(TRUE, ISNUMBER(SEARCH(工作表5!$A$1:$A$23, C2253)), 工作表5!$B$1:$B$23, "其他")</f>
        <v>其他</v>
      </c>
      <c r="C2253" s="145" t="s">
        <v>523</v>
      </c>
      <c r="D2253" s="156"/>
      <c r="E2253" s="156" t="s">
        <v>1479</v>
      </c>
      <c r="F2253" s="156" t="s">
        <v>522</v>
      </c>
      <c r="G2253" s="154">
        <v>480000</v>
      </c>
    </row>
    <row r="2254" spans="1:7" ht="21.6" customHeight="1">
      <c r="A2254" s="154" t="s">
        <v>56</v>
      </c>
      <c r="B2254" s="154" t="str" cm="1">
        <f t="array" ref="B2254">_xlfn.XLOOKUP(TRUE, ISNUMBER(SEARCH(工作表5!$A$1:$A$23, C2254)), 工作表5!$B$1:$B$23, "其他")</f>
        <v>其他</v>
      </c>
      <c r="C2254" s="145" t="s">
        <v>1851</v>
      </c>
      <c r="D2254" s="156"/>
      <c r="E2254" s="156" t="s">
        <v>1726</v>
      </c>
      <c r="F2254" s="156" t="s">
        <v>1159</v>
      </c>
      <c r="G2254" s="154">
        <v>480000</v>
      </c>
    </row>
    <row r="2255" spans="1:7" ht="21.6" customHeight="1">
      <c r="A2255" s="154" t="s">
        <v>56</v>
      </c>
      <c r="B2255" s="154" t="str" cm="1">
        <f t="array" ref="B2255">_xlfn.XLOOKUP(TRUE, ISNUMBER(SEARCH(工作表5!$A$1:$A$23, C2255)), 工作表5!$B$1:$B$23, "其他")</f>
        <v>其他</v>
      </c>
      <c r="C2255" s="145" t="s">
        <v>1851</v>
      </c>
      <c r="D2255" s="156"/>
      <c r="E2255" s="156" t="s">
        <v>1727</v>
      </c>
      <c r="F2255" s="156" t="s">
        <v>1162</v>
      </c>
      <c r="G2255" s="154">
        <v>480000</v>
      </c>
    </row>
    <row r="2256" spans="1:7" ht="21.6" customHeight="1">
      <c r="A2256" s="154" t="s">
        <v>56</v>
      </c>
      <c r="B2256" s="154" t="str" cm="1">
        <f t="array" ref="B2256">_xlfn.XLOOKUP(TRUE, ISNUMBER(SEARCH(工作表5!$A$1:$A$23, C2256)), 工作表5!$B$1:$B$23, "其他")</f>
        <v>其他</v>
      </c>
      <c r="C2256" s="144" t="s">
        <v>101</v>
      </c>
      <c r="D2256" s="156"/>
      <c r="E2256" s="156" t="s">
        <v>1334</v>
      </c>
      <c r="F2256" s="156" t="s">
        <v>100</v>
      </c>
      <c r="G2256" s="154">
        <v>480000</v>
      </c>
    </row>
    <row r="2257" spans="1:7" ht="21.6" customHeight="1">
      <c r="A2257" s="154" t="s">
        <v>56</v>
      </c>
      <c r="B2257" s="154" t="str" cm="1">
        <f t="array" ref="B2257">_xlfn.XLOOKUP(TRUE, ISNUMBER(SEARCH(工作表5!$A$1:$A$23, C2257)), 工作表5!$B$1:$B$23, "其他")</f>
        <v>定著組</v>
      </c>
      <c r="C2257" s="144" t="s">
        <v>1809</v>
      </c>
      <c r="D2257" s="156"/>
      <c r="E2257" s="156" t="s">
        <v>1480</v>
      </c>
      <c r="F2257" s="156" t="s">
        <v>525</v>
      </c>
      <c r="G2257" s="154">
        <v>480000</v>
      </c>
    </row>
    <row r="2258" spans="1:7" ht="21.6" customHeight="1">
      <c r="A2258" s="154" t="s">
        <v>56</v>
      </c>
      <c r="B2258" s="154" t="str" cm="1">
        <f t="array" ref="B2258">_xlfn.XLOOKUP(TRUE, ISNUMBER(SEARCH(工作表5!$A$1:$A$23, C2258)), 工作表5!$B$1:$B$23, "其他")</f>
        <v>定著組</v>
      </c>
      <c r="C2258" s="144" t="s">
        <v>1810</v>
      </c>
      <c r="D2258" s="156"/>
      <c r="E2258" s="156" t="s">
        <v>1481</v>
      </c>
      <c r="F2258" s="156" t="s">
        <v>528</v>
      </c>
      <c r="G2258" s="154">
        <v>480000</v>
      </c>
    </row>
    <row r="2259" spans="1:7" ht="21.6" customHeight="1">
      <c r="A2259" s="154" t="s">
        <v>56</v>
      </c>
      <c r="B2259" s="154" t="str" cm="1">
        <f t="array" ref="B2259">_xlfn.XLOOKUP(TRUE, ISNUMBER(SEARCH(工作表5!$A$1:$A$23, C2259)), 工作表5!$B$1:$B$23, "其他")</f>
        <v>定著組</v>
      </c>
      <c r="C2259" s="144" t="s">
        <v>1811</v>
      </c>
      <c r="D2259" s="156"/>
      <c r="E2259" s="156" t="s">
        <v>1482</v>
      </c>
      <c r="F2259" s="156" t="s">
        <v>530</v>
      </c>
      <c r="G2259" s="154">
        <v>480000</v>
      </c>
    </row>
    <row r="2260" spans="1:7" ht="21.6" customHeight="1">
      <c r="A2260" s="154" t="s">
        <v>56</v>
      </c>
      <c r="B2260" s="154" t="str" cm="1">
        <f t="array" ref="B2260">_xlfn.XLOOKUP(TRUE, ISNUMBER(SEARCH(工作表5!$A$1:$A$23, C2260)), 工作表5!$B$1:$B$23, "其他")</f>
        <v>轉寫組</v>
      </c>
      <c r="C2260" s="144" t="s">
        <v>533</v>
      </c>
      <c r="D2260" s="156"/>
      <c r="E2260" s="156" t="s">
        <v>1483</v>
      </c>
      <c r="F2260" s="156" t="s">
        <v>532</v>
      </c>
      <c r="G2260" s="154">
        <v>480000</v>
      </c>
    </row>
    <row r="2261" spans="1:7" ht="21.6" customHeight="1">
      <c r="A2261" s="154" t="s">
        <v>56</v>
      </c>
      <c r="B2261" s="154" t="str" cm="1">
        <f t="array" ref="B2261">_xlfn.XLOOKUP(TRUE, ISNUMBER(SEARCH(工作表5!$A$1:$A$23, C2261)), 工作表5!$B$1:$B$23, "其他")</f>
        <v>轉寫組</v>
      </c>
      <c r="C2261" s="145" t="s">
        <v>1812</v>
      </c>
      <c r="D2261" s="156"/>
      <c r="E2261" s="156" t="s">
        <v>1484</v>
      </c>
      <c r="F2261" s="156" t="s">
        <v>535</v>
      </c>
      <c r="G2261" s="154">
        <v>480000</v>
      </c>
    </row>
    <row r="2262" spans="1:7" ht="21.6" customHeight="1">
      <c r="A2262" s="154" t="s">
        <v>56</v>
      </c>
      <c r="B2262" s="154" t="str" cm="1">
        <f t="array" ref="B2262">_xlfn.XLOOKUP(TRUE, ISNUMBER(SEARCH(工作表5!$A$1:$A$23, C2262)), 工作表5!$B$1:$B$23, "其他")</f>
        <v>轉寫組</v>
      </c>
      <c r="C2262" s="145" t="s">
        <v>1813</v>
      </c>
      <c r="D2262" s="156"/>
      <c r="E2262" s="156" t="s">
        <v>1485</v>
      </c>
      <c r="F2262" s="156" t="s">
        <v>537</v>
      </c>
      <c r="G2262" s="154">
        <v>480000</v>
      </c>
    </row>
    <row r="2263" spans="1:7" ht="21.6" customHeight="1">
      <c r="A2263" s="154" t="s">
        <v>56</v>
      </c>
      <c r="B2263" s="154" t="str" cm="1">
        <f t="array" ref="B2263">_xlfn.XLOOKUP(TRUE, ISNUMBER(SEARCH(工作表5!$A$1:$A$23, C2263)), 工作表5!$B$1:$B$23, "其他")</f>
        <v>轉寫組</v>
      </c>
      <c r="C2263" s="145" t="s">
        <v>1814</v>
      </c>
      <c r="D2263" s="156"/>
      <c r="E2263" s="156" t="s">
        <v>1486</v>
      </c>
      <c r="F2263" s="156" t="s">
        <v>539</v>
      </c>
      <c r="G2263" s="154">
        <v>480000</v>
      </c>
    </row>
    <row r="2264" spans="1:7" ht="21.6" customHeight="1">
      <c r="A2264" s="154" t="s">
        <v>56</v>
      </c>
      <c r="B2264" s="154" t="str" cm="1">
        <f t="array" ref="B2264">_xlfn.XLOOKUP(TRUE, ISNUMBER(SEARCH(工作表5!$A$1:$A$23, C2264)), 工作表5!$B$1:$B$23, "其他")</f>
        <v>轉寫組</v>
      </c>
      <c r="C2264" s="145" t="s">
        <v>1815</v>
      </c>
      <c r="D2264" s="156"/>
      <c r="E2264" s="156" t="s">
        <v>1487</v>
      </c>
      <c r="F2264" s="156" t="s">
        <v>541</v>
      </c>
      <c r="G2264" s="154">
        <v>480000</v>
      </c>
    </row>
    <row r="2265" spans="1:7" ht="21.6" customHeight="1">
      <c r="A2265" s="154" t="s">
        <v>56</v>
      </c>
      <c r="B2265" s="154" t="str" cm="1">
        <f t="array" ref="B2265">_xlfn.XLOOKUP(TRUE, ISNUMBER(SEARCH(工作表5!$A$1:$A$23, C2265)), 工作表5!$B$1:$B$23, "其他")</f>
        <v>取紙組</v>
      </c>
      <c r="C2265" s="144" t="s">
        <v>1832</v>
      </c>
      <c r="D2265" s="156"/>
      <c r="E2265" s="156" t="s">
        <v>1488</v>
      </c>
      <c r="F2265" s="156" t="s">
        <v>543</v>
      </c>
      <c r="G2265" s="154">
        <v>200000</v>
      </c>
    </row>
    <row r="2266" spans="1:7" ht="21.6" customHeight="1">
      <c r="A2266" s="154" t="s">
        <v>56</v>
      </c>
      <c r="B2266" s="154" t="str" cm="1">
        <f t="array" ref="B2266">_xlfn.XLOOKUP(TRUE, ISNUMBER(SEARCH(工作表5!$A$1:$A$23, C2266)), 工作表5!$B$1:$B$23, "其他")</f>
        <v>取紙組</v>
      </c>
      <c r="C2266" s="144" t="s">
        <v>110</v>
      </c>
      <c r="D2266" s="156"/>
      <c r="E2266" s="156" t="s">
        <v>1488</v>
      </c>
      <c r="F2266" s="156" t="s">
        <v>543</v>
      </c>
      <c r="G2266" s="154">
        <v>200000</v>
      </c>
    </row>
    <row r="2267" spans="1:7" ht="21.6" customHeight="1">
      <c r="A2267" s="154" t="s">
        <v>56</v>
      </c>
      <c r="B2267" s="154" t="str" cm="1">
        <f t="array" ref="B2267">_xlfn.XLOOKUP(TRUE, ISNUMBER(SEARCH(工作表5!$A$1:$A$23, C2267)), 工作表5!$B$1:$B$23, "其他")</f>
        <v>手送台</v>
      </c>
      <c r="C2267" s="144" t="s">
        <v>114</v>
      </c>
      <c r="D2267" s="156"/>
      <c r="E2267" s="156" t="s">
        <v>1453</v>
      </c>
      <c r="F2267" s="156" t="s">
        <v>458</v>
      </c>
      <c r="G2267" s="154">
        <v>200000</v>
      </c>
    </row>
    <row r="2268" spans="1:7" ht="21.6" customHeight="1">
      <c r="A2268" s="154" t="s">
        <v>56</v>
      </c>
      <c r="B2268" s="154" t="str" cm="1">
        <f t="array" ref="B2268">_xlfn.XLOOKUP(TRUE, ISNUMBER(SEARCH(工作表5!$A$1:$A$23, C2268)), 工作表5!$B$1:$B$23, "其他")</f>
        <v>大容量取紙組</v>
      </c>
      <c r="C2268" s="144" t="s">
        <v>1833</v>
      </c>
      <c r="D2268" s="156"/>
      <c r="E2268" s="156" t="s">
        <v>1488</v>
      </c>
      <c r="F2268" s="156" t="s">
        <v>543</v>
      </c>
      <c r="G2268" s="154">
        <v>400000</v>
      </c>
    </row>
    <row r="2269" spans="1:7" ht="21.6" customHeight="1">
      <c r="A2269" s="154" t="s">
        <v>56</v>
      </c>
      <c r="B2269" s="154" t="str" cm="1">
        <f t="array" ref="B2269">_xlfn.XLOOKUP(TRUE, ISNUMBER(SEARCH(工作表5!$A$1:$A$23, C2269)), 工作表5!$B$1:$B$23, "其他")</f>
        <v>大容量取紙組</v>
      </c>
      <c r="C2269" s="144" t="s">
        <v>1833</v>
      </c>
      <c r="D2269" s="156"/>
      <c r="E2269" s="156" t="s">
        <v>1411</v>
      </c>
      <c r="F2269" s="156" t="s">
        <v>336</v>
      </c>
      <c r="G2269" s="154">
        <v>400000</v>
      </c>
    </row>
    <row r="2270" spans="1:7" ht="21.6" customHeight="1">
      <c r="A2270" s="154" t="s">
        <v>56</v>
      </c>
      <c r="B2270" s="154" t="str" cm="1">
        <f t="array" ref="B2270">_xlfn.XLOOKUP(TRUE, ISNUMBER(SEARCH(工作表5!$A$1:$A$23, C2270)), 工作表5!$B$1:$B$23, "其他")</f>
        <v>大容量取紙組</v>
      </c>
      <c r="C2270" s="144" t="s">
        <v>1834</v>
      </c>
      <c r="D2270" s="156"/>
      <c r="E2270" s="156" t="s">
        <v>1412</v>
      </c>
      <c r="F2270" s="156" t="s">
        <v>340</v>
      </c>
      <c r="G2270" s="154">
        <v>400000</v>
      </c>
    </row>
    <row r="2271" spans="1:7" ht="21.6" customHeight="1">
      <c r="A2271" s="154" t="s">
        <v>56</v>
      </c>
      <c r="B2271" s="154" t="str" cm="1">
        <f t="array" ref="B2271">_xlfn.XLOOKUP(TRUE, ISNUMBER(SEARCH(工作表5!$A$1:$A$23, C2271)), 工作表5!$B$1:$B$23, "其他")</f>
        <v>送稿機</v>
      </c>
      <c r="C2271" s="145" t="s">
        <v>1782</v>
      </c>
      <c r="D2271" s="156"/>
      <c r="E2271" s="156" t="s">
        <v>1394</v>
      </c>
      <c r="F2271" s="156" t="s">
        <v>281</v>
      </c>
      <c r="G2271" s="154" t="e">
        <v>#VALUE!</v>
      </c>
    </row>
    <row r="2272" spans="1:7" ht="21.6" customHeight="1">
      <c r="A2272" s="154" t="s">
        <v>56</v>
      </c>
      <c r="B2272" s="154" t="str" cm="1">
        <f t="array" ref="B2272">_xlfn.XLOOKUP(TRUE, ISNUMBER(SEARCH(工作表5!$A$1:$A$23, C2272)), 工作表5!$B$1:$B$23, "其他")</f>
        <v>送稿機</v>
      </c>
      <c r="C2272" s="144" t="s">
        <v>285</v>
      </c>
      <c r="D2272" s="156"/>
      <c r="E2272" s="156" t="s">
        <v>1395</v>
      </c>
      <c r="F2272" s="156" t="s">
        <v>226</v>
      </c>
      <c r="G2272" s="154" t="e">
        <v>#VALUE!</v>
      </c>
    </row>
    <row r="2273" spans="1:7" ht="21.6" customHeight="1">
      <c r="A2273" s="154" t="s">
        <v>56</v>
      </c>
      <c r="B2273" s="154" t="str" cm="1">
        <f t="array" ref="B2273">_xlfn.XLOOKUP(TRUE, ISNUMBER(SEARCH(工作表5!$A$1:$A$23, C2273)), 工作表5!$B$1:$B$23, "其他")</f>
        <v>送稿機</v>
      </c>
      <c r="C2273" s="145" t="s">
        <v>282</v>
      </c>
      <c r="D2273" s="156"/>
      <c r="E2273" s="156" t="s">
        <v>1396</v>
      </c>
      <c r="F2273" s="156" t="s">
        <v>288</v>
      </c>
      <c r="G2273" s="154" t="e">
        <v>#VALUE!</v>
      </c>
    </row>
    <row r="2274" spans="1:7" ht="21.6" customHeight="1">
      <c r="A2274" s="154" t="s">
        <v>56</v>
      </c>
      <c r="B2274" s="154" t="str" cm="1">
        <f t="array" ref="B2274">_xlfn.XLOOKUP(TRUE, ISNUMBER(SEARCH(工作表5!$A$1:$A$23, C2274)), 工作表5!$B$1:$B$23, "其他")</f>
        <v>其他</v>
      </c>
      <c r="C2274" s="144" t="s">
        <v>1784</v>
      </c>
      <c r="D2274" s="156"/>
      <c r="E2274" s="156" t="s">
        <v>1452</v>
      </c>
      <c r="F2274" s="156" t="s">
        <v>226</v>
      </c>
      <c r="G2274" s="154">
        <v>500000</v>
      </c>
    </row>
    <row r="2275" spans="1:7" ht="21.6" customHeight="1">
      <c r="A2275" s="154" t="s">
        <v>56</v>
      </c>
      <c r="B2275" s="154" t="str" cm="1">
        <f t="array" ref="B2275">_xlfn.XLOOKUP(TRUE, ISNUMBER(SEARCH(工作表5!$A$1:$A$23, C2275)), 工作表5!$B$1:$B$23, "其他")</f>
        <v>送稿機</v>
      </c>
      <c r="C2275" s="144" t="s">
        <v>337</v>
      </c>
      <c r="D2275" s="156"/>
      <c r="E2275" s="156" t="s">
        <v>1411</v>
      </c>
      <c r="F2275" s="156" t="s">
        <v>336</v>
      </c>
      <c r="G2275" s="154">
        <v>500000</v>
      </c>
    </row>
    <row r="2276" spans="1:7" ht="21.6" customHeight="1">
      <c r="A2276" s="154" t="s">
        <v>56</v>
      </c>
      <c r="B2276" s="154" t="str" cm="1">
        <f t="array" ref="B2276">_xlfn.XLOOKUP(TRUE, ISNUMBER(SEARCH(工作表5!$A$1:$A$23, C2276)), 工作表5!$B$1:$B$23, "其他")</f>
        <v>送稿機</v>
      </c>
      <c r="C2276" s="145" t="s">
        <v>341</v>
      </c>
      <c r="D2276" s="156"/>
      <c r="E2276" s="156" t="s">
        <v>1412</v>
      </c>
      <c r="F2276" s="156" t="s">
        <v>340</v>
      </c>
      <c r="G2276" s="154">
        <v>500000</v>
      </c>
    </row>
    <row r="2277" spans="1:7" ht="21.6" customHeight="1">
      <c r="A2277" s="154" t="s">
        <v>56</v>
      </c>
      <c r="B2277" s="154" t="str" cm="1">
        <f t="array" ref="B2277">_xlfn.XLOOKUP(TRUE, ISNUMBER(SEARCH(工作表5!$A$1:$A$23, C2277)), 工作表5!$B$1:$B$23, "其他")</f>
        <v>其他</v>
      </c>
      <c r="C2277" s="144" t="s">
        <v>1818</v>
      </c>
      <c r="D2277" s="156"/>
      <c r="E2277" s="156" t="s">
        <v>1410</v>
      </c>
      <c r="F2277" s="156" t="s">
        <v>333</v>
      </c>
      <c r="G2277" s="154">
        <v>500000</v>
      </c>
    </row>
    <row r="2278" spans="1:7" ht="21.6" customHeight="1">
      <c r="A2278" s="154" t="s">
        <v>56</v>
      </c>
      <c r="B2278" s="154" t="str" cm="1">
        <f t="array" ref="B2278">_xlfn.XLOOKUP(TRUE, ISNUMBER(SEARCH(工作表5!$A$1:$A$23, C2278)), 工作表5!$B$1:$B$23, "其他")</f>
        <v>送稿機</v>
      </c>
      <c r="C2278" s="144" t="s">
        <v>546</v>
      </c>
      <c r="D2278" s="156"/>
      <c r="E2278" s="156" t="s">
        <v>1411</v>
      </c>
      <c r="F2278" s="156" t="s">
        <v>336</v>
      </c>
      <c r="G2278" s="154">
        <v>500000</v>
      </c>
    </row>
    <row r="2279" spans="1:7" ht="21.6" customHeight="1">
      <c r="A2279" s="154" t="s">
        <v>56</v>
      </c>
      <c r="B2279" s="154" t="str" cm="1">
        <f t="array" ref="B2279">_xlfn.XLOOKUP(TRUE, ISNUMBER(SEARCH(工作表5!$A$1:$A$23, C2279)), 工作表5!$B$1:$B$23, "其他")</f>
        <v>送稿機</v>
      </c>
      <c r="C2279" s="145" t="s">
        <v>547</v>
      </c>
      <c r="D2279" s="156"/>
      <c r="E2279" s="156" t="s">
        <v>1412</v>
      </c>
      <c r="F2279" s="156" t="s">
        <v>340</v>
      </c>
      <c r="G2279" s="154">
        <v>500000</v>
      </c>
    </row>
    <row r="2280" spans="1:7" ht="21.6" customHeight="1">
      <c r="A2280" s="154" t="s">
        <v>56</v>
      </c>
      <c r="B2280" s="154" t="str" cm="1">
        <f t="array" ref="B2280">_xlfn.XLOOKUP(TRUE, ISNUMBER(SEARCH(工作表5!$A$1:$A$23, C2280)), 工作表5!$B$1:$B$23, "其他")</f>
        <v>手送台</v>
      </c>
      <c r="C2280" s="145" t="s">
        <v>1819</v>
      </c>
      <c r="D2280" s="156"/>
      <c r="E2280" s="156" t="s">
        <v>1489</v>
      </c>
      <c r="F2280" s="156" t="s">
        <v>549</v>
      </c>
      <c r="G2280" s="154">
        <v>100000</v>
      </c>
    </row>
    <row r="2281" spans="1:7" ht="21.6" customHeight="1">
      <c r="A2281" s="154" t="s">
        <v>56</v>
      </c>
      <c r="B2281" s="154" t="str" cm="1">
        <f t="array" ref="B2281">_xlfn.XLOOKUP(TRUE, ISNUMBER(SEARCH(工作表5!$A$1:$A$23, C2281)), 工作表5!$B$1:$B$23, "其他")</f>
        <v>手送台</v>
      </c>
      <c r="C2281" s="144" t="s">
        <v>553</v>
      </c>
      <c r="D2281" s="156"/>
      <c r="E2281" s="156" t="s">
        <v>1490</v>
      </c>
      <c r="F2281" s="156" t="s">
        <v>552</v>
      </c>
      <c r="G2281" s="154">
        <v>100000</v>
      </c>
    </row>
    <row r="2282" spans="1:7" ht="21.6" customHeight="1">
      <c r="A2282" s="154" t="s">
        <v>56</v>
      </c>
      <c r="B2282" s="154" t="str" cm="1">
        <f t="array" ref="B2282">_xlfn.XLOOKUP(TRUE, ISNUMBER(SEARCH(工作表5!$A$1:$A$23, C2282)), 工作表5!$B$1:$B$23, "其他")</f>
        <v>手送台</v>
      </c>
      <c r="C2282" s="144" t="s">
        <v>550</v>
      </c>
      <c r="D2282" s="156"/>
      <c r="E2282" s="156" t="s">
        <v>1491</v>
      </c>
      <c r="F2282" s="156" t="s">
        <v>555</v>
      </c>
      <c r="G2282" s="154">
        <v>100000</v>
      </c>
    </row>
    <row r="2283" spans="1:7" ht="21.6" customHeight="1">
      <c r="A2283" s="154" t="s">
        <v>56</v>
      </c>
      <c r="B2283" s="154" t="str" cm="1">
        <f t="array" ref="B2283">_xlfn.XLOOKUP(TRUE, ISNUMBER(SEARCH(工作表5!$A$1:$A$23, C2283)), 工作表5!$B$1:$B$23, "其他")</f>
        <v>手送台</v>
      </c>
      <c r="C2283" s="145" t="s">
        <v>1819</v>
      </c>
      <c r="D2283" s="156"/>
      <c r="E2283" s="156" t="s">
        <v>1489</v>
      </c>
      <c r="F2283" s="156" t="s">
        <v>549</v>
      </c>
      <c r="G2283" s="154">
        <v>120000</v>
      </c>
    </row>
    <row r="2284" spans="1:7" ht="21.6" customHeight="1">
      <c r="A2284" s="154" t="s">
        <v>56</v>
      </c>
      <c r="B2284" s="154" t="str" cm="1">
        <f t="array" ref="B2284">_xlfn.XLOOKUP(TRUE, ISNUMBER(SEARCH(工作表5!$A$1:$A$23, C2284)), 工作表5!$B$1:$B$23, "其他")</f>
        <v>手送台</v>
      </c>
      <c r="C2284" s="144" t="s">
        <v>553</v>
      </c>
      <c r="D2284" s="156"/>
      <c r="E2284" s="156" t="s">
        <v>1390</v>
      </c>
      <c r="F2284" s="156" t="s">
        <v>269</v>
      </c>
      <c r="G2284" s="154">
        <v>120000</v>
      </c>
    </row>
    <row r="2285" spans="1:7" ht="21.6" customHeight="1">
      <c r="A2285" s="154" t="s">
        <v>56</v>
      </c>
      <c r="B2285" s="154" t="str" cm="1">
        <f t="array" ref="B2285">_xlfn.XLOOKUP(TRUE, ISNUMBER(SEARCH(工作表5!$A$1:$A$23, C2285)), 工作表5!$B$1:$B$23, "其他")</f>
        <v>手送台</v>
      </c>
      <c r="C2285" s="144" t="s">
        <v>550</v>
      </c>
      <c r="D2285" s="156"/>
      <c r="E2285" s="156" t="s">
        <v>1391</v>
      </c>
      <c r="F2285" s="156" t="s">
        <v>272</v>
      </c>
      <c r="G2285" s="154">
        <v>120000</v>
      </c>
    </row>
    <row r="2286" spans="1:7" ht="21.6" customHeight="1">
      <c r="A2286" s="154" t="s">
        <v>56</v>
      </c>
      <c r="B2286" s="154" t="str" cm="1">
        <f t="array" ref="B2286">_xlfn.XLOOKUP(TRUE, ISNUMBER(SEARCH(工作表5!$A$1:$A$23, C2286)), 工作表5!$B$1:$B$23, "其他")</f>
        <v>其他</v>
      </c>
      <c r="C2286" s="145" t="s">
        <v>558</v>
      </c>
      <c r="D2286" s="156"/>
      <c r="E2286" s="156" t="s">
        <v>1492</v>
      </c>
      <c r="F2286" s="156" t="s">
        <v>557</v>
      </c>
      <c r="G2286" s="154">
        <v>480000</v>
      </c>
    </row>
    <row r="2287" spans="1:7" ht="21.6" customHeight="1">
      <c r="A2287" s="154" t="s">
        <v>56</v>
      </c>
      <c r="B2287" s="154" t="str" cm="1">
        <f t="array" ref="B2287">_xlfn.XLOOKUP(TRUE, ISNUMBER(SEARCH(工作表5!$A$1:$A$23, C2287)), 工作表5!$B$1:$B$23, "其他")</f>
        <v>轉寫組</v>
      </c>
      <c r="C2287" s="145" t="s">
        <v>1820</v>
      </c>
      <c r="D2287" s="156"/>
      <c r="E2287" s="156" t="s">
        <v>1493</v>
      </c>
      <c r="F2287" s="156" t="s">
        <v>560</v>
      </c>
      <c r="G2287" s="154">
        <v>480000</v>
      </c>
    </row>
    <row r="2288" spans="1:7" ht="21.6" customHeight="1">
      <c r="A2288" s="154" t="s">
        <v>56</v>
      </c>
      <c r="B2288" s="154" t="str" cm="1">
        <f t="array" ref="B2288">_xlfn.XLOOKUP(TRUE, ISNUMBER(SEARCH(工作表5!$A$1:$A$23, C2288)), 工作表5!$B$1:$B$23, "其他")</f>
        <v>定著組</v>
      </c>
      <c r="C2288" s="145" t="s">
        <v>244</v>
      </c>
      <c r="D2288" s="156"/>
      <c r="E2288" s="156" t="s">
        <v>1728</v>
      </c>
      <c r="F2288" s="156" t="s">
        <v>1171</v>
      </c>
      <c r="G2288" s="154">
        <v>480000</v>
      </c>
    </row>
    <row r="2289" spans="1:7" ht="21.6" customHeight="1">
      <c r="A2289" s="154" t="s">
        <v>56</v>
      </c>
      <c r="B2289" s="154" t="str" cm="1">
        <f t="array" ref="B2289">_xlfn.XLOOKUP(TRUE, ISNUMBER(SEARCH(工作表5!$A$1:$A$23, C2289)), 工作表5!$B$1:$B$23, "其他")</f>
        <v>其他</v>
      </c>
      <c r="C2289" s="145" t="s">
        <v>1803</v>
      </c>
      <c r="D2289" s="156"/>
      <c r="E2289" s="156" t="s">
        <v>1729</v>
      </c>
      <c r="F2289" s="156" t="s">
        <v>1173</v>
      </c>
      <c r="G2289" s="154">
        <v>480000</v>
      </c>
    </row>
    <row r="2290" spans="1:7" ht="21.6" customHeight="1">
      <c r="A2290" s="154" t="s">
        <v>56</v>
      </c>
      <c r="B2290" s="154" t="str" cm="1">
        <f t="array" ref="B2290">_xlfn.XLOOKUP(TRUE, ISNUMBER(SEARCH(工作表5!$A$1:$A$23, C2290)), 工作表5!$B$1:$B$23, "其他")</f>
        <v>其他</v>
      </c>
      <c r="C2290" s="145" t="s">
        <v>1803</v>
      </c>
      <c r="D2290" s="156"/>
      <c r="E2290" s="156" t="s">
        <v>1730</v>
      </c>
      <c r="F2290" s="156" t="s">
        <v>1176</v>
      </c>
      <c r="G2290" s="154">
        <v>480000</v>
      </c>
    </row>
    <row r="2291" spans="1:7" ht="21.6" customHeight="1">
      <c r="A2291" s="154" t="s">
        <v>56</v>
      </c>
      <c r="B2291" s="154" t="str" cm="1">
        <f t="array" ref="B2291">_xlfn.XLOOKUP(TRUE, ISNUMBER(SEARCH(工作表5!$A$1:$A$23, C2291)), 工作表5!$B$1:$B$23, "其他")</f>
        <v>取紙組</v>
      </c>
      <c r="C2291" s="144" t="s">
        <v>567</v>
      </c>
      <c r="D2291" s="156"/>
      <c r="E2291" s="156" t="s">
        <v>1496</v>
      </c>
      <c r="F2291" s="156" t="s">
        <v>566</v>
      </c>
      <c r="G2291" s="154">
        <v>200000</v>
      </c>
    </row>
    <row r="2292" spans="1:7" ht="21.6" customHeight="1">
      <c r="A2292" s="154" t="s">
        <v>56</v>
      </c>
      <c r="B2292" s="154" t="str" cm="1">
        <f t="array" ref="B2292">_xlfn.XLOOKUP(TRUE, ISNUMBER(SEARCH(工作表5!$A$1:$A$23, C2292)), 工作表5!$B$1:$B$23, "其他")</f>
        <v>取紙組</v>
      </c>
      <c r="C2292" s="144" t="s">
        <v>567</v>
      </c>
      <c r="D2292" s="156"/>
      <c r="E2292" s="156" t="s">
        <v>1535</v>
      </c>
      <c r="F2292" s="156" t="s">
        <v>673</v>
      </c>
      <c r="G2292" s="154">
        <v>400000</v>
      </c>
    </row>
    <row r="2293" spans="1:7" ht="21.6" customHeight="1">
      <c r="A2293" s="154" t="s">
        <v>56</v>
      </c>
      <c r="B2293" s="154" t="str" cm="1">
        <f t="array" ref="B2293">_xlfn.XLOOKUP(TRUE, ISNUMBER(SEARCH(工作表5!$A$1:$A$23, C2293)), 工作表5!$B$1:$B$23, "其他")</f>
        <v>其他</v>
      </c>
      <c r="C2293" s="144" t="s">
        <v>349</v>
      </c>
      <c r="D2293" s="156"/>
      <c r="E2293" s="156" t="s">
        <v>1415</v>
      </c>
      <c r="F2293" s="156" t="s">
        <v>348</v>
      </c>
      <c r="G2293" s="154">
        <v>500000</v>
      </c>
    </row>
    <row r="2294" spans="1:7" ht="21.6" customHeight="1">
      <c r="A2294" s="154" t="s">
        <v>56</v>
      </c>
      <c r="B2294" s="154" t="str" cm="1">
        <f t="array" ref="B2294">_xlfn.XLOOKUP(TRUE, ISNUMBER(SEARCH(工作表5!$A$1:$A$23, C2294)), 工作表5!$B$1:$B$23, "其他")</f>
        <v>其他</v>
      </c>
      <c r="C2294" s="144" t="s">
        <v>570</v>
      </c>
      <c r="D2294" s="156"/>
      <c r="E2294" s="156" t="s">
        <v>1497</v>
      </c>
      <c r="F2294" s="156" t="s">
        <v>569</v>
      </c>
      <c r="G2294" s="154">
        <v>500000</v>
      </c>
    </row>
    <row r="2295" spans="1:7" ht="21.6" customHeight="1">
      <c r="A2295" s="154" t="s">
        <v>56</v>
      </c>
      <c r="B2295" s="154" t="str" cm="1">
        <f t="array" ref="B2295">_xlfn.XLOOKUP(TRUE, ISNUMBER(SEARCH(工作表5!$A$1:$A$23, C2295)), 工作表5!$B$1:$B$23, "其他")</f>
        <v>送稿機</v>
      </c>
      <c r="C2295" s="145" t="s">
        <v>303</v>
      </c>
      <c r="D2295" s="156"/>
      <c r="E2295" s="156" t="s">
        <v>1401</v>
      </c>
      <c r="F2295" s="156" t="s">
        <v>302</v>
      </c>
      <c r="G2295" s="154" t="e">
        <v>#VALUE!</v>
      </c>
    </row>
    <row r="2296" spans="1:7" ht="21.6" customHeight="1">
      <c r="A2296" s="154" t="s">
        <v>56</v>
      </c>
      <c r="B2296" s="154" t="str" cm="1">
        <f t="array" ref="B2296">_xlfn.XLOOKUP(TRUE, ISNUMBER(SEARCH(工作表5!$A$1:$A$23, C2296)), 工作表5!$B$1:$B$23, "其他")</f>
        <v>滾筒組</v>
      </c>
      <c r="C2296" s="145" t="s">
        <v>132</v>
      </c>
      <c r="D2296" s="156"/>
      <c r="E2296" s="156" t="s">
        <v>1498</v>
      </c>
      <c r="F2296" s="156" t="s">
        <v>572</v>
      </c>
      <c r="G2296" s="154" t="e">
        <v>#VALUE!</v>
      </c>
    </row>
    <row r="2297" spans="1:7" ht="21.6" customHeight="1">
      <c r="A2297" s="154" t="s">
        <v>56</v>
      </c>
      <c r="B2297" s="154" t="str" cm="1">
        <f t="array" ref="B2297">_xlfn.XLOOKUP(TRUE, ISNUMBER(SEARCH(工作表5!$A$1:$A$23, C2297)), 工作表5!$B$1:$B$23, "其他")</f>
        <v>顯像組</v>
      </c>
      <c r="C2297" s="145" t="s">
        <v>575</v>
      </c>
      <c r="D2297" s="156"/>
      <c r="E2297" s="156" t="s">
        <v>1499</v>
      </c>
      <c r="F2297" s="156" t="s">
        <v>574</v>
      </c>
      <c r="G2297" s="154" t="e">
        <v>#VALUE!</v>
      </c>
    </row>
    <row r="2298" spans="1:7" ht="21.6" customHeight="1">
      <c r="A2298" s="154" t="s">
        <v>56</v>
      </c>
      <c r="B2298" s="154" t="str" cm="1">
        <f t="array" ref="B2298">_xlfn.XLOOKUP(TRUE, ISNUMBER(SEARCH(工作表5!$A$1:$A$23, C2298)), 工作表5!$B$1:$B$23, "其他")</f>
        <v>顯像組</v>
      </c>
      <c r="C2298" s="145" t="s">
        <v>1180</v>
      </c>
      <c r="D2298" s="156"/>
      <c r="E2298" s="156" t="s">
        <v>1731</v>
      </c>
      <c r="F2298" s="156" t="s">
        <v>1179</v>
      </c>
      <c r="G2298" s="154" t="e">
        <v>#VALUE!</v>
      </c>
    </row>
    <row r="2299" spans="1:7" ht="21.6" customHeight="1">
      <c r="A2299" s="154" t="s">
        <v>56</v>
      </c>
      <c r="B2299" s="154" t="str" cm="1">
        <f t="array" ref="B2299">_xlfn.XLOOKUP(TRUE, ISNUMBER(SEARCH(工作表5!$A$1:$A$23, C2299)), 工作表5!$B$1:$B$23, "其他")</f>
        <v>顯像組</v>
      </c>
      <c r="C2299" s="144" t="s">
        <v>135</v>
      </c>
      <c r="D2299" s="156"/>
      <c r="E2299" s="156" t="s">
        <v>1500</v>
      </c>
      <c r="F2299" s="156" t="s">
        <v>577</v>
      </c>
      <c r="G2299" s="154" t="e">
        <v>#VALUE!</v>
      </c>
    </row>
    <row r="2300" spans="1:7" ht="21.6" customHeight="1">
      <c r="A2300" s="154" t="s">
        <v>56</v>
      </c>
      <c r="B2300" s="154" t="str" cm="1">
        <f t="array" ref="B2300">_xlfn.XLOOKUP(TRUE, ISNUMBER(SEARCH(工作表5!$A$1:$A$23, C2300)), 工作表5!$B$1:$B$23, "其他")</f>
        <v>轉寫組</v>
      </c>
      <c r="C2300" s="144" t="s">
        <v>1821</v>
      </c>
      <c r="D2300" s="156"/>
      <c r="E2300" s="156" t="s">
        <v>1501</v>
      </c>
      <c r="F2300" s="156" t="s">
        <v>579</v>
      </c>
      <c r="G2300" s="154" t="e">
        <v>#VALUE!</v>
      </c>
    </row>
    <row r="2301" spans="1:7" ht="21.6" customHeight="1">
      <c r="A2301" s="154" t="s">
        <v>56</v>
      </c>
      <c r="B2301" s="154" t="str" cm="1">
        <f t="array" ref="B2301">_xlfn.XLOOKUP(TRUE, ISNUMBER(SEARCH(工作表5!$A$1:$A$23, C2301)), 工作表5!$B$1:$B$23, "其他")</f>
        <v>轉寫組</v>
      </c>
      <c r="C2301" s="144" t="s">
        <v>582</v>
      </c>
      <c r="D2301" s="156"/>
      <c r="E2301" s="156" t="s">
        <v>1502</v>
      </c>
      <c r="F2301" s="156" t="s">
        <v>581</v>
      </c>
      <c r="G2301" s="154" t="e">
        <v>#VALUE!</v>
      </c>
    </row>
    <row r="2302" spans="1:7" ht="21.6" customHeight="1">
      <c r="A2302" s="154" t="s">
        <v>56</v>
      </c>
      <c r="B2302" s="154" t="str" cm="1">
        <f t="array" ref="B2302">_xlfn.XLOOKUP(TRUE, ISNUMBER(SEARCH(工作表5!$A$1:$A$23, C2302)), 工作表5!$B$1:$B$23, "其他")</f>
        <v>定著組</v>
      </c>
      <c r="C2302" s="145" t="s">
        <v>585</v>
      </c>
      <c r="D2302" s="156"/>
      <c r="E2302" s="156" t="s">
        <v>1732</v>
      </c>
      <c r="F2302" s="156" t="s">
        <v>1182</v>
      </c>
      <c r="G2302" s="154" t="e">
        <v>#VALUE!</v>
      </c>
    </row>
    <row r="2303" spans="1:7" ht="21.6" customHeight="1">
      <c r="A2303" s="154" t="s">
        <v>56</v>
      </c>
      <c r="B2303" s="154" t="str" cm="1">
        <f t="array" ref="B2303">_xlfn.XLOOKUP(TRUE, ISNUMBER(SEARCH(工作表5!$A$1:$A$23, C2303)), 工作表5!$B$1:$B$23, "其他")</f>
        <v>定著組</v>
      </c>
      <c r="C2303" s="145" t="s">
        <v>585</v>
      </c>
      <c r="D2303" s="156"/>
      <c r="E2303" s="156" t="s">
        <v>1503</v>
      </c>
      <c r="F2303" s="156" t="s">
        <v>584</v>
      </c>
      <c r="G2303" s="154" t="e">
        <v>#VALUE!</v>
      </c>
    </row>
    <row r="2304" spans="1:7" ht="21.6" customHeight="1">
      <c r="A2304" s="154" t="s">
        <v>56</v>
      </c>
      <c r="B2304" s="154" t="str" cm="1">
        <f t="array" ref="B2304">_xlfn.XLOOKUP(TRUE, ISNUMBER(SEARCH(工作表5!$A$1:$A$23, C2304)), 工作表5!$B$1:$B$23, "其他")</f>
        <v>定著組</v>
      </c>
      <c r="C2304" s="145" t="s">
        <v>585</v>
      </c>
      <c r="D2304" s="156"/>
      <c r="E2304" s="156" t="s">
        <v>1536</v>
      </c>
      <c r="F2304" s="156" t="s">
        <v>676</v>
      </c>
      <c r="G2304" s="154" t="e">
        <v>#VALUE!</v>
      </c>
    </row>
    <row r="2305" spans="1:7" ht="21.6" customHeight="1">
      <c r="A2305" s="154" t="s">
        <v>1317</v>
      </c>
      <c r="B2305" s="154" t="str" cm="1">
        <f t="array" ref="B2305">_xlfn.XLOOKUP(TRUE, ISNUMBER(SEARCH(工作表5!$A$1:$A$23, C2305)), 工作表5!$B$1:$B$23, "其他")</f>
        <v>滾筒組</v>
      </c>
      <c r="C2305" s="143" t="s">
        <v>589</v>
      </c>
      <c r="D2305" s="156"/>
      <c r="E2305" s="156" t="s">
        <v>1504</v>
      </c>
      <c r="F2305" s="156" t="s">
        <v>588</v>
      </c>
      <c r="G2305" s="154">
        <v>212000</v>
      </c>
    </row>
    <row r="2306" spans="1:7" ht="21.6" customHeight="1">
      <c r="A2306" s="154" t="s">
        <v>1317</v>
      </c>
      <c r="B2306" s="154" t="str" cm="1">
        <f t="array" ref="B2306">_xlfn.XLOOKUP(TRUE, ISNUMBER(SEARCH(工作表5!$A$1:$A$23, C2306)), 工作表5!$B$1:$B$23, "其他")</f>
        <v>滾筒組</v>
      </c>
      <c r="C2306" s="150" t="s">
        <v>887</v>
      </c>
      <c r="D2306" s="156"/>
      <c r="E2306" s="156" t="s">
        <v>1595</v>
      </c>
      <c r="F2306" s="156" t="s">
        <v>841</v>
      </c>
      <c r="G2306" s="154">
        <v>106000</v>
      </c>
    </row>
    <row r="2307" spans="1:7" ht="21.6" customHeight="1">
      <c r="A2307" s="154" t="s">
        <v>1317</v>
      </c>
      <c r="B2307" s="154" t="str" cm="1">
        <f t="array" ref="B2307">_xlfn.XLOOKUP(TRUE, ISNUMBER(SEARCH(工作表5!$A$1:$A$23, C2307)), 工作表5!$B$1:$B$23, "其他")</f>
        <v>顯像組</v>
      </c>
      <c r="C2307" s="145" t="s">
        <v>502</v>
      </c>
      <c r="D2307" s="156"/>
      <c r="E2307" s="156" t="s">
        <v>1505</v>
      </c>
      <c r="F2307" s="156" t="s">
        <v>592</v>
      </c>
      <c r="G2307" s="154" t="e">
        <v>#VALUE!</v>
      </c>
    </row>
    <row r="2308" spans="1:7" ht="21.6" customHeight="1">
      <c r="A2308" s="154" t="s">
        <v>1317</v>
      </c>
      <c r="B2308" s="154" t="str" cm="1">
        <f t="array" ref="B2308">_xlfn.XLOOKUP(TRUE, ISNUMBER(SEARCH(工作表5!$A$1:$A$23, C2308)), 工作表5!$B$1:$B$23, "其他")</f>
        <v>顯像組</v>
      </c>
      <c r="C2308" s="145" t="s">
        <v>703</v>
      </c>
      <c r="D2308" s="156"/>
      <c r="E2308" s="156" t="s">
        <v>1639</v>
      </c>
      <c r="F2308" s="156" t="s">
        <v>944</v>
      </c>
      <c r="G2308" s="154">
        <v>212000</v>
      </c>
    </row>
    <row r="2309" spans="1:7" ht="21.6" customHeight="1">
      <c r="A2309" s="154" t="s">
        <v>1317</v>
      </c>
      <c r="B2309" s="154" t="str" cm="1">
        <f t="array" ref="B2309">_xlfn.XLOOKUP(TRUE, ISNUMBER(SEARCH(工作表5!$A$1:$A$23, C2309)), 工作表5!$B$1:$B$23, "其他")</f>
        <v>顯像組</v>
      </c>
      <c r="C2309" s="144" t="s">
        <v>706</v>
      </c>
      <c r="D2309" s="156"/>
      <c r="E2309" s="156" t="s">
        <v>1640</v>
      </c>
      <c r="F2309" s="156" t="s">
        <v>946</v>
      </c>
      <c r="G2309" s="154">
        <v>212000</v>
      </c>
    </row>
    <row r="2310" spans="1:7" ht="21.6" customHeight="1">
      <c r="A2310" s="154" t="s">
        <v>1317</v>
      </c>
      <c r="B2310" s="154" t="str" cm="1">
        <f t="array" ref="B2310">_xlfn.XLOOKUP(TRUE, ISNUMBER(SEARCH(工作表5!$A$1:$A$23, C2310)), 工作表5!$B$1:$B$23, "其他")</f>
        <v>顯像組</v>
      </c>
      <c r="C2310" s="145" t="s">
        <v>709</v>
      </c>
      <c r="D2310" s="156"/>
      <c r="E2310" s="156" t="s">
        <v>1641</v>
      </c>
      <c r="F2310" s="156" t="s">
        <v>948</v>
      </c>
      <c r="G2310" s="154">
        <v>212000</v>
      </c>
    </row>
    <row r="2311" spans="1:7" ht="21.6" customHeight="1">
      <c r="A2311" s="154" t="s">
        <v>1317</v>
      </c>
      <c r="B2311" s="154" t="str" cm="1">
        <f t="array" ref="B2311">_xlfn.XLOOKUP(TRUE, ISNUMBER(SEARCH(工作表5!$A$1:$A$23, C2311)), 工作表5!$B$1:$B$23, "其他")</f>
        <v>滾筒組</v>
      </c>
      <c r="C2311" s="145" t="s">
        <v>415</v>
      </c>
      <c r="D2311" s="156"/>
      <c r="E2311" s="156" t="s">
        <v>1506</v>
      </c>
      <c r="F2311" s="156" t="s">
        <v>594</v>
      </c>
      <c r="G2311" s="154" t="e">
        <v>#VALUE!</v>
      </c>
    </row>
    <row r="2312" spans="1:7" ht="21.6" customHeight="1">
      <c r="A2312" s="154" t="s">
        <v>1317</v>
      </c>
      <c r="B2312" s="154" t="str" cm="1">
        <f t="array" ref="B2312">_xlfn.XLOOKUP(TRUE, ISNUMBER(SEARCH(工作表5!$A$1:$A$23, C2312)), 工作表5!$B$1:$B$23, "其他")</f>
        <v>滾筒組</v>
      </c>
      <c r="C2312" s="144" t="s">
        <v>597</v>
      </c>
      <c r="D2312" s="156"/>
      <c r="E2312" s="156" t="s">
        <v>1507</v>
      </c>
      <c r="F2312" s="156" t="s">
        <v>596</v>
      </c>
      <c r="G2312" s="154">
        <v>212000</v>
      </c>
    </row>
    <row r="2313" spans="1:7" ht="21.6" customHeight="1">
      <c r="A2313" s="154" t="s">
        <v>1317</v>
      </c>
      <c r="B2313" s="154" t="str" cm="1">
        <f t="array" ref="B2313">_xlfn.XLOOKUP(TRUE, ISNUMBER(SEARCH(工作表5!$A$1:$A$23, C2313)), 工作表5!$B$1:$B$23, "其他")</f>
        <v>滾筒組</v>
      </c>
      <c r="C2313" s="144" t="s">
        <v>901</v>
      </c>
      <c r="D2313" s="156"/>
      <c r="E2313" s="156" t="s">
        <v>1642</v>
      </c>
      <c r="F2313" s="156" t="s">
        <v>950</v>
      </c>
      <c r="G2313" s="154">
        <v>106000</v>
      </c>
    </row>
    <row r="2314" spans="1:7" ht="21.6" customHeight="1">
      <c r="A2314" s="154" t="s">
        <v>1317</v>
      </c>
      <c r="B2314" s="154" t="str" cm="1">
        <f t="array" ref="B2314">_xlfn.XLOOKUP(TRUE, ISNUMBER(SEARCH(工作表5!$A$1:$A$23, C2314)), 工作表5!$B$1:$B$23, "其他")</f>
        <v>顯像組</v>
      </c>
      <c r="C2314" s="145" t="s">
        <v>600</v>
      </c>
      <c r="D2314" s="156"/>
      <c r="E2314" s="156" t="s">
        <v>1508</v>
      </c>
      <c r="F2314" s="156" t="s">
        <v>599</v>
      </c>
      <c r="G2314" s="154" t="e">
        <v>#VALUE!</v>
      </c>
    </row>
    <row r="2315" spans="1:7" ht="21.6" customHeight="1">
      <c r="A2315" s="154" t="s">
        <v>1317</v>
      </c>
      <c r="B2315" s="154" t="str" cm="1">
        <f t="array" ref="B2315">_xlfn.XLOOKUP(TRUE, ISNUMBER(SEARCH(工作表5!$A$1:$A$23, C2315)), 工作表5!$B$1:$B$23, "其他")</f>
        <v>顯像組</v>
      </c>
      <c r="C2315" s="144" t="s">
        <v>1822</v>
      </c>
      <c r="D2315" s="156"/>
      <c r="E2315" s="156" t="s">
        <v>1509</v>
      </c>
      <c r="F2315" s="156" t="s">
        <v>602</v>
      </c>
      <c r="G2315" s="154" t="e">
        <v>#VALUE!</v>
      </c>
    </row>
    <row r="2316" spans="1:7" ht="21.6" customHeight="1">
      <c r="A2316" s="154" t="s">
        <v>1317</v>
      </c>
      <c r="B2316" s="154" t="str" cm="1">
        <f t="array" ref="B2316">_xlfn.XLOOKUP(TRUE, ISNUMBER(SEARCH(工作表5!$A$1:$A$23, C2316)), 工作表5!$B$1:$B$23, "其他")</f>
        <v>滾筒組</v>
      </c>
      <c r="C2316" s="144" t="s">
        <v>1823</v>
      </c>
      <c r="D2316" s="156"/>
      <c r="E2316" s="156" t="s">
        <v>1510</v>
      </c>
      <c r="F2316" s="156" t="s">
        <v>604</v>
      </c>
      <c r="G2316" s="154" t="e">
        <v>#VALUE!</v>
      </c>
    </row>
    <row r="2317" spans="1:7" ht="21.6" customHeight="1">
      <c r="A2317" s="154" t="s">
        <v>1317</v>
      </c>
      <c r="B2317" s="154" t="str" cm="1">
        <f t="array" ref="B2317">_xlfn.XLOOKUP(TRUE, ISNUMBER(SEARCH(工作表5!$A$1:$A$23, C2317)), 工作表5!$B$1:$B$23, "其他")</f>
        <v>轉寫組</v>
      </c>
      <c r="C2317" s="145" t="s">
        <v>533</v>
      </c>
      <c r="D2317" s="156"/>
      <c r="E2317" s="156" t="s">
        <v>1511</v>
      </c>
      <c r="F2317" s="156" t="s">
        <v>606</v>
      </c>
      <c r="G2317" s="154">
        <v>212000</v>
      </c>
    </row>
    <row r="2318" spans="1:7" ht="21.6" customHeight="1">
      <c r="A2318" s="154" t="s">
        <v>1317</v>
      </c>
      <c r="B2318" s="154" t="str" cm="1">
        <f t="array" ref="B2318">_xlfn.XLOOKUP(TRUE, ISNUMBER(SEARCH(工作表5!$A$1:$A$23, C2318)), 工作表5!$B$1:$B$23, "其他")</f>
        <v>轉寫組</v>
      </c>
      <c r="C2318" s="145" t="s">
        <v>1812</v>
      </c>
      <c r="D2318" s="156"/>
      <c r="E2318" s="156" t="s">
        <v>1512</v>
      </c>
      <c r="F2318" s="156" t="s">
        <v>608</v>
      </c>
      <c r="G2318" s="154">
        <v>212000</v>
      </c>
    </row>
    <row r="2319" spans="1:7" ht="21.6" customHeight="1">
      <c r="A2319" s="154" t="s">
        <v>1317</v>
      </c>
      <c r="B2319" s="154" t="str" cm="1">
        <f t="array" ref="B2319">_xlfn.XLOOKUP(TRUE, ISNUMBER(SEARCH(工作表5!$A$1:$A$23, C2319)), 工作表5!$B$1:$B$23, "其他")</f>
        <v>轉寫組</v>
      </c>
      <c r="C2319" s="145" t="s">
        <v>1824</v>
      </c>
      <c r="D2319" s="156"/>
      <c r="E2319" s="156" t="s">
        <v>1513</v>
      </c>
      <c r="F2319" s="156" t="s">
        <v>610</v>
      </c>
      <c r="G2319" s="154">
        <v>212000</v>
      </c>
    </row>
    <row r="2320" spans="1:7" ht="21.6" customHeight="1">
      <c r="A2320" s="154" t="s">
        <v>1317</v>
      </c>
      <c r="B2320" s="154" t="str" cm="1">
        <f t="array" ref="B2320">_xlfn.XLOOKUP(TRUE, ISNUMBER(SEARCH(工作表5!$A$1:$A$23, C2320)), 工作表5!$B$1:$B$23, "其他")</f>
        <v>轉寫組</v>
      </c>
      <c r="C2320" s="145" t="s">
        <v>1825</v>
      </c>
      <c r="D2320" s="156"/>
      <c r="E2320" s="156" t="s">
        <v>1514</v>
      </c>
      <c r="F2320" s="156" t="s">
        <v>612</v>
      </c>
      <c r="G2320" s="154">
        <v>212000</v>
      </c>
    </row>
    <row r="2321" spans="1:7" ht="21.6" customHeight="1">
      <c r="A2321" s="154" t="s">
        <v>1317</v>
      </c>
      <c r="B2321" s="154" t="str" cm="1">
        <f t="array" ref="B2321">_xlfn.XLOOKUP(TRUE, ISNUMBER(SEARCH(工作表5!$A$1:$A$23, C2321)), 工作表5!$B$1:$B$23, "其他")</f>
        <v>轉寫組</v>
      </c>
      <c r="C2321" s="145" t="s">
        <v>1826</v>
      </c>
      <c r="D2321" s="156"/>
      <c r="E2321" s="156" t="s">
        <v>1515</v>
      </c>
      <c r="F2321" s="156" t="s">
        <v>614</v>
      </c>
      <c r="G2321" s="154">
        <v>212000</v>
      </c>
    </row>
    <row r="2322" spans="1:7" ht="21.6" customHeight="1">
      <c r="A2322" s="154" t="s">
        <v>1317</v>
      </c>
      <c r="B2322" s="154" t="str" cm="1">
        <f t="array" ref="B2322">_xlfn.XLOOKUP(TRUE, ISNUMBER(SEARCH(工作表5!$A$1:$A$23, C2322)), 工作表5!$B$1:$B$23, "其他")</f>
        <v>其他</v>
      </c>
      <c r="C2322" s="144" t="s">
        <v>101</v>
      </c>
      <c r="D2322" s="156"/>
      <c r="E2322" s="156" t="s">
        <v>1516</v>
      </c>
      <c r="F2322" s="156" t="s">
        <v>616</v>
      </c>
      <c r="G2322" s="154">
        <v>765000</v>
      </c>
    </row>
    <row r="2323" spans="1:7" ht="21.6" customHeight="1">
      <c r="A2323" s="154" t="s">
        <v>1317</v>
      </c>
      <c r="B2323" s="154" t="str" cm="1">
        <f t="array" ref="B2323">_xlfn.XLOOKUP(TRUE, ISNUMBER(SEARCH(工作表5!$A$1:$A$23, C2323)), 工作表5!$B$1:$B$23, "其他")</f>
        <v>定著組</v>
      </c>
      <c r="C2323" s="145" t="s">
        <v>1809</v>
      </c>
      <c r="D2323" s="156"/>
      <c r="E2323" s="156" t="s">
        <v>1517</v>
      </c>
      <c r="F2323" s="156" t="s">
        <v>619</v>
      </c>
      <c r="G2323" s="154">
        <v>340000</v>
      </c>
    </row>
    <row r="2324" spans="1:7" ht="21.6" customHeight="1">
      <c r="A2324" s="154" t="s">
        <v>1317</v>
      </c>
      <c r="B2324" s="154" t="str" cm="1">
        <f t="array" ref="B2324">_xlfn.XLOOKUP(TRUE, ISNUMBER(SEARCH(工作表5!$A$1:$A$23, C2324)), 工作表5!$B$1:$B$23, "其他")</f>
        <v>定著組</v>
      </c>
      <c r="C2324" s="145" t="s">
        <v>87</v>
      </c>
      <c r="D2324" s="156"/>
      <c r="E2324" s="156" t="s">
        <v>1518</v>
      </c>
      <c r="F2324" s="156" t="s">
        <v>621</v>
      </c>
      <c r="G2324" s="154">
        <v>340000</v>
      </c>
    </row>
    <row r="2325" spans="1:7" ht="21.6" customHeight="1">
      <c r="A2325" s="154" t="s">
        <v>1317</v>
      </c>
      <c r="B2325" s="154" t="str" cm="1">
        <f t="array" ref="B2325">_xlfn.XLOOKUP(TRUE, ISNUMBER(SEARCH(工作表5!$A$1:$A$23, C2325)), 工作表5!$B$1:$B$23, "其他")</f>
        <v>定著組</v>
      </c>
      <c r="C2325" s="144" t="s">
        <v>1827</v>
      </c>
      <c r="D2325" s="156"/>
      <c r="E2325" s="156" t="s">
        <v>1519</v>
      </c>
      <c r="F2325" s="156" t="s">
        <v>623</v>
      </c>
      <c r="G2325" s="154">
        <v>340000</v>
      </c>
    </row>
    <row r="2326" spans="1:7" ht="21.6" customHeight="1">
      <c r="A2326" s="154" t="s">
        <v>1317</v>
      </c>
      <c r="B2326" s="154" t="str" cm="1">
        <f t="array" ref="B2326">_xlfn.XLOOKUP(TRUE, ISNUMBER(SEARCH(工作表5!$A$1:$A$23, C2326)), 工作表5!$B$1:$B$23, "其他")</f>
        <v>定著組</v>
      </c>
      <c r="C2326" s="144" t="s">
        <v>1828</v>
      </c>
      <c r="D2326" s="156"/>
      <c r="E2326" s="156" t="s">
        <v>1520</v>
      </c>
      <c r="F2326" s="156" t="s">
        <v>625</v>
      </c>
      <c r="G2326" s="154">
        <v>340000</v>
      </c>
    </row>
    <row r="2327" spans="1:7" ht="21.6" customHeight="1">
      <c r="A2327" s="154" t="s">
        <v>1317</v>
      </c>
      <c r="B2327" s="154" t="str" cm="1">
        <f t="array" ref="B2327">_xlfn.XLOOKUP(TRUE, ISNUMBER(SEARCH(工作表5!$A$1:$A$23, C2327)), 工作表5!$B$1:$B$23, "其他")</f>
        <v>定著組</v>
      </c>
      <c r="C2327" s="145" t="s">
        <v>628</v>
      </c>
      <c r="D2327" s="156"/>
      <c r="E2327" s="156" t="s">
        <v>1521</v>
      </c>
      <c r="F2327" s="156" t="s">
        <v>627</v>
      </c>
      <c r="G2327" s="154">
        <v>340000</v>
      </c>
    </row>
    <row r="2328" spans="1:7" ht="21.6" customHeight="1">
      <c r="A2328" s="154" t="s">
        <v>1317</v>
      </c>
      <c r="B2328" s="154" t="str" cm="1">
        <f t="array" ref="B2328">_xlfn.XLOOKUP(TRUE, ISNUMBER(SEARCH(工作表5!$A$1:$A$23, C2328)), 工作表5!$B$1:$B$23, "其他")</f>
        <v>手送台</v>
      </c>
      <c r="C2328" s="144" t="s">
        <v>631</v>
      </c>
      <c r="D2328" s="156"/>
      <c r="E2328" s="156" t="s">
        <v>1522</v>
      </c>
      <c r="F2328" s="156" t="s">
        <v>630</v>
      </c>
      <c r="G2328" s="154">
        <v>120000</v>
      </c>
    </row>
    <row r="2329" spans="1:7" ht="21.6" customHeight="1">
      <c r="A2329" s="154" t="s">
        <v>1317</v>
      </c>
      <c r="B2329" s="154" t="str" cm="1">
        <f t="array" ref="B2329">_xlfn.XLOOKUP(TRUE, ISNUMBER(SEARCH(工作表5!$A$1:$A$23, C2329)), 工作表5!$B$1:$B$23, "其他")</f>
        <v>手送台</v>
      </c>
      <c r="C2329" s="144" t="s">
        <v>115</v>
      </c>
      <c r="D2329" s="156"/>
      <c r="E2329" s="156" t="s">
        <v>1409</v>
      </c>
      <c r="F2329" s="156" t="s">
        <v>330</v>
      </c>
      <c r="G2329" s="154">
        <v>120000</v>
      </c>
    </row>
    <row r="2330" spans="1:7" ht="21.6" customHeight="1">
      <c r="A2330" s="154" t="s">
        <v>1317</v>
      </c>
      <c r="B2330" s="154" t="str" cm="1">
        <f t="array" ref="B2330">_xlfn.XLOOKUP(TRUE, ISNUMBER(SEARCH(工作表5!$A$1:$A$23, C2330)), 工作表5!$B$1:$B$23, "其他")</f>
        <v>取紙組</v>
      </c>
      <c r="C2330" s="144" t="s">
        <v>1829</v>
      </c>
      <c r="D2330" s="156"/>
      <c r="E2330" s="156" t="s">
        <v>1389</v>
      </c>
      <c r="F2330" s="156" t="s">
        <v>265</v>
      </c>
      <c r="G2330" s="154">
        <v>80000</v>
      </c>
    </row>
    <row r="2331" spans="1:7" ht="21.6" customHeight="1">
      <c r="A2331" s="154" t="s">
        <v>1317</v>
      </c>
      <c r="B2331" s="154" t="str" cm="1">
        <f t="array" ref="B2331">_xlfn.XLOOKUP(TRUE, ISNUMBER(SEARCH(工作表5!$A$1:$A$23, C2331)), 工作表5!$B$1:$B$23, "其他")</f>
        <v>取紙組</v>
      </c>
      <c r="C2331" s="144" t="s">
        <v>633</v>
      </c>
      <c r="D2331" s="156"/>
      <c r="E2331" s="156" t="s">
        <v>1390</v>
      </c>
      <c r="F2331" s="156" t="s">
        <v>269</v>
      </c>
      <c r="G2331" s="154">
        <v>80000</v>
      </c>
    </row>
    <row r="2332" spans="1:7" ht="21.6" customHeight="1">
      <c r="A2332" s="154" t="s">
        <v>1317</v>
      </c>
      <c r="B2332" s="154" t="str" cm="1">
        <f t="array" ref="B2332">_xlfn.XLOOKUP(TRUE, ISNUMBER(SEARCH(工作表5!$A$1:$A$23, C2332)), 工作表5!$B$1:$B$23, "其他")</f>
        <v>取紙組</v>
      </c>
      <c r="C2332" s="144" t="s">
        <v>1830</v>
      </c>
      <c r="D2332" s="156"/>
      <c r="E2332" s="156" t="s">
        <v>1391</v>
      </c>
      <c r="F2332" s="156" t="s">
        <v>272</v>
      </c>
      <c r="G2332" s="154">
        <v>80000</v>
      </c>
    </row>
    <row r="2333" spans="1:7" ht="21.6" customHeight="1">
      <c r="A2333" s="154" t="s">
        <v>1317</v>
      </c>
      <c r="B2333" s="154" t="str" cm="1">
        <f t="array" ref="B2333">_xlfn.XLOOKUP(TRUE, ISNUMBER(SEARCH(工作表5!$A$1:$A$23, C2333)), 工作表5!$B$1:$B$23, "其他")</f>
        <v>送稿機</v>
      </c>
      <c r="C2333" s="144" t="s">
        <v>320</v>
      </c>
      <c r="D2333" s="156"/>
      <c r="E2333" s="156" t="s">
        <v>1375</v>
      </c>
      <c r="F2333" s="156" t="s">
        <v>226</v>
      </c>
      <c r="G2333" s="154">
        <v>120000</v>
      </c>
    </row>
    <row r="2334" spans="1:7" ht="21.6" customHeight="1">
      <c r="A2334" s="154" t="s">
        <v>1317</v>
      </c>
      <c r="B2334" s="154" t="str" cm="1">
        <f t="array" ref="B2334">_xlfn.XLOOKUP(TRUE, ISNUMBER(SEARCH(工作表5!$A$1:$A$23, C2334)), 工作表5!$B$1:$B$23, "其他")</f>
        <v>送稿機</v>
      </c>
      <c r="C2334" s="144" t="s">
        <v>278</v>
      </c>
      <c r="D2334" s="156"/>
      <c r="E2334" s="156" t="s">
        <v>1376</v>
      </c>
      <c r="F2334" s="156" t="s">
        <v>230</v>
      </c>
      <c r="G2334" s="154">
        <v>120000</v>
      </c>
    </row>
    <row r="2335" spans="1:7" ht="21.6" customHeight="1">
      <c r="A2335" s="154" t="s">
        <v>1317</v>
      </c>
      <c r="B2335" s="154" t="str" cm="1">
        <f t="array" ref="B2335">_xlfn.XLOOKUP(TRUE, ISNUMBER(SEARCH(工作表5!$A$1:$A$23, C2335)), 工作表5!$B$1:$B$23, "其他")</f>
        <v>送稿機</v>
      </c>
      <c r="C2335" s="144" t="s">
        <v>1782</v>
      </c>
      <c r="D2335" s="156"/>
      <c r="E2335" s="156" t="s">
        <v>1407</v>
      </c>
      <c r="F2335" s="156" t="s">
        <v>324</v>
      </c>
      <c r="G2335" s="154">
        <v>120000</v>
      </c>
    </row>
    <row r="2336" spans="1:7" ht="21.6" customHeight="1">
      <c r="A2336" s="154" t="s">
        <v>1317</v>
      </c>
      <c r="B2336" s="154" t="str" cm="1">
        <f t="array" ref="B2336">_xlfn.XLOOKUP(TRUE, ISNUMBER(SEARCH(工作表5!$A$1:$A$23, C2336)), 工作表5!$B$1:$B$23, "其他")</f>
        <v>送稿機</v>
      </c>
      <c r="C2336" s="144" t="s">
        <v>285</v>
      </c>
      <c r="D2336" s="156"/>
      <c r="E2336" s="156" t="s">
        <v>1395</v>
      </c>
      <c r="F2336" s="156" t="s">
        <v>226</v>
      </c>
      <c r="G2336" s="154">
        <v>120000</v>
      </c>
    </row>
    <row r="2337" spans="1:7" ht="21.6" customHeight="1">
      <c r="A2337" s="154" t="s">
        <v>1317</v>
      </c>
      <c r="B2337" s="154" t="str" cm="1">
        <f t="array" ref="B2337">_xlfn.XLOOKUP(TRUE, ISNUMBER(SEARCH(工作表5!$A$1:$A$23, C2337)), 工作表5!$B$1:$B$23, "其他")</f>
        <v>送稿機</v>
      </c>
      <c r="C2337" s="144" t="s">
        <v>282</v>
      </c>
      <c r="D2337" s="156"/>
      <c r="E2337" s="156" t="s">
        <v>1396</v>
      </c>
      <c r="F2337" s="156" t="s">
        <v>288</v>
      </c>
      <c r="G2337" s="154">
        <v>120000</v>
      </c>
    </row>
    <row r="2338" spans="1:7" ht="21.6" customHeight="1">
      <c r="A2338" s="154" t="s">
        <v>1317</v>
      </c>
      <c r="B2338" s="154" t="str" cm="1">
        <f t="array" ref="B2338">_xlfn.XLOOKUP(TRUE, ISNUMBER(SEARCH(工作表5!$A$1:$A$23, C2338)), 工作表5!$B$1:$B$23, "其他")</f>
        <v>大容量取紙組</v>
      </c>
      <c r="C2338" s="144" t="s">
        <v>237</v>
      </c>
      <c r="D2338" s="156"/>
      <c r="E2338" s="156" t="s">
        <v>1408</v>
      </c>
      <c r="F2338" s="156" t="s">
        <v>327</v>
      </c>
      <c r="G2338" s="154">
        <v>320000</v>
      </c>
    </row>
    <row r="2339" spans="1:7" ht="21.6" customHeight="1">
      <c r="A2339" s="154" t="s">
        <v>1317</v>
      </c>
      <c r="B2339" s="154" t="str" cm="1">
        <f t="array" ref="B2339">_xlfn.XLOOKUP(TRUE, ISNUMBER(SEARCH(工作表5!$A$1:$A$23, C2339)), 工作表5!$B$1:$B$23, "其他")</f>
        <v>取紙組</v>
      </c>
      <c r="C2339" s="144" t="s">
        <v>634</v>
      </c>
      <c r="D2339" s="156"/>
      <c r="E2339" s="156" t="s">
        <v>1409</v>
      </c>
      <c r="F2339" s="156" t="s">
        <v>330</v>
      </c>
      <c r="G2339" s="154">
        <v>320000</v>
      </c>
    </row>
    <row r="2340" spans="1:7" ht="21.6" customHeight="1">
      <c r="A2340" s="154" t="s">
        <v>1317</v>
      </c>
      <c r="B2340" s="154" t="str" cm="1">
        <f t="array" ref="B2340">_xlfn.XLOOKUP(TRUE, ISNUMBER(SEARCH(工作表5!$A$1:$A$23, C2340)), 工作表5!$B$1:$B$23, "其他")</f>
        <v>其他</v>
      </c>
      <c r="C2340" s="144" t="s">
        <v>1784</v>
      </c>
      <c r="D2340" s="156"/>
      <c r="E2340" s="156" t="s">
        <v>1410</v>
      </c>
      <c r="F2340" s="156" t="s">
        <v>333</v>
      </c>
      <c r="G2340" s="154">
        <v>500000</v>
      </c>
    </row>
    <row r="2341" spans="1:7" ht="21.6" customHeight="1">
      <c r="A2341" s="154" t="s">
        <v>1317</v>
      </c>
      <c r="B2341" s="154" t="str" cm="1">
        <f t="array" ref="B2341">_xlfn.XLOOKUP(TRUE, ISNUMBER(SEARCH(工作表5!$A$1:$A$23, C2341)), 工作表5!$B$1:$B$23, "其他")</f>
        <v>送稿機</v>
      </c>
      <c r="C2341" s="144" t="s">
        <v>337</v>
      </c>
      <c r="D2341" s="156"/>
      <c r="E2341" s="156" t="s">
        <v>1411</v>
      </c>
      <c r="F2341" s="156" t="s">
        <v>336</v>
      </c>
      <c r="G2341" s="154">
        <v>500000</v>
      </c>
    </row>
    <row r="2342" spans="1:7" ht="21.6" customHeight="1">
      <c r="A2342" s="154" t="s">
        <v>1317</v>
      </c>
      <c r="B2342" s="154" t="str" cm="1">
        <f t="array" ref="B2342">_xlfn.XLOOKUP(TRUE, ISNUMBER(SEARCH(工作表5!$A$1:$A$23, C2342)), 工作表5!$B$1:$B$23, "其他")</f>
        <v>送稿機</v>
      </c>
      <c r="C2342" s="145" t="s">
        <v>341</v>
      </c>
      <c r="D2342" s="156"/>
      <c r="E2342" s="156" t="s">
        <v>1412</v>
      </c>
      <c r="F2342" s="156" t="s">
        <v>340</v>
      </c>
      <c r="G2342" s="154">
        <v>500000</v>
      </c>
    </row>
    <row r="2343" spans="1:7" ht="21.6" customHeight="1">
      <c r="A2343" s="154" t="s">
        <v>1317</v>
      </c>
      <c r="B2343" s="154" t="str" cm="1">
        <f t="array" ref="B2343">_xlfn.XLOOKUP(TRUE, ISNUMBER(SEARCH(工作表5!$A$1:$A$23, C2343)), 工作表5!$B$1:$B$23, "其他")</f>
        <v>顯像組</v>
      </c>
      <c r="C2343" s="144" t="s">
        <v>637</v>
      </c>
      <c r="D2343" s="156"/>
      <c r="E2343" s="156" t="s">
        <v>1523</v>
      </c>
      <c r="F2343" s="156" t="s">
        <v>636</v>
      </c>
      <c r="G2343" s="154">
        <v>212000</v>
      </c>
    </row>
    <row r="2344" spans="1:7" ht="21.6" customHeight="1">
      <c r="A2344" s="154" t="s">
        <v>1317</v>
      </c>
      <c r="B2344" s="154" t="str" cm="1">
        <f t="array" ref="B2344">_xlfn.XLOOKUP(TRUE, ISNUMBER(SEARCH(工作表5!$A$1:$A$23, C2344)), 工作表5!$B$1:$B$23, "其他")</f>
        <v>顯像組</v>
      </c>
      <c r="C2344" s="144" t="s">
        <v>755</v>
      </c>
      <c r="D2344" s="156"/>
      <c r="E2344" s="156" t="s">
        <v>1644</v>
      </c>
      <c r="F2344" s="156" t="s">
        <v>955</v>
      </c>
      <c r="G2344" s="154">
        <v>106000</v>
      </c>
    </row>
    <row r="2345" spans="1:7" ht="21.6" customHeight="1">
      <c r="A2345" s="154" t="s">
        <v>1317</v>
      </c>
      <c r="B2345" s="154" t="str" cm="1">
        <f t="array" ref="B2345">_xlfn.XLOOKUP(TRUE, ISNUMBER(SEARCH(工作表5!$A$1:$A$23, C2345)), 工作表5!$B$1:$B$23, "其他")</f>
        <v>取紙組</v>
      </c>
      <c r="C2345" s="144" t="s">
        <v>638</v>
      </c>
      <c r="D2345" s="156"/>
      <c r="E2345" s="156" t="s">
        <v>1399</v>
      </c>
      <c r="F2345" s="156" t="s">
        <v>296</v>
      </c>
      <c r="G2345" s="154">
        <v>80000</v>
      </c>
    </row>
    <row r="2346" spans="1:7" ht="21.6" customHeight="1">
      <c r="A2346" s="154" t="s">
        <v>1317</v>
      </c>
      <c r="B2346" s="154" t="str" cm="1">
        <f t="array" ref="B2346">_xlfn.XLOOKUP(TRUE, ISNUMBER(SEARCH(工作表5!$A$1:$A$23, C2346)), 工作表5!$B$1:$B$23, "其他")</f>
        <v>送稿機</v>
      </c>
      <c r="C2346" s="144" t="s">
        <v>300</v>
      </c>
      <c r="D2346" s="156"/>
      <c r="E2346" s="156" t="s">
        <v>1400</v>
      </c>
      <c r="F2346" s="156" t="s">
        <v>299</v>
      </c>
      <c r="G2346" s="154">
        <v>120000</v>
      </c>
    </row>
    <row r="2347" spans="1:7" ht="21.6" customHeight="1">
      <c r="A2347" s="154" t="s">
        <v>1317</v>
      </c>
      <c r="B2347" s="154" t="str" cm="1">
        <f t="array" ref="B2347">_xlfn.XLOOKUP(TRUE, ISNUMBER(SEARCH(工作表5!$A$1:$A$23, C2347)), 工作表5!$B$1:$B$23, "其他")</f>
        <v>送稿機</v>
      </c>
      <c r="C2347" s="144" t="s">
        <v>303</v>
      </c>
      <c r="D2347" s="156"/>
      <c r="E2347" s="156" t="s">
        <v>1414</v>
      </c>
      <c r="F2347" s="156" t="s">
        <v>346</v>
      </c>
      <c r="G2347" s="154">
        <v>120000</v>
      </c>
    </row>
    <row r="2348" spans="1:7" ht="21.6" customHeight="1">
      <c r="A2348" s="154" t="s">
        <v>1317</v>
      </c>
      <c r="B2348" s="154" t="str" cm="1">
        <f t="array" ref="B2348">_xlfn.XLOOKUP(TRUE, ISNUMBER(SEARCH(工作表5!$A$1:$A$23, C2348)), 工作表5!$B$1:$B$23, "其他")</f>
        <v>其他</v>
      </c>
      <c r="C2348" s="144" t="s">
        <v>349</v>
      </c>
      <c r="D2348" s="156"/>
      <c r="E2348" s="156" t="s">
        <v>1415</v>
      </c>
      <c r="F2348" s="156" t="s">
        <v>348</v>
      </c>
      <c r="G2348" s="154">
        <v>500000</v>
      </c>
    </row>
    <row r="2349" spans="1:7" ht="21.6" customHeight="1">
      <c r="A2349" s="154" t="s">
        <v>1317</v>
      </c>
      <c r="B2349" s="154" t="str" cm="1">
        <f t="array" ref="B2349">_xlfn.XLOOKUP(TRUE, ISNUMBER(SEARCH(工作表5!$A$1:$A$23, C2349)), 工作表5!$B$1:$B$23, "其他")</f>
        <v>定著組</v>
      </c>
      <c r="C2349" s="144" t="s">
        <v>642</v>
      </c>
      <c r="D2349" s="156"/>
      <c r="E2349" s="156" t="s">
        <v>1524</v>
      </c>
      <c r="F2349" s="156" t="s">
        <v>641</v>
      </c>
      <c r="G2349" s="154">
        <v>340000</v>
      </c>
    </row>
    <row r="2350" spans="1:7" ht="21.6" customHeight="1">
      <c r="A2350" s="154" t="s">
        <v>1317</v>
      </c>
      <c r="B2350" s="154" t="str" cm="1">
        <f t="array" ref="B2350">_xlfn.XLOOKUP(TRUE, ISNUMBER(SEARCH(工作表5!$A$1:$A$23, C2350)), 工作表5!$B$1:$B$23, "其他")</f>
        <v>轉寫組</v>
      </c>
      <c r="C2350" s="144" t="s">
        <v>645</v>
      </c>
      <c r="D2350" s="156"/>
      <c r="E2350" s="156" t="s">
        <v>1525</v>
      </c>
      <c r="F2350" s="156" t="s">
        <v>644</v>
      </c>
      <c r="G2350" s="154">
        <v>212000</v>
      </c>
    </row>
    <row r="2351" spans="1:7" ht="21.6" customHeight="1">
      <c r="A2351" s="154" t="s">
        <v>1317</v>
      </c>
      <c r="B2351" s="154" t="str" cm="1">
        <f t="array" ref="B2351">_xlfn.XLOOKUP(TRUE, ISNUMBER(SEARCH(工作表5!$A$1:$A$23, C2351)), 工作表5!$B$1:$B$23, "其他")</f>
        <v>定著組</v>
      </c>
      <c r="C2351" s="145" t="s">
        <v>585</v>
      </c>
      <c r="D2351" s="156"/>
      <c r="E2351" s="156" t="s">
        <v>1526</v>
      </c>
      <c r="F2351" s="156" t="s">
        <v>647</v>
      </c>
      <c r="G2351" s="154" t="e">
        <v>#VALUE!</v>
      </c>
    </row>
    <row r="2352" spans="1:7" ht="21.6" customHeight="1">
      <c r="A2352" s="154" t="s">
        <v>1317</v>
      </c>
      <c r="B2352" s="154" t="str" cm="1">
        <f t="array" ref="B2352">_xlfn.XLOOKUP(TRUE, ISNUMBER(SEARCH(工作表5!$A$1:$A$23, C2352)), 工作表5!$B$1:$B$23, "其他")</f>
        <v>顯像組</v>
      </c>
      <c r="C2352" s="145" t="s">
        <v>129</v>
      </c>
      <c r="D2352" s="156"/>
      <c r="E2352" s="156" t="s">
        <v>1527</v>
      </c>
      <c r="F2352" s="156" t="s">
        <v>649</v>
      </c>
      <c r="G2352" s="154" t="e">
        <v>#VALUE!</v>
      </c>
    </row>
    <row r="2353" spans="1:7" ht="21.6" customHeight="1">
      <c r="A2353" s="154" t="s">
        <v>1317</v>
      </c>
      <c r="B2353" s="154" t="str" cm="1">
        <f t="array" ref="B2353">_xlfn.XLOOKUP(TRUE, ISNUMBER(SEARCH(工作表5!$A$1:$A$23, C2353)), 工作表5!$B$1:$B$23, "其他")</f>
        <v>顯像組</v>
      </c>
      <c r="C2353" s="145" t="s">
        <v>772</v>
      </c>
      <c r="D2353" s="156"/>
      <c r="E2353" s="156" t="s">
        <v>1686</v>
      </c>
      <c r="F2353" s="156" t="s">
        <v>1065</v>
      </c>
      <c r="G2353" s="154" t="e">
        <v>#VALUE!</v>
      </c>
    </row>
    <row r="2354" spans="1:7" ht="21.6" customHeight="1">
      <c r="A2354" s="154" t="s">
        <v>1317</v>
      </c>
      <c r="B2354" s="154" t="str" cm="1">
        <f t="array" ref="B2354">_xlfn.XLOOKUP(TRUE, ISNUMBER(SEARCH(工作表5!$A$1:$A$23, C2354)), 工作表5!$B$1:$B$23, "其他")</f>
        <v>顯像組</v>
      </c>
      <c r="C2354" s="145" t="s">
        <v>775</v>
      </c>
      <c r="D2354" s="156"/>
      <c r="E2354" s="156" t="s">
        <v>1687</v>
      </c>
      <c r="F2354" s="156" t="s">
        <v>1067</v>
      </c>
      <c r="G2354" s="154" t="e">
        <v>#VALUE!</v>
      </c>
    </row>
    <row r="2355" spans="1:7" ht="21.6" customHeight="1">
      <c r="A2355" s="154" t="s">
        <v>1317</v>
      </c>
      <c r="B2355" s="154" t="str" cm="1">
        <f t="array" ref="B2355">_xlfn.XLOOKUP(TRUE, ISNUMBER(SEARCH(工作表5!$A$1:$A$23, C2355)), 工作表5!$B$1:$B$23, "其他")</f>
        <v>顯像組</v>
      </c>
      <c r="C2355" s="145" t="s">
        <v>778</v>
      </c>
      <c r="D2355" s="156"/>
      <c r="E2355" s="156" t="s">
        <v>1688</v>
      </c>
      <c r="F2355" s="156" t="s">
        <v>1069</v>
      </c>
      <c r="G2355" s="154" t="e">
        <v>#VALUE!</v>
      </c>
    </row>
    <row r="2356" spans="1:7" ht="21.6" customHeight="1">
      <c r="A2356" s="154" t="s">
        <v>1317</v>
      </c>
      <c r="B2356" s="154" t="str" cm="1">
        <f t="array" ref="B2356">_xlfn.XLOOKUP(TRUE, ISNUMBER(SEARCH(工作表5!$A$1:$A$23, C2356)), 工作表5!$B$1:$B$23, "其他")</f>
        <v>轉寫組</v>
      </c>
      <c r="C2356" s="144" t="s">
        <v>1821</v>
      </c>
      <c r="D2356" s="156"/>
      <c r="E2356" s="156" t="s">
        <v>1528</v>
      </c>
      <c r="F2356" s="156" t="s">
        <v>651</v>
      </c>
      <c r="G2356" s="154" t="e">
        <v>#VALUE!</v>
      </c>
    </row>
    <row r="2357" spans="1:7" ht="21.6" customHeight="1">
      <c r="A2357" s="154" t="s">
        <v>1317</v>
      </c>
      <c r="B2357" s="154" t="str" cm="1">
        <f t="array" ref="B2357">_xlfn.XLOOKUP(TRUE, ISNUMBER(SEARCH(工作表5!$A$1:$A$23, C2357)), 工作表5!$B$1:$B$23, "其他")</f>
        <v>轉寫組</v>
      </c>
      <c r="C2357" s="150" t="s">
        <v>1805</v>
      </c>
      <c r="D2357" s="156"/>
      <c r="E2357" s="156" t="s">
        <v>1651</v>
      </c>
      <c r="F2357" s="156" t="s">
        <v>970</v>
      </c>
      <c r="G2357" s="154" t="e">
        <v>#VALUE!</v>
      </c>
    </row>
    <row r="2358" spans="1:7" ht="21.6" customHeight="1">
      <c r="A2358" s="154" t="s">
        <v>1318</v>
      </c>
      <c r="B2358" s="154" t="str" cm="1">
        <f t="array" ref="B2358">_xlfn.XLOOKUP(TRUE, ISNUMBER(SEARCH(工作表5!$A$1:$A$23, C2358)), 工作表5!$B$1:$B$23, "其他")</f>
        <v>滾筒組</v>
      </c>
      <c r="C2358" s="143" t="s">
        <v>71</v>
      </c>
      <c r="D2358" s="156"/>
      <c r="E2358" s="156" t="s">
        <v>1689</v>
      </c>
      <c r="F2358" s="156" t="s">
        <v>1075</v>
      </c>
      <c r="G2358" s="154">
        <v>275000</v>
      </c>
    </row>
    <row r="2359" spans="1:7" ht="21.6" customHeight="1">
      <c r="A2359" s="154" t="s">
        <v>1318</v>
      </c>
      <c r="B2359" s="154" t="str" cm="1">
        <f t="array" ref="B2359">_xlfn.XLOOKUP(TRUE, ISNUMBER(SEARCH(工作表5!$A$1:$A$23, C2359)), 工作表5!$B$1:$B$23, "其他")</f>
        <v>顯像組</v>
      </c>
      <c r="C2359" s="145" t="s">
        <v>502</v>
      </c>
      <c r="D2359" s="156"/>
      <c r="E2359" s="156" t="s">
        <v>1690</v>
      </c>
      <c r="F2359" s="156" t="s">
        <v>1077</v>
      </c>
      <c r="G2359" s="154" t="e">
        <v>#VALUE!</v>
      </c>
    </row>
    <row r="2360" spans="1:7" ht="21.6" customHeight="1">
      <c r="A2360" s="154" t="s">
        <v>1318</v>
      </c>
      <c r="B2360" s="154" t="str" cm="1">
        <f t="array" ref="B2360">_xlfn.XLOOKUP(TRUE, ISNUMBER(SEARCH(工作表5!$A$1:$A$23, C2360)), 工作表5!$B$1:$B$23, "其他")</f>
        <v>顯像組</v>
      </c>
      <c r="C2360" s="145" t="s">
        <v>703</v>
      </c>
      <c r="D2360" s="156"/>
      <c r="E2360" s="156" t="s">
        <v>1691</v>
      </c>
      <c r="F2360" s="156" t="s">
        <v>1079</v>
      </c>
      <c r="G2360" s="154" t="e">
        <v>#VALUE!</v>
      </c>
    </row>
    <row r="2361" spans="1:7" ht="21.6" customHeight="1">
      <c r="A2361" s="154" t="s">
        <v>1318</v>
      </c>
      <c r="B2361" s="154" t="str" cm="1">
        <f t="array" ref="B2361">_xlfn.XLOOKUP(TRUE, ISNUMBER(SEARCH(工作表5!$A$1:$A$23, C2361)), 工作表5!$B$1:$B$23, "其他")</f>
        <v>顯像組</v>
      </c>
      <c r="C2361" s="144" t="s">
        <v>706</v>
      </c>
      <c r="D2361" s="156"/>
      <c r="E2361" s="156" t="s">
        <v>1692</v>
      </c>
      <c r="F2361" s="156" t="s">
        <v>1081</v>
      </c>
      <c r="G2361" s="154" t="e">
        <v>#VALUE!</v>
      </c>
    </row>
    <row r="2362" spans="1:7" ht="21.6" customHeight="1">
      <c r="A2362" s="154" t="s">
        <v>1318</v>
      </c>
      <c r="B2362" s="154" t="str" cm="1">
        <f t="array" ref="B2362">_xlfn.XLOOKUP(TRUE, ISNUMBER(SEARCH(工作表5!$A$1:$A$23, C2362)), 工作表5!$B$1:$B$23, "其他")</f>
        <v>顯像組</v>
      </c>
      <c r="C2362" s="145" t="s">
        <v>709</v>
      </c>
      <c r="D2362" s="156"/>
      <c r="E2362" s="156" t="s">
        <v>1693</v>
      </c>
      <c r="F2362" s="156" t="s">
        <v>1083</v>
      </c>
      <c r="G2362" s="154" t="e">
        <v>#VALUE!</v>
      </c>
    </row>
    <row r="2363" spans="1:7" ht="21.6" customHeight="1">
      <c r="A2363" s="154" t="s">
        <v>1318</v>
      </c>
      <c r="B2363" s="154" t="str" cm="1">
        <f t="array" ref="B2363">_xlfn.XLOOKUP(TRUE, ISNUMBER(SEARCH(工作表5!$A$1:$A$23, C2363)), 工作表5!$B$1:$B$23, "其他")</f>
        <v>滾筒組</v>
      </c>
      <c r="C2363" s="145" t="s">
        <v>415</v>
      </c>
      <c r="D2363" s="156"/>
      <c r="E2363" s="156" t="s">
        <v>1694</v>
      </c>
      <c r="F2363" s="156" t="s">
        <v>1085</v>
      </c>
      <c r="G2363" s="154">
        <v>275000</v>
      </c>
    </row>
    <row r="2364" spans="1:7" ht="21.6" customHeight="1">
      <c r="A2364" s="154" t="s">
        <v>1318</v>
      </c>
      <c r="B2364" s="154" t="str" cm="1">
        <f t="array" ref="B2364">_xlfn.XLOOKUP(TRUE, ISNUMBER(SEARCH(工作表5!$A$1:$A$23, C2364)), 工作表5!$B$1:$B$23, "其他")</f>
        <v>定著組</v>
      </c>
      <c r="C2364" s="144" t="s">
        <v>1809</v>
      </c>
      <c r="D2364" s="156"/>
      <c r="E2364" s="156" t="s">
        <v>1695</v>
      </c>
      <c r="F2364" s="156" t="s">
        <v>1087</v>
      </c>
      <c r="G2364" s="154">
        <v>250000</v>
      </c>
    </row>
    <row r="2365" spans="1:7" ht="21.6" customHeight="1">
      <c r="A2365" s="154" t="s">
        <v>1318</v>
      </c>
      <c r="B2365" s="154" t="str" cm="1">
        <f t="array" ref="B2365">_xlfn.XLOOKUP(TRUE, ISNUMBER(SEARCH(工作表5!$A$1:$A$23, C2365)), 工作表5!$B$1:$B$23, "其他")</f>
        <v>定著組</v>
      </c>
      <c r="C2365" s="144" t="s">
        <v>1090</v>
      </c>
      <c r="D2365" s="156"/>
      <c r="E2365" s="156" t="s">
        <v>1696</v>
      </c>
      <c r="F2365" s="156" t="s">
        <v>1089</v>
      </c>
      <c r="G2365" s="154">
        <v>250000</v>
      </c>
    </row>
    <row r="2366" spans="1:7" ht="21.6" customHeight="1">
      <c r="A2366" s="154" t="s">
        <v>1318</v>
      </c>
      <c r="B2366" s="154" t="str" cm="1">
        <f t="array" ref="B2366">_xlfn.XLOOKUP(TRUE, ISNUMBER(SEARCH(工作表5!$A$1:$A$23, C2366)), 工作表5!$B$1:$B$23, "其他")</f>
        <v>定著組</v>
      </c>
      <c r="C2366" s="144" t="s">
        <v>1810</v>
      </c>
      <c r="D2366" s="156"/>
      <c r="E2366" s="156" t="s">
        <v>1697</v>
      </c>
      <c r="F2366" s="156" t="s">
        <v>1092</v>
      </c>
      <c r="G2366" s="154">
        <v>500000</v>
      </c>
    </row>
    <row r="2367" spans="1:7" ht="21.6" customHeight="1">
      <c r="A2367" s="154" t="s">
        <v>1318</v>
      </c>
      <c r="B2367" s="154" t="str" cm="1">
        <f t="array" ref="B2367">_xlfn.XLOOKUP(TRUE, ISNUMBER(SEARCH(工作表5!$A$1:$A$23, C2367)), 工作表5!$B$1:$B$23, "其他")</f>
        <v>轉寫組</v>
      </c>
      <c r="C2367" s="144" t="s">
        <v>1095</v>
      </c>
      <c r="D2367" s="156"/>
      <c r="E2367" s="156" t="s">
        <v>1698</v>
      </c>
      <c r="F2367" s="156" t="s">
        <v>1094</v>
      </c>
      <c r="G2367" s="154">
        <v>275000</v>
      </c>
    </row>
    <row r="2368" spans="1:7" ht="21.6" customHeight="1">
      <c r="A2368" s="154" t="s">
        <v>1318</v>
      </c>
      <c r="B2368" s="154" t="str" cm="1">
        <f t="array" ref="B2368">_xlfn.XLOOKUP(TRUE, ISNUMBER(SEARCH(工作表5!$A$1:$A$23, C2368)), 工作表5!$B$1:$B$23, "其他")</f>
        <v>轉寫組</v>
      </c>
      <c r="C2368" s="144" t="s">
        <v>533</v>
      </c>
      <c r="D2368" s="156"/>
      <c r="E2368" s="156" t="s">
        <v>1699</v>
      </c>
      <c r="F2368" s="156" t="s">
        <v>1097</v>
      </c>
      <c r="G2368" s="154">
        <v>275000</v>
      </c>
    </row>
    <row r="2369" spans="1:7" ht="21.6" customHeight="1">
      <c r="A2369" s="154" t="s">
        <v>1318</v>
      </c>
      <c r="B2369" s="154" t="str" cm="1">
        <f t="array" ref="B2369">_xlfn.XLOOKUP(TRUE, ISNUMBER(SEARCH(工作表5!$A$1:$A$23, C2369)), 工作表5!$B$1:$B$23, "其他")</f>
        <v>轉寫組</v>
      </c>
      <c r="C2369" s="145" t="s">
        <v>1812</v>
      </c>
      <c r="D2369" s="156"/>
      <c r="E2369" s="156" t="s">
        <v>1700</v>
      </c>
      <c r="F2369" s="156" t="s">
        <v>1099</v>
      </c>
      <c r="G2369" s="154">
        <v>275000</v>
      </c>
    </row>
    <row r="2370" spans="1:7" ht="21.6" customHeight="1">
      <c r="A2370" s="154" t="s">
        <v>1318</v>
      </c>
      <c r="B2370" s="154" t="str" cm="1">
        <f t="array" ref="B2370">_xlfn.XLOOKUP(TRUE, ISNUMBER(SEARCH(工作表5!$A$1:$A$23, C2370)), 工作表5!$B$1:$B$23, "其他")</f>
        <v>轉寫組</v>
      </c>
      <c r="C2370" s="145" t="s">
        <v>1102</v>
      </c>
      <c r="D2370" s="156"/>
      <c r="E2370" s="156" t="s">
        <v>1701</v>
      </c>
      <c r="F2370" s="156" t="s">
        <v>1101</v>
      </c>
      <c r="G2370" s="154">
        <v>275000</v>
      </c>
    </row>
    <row r="2371" spans="1:7" ht="21.6" customHeight="1">
      <c r="A2371" s="154" t="s">
        <v>1318</v>
      </c>
      <c r="B2371" s="154" t="str" cm="1">
        <f t="array" ref="B2371">_xlfn.XLOOKUP(TRUE, ISNUMBER(SEARCH(工作表5!$A$1:$A$23, C2371)), 工作表5!$B$1:$B$23, "其他")</f>
        <v>轉寫組</v>
      </c>
      <c r="C2371" s="148" t="s">
        <v>1848</v>
      </c>
      <c r="D2371" s="156"/>
      <c r="E2371" s="156" t="s">
        <v>1702</v>
      </c>
      <c r="F2371" s="156" t="s">
        <v>1104</v>
      </c>
      <c r="G2371" s="154">
        <v>275000</v>
      </c>
    </row>
    <row r="2372" spans="1:7" ht="21.6" customHeight="1">
      <c r="A2372" s="154" t="s">
        <v>1318</v>
      </c>
      <c r="B2372" s="154" t="str" cm="1">
        <f t="array" ref="B2372">_xlfn.XLOOKUP(TRUE, ISNUMBER(SEARCH(工作表5!$A$1:$A$23, C2372)), 工作表5!$B$1:$B$23, "其他")</f>
        <v>轉寫組</v>
      </c>
      <c r="C2372" s="145" t="s">
        <v>1849</v>
      </c>
      <c r="D2372" s="156"/>
      <c r="E2372" s="156" t="s">
        <v>1703</v>
      </c>
      <c r="F2372" s="156" t="s">
        <v>1106</v>
      </c>
      <c r="G2372" s="154">
        <v>550000</v>
      </c>
    </row>
    <row r="2373" spans="1:7" ht="21.6" customHeight="1">
      <c r="A2373" s="154" t="s">
        <v>1318</v>
      </c>
      <c r="B2373" s="154" t="str" cm="1">
        <f t="array" ref="B2373">_xlfn.XLOOKUP(TRUE, ISNUMBER(SEARCH(工作表5!$A$1:$A$23, C2373)), 工作表5!$B$1:$B$23, "其他")</f>
        <v>滾筒組</v>
      </c>
      <c r="C2373" s="144" t="s">
        <v>107</v>
      </c>
      <c r="D2373" s="156"/>
      <c r="E2373" s="156" t="s">
        <v>1472</v>
      </c>
      <c r="F2373" s="156" t="s">
        <v>507</v>
      </c>
      <c r="G2373" s="154">
        <v>275000</v>
      </c>
    </row>
    <row r="2374" spans="1:7" ht="21.6" customHeight="1">
      <c r="A2374" s="154" t="s">
        <v>1318</v>
      </c>
      <c r="B2374" s="154" t="str" cm="1">
        <f t="array" ref="B2374">_xlfn.XLOOKUP(TRUE, ISNUMBER(SEARCH(工作表5!$A$1:$A$23, C2374)), 工作表5!$B$1:$B$23, "其他")</f>
        <v>顯像組</v>
      </c>
      <c r="C2374" s="145" t="s">
        <v>104</v>
      </c>
      <c r="D2374" s="156"/>
      <c r="E2374" s="156" t="s">
        <v>1704</v>
      </c>
      <c r="F2374" s="156" t="s">
        <v>1108</v>
      </c>
      <c r="G2374" s="154">
        <v>275000</v>
      </c>
    </row>
    <row r="2375" spans="1:7" ht="21.6" customHeight="1">
      <c r="A2375" s="154" t="s">
        <v>1318</v>
      </c>
      <c r="B2375" s="154" t="str" cm="1">
        <f t="array" ref="B2375">_xlfn.XLOOKUP(TRUE, ISNUMBER(SEARCH(工作表5!$A$1:$A$23, C2375)), 工作表5!$B$1:$B$23, "其他")</f>
        <v>顯像組</v>
      </c>
      <c r="C2375" s="145" t="s">
        <v>1806</v>
      </c>
      <c r="D2375" s="156"/>
      <c r="E2375" s="156" t="s">
        <v>1474</v>
      </c>
      <c r="F2375" s="156" t="s">
        <v>511</v>
      </c>
      <c r="G2375" s="154">
        <v>275000</v>
      </c>
    </row>
    <row r="2376" spans="1:7" ht="21.6" customHeight="1">
      <c r="A2376" s="154" t="s">
        <v>1318</v>
      </c>
      <c r="B2376" s="154" t="str" cm="1">
        <f t="array" ref="B2376">_xlfn.XLOOKUP(TRUE, ISNUMBER(SEARCH(工作表5!$A$1:$A$23, C2376)), 工作表5!$B$1:$B$23, "其他")</f>
        <v>其他</v>
      </c>
      <c r="C2376" s="145" t="s">
        <v>1808</v>
      </c>
      <c r="D2376" s="156"/>
      <c r="E2376" s="156" t="s">
        <v>1477</v>
      </c>
      <c r="F2376" s="156" t="s">
        <v>518</v>
      </c>
      <c r="G2376" s="154">
        <v>275000</v>
      </c>
    </row>
    <row r="2377" spans="1:7" ht="21.6" customHeight="1">
      <c r="A2377" s="154" t="s">
        <v>1318</v>
      </c>
      <c r="B2377" s="154" t="str" cm="1">
        <f t="array" ref="B2377">_xlfn.XLOOKUP(TRUE, ISNUMBER(SEARCH(工作表5!$A$1:$A$23, C2377)), 工作表5!$B$1:$B$23, "其他")</f>
        <v>其他</v>
      </c>
      <c r="C2377" s="144" t="s">
        <v>101</v>
      </c>
      <c r="D2377" s="156"/>
      <c r="E2377" s="156" t="s">
        <v>1478</v>
      </c>
      <c r="F2377" s="156" t="s">
        <v>520</v>
      </c>
      <c r="G2377" s="154">
        <v>275000</v>
      </c>
    </row>
    <row r="2378" spans="1:7" ht="21.6" customHeight="1">
      <c r="A2378" s="154" t="s">
        <v>1318</v>
      </c>
      <c r="B2378" s="154" t="str" cm="1">
        <f t="array" ref="B2378">_xlfn.XLOOKUP(TRUE, ISNUMBER(SEARCH(工作表5!$A$1:$A$23, C2378)), 工作表5!$B$1:$B$23, "其他")</f>
        <v>其他</v>
      </c>
      <c r="C2378" s="145" t="s">
        <v>523</v>
      </c>
      <c r="D2378" s="156"/>
      <c r="E2378" s="156" t="s">
        <v>1479</v>
      </c>
      <c r="F2378" s="156" t="s">
        <v>522</v>
      </c>
      <c r="G2378" s="154">
        <v>275000</v>
      </c>
    </row>
    <row r="2379" spans="1:7" ht="21.6" customHeight="1">
      <c r="A2379" s="154" t="s">
        <v>1318</v>
      </c>
      <c r="B2379" s="154" t="str" cm="1">
        <f t="array" ref="B2379">_xlfn.XLOOKUP(TRUE, ISNUMBER(SEARCH(工作表5!$A$1:$A$23, C2379)), 工作表5!$B$1:$B$23, "其他")</f>
        <v>定著組</v>
      </c>
      <c r="C2379" s="144" t="s">
        <v>90</v>
      </c>
      <c r="D2379" s="156"/>
      <c r="E2379" s="156" t="s">
        <v>1705</v>
      </c>
      <c r="F2379" s="156" t="s">
        <v>1110</v>
      </c>
      <c r="G2379" s="154">
        <v>500000</v>
      </c>
    </row>
    <row r="2380" spans="1:7" ht="21.6" customHeight="1">
      <c r="A2380" s="154" t="s">
        <v>1318</v>
      </c>
      <c r="B2380" s="154" t="str" cm="1">
        <f t="array" ref="B2380">_xlfn.XLOOKUP(TRUE, ISNUMBER(SEARCH(工作表5!$A$1:$A$23, C2380)), 工作表5!$B$1:$B$23, "其他")</f>
        <v>定著組</v>
      </c>
      <c r="C2380" s="145" t="s">
        <v>1850</v>
      </c>
      <c r="D2380" s="156"/>
      <c r="E2380" s="156" t="s">
        <v>1706</v>
      </c>
      <c r="F2380" s="156" t="s">
        <v>1112</v>
      </c>
      <c r="G2380" s="154">
        <v>250000</v>
      </c>
    </row>
    <row r="2381" spans="1:7" ht="21.6" customHeight="1">
      <c r="A2381" s="154" t="s">
        <v>1318</v>
      </c>
      <c r="B2381" s="154" t="str" cm="1">
        <f t="array" ref="B2381">_xlfn.XLOOKUP(TRUE, ISNUMBER(SEARCH(工作表5!$A$1:$A$23, C2381)), 工作表5!$B$1:$B$23, "其他")</f>
        <v>轉寫組</v>
      </c>
      <c r="C2381" s="145" t="s">
        <v>1813</v>
      </c>
      <c r="D2381" s="156"/>
      <c r="E2381" s="156" t="s">
        <v>1707</v>
      </c>
      <c r="F2381" s="156" t="s">
        <v>1114</v>
      </c>
      <c r="G2381" s="154">
        <v>275000</v>
      </c>
    </row>
    <row r="2382" spans="1:7" ht="21.6" customHeight="1">
      <c r="A2382" s="154" t="s">
        <v>1318</v>
      </c>
      <c r="B2382" s="154" t="str" cm="1">
        <f t="array" ref="B2382">_xlfn.XLOOKUP(TRUE, ISNUMBER(SEARCH(工作表5!$A$1:$A$23, C2382)), 工作表5!$B$1:$B$23, "其他")</f>
        <v>轉寫組</v>
      </c>
      <c r="C2382" s="145" t="s">
        <v>1814</v>
      </c>
      <c r="D2382" s="156"/>
      <c r="E2382" s="156" t="s">
        <v>1708</v>
      </c>
      <c r="F2382" s="156" t="s">
        <v>1116</v>
      </c>
      <c r="G2382" s="154">
        <v>275000</v>
      </c>
    </row>
    <row r="2383" spans="1:7" ht="21.6" customHeight="1">
      <c r="A2383" s="154" t="s">
        <v>1318</v>
      </c>
      <c r="B2383" s="154" t="str" cm="1">
        <f t="array" ref="B2383">_xlfn.XLOOKUP(TRUE, ISNUMBER(SEARCH(工作表5!$A$1:$A$23, C2383)), 工作表5!$B$1:$B$23, "其他")</f>
        <v>轉寫組</v>
      </c>
      <c r="C2383" s="145" t="s">
        <v>1815</v>
      </c>
      <c r="D2383" s="156"/>
      <c r="E2383" s="156" t="s">
        <v>1709</v>
      </c>
      <c r="F2383" s="156" t="s">
        <v>1118</v>
      </c>
      <c r="G2383" s="154">
        <v>275000</v>
      </c>
    </row>
    <row r="2384" spans="1:7" ht="21.6" customHeight="1">
      <c r="A2384" s="154" t="s">
        <v>1318</v>
      </c>
      <c r="B2384" s="154" t="str" cm="1">
        <f t="array" ref="B2384">_xlfn.XLOOKUP(TRUE, ISNUMBER(SEARCH(工作表5!$A$1:$A$23, C2384)), 工作表5!$B$1:$B$23, "其他")</f>
        <v>其他</v>
      </c>
      <c r="C2384" s="145" t="s">
        <v>1851</v>
      </c>
      <c r="D2384" s="156"/>
      <c r="E2384" s="156" t="s">
        <v>1710</v>
      </c>
      <c r="F2384" s="156" t="s">
        <v>1120</v>
      </c>
      <c r="G2384" s="154">
        <v>550000</v>
      </c>
    </row>
    <row r="2385" spans="1:7" ht="21.6" customHeight="1">
      <c r="A2385" s="154" t="s">
        <v>1318</v>
      </c>
      <c r="B2385" s="154" t="str" cm="1">
        <f t="array" ref="B2385">_xlfn.XLOOKUP(TRUE, ISNUMBER(SEARCH(工作表5!$A$1:$A$23, C2385)), 工作表5!$B$1:$B$23, "其他")</f>
        <v>其他</v>
      </c>
      <c r="C2385" s="145" t="s">
        <v>1852</v>
      </c>
      <c r="D2385" s="156"/>
      <c r="E2385" s="156" t="s">
        <v>1711</v>
      </c>
      <c r="F2385" s="156" t="s">
        <v>1122</v>
      </c>
      <c r="G2385" s="154">
        <v>550000</v>
      </c>
    </row>
    <row r="2386" spans="1:7" ht="21.6" customHeight="1">
      <c r="A2386" s="154" t="s">
        <v>1318</v>
      </c>
      <c r="B2386" s="154" t="str" cm="1">
        <f t="array" ref="B2386">_xlfn.XLOOKUP(TRUE, ISNUMBER(SEARCH(工作表5!$A$1:$A$23, C2386)), 工作表5!$B$1:$B$23, "其他")</f>
        <v>取紙組</v>
      </c>
      <c r="C2386" s="144" t="s">
        <v>1816</v>
      </c>
      <c r="D2386" s="156"/>
      <c r="E2386" s="156" t="s">
        <v>1452</v>
      </c>
      <c r="F2386" s="156" t="s">
        <v>226</v>
      </c>
      <c r="G2386" s="154" t="e">
        <v>#VALUE!</v>
      </c>
    </row>
    <row r="2387" spans="1:7" ht="21.6" customHeight="1">
      <c r="A2387" s="154" t="s">
        <v>1318</v>
      </c>
      <c r="B2387" s="154" t="str" cm="1">
        <f t="array" ref="B2387">_xlfn.XLOOKUP(TRUE, ISNUMBER(SEARCH(工作表5!$A$1:$A$23, C2387)), 工作表5!$B$1:$B$23, "其他")</f>
        <v>取紙組</v>
      </c>
      <c r="C2387" s="144" t="s">
        <v>1816</v>
      </c>
      <c r="D2387" s="156"/>
      <c r="E2387" s="156" t="s">
        <v>1452</v>
      </c>
      <c r="F2387" s="156" t="s">
        <v>226</v>
      </c>
      <c r="G2387" s="154" t="e">
        <v>#VALUE!</v>
      </c>
    </row>
    <row r="2388" spans="1:7" ht="21.6" customHeight="1">
      <c r="A2388" s="154" t="s">
        <v>1318</v>
      </c>
      <c r="B2388" s="154" t="str" cm="1">
        <f t="array" ref="B2388">_xlfn.XLOOKUP(TRUE, ISNUMBER(SEARCH(工作表5!$A$1:$A$23, C2388)), 工作表5!$B$1:$B$23, "其他")</f>
        <v>取紙組</v>
      </c>
      <c r="C2388" s="144" t="s">
        <v>1817</v>
      </c>
      <c r="D2388" s="156"/>
      <c r="E2388" s="156" t="s">
        <v>1453</v>
      </c>
      <c r="F2388" s="156" t="s">
        <v>458</v>
      </c>
      <c r="G2388" s="154" t="e">
        <v>#VALUE!</v>
      </c>
    </row>
    <row r="2389" spans="1:7" ht="21.6" customHeight="1">
      <c r="A2389" s="154" t="s">
        <v>1318</v>
      </c>
      <c r="B2389" s="154" t="str" cm="1">
        <f t="array" ref="B2389">_xlfn.XLOOKUP(TRUE, ISNUMBER(SEARCH(工作表5!$A$1:$A$23, C2389)), 工作表5!$B$1:$B$23, "其他")</f>
        <v>送稿機</v>
      </c>
      <c r="C2389" s="145" t="s">
        <v>1838</v>
      </c>
      <c r="D2389" s="156"/>
      <c r="E2389" s="156" t="s">
        <v>1375</v>
      </c>
      <c r="F2389" s="156" t="s">
        <v>226</v>
      </c>
      <c r="G2389" s="154" t="e">
        <v>#VALUE!</v>
      </c>
    </row>
    <row r="2390" spans="1:7" ht="21.6" customHeight="1">
      <c r="A2390" s="154" t="s">
        <v>1318</v>
      </c>
      <c r="B2390" s="154" t="str" cm="1">
        <f t="array" ref="B2390">_xlfn.XLOOKUP(TRUE, ISNUMBER(SEARCH(工作表5!$A$1:$A$23, C2390)), 工作表5!$B$1:$B$23, "其他")</f>
        <v>送稿機</v>
      </c>
      <c r="C2390" s="144" t="s">
        <v>1123</v>
      </c>
      <c r="D2390" s="156"/>
      <c r="E2390" s="156" t="s">
        <v>1375</v>
      </c>
      <c r="F2390" s="156" t="s">
        <v>226</v>
      </c>
      <c r="G2390" s="154" t="e">
        <v>#VALUE!</v>
      </c>
    </row>
    <row r="2391" spans="1:7" ht="21.6" customHeight="1">
      <c r="A2391" s="154" t="s">
        <v>1318</v>
      </c>
      <c r="B2391" s="154" t="str" cm="1">
        <f t="array" ref="B2391">_xlfn.XLOOKUP(TRUE, ISNUMBER(SEARCH(工作表5!$A$1:$A$23, C2391)), 工作表5!$B$1:$B$23, "其他")</f>
        <v>送稿機</v>
      </c>
      <c r="C2391" s="145" t="s">
        <v>1839</v>
      </c>
      <c r="D2391" s="156"/>
      <c r="E2391" s="156" t="s">
        <v>1376</v>
      </c>
      <c r="F2391" s="156" t="s">
        <v>230</v>
      </c>
      <c r="G2391" s="154" t="e">
        <v>#VALUE!</v>
      </c>
    </row>
    <row r="2392" spans="1:7" ht="21.6" customHeight="1">
      <c r="A2392" s="154" t="s">
        <v>1318</v>
      </c>
      <c r="B2392" s="154" t="str" cm="1">
        <f t="array" ref="B2392">_xlfn.XLOOKUP(TRUE, ISNUMBER(SEARCH(工作表5!$A$1:$A$23, C2392)), 工作表5!$B$1:$B$23, "其他")</f>
        <v>其他</v>
      </c>
      <c r="C2392" s="144" t="s">
        <v>1853</v>
      </c>
      <c r="D2392" s="156"/>
      <c r="E2392" s="156" t="s">
        <v>1410</v>
      </c>
      <c r="F2392" s="156" t="s">
        <v>333</v>
      </c>
      <c r="G2392" s="154">
        <v>500000</v>
      </c>
    </row>
    <row r="2393" spans="1:7" ht="21.6" customHeight="1">
      <c r="A2393" s="154" t="s">
        <v>1318</v>
      </c>
      <c r="B2393" s="154" t="str" cm="1">
        <f t="array" ref="B2393">_xlfn.XLOOKUP(TRUE, ISNUMBER(SEARCH(工作表5!$A$1:$A$23, C2393)), 工作表5!$B$1:$B$23, "其他")</f>
        <v>送稿機</v>
      </c>
      <c r="C2393" s="144" t="s">
        <v>1125</v>
      </c>
      <c r="D2393" s="156"/>
      <c r="E2393" s="156" t="s">
        <v>1452</v>
      </c>
      <c r="F2393" s="156" t="s">
        <v>226</v>
      </c>
      <c r="G2393" s="154">
        <v>500000</v>
      </c>
    </row>
    <row r="2394" spans="1:7" ht="21.6" customHeight="1">
      <c r="A2394" s="154" t="s">
        <v>1318</v>
      </c>
      <c r="B2394" s="154" t="str" cm="1">
        <f t="array" ref="B2394">_xlfn.XLOOKUP(TRUE, ISNUMBER(SEARCH(工作表5!$A$1:$A$23, C2394)), 工作表5!$B$1:$B$23, "其他")</f>
        <v>送稿機</v>
      </c>
      <c r="C2394" s="145" t="s">
        <v>1126</v>
      </c>
      <c r="D2394" s="156"/>
      <c r="E2394" s="156" t="s">
        <v>1457</v>
      </c>
      <c r="F2394" s="156" t="s">
        <v>468</v>
      </c>
      <c r="G2394" s="154">
        <v>500000</v>
      </c>
    </row>
    <row r="2395" spans="1:7" ht="21.6" customHeight="1">
      <c r="A2395" s="154" t="s">
        <v>1318</v>
      </c>
      <c r="B2395" s="154" t="str" cm="1">
        <f t="array" ref="B2395">_xlfn.XLOOKUP(TRUE, ISNUMBER(SEARCH(工作表5!$A$1:$A$23, C2395)), 工作表5!$B$1:$B$23, "其他")</f>
        <v>手送台</v>
      </c>
      <c r="C2395" s="145" t="s">
        <v>1819</v>
      </c>
      <c r="D2395" s="156"/>
      <c r="E2395" s="156" t="s">
        <v>1489</v>
      </c>
      <c r="F2395" s="156" t="s">
        <v>549</v>
      </c>
      <c r="G2395" s="154">
        <v>100000</v>
      </c>
    </row>
    <row r="2396" spans="1:7" ht="21.6" customHeight="1">
      <c r="A2396" s="154" t="s">
        <v>1318</v>
      </c>
      <c r="B2396" s="154" t="str" cm="1">
        <f t="array" ref="B2396">_xlfn.XLOOKUP(TRUE, ISNUMBER(SEARCH(工作表5!$A$1:$A$23, C2396)), 工作表5!$B$1:$B$23, "其他")</f>
        <v>手送台</v>
      </c>
      <c r="C2396" s="144" t="s">
        <v>553</v>
      </c>
      <c r="D2396" s="156"/>
      <c r="E2396" s="156" t="s">
        <v>1490</v>
      </c>
      <c r="F2396" s="156" t="s">
        <v>552</v>
      </c>
      <c r="G2396" s="154">
        <v>100000</v>
      </c>
    </row>
    <row r="2397" spans="1:7" ht="21.6" customHeight="1">
      <c r="A2397" s="154" t="s">
        <v>1318</v>
      </c>
      <c r="B2397" s="154" t="str" cm="1">
        <f t="array" ref="B2397">_xlfn.XLOOKUP(TRUE, ISNUMBER(SEARCH(工作表5!$A$1:$A$23, C2397)), 工作表5!$B$1:$B$23, "其他")</f>
        <v>手送台</v>
      </c>
      <c r="C2397" s="144" t="s">
        <v>550</v>
      </c>
      <c r="D2397" s="156"/>
      <c r="E2397" s="156" t="s">
        <v>1491</v>
      </c>
      <c r="F2397" s="156" t="s">
        <v>555</v>
      </c>
      <c r="G2397" s="154">
        <v>100000</v>
      </c>
    </row>
    <row r="2398" spans="1:7" ht="21.6" customHeight="1">
      <c r="A2398" s="154" t="s">
        <v>1318</v>
      </c>
      <c r="B2398" s="154" t="str" cm="1">
        <f t="array" ref="B2398">_xlfn.XLOOKUP(TRUE, ISNUMBER(SEARCH(工作表5!$A$1:$A$23, C2398)), 工作表5!$B$1:$B$23, "其他")</f>
        <v>其他</v>
      </c>
      <c r="C2398" s="145" t="s">
        <v>558</v>
      </c>
      <c r="D2398" s="156"/>
      <c r="E2398" s="156" t="s">
        <v>1712</v>
      </c>
      <c r="F2398" s="156" t="s">
        <v>1128</v>
      </c>
      <c r="G2398" s="154">
        <v>275000</v>
      </c>
    </row>
    <row r="2399" spans="1:7" ht="21.6" customHeight="1">
      <c r="A2399" s="154" t="s">
        <v>1318</v>
      </c>
      <c r="B2399" s="154" t="str" cm="1">
        <f t="array" ref="B2399">_xlfn.XLOOKUP(TRUE, ISNUMBER(SEARCH(工作表5!$A$1:$A$23, C2399)), 工作表5!$B$1:$B$23, "其他")</f>
        <v>轉寫組</v>
      </c>
      <c r="C2399" s="145" t="s">
        <v>1820</v>
      </c>
      <c r="D2399" s="156"/>
      <c r="E2399" s="156" t="s">
        <v>1713</v>
      </c>
      <c r="F2399" s="156" t="s">
        <v>1130</v>
      </c>
      <c r="G2399" s="154">
        <v>275000</v>
      </c>
    </row>
    <row r="2400" spans="1:7" ht="21.6" customHeight="1">
      <c r="A2400" s="154" t="s">
        <v>1318</v>
      </c>
      <c r="B2400" s="154" t="str" cm="1">
        <f t="array" ref="B2400">_xlfn.XLOOKUP(TRUE, ISNUMBER(SEARCH(工作表5!$A$1:$A$23, C2400)), 工作表5!$B$1:$B$23, "其他")</f>
        <v>定著組</v>
      </c>
      <c r="C2400" s="145" t="s">
        <v>244</v>
      </c>
      <c r="D2400" s="156"/>
      <c r="E2400" s="156" t="s">
        <v>1714</v>
      </c>
      <c r="F2400" s="156" t="s">
        <v>1132</v>
      </c>
      <c r="G2400" s="154">
        <v>500000</v>
      </c>
    </row>
    <row r="2401" spans="1:7" ht="21.6" customHeight="1">
      <c r="A2401" s="154" t="s">
        <v>1318</v>
      </c>
      <c r="B2401" s="154" t="str" cm="1">
        <f t="array" ref="B2401">_xlfn.XLOOKUP(TRUE, ISNUMBER(SEARCH(工作表5!$A$1:$A$23, C2401)), 工作表5!$B$1:$B$23, "其他")</f>
        <v>轉寫組</v>
      </c>
      <c r="C2401" s="145" t="s">
        <v>1135</v>
      </c>
      <c r="D2401" s="156"/>
      <c r="E2401" s="156" t="s">
        <v>1715</v>
      </c>
      <c r="F2401" s="156" t="s">
        <v>1134</v>
      </c>
      <c r="G2401" s="154">
        <v>275000</v>
      </c>
    </row>
    <row r="2402" spans="1:7" ht="21.6" customHeight="1">
      <c r="A2402" s="154" t="s">
        <v>1318</v>
      </c>
      <c r="B2402" s="154" t="str" cm="1">
        <f t="array" ref="B2402">_xlfn.XLOOKUP(TRUE, ISNUMBER(SEARCH(工作表5!$A$1:$A$23, C2402)), 工作表5!$B$1:$B$23, "其他")</f>
        <v>其他</v>
      </c>
      <c r="C2402" s="145" t="s">
        <v>1803</v>
      </c>
      <c r="D2402" s="156"/>
      <c r="E2402" s="156" t="s">
        <v>1495</v>
      </c>
      <c r="F2402" s="156" t="s">
        <v>564</v>
      </c>
      <c r="G2402" s="154">
        <v>275000</v>
      </c>
    </row>
    <row r="2403" spans="1:7" ht="21.6" customHeight="1">
      <c r="A2403" s="154" t="s">
        <v>1318</v>
      </c>
      <c r="B2403" s="154" t="str" cm="1">
        <f t="array" ref="B2403">_xlfn.XLOOKUP(TRUE, ISNUMBER(SEARCH(工作表5!$A$1:$A$23, C2403)), 工作表5!$B$1:$B$23, "其他")</f>
        <v>其他</v>
      </c>
      <c r="C2403" s="145" t="s">
        <v>1803</v>
      </c>
      <c r="D2403" s="156"/>
      <c r="E2403" s="156" t="s">
        <v>1716</v>
      </c>
      <c r="F2403" s="156" t="s">
        <v>1137</v>
      </c>
      <c r="G2403" s="154">
        <v>550000</v>
      </c>
    </row>
    <row r="2404" spans="1:7" ht="21.6" customHeight="1">
      <c r="A2404" s="154" t="s">
        <v>1318</v>
      </c>
      <c r="B2404" s="154" t="str" cm="1">
        <f t="array" ref="B2404">_xlfn.XLOOKUP(TRUE, ISNUMBER(SEARCH(工作表5!$A$1:$A$23, C2404)), 工作表5!$B$1:$B$23, "其他")</f>
        <v>取紙組</v>
      </c>
      <c r="C2404" s="144" t="s">
        <v>567</v>
      </c>
      <c r="D2404" s="156"/>
      <c r="E2404" s="156" t="s">
        <v>1462</v>
      </c>
      <c r="F2404" s="156" t="s">
        <v>482</v>
      </c>
      <c r="G2404" s="154" t="e">
        <v>#VALUE!</v>
      </c>
    </row>
    <row r="2405" spans="1:7" ht="21.6" customHeight="1">
      <c r="A2405" s="154" t="s">
        <v>1318</v>
      </c>
      <c r="B2405" s="154" t="str" cm="1">
        <f t="array" ref="B2405">_xlfn.XLOOKUP(TRUE, ISNUMBER(SEARCH(工作表5!$A$1:$A$23, C2405)), 工作表5!$B$1:$B$23, "其他")</f>
        <v>送稿機</v>
      </c>
      <c r="C2405" s="144" t="s">
        <v>1189</v>
      </c>
      <c r="D2405" s="156"/>
      <c r="E2405" s="156" t="s">
        <v>1463</v>
      </c>
      <c r="F2405" s="156" t="s">
        <v>485</v>
      </c>
      <c r="G2405" s="154">
        <v>500000</v>
      </c>
    </row>
    <row r="2406" spans="1:7" ht="21.6" customHeight="1">
      <c r="A2406" s="154" t="s">
        <v>1318</v>
      </c>
      <c r="B2406" s="154" t="str" cm="1">
        <f t="array" ref="B2406">_xlfn.XLOOKUP(TRUE, ISNUMBER(SEARCH(工作表5!$A$1:$A$23, C2406)), 工作表5!$B$1:$B$23, "其他")</f>
        <v>送稿機</v>
      </c>
      <c r="C2406" s="145" t="s">
        <v>1854</v>
      </c>
      <c r="D2406" s="156"/>
      <c r="E2406" s="156" t="s">
        <v>1383</v>
      </c>
      <c r="F2406" s="156" t="s">
        <v>249</v>
      </c>
      <c r="G2406" s="154" t="e">
        <v>#VALUE!</v>
      </c>
    </row>
    <row r="2407" spans="1:7" ht="21.6" customHeight="1">
      <c r="A2407" s="154" t="s">
        <v>1318</v>
      </c>
      <c r="B2407" s="154" t="str" cm="1">
        <f t="array" ref="B2407">_xlfn.XLOOKUP(TRUE, ISNUMBER(SEARCH(工作表5!$A$1:$A$23, C2407)), 工作表5!$B$1:$B$23, "其他")</f>
        <v>滾筒組</v>
      </c>
      <c r="C2407" s="145" t="s">
        <v>132</v>
      </c>
      <c r="D2407" s="156"/>
      <c r="E2407" s="156" t="s">
        <v>1717</v>
      </c>
      <c r="F2407" s="156" t="s">
        <v>1140</v>
      </c>
      <c r="G2407" s="154" t="e">
        <v>#VALUE!</v>
      </c>
    </row>
    <row r="2408" spans="1:7" ht="21.6" customHeight="1">
      <c r="A2408" s="154" t="s">
        <v>1318</v>
      </c>
      <c r="B2408" s="154" t="str" cm="1">
        <f t="array" ref="B2408">_xlfn.XLOOKUP(TRUE, ISNUMBER(SEARCH(工作表5!$A$1:$A$23, C2408)), 工作表5!$B$1:$B$23, "其他")</f>
        <v>顯像組</v>
      </c>
      <c r="C2408" s="145" t="s">
        <v>129</v>
      </c>
      <c r="D2408" s="156"/>
      <c r="E2408" s="156" t="s">
        <v>1718</v>
      </c>
      <c r="F2408" s="156" t="s">
        <v>1142</v>
      </c>
      <c r="G2408" s="154" t="e">
        <v>#VALUE!</v>
      </c>
    </row>
    <row r="2409" spans="1:7" ht="21.6" customHeight="1">
      <c r="A2409" s="154" t="s">
        <v>1318</v>
      </c>
      <c r="B2409" s="154" t="str" cm="1">
        <f t="array" ref="B2409">_xlfn.XLOOKUP(TRUE, ISNUMBER(SEARCH(工作表5!$A$1:$A$23, C2409)), 工作表5!$B$1:$B$23, "其他")</f>
        <v>顯像組</v>
      </c>
      <c r="C2409" s="144" t="s">
        <v>135</v>
      </c>
      <c r="D2409" s="156"/>
      <c r="E2409" s="156" t="s">
        <v>1719</v>
      </c>
      <c r="F2409" s="156" t="s">
        <v>1144</v>
      </c>
      <c r="G2409" s="154" t="e">
        <v>#VALUE!</v>
      </c>
    </row>
    <row r="2410" spans="1:7" ht="21.6" customHeight="1">
      <c r="A2410" s="154" t="s">
        <v>1318</v>
      </c>
      <c r="B2410" s="154" t="str" cm="1">
        <f t="array" ref="B2410">_xlfn.XLOOKUP(TRUE, ISNUMBER(SEARCH(工作表5!$A$1:$A$23, C2410)), 工作表5!$B$1:$B$23, "其他")</f>
        <v>轉寫組</v>
      </c>
      <c r="C2410" s="144" t="s">
        <v>1821</v>
      </c>
      <c r="D2410" s="156"/>
      <c r="E2410" s="156" t="s">
        <v>1720</v>
      </c>
      <c r="F2410" s="156" t="s">
        <v>1146</v>
      </c>
      <c r="G2410" s="154" t="e">
        <v>#VALUE!</v>
      </c>
    </row>
    <row r="2411" spans="1:7" ht="21.6" customHeight="1">
      <c r="A2411" s="154" t="s">
        <v>1318</v>
      </c>
      <c r="B2411" s="154" t="str" cm="1">
        <f t="array" ref="B2411">_xlfn.XLOOKUP(TRUE, ISNUMBER(SEARCH(工作表5!$A$1:$A$23, C2411)), 工作表5!$B$1:$B$23, "其他")</f>
        <v>轉寫組</v>
      </c>
      <c r="C2411" s="144" t="s">
        <v>582</v>
      </c>
      <c r="D2411" s="156"/>
      <c r="E2411" s="156" t="s">
        <v>1721</v>
      </c>
      <c r="F2411" s="156" t="s">
        <v>1148</v>
      </c>
      <c r="G2411" s="154" t="e">
        <v>#VALUE!</v>
      </c>
    </row>
    <row r="2412" spans="1:7" ht="21.6" customHeight="1">
      <c r="A2412" s="154" t="s">
        <v>1318</v>
      </c>
      <c r="B2412" s="154" t="str" cm="1">
        <f t="array" ref="B2412">_xlfn.XLOOKUP(TRUE, ISNUMBER(SEARCH(工作表5!$A$1:$A$23, C2412)), 工作表5!$B$1:$B$23, "其他")</f>
        <v>定著組</v>
      </c>
      <c r="C2412" s="149" t="s">
        <v>1151</v>
      </c>
      <c r="D2412" s="156"/>
      <c r="E2412" s="156" t="s">
        <v>1722</v>
      </c>
      <c r="F2412" s="156" t="s">
        <v>1150</v>
      </c>
      <c r="G2412" s="154" t="e">
        <v>#VALUE!</v>
      </c>
    </row>
    <row r="2413" spans="1:7" ht="21.6" customHeight="1">
      <c r="A2413" s="154" t="s">
        <v>58</v>
      </c>
      <c r="B2413" s="154" t="str" cm="1">
        <f t="array" ref="B2413">_xlfn.XLOOKUP(TRUE, ISNUMBER(SEARCH(工作表5!$A$1:$A$23, C2413)), 工作表5!$B$1:$B$23, "其他")</f>
        <v>滾筒組</v>
      </c>
      <c r="C2413" s="143" t="s">
        <v>71</v>
      </c>
      <c r="D2413" s="156"/>
      <c r="E2413" s="156" t="s">
        <v>1469</v>
      </c>
      <c r="F2413" s="156" t="s">
        <v>499</v>
      </c>
      <c r="G2413" s="154">
        <v>540000</v>
      </c>
    </row>
    <row r="2414" spans="1:7" ht="21.6" customHeight="1">
      <c r="A2414" s="154" t="s">
        <v>58</v>
      </c>
      <c r="B2414" s="154" t="str" cm="1">
        <f t="array" ref="B2414">_xlfn.XLOOKUP(TRUE, ISNUMBER(SEARCH(工作表5!$A$1:$A$23, C2414)), 工作表5!$B$1:$B$23, "其他")</f>
        <v>顯像組</v>
      </c>
      <c r="C2414" s="145" t="s">
        <v>502</v>
      </c>
      <c r="D2414" s="156"/>
      <c r="E2414" s="156" t="s">
        <v>1470</v>
      </c>
      <c r="F2414" s="156" t="s">
        <v>501</v>
      </c>
      <c r="G2414" s="154" t="e">
        <v>#VALUE!</v>
      </c>
    </row>
    <row r="2415" spans="1:7" ht="21.6" customHeight="1">
      <c r="A2415" s="154" t="s">
        <v>58</v>
      </c>
      <c r="B2415" s="154" t="str" cm="1">
        <f t="array" ref="B2415">_xlfn.XLOOKUP(TRUE, ISNUMBER(SEARCH(工作表5!$A$1:$A$23, C2415)), 工作表5!$B$1:$B$23, "其他")</f>
        <v>顯像組</v>
      </c>
      <c r="C2415" s="145" t="s">
        <v>703</v>
      </c>
      <c r="D2415" s="156"/>
      <c r="E2415" s="156" t="s">
        <v>1723</v>
      </c>
      <c r="F2415" s="156" t="s">
        <v>1153</v>
      </c>
      <c r="G2415" s="154" t="e">
        <v>#VALUE!</v>
      </c>
    </row>
    <row r="2416" spans="1:7" ht="21.6" customHeight="1">
      <c r="A2416" s="154" t="s">
        <v>58</v>
      </c>
      <c r="B2416" s="154" t="str" cm="1">
        <f t="array" ref="B2416">_xlfn.XLOOKUP(TRUE, ISNUMBER(SEARCH(工作表5!$A$1:$A$23, C2416)), 工作表5!$B$1:$B$23, "其他")</f>
        <v>顯像組</v>
      </c>
      <c r="C2416" s="144" t="s">
        <v>706</v>
      </c>
      <c r="D2416" s="156"/>
      <c r="E2416" s="156" t="s">
        <v>1724</v>
      </c>
      <c r="F2416" s="156" t="s">
        <v>1155</v>
      </c>
      <c r="G2416" s="154" t="e">
        <v>#VALUE!</v>
      </c>
    </row>
    <row r="2417" spans="1:7" ht="21.6" customHeight="1">
      <c r="A2417" s="154" t="s">
        <v>58</v>
      </c>
      <c r="B2417" s="154" t="str" cm="1">
        <f t="array" ref="B2417">_xlfn.XLOOKUP(TRUE, ISNUMBER(SEARCH(工作表5!$A$1:$A$23, C2417)), 工作表5!$B$1:$B$23, "其他")</f>
        <v>顯像組</v>
      </c>
      <c r="C2417" s="145" t="s">
        <v>709</v>
      </c>
      <c r="D2417" s="156"/>
      <c r="E2417" s="156" t="s">
        <v>1725</v>
      </c>
      <c r="F2417" s="156" t="s">
        <v>1157</v>
      </c>
      <c r="G2417" s="154" t="e">
        <v>#VALUE!</v>
      </c>
    </row>
    <row r="2418" spans="1:7" ht="21.6" customHeight="1">
      <c r="A2418" s="154" t="s">
        <v>58</v>
      </c>
      <c r="B2418" s="154" t="str" cm="1">
        <f t="array" ref="B2418">_xlfn.XLOOKUP(TRUE, ISNUMBER(SEARCH(工作表5!$A$1:$A$23, C2418)), 工作表5!$B$1:$B$23, "其他")</f>
        <v>滾筒組</v>
      </c>
      <c r="C2418" s="145" t="s">
        <v>415</v>
      </c>
      <c r="D2418" s="156"/>
      <c r="E2418" s="156" t="s">
        <v>1471</v>
      </c>
      <c r="F2418" s="156" t="s">
        <v>505</v>
      </c>
      <c r="G2418" s="154">
        <v>540000</v>
      </c>
    </row>
    <row r="2419" spans="1:7" ht="21.6" customHeight="1">
      <c r="A2419" s="154" t="s">
        <v>58</v>
      </c>
      <c r="B2419" s="154" t="str" cm="1">
        <f t="array" ref="B2419">_xlfn.XLOOKUP(TRUE, ISNUMBER(SEARCH(工作表5!$A$1:$A$23, C2419)), 工作表5!$B$1:$B$23, "其他")</f>
        <v>滾筒組</v>
      </c>
      <c r="C2419" s="144" t="s">
        <v>107</v>
      </c>
      <c r="D2419" s="156"/>
      <c r="E2419" s="156" t="s">
        <v>1472</v>
      </c>
      <c r="F2419" s="156" t="s">
        <v>507</v>
      </c>
      <c r="G2419" s="154">
        <v>540000</v>
      </c>
    </row>
    <row r="2420" spans="1:7" ht="21.6" customHeight="1">
      <c r="A2420" s="154" t="s">
        <v>58</v>
      </c>
      <c r="B2420" s="154" t="str" cm="1">
        <f t="array" ref="B2420">_xlfn.XLOOKUP(TRUE, ISNUMBER(SEARCH(工作表5!$A$1:$A$23, C2420)), 工作表5!$B$1:$B$23, "其他")</f>
        <v>顯像組</v>
      </c>
      <c r="C2420" s="145" t="s">
        <v>104</v>
      </c>
      <c r="D2420" s="156"/>
      <c r="E2420" s="156" t="s">
        <v>1473</v>
      </c>
      <c r="F2420" s="156" t="s">
        <v>509</v>
      </c>
      <c r="G2420" s="154">
        <v>540000</v>
      </c>
    </row>
    <row r="2421" spans="1:7" ht="21.6" customHeight="1">
      <c r="A2421" s="154" t="s">
        <v>58</v>
      </c>
      <c r="B2421" s="154" t="str" cm="1">
        <f t="array" ref="B2421">_xlfn.XLOOKUP(TRUE, ISNUMBER(SEARCH(工作表5!$A$1:$A$23, C2421)), 工作表5!$B$1:$B$23, "其他")</f>
        <v>顯像組</v>
      </c>
      <c r="C2421" s="145" t="s">
        <v>1806</v>
      </c>
      <c r="D2421" s="156"/>
      <c r="E2421" s="156" t="s">
        <v>1474</v>
      </c>
      <c r="F2421" s="156" t="s">
        <v>511</v>
      </c>
      <c r="G2421" s="154">
        <v>540000</v>
      </c>
    </row>
    <row r="2422" spans="1:7" ht="21.6" customHeight="1">
      <c r="A2422" s="154" t="s">
        <v>58</v>
      </c>
      <c r="B2422" s="154" t="str" cm="1">
        <f t="array" ref="B2422">_xlfn.XLOOKUP(TRUE, ISNUMBER(SEARCH(工作表5!$A$1:$A$23, C2422)), 工作表5!$B$1:$B$23, "其他")</f>
        <v>滾筒組</v>
      </c>
      <c r="C2422" s="145" t="s">
        <v>1807</v>
      </c>
      <c r="D2422" s="156"/>
      <c r="E2422" s="156" t="s">
        <v>1475</v>
      </c>
      <c r="F2422" s="156" t="s">
        <v>513</v>
      </c>
      <c r="G2422" s="154">
        <v>540000</v>
      </c>
    </row>
    <row r="2423" spans="1:7" ht="21.6" customHeight="1">
      <c r="A2423" s="154" t="s">
        <v>58</v>
      </c>
      <c r="B2423" s="154" t="str" cm="1">
        <f t="array" ref="B2423">_xlfn.XLOOKUP(TRUE, ISNUMBER(SEARCH(工作表5!$A$1:$A$23, C2423)), 工作表5!$B$1:$B$23, "其他")</f>
        <v>滾筒組</v>
      </c>
      <c r="C2423" s="145" t="s">
        <v>516</v>
      </c>
      <c r="D2423" s="156"/>
      <c r="E2423" s="156" t="s">
        <v>1476</v>
      </c>
      <c r="F2423" s="156" t="s">
        <v>515</v>
      </c>
      <c r="G2423" s="154">
        <v>540000</v>
      </c>
    </row>
    <row r="2424" spans="1:7" ht="21.6" customHeight="1">
      <c r="A2424" s="154" t="s">
        <v>58</v>
      </c>
      <c r="B2424" s="154" t="str" cm="1">
        <f t="array" ref="B2424">_xlfn.XLOOKUP(TRUE, ISNUMBER(SEARCH(工作表5!$A$1:$A$23, C2424)), 工作表5!$B$1:$B$23, "其他")</f>
        <v>其他</v>
      </c>
      <c r="C2424" s="145" t="s">
        <v>1808</v>
      </c>
      <c r="D2424" s="156"/>
      <c r="E2424" s="156" t="s">
        <v>1477</v>
      </c>
      <c r="F2424" s="156" t="s">
        <v>518</v>
      </c>
      <c r="G2424" s="154">
        <v>540000</v>
      </c>
    </row>
    <row r="2425" spans="1:7" ht="21.6" customHeight="1">
      <c r="A2425" s="154" t="s">
        <v>58</v>
      </c>
      <c r="B2425" s="154" t="str" cm="1">
        <f t="array" ref="B2425">_xlfn.XLOOKUP(TRUE, ISNUMBER(SEARCH(工作表5!$A$1:$A$23, C2425)), 工作表5!$B$1:$B$23, "其他")</f>
        <v>其他</v>
      </c>
      <c r="C2425" s="144" t="s">
        <v>101</v>
      </c>
      <c r="D2425" s="156"/>
      <c r="E2425" s="156" t="s">
        <v>1478</v>
      </c>
      <c r="F2425" s="156" t="s">
        <v>520</v>
      </c>
      <c r="G2425" s="154">
        <v>540000</v>
      </c>
    </row>
    <row r="2426" spans="1:7" ht="21.6" customHeight="1">
      <c r="A2426" s="154" t="s">
        <v>58</v>
      </c>
      <c r="B2426" s="154" t="str" cm="1">
        <f t="array" ref="B2426">_xlfn.XLOOKUP(TRUE, ISNUMBER(SEARCH(工作表5!$A$1:$A$23, C2426)), 工作表5!$B$1:$B$23, "其他")</f>
        <v>其他</v>
      </c>
      <c r="C2426" s="145" t="s">
        <v>523</v>
      </c>
      <c r="D2426" s="156"/>
      <c r="E2426" s="156" t="s">
        <v>1479</v>
      </c>
      <c r="F2426" s="156" t="s">
        <v>522</v>
      </c>
      <c r="G2426" s="154">
        <v>540000</v>
      </c>
    </row>
    <row r="2427" spans="1:7" ht="21.6" customHeight="1">
      <c r="A2427" s="154" t="s">
        <v>58</v>
      </c>
      <c r="B2427" s="154" t="str" cm="1">
        <f t="array" ref="B2427">_xlfn.XLOOKUP(TRUE, ISNUMBER(SEARCH(工作表5!$A$1:$A$23, C2427)), 工作表5!$B$1:$B$23, "其他")</f>
        <v>其他</v>
      </c>
      <c r="C2427" s="145" t="s">
        <v>1851</v>
      </c>
      <c r="D2427" s="156"/>
      <c r="E2427" s="156" t="s">
        <v>1726</v>
      </c>
      <c r="F2427" s="156" t="s">
        <v>1159</v>
      </c>
      <c r="G2427" s="154">
        <v>540000</v>
      </c>
    </row>
    <row r="2428" spans="1:7" ht="21.6" customHeight="1">
      <c r="A2428" s="154" t="s">
        <v>58</v>
      </c>
      <c r="B2428" s="154" t="str" cm="1">
        <f t="array" ref="B2428">_xlfn.XLOOKUP(TRUE, ISNUMBER(SEARCH(工作表5!$A$1:$A$23, C2428)), 工作表5!$B$1:$B$23, "其他")</f>
        <v>其他</v>
      </c>
      <c r="C2428" s="145" t="s">
        <v>1851</v>
      </c>
      <c r="D2428" s="156"/>
      <c r="E2428" s="156" t="s">
        <v>1727</v>
      </c>
      <c r="F2428" s="156" t="s">
        <v>1162</v>
      </c>
      <c r="G2428" s="154">
        <v>540000</v>
      </c>
    </row>
    <row r="2429" spans="1:7" ht="21.6" customHeight="1">
      <c r="A2429" s="154" t="s">
        <v>58</v>
      </c>
      <c r="B2429" s="154" t="str" cm="1">
        <f t="array" ref="B2429">_xlfn.XLOOKUP(TRUE, ISNUMBER(SEARCH(工作表5!$A$1:$A$23, C2429)), 工作表5!$B$1:$B$23, "其他")</f>
        <v>其他</v>
      </c>
      <c r="C2429" s="144" t="s">
        <v>101</v>
      </c>
      <c r="D2429" s="156"/>
      <c r="E2429" s="156" t="s">
        <v>1334</v>
      </c>
      <c r="F2429" s="156" t="s">
        <v>100</v>
      </c>
      <c r="G2429" s="154">
        <v>540000</v>
      </c>
    </row>
    <row r="2430" spans="1:7" ht="21.6" customHeight="1">
      <c r="A2430" s="154" t="s">
        <v>58</v>
      </c>
      <c r="B2430" s="154" t="str" cm="1">
        <f t="array" ref="B2430">_xlfn.XLOOKUP(TRUE, ISNUMBER(SEARCH(工作表5!$A$1:$A$23, C2430)), 工作表5!$B$1:$B$23, "其他")</f>
        <v>定著組</v>
      </c>
      <c r="C2430" s="144" t="s">
        <v>1809</v>
      </c>
      <c r="D2430" s="156"/>
      <c r="E2430" s="156" t="s">
        <v>1480</v>
      </c>
      <c r="F2430" s="156" t="s">
        <v>525</v>
      </c>
      <c r="G2430" s="154">
        <v>540000</v>
      </c>
    </row>
    <row r="2431" spans="1:7" ht="21.6" customHeight="1">
      <c r="A2431" s="154" t="s">
        <v>58</v>
      </c>
      <c r="B2431" s="154" t="str" cm="1">
        <f t="array" ref="B2431">_xlfn.XLOOKUP(TRUE, ISNUMBER(SEARCH(工作表5!$A$1:$A$23, C2431)), 工作表5!$B$1:$B$23, "其他")</f>
        <v>定著組</v>
      </c>
      <c r="C2431" s="144" t="s">
        <v>1810</v>
      </c>
      <c r="D2431" s="156"/>
      <c r="E2431" s="156" t="s">
        <v>1481</v>
      </c>
      <c r="F2431" s="156" t="s">
        <v>528</v>
      </c>
      <c r="G2431" s="154">
        <v>540000</v>
      </c>
    </row>
    <row r="2432" spans="1:7" ht="21.6" customHeight="1">
      <c r="A2432" s="154" t="s">
        <v>58</v>
      </c>
      <c r="B2432" s="154" t="str" cm="1">
        <f t="array" ref="B2432">_xlfn.XLOOKUP(TRUE, ISNUMBER(SEARCH(工作表5!$A$1:$A$23, C2432)), 工作表5!$B$1:$B$23, "其他")</f>
        <v>定著組</v>
      </c>
      <c r="C2432" s="144" t="s">
        <v>1811</v>
      </c>
      <c r="D2432" s="156"/>
      <c r="E2432" s="156" t="s">
        <v>1482</v>
      </c>
      <c r="F2432" s="156" t="s">
        <v>530</v>
      </c>
      <c r="G2432" s="154">
        <v>540000</v>
      </c>
    </row>
    <row r="2433" spans="1:7" ht="21.6" customHeight="1">
      <c r="A2433" s="154" t="s">
        <v>58</v>
      </c>
      <c r="B2433" s="154" t="str" cm="1">
        <f t="array" ref="B2433">_xlfn.XLOOKUP(TRUE, ISNUMBER(SEARCH(工作表5!$A$1:$A$23, C2433)), 工作表5!$B$1:$B$23, "其他")</f>
        <v>轉寫組</v>
      </c>
      <c r="C2433" s="144" t="s">
        <v>533</v>
      </c>
      <c r="D2433" s="156"/>
      <c r="E2433" s="156" t="s">
        <v>1483</v>
      </c>
      <c r="F2433" s="156" t="s">
        <v>532</v>
      </c>
      <c r="G2433" s="154">
        <v>540000</v>
      </c>
    </row>
    <row r="2434" spans="1:7" ht="21.6" customHeight="1">
      <c r="A2434" s="154" t="s">
        <v>58</v>
      </c>
      <c r="B2434" s="154" t="str" cm="1">
        <f t="array" ref="B2434">_xlfn.XLOOKUP(TRUE, ISNUMBER(SEARCH(工作表5!$A$1:$A$23, C2434)), 工作表5!$B$1:$B$23, "其他")</f>
        <v>轉寫組</v>
      </c>
      <c r="C2434" s="145" t="s">
        <v>1812</v>
      </c>
      <c r="D2434" s="156"/>
      <c r="E2434" s="156" t="s">
        <v>1484</v>
      </c>
      <c r="F2434" s="156" t="s">
        <v>535</v>
      </c>
      <c r="G2434" s="154">
        <v>540000</v>
      </c>
    </row>
    <row r="2435" spans="1:7" ht="21.6" customHeight="1">
      <c r="A2435" s="154" t="s">
        <v>58</v>
      </c>
      <c r="B2435" s="154" t="str" cm="1">
        <f t="array" ref="B2435">_xlfn.XLOOKUP(TRUE, ISNUMBER(SEARCH(工作表5!$A$1:$A$23, C2435)), 工作表5!$B$1:$B$23, "其他")</f>
        <v>轉寫組</v>
      </c>
      <c r="C2435" s="145" t="s">
        <v>1813</v>
      </c>
      <c r="D2435" s="156"/>
      <c r="E2435" s="156" t="s">
        <v>1485</v>
      </c>
      <c r="F2435" s="156" t="s">
        <v>537</v>
      </c>
      <c r="G2435" s="154">
        <v>540000</v>
      </c>
    </row>
    <row r="2436" spans="1:7" ht="21.6" customHeight="1">
      <c r="A2436" s="154" t="s">
        <v>58</v>
      </c>
      <c r="B2436" s="154" t="str" cm="1">
        <f t="array" ref="B2436">_xlfn.XLOOKUP(TRUE, ISNUMBER(SEARCH(工作表5!$A$1:$A$23, C2436)), 工作表5!$B$1:$B$23, "其他")</f>
        <v>轉寫組</v>
      </c>
      <c r="C2436" s="145" t="s">
        <v>1814</v>
      </c>
      <c r="D2436" s="156"/>
      <c r="E2436" s="156" t="s">
        <v>1486</v>
      </c>
      <c r="F2436" s="156" t="s">
        <v>539</v>
      </c>
      <c r="G2436" s="154">
        <v>540000</v>
      </c>
    </row>
    <row r="2437" spans="1:7" ht="21.6" customHeight="1">
      <c r="A2437" s="154" t="s">
        <v>58</v>
      </c>
      <c r="B2437" s="154" t="str" cm="1">
        <f t="array" ref="B2437">_xlfn.XLOOKUP(TRUE, ISNUMBER(SEARCH(工作表5!$A$1:$A$23, C2437)), 工作表5!$B$1:$B$23, "其他")</f>
        <v>轉寫組</v>
      </c>
      <c r="C2437" s="145" t="s">
        <v>1815</v>
      </c>
      <c r="D2437" s="156"/>
      <c r="E2437" s="156" t="s">
        <v>1487</v>
      </c>
      <c r="F2437" s="156" t="s">
        <v>541</v>
      </c>
      <c r="G2437" s="154">
        <v>540000</v>
      </c>
    </row>
    <row r="2438" spans="1:7" ht="21.6" customHeight="1">
      <c r="A2438" s="154" t="s">
        <v>58</v>
      </c>
      <c r="B2438" s="154" t="str" cm="1">
        <f t="array" ref="B2438">_xlfn.XLOOKUP(TRUE, ISNUMBER(SEARCH(工作表5!$A$1:$A$23, C2438)), 工作表5!$B$1:$B$23, "其他")</f>
        <v>取紙組</v>
      </c>
      <c r="C2438" s="144" t="s">
        <v>1832</v>
      </c>
      <c r="D2438" s="156"/>
      <c r="E2438" s="156" t="s">
        <v>1488</v>
      </c>
      <c r="F2438" s="156" t="s">
        <v>543</v>
      </c>
      <c r="G2438" s="154">
        <v>200000</v>
      </c>
    </row>
    <row r="2439" spans="1:7" ht="21.6" customHeight="1">
      <c r="A2439" s="154" t="s">
        <v>58</v>
      </c>
      <c r="B2439" s="154" t="str" cm="1">
        <f t="array" ref="B2439">_xlfn.XLOOKUP(TRUE, ISNUMBER(SEARCH(工作表5!$A$1:$A$23, C2439)), 工作表5!$B$1:$B$23, "其他")</f>
        <v>取紙組</v>
      </c>
      <c r="C2439" s="144" t="s">
        <v>110</v>
      </c>
      <c r="D2439" s="156"/>
      <c r="E2439" s="156" t="s">
        <v>1488</v>
      </c>
      <c r="F2439" s="156" t="s">
        <v>543</v>
      </c>
      <c r="G2439" s="154">
        <v>200000</v>
      </c>
    </row>
    <row r="2440" spans="1:7" ht="21.6" customHeight="1">
      <c r="A2440" s="154" t="s">
        <v>58</v>
      </c>
      <c r="B2440" s="154" t="str" cm="1">
        <f t="array" ref="B2440">_xlfn.XLOOKUP(TRUE, ISNUMBER(SEARCH(工作表5!$A$1:$A$23, C2440)), 工作表5!$B$1:$B$23, "其他")</f>
        <v>手送台</v>
      </c>
      <c r="C2440" s="144" t="s">
        <v>114</v>
      </c>
      <c r="D2440" s="156"/>
      <c r="E2440" s="156" t="s">
        <v>1453</v>
      </c>
      <c r="F2440" s="156" t="s">
        <v>458</v>
      </c>
      <c r="G2440" s="154">
        <v>200000</v>
      </c>
    </row>
    <row r="2441" spans="1:7" ht="21.6" customHeight="1">
      <c r="A2441" s="154" t="s">
        <v>58</v>
      </c>
      <c r="B2441" s="154" t="str" cm="1">
        <f t="array" ref="B2441">_xlfn.XLOOKUP(TRUE, ISNUMBER(SEARCH(工作表5!$A$1:$A$23, C2441)), 工作表5!$B$1:$B$23, "其他")</f>
        <v>大容量取紙組</v>
      </c>
      <c r="C2441" s="144" t="s">
        <v>1833</v>
      </c>
      <c r="D2441" s="156"/>
      <c r="E2441" s="156" t="s">
        <v>1488</v>
      </c>
      <c r="F2441" s="156" t="s">
        <v>543</v>
      </c>
      <c r="G2441" s="154">
        <v>400000</v>
      </c>
    </row>
    <row r="2442" spans="1:7" ht="21.6" customHeight="1">
      <c r="A2442" s="154" t="s">
        <v>58</v>
      </c>
      <c r="B2442" s="154" t="str" cm="1">
        <f t="array" ref="B2442">_xlfn.XLOOKUP(TRUE, ISNUMBER(SEARCH(工作表5!$A$1:$A$23, C2442)), 工作表5!$B$1:$B$23, "其他")</f>
        <v>大容量取紙組</v>
      </c>
      <c r="C2442" s="144" t="s">
        <v>1833</v>
      </c>
      <c r="D2442" s="156"/>
      <c r="E2442" s="156" t="s">
        <v>1411</v>
      </c>
      <c r="F2442" s="156" t="s">
        <v>336</v>
      </c>
      <c r="G2442" s="154">
        <v>400000</v>
      </c>
    </row>
    <row r="2443" spans="1:7" ht="21.6" customHeight="1">
      <c r="A2443" s="154" t="s">
        <v>58</v>
      </c>
      <c r="B2443" s="154" t="str" cm="1">
        <f t="array" ref="B2443">_xlfn.XLOOKUP(TRUE, ISNUMBER(SEARCH(工作表5!$A$1:$A$23, C2443)), 工作表5!$B$1:$B$23, "其他")</f>
        <v>大容量取紙組</v>
      </c>
      <c r="C2443" s="144" t="s">
        <v>1834</v>
      </c>
      <c r="D2443" s="156"/>
      <c r="E2443" s="156" t="s">
        <v>1412</v>
      </c>
      <c r="F2443" s="156" t="s">
        <v>340</v>
      </c>
      <c r="G2443" s="154">
        <v>400000</v>
      </c>
    </row>
    <row r="2444" spans="1:7" ht="21.6" customHeight="1">
      <c r="A2444" s="154" t="s">
        <v>58</v>
      </c>
      <c r="B2444" s="154" t="str" cm="1">
        <f t="array" ref="B2444">_xlfn.XLOOKUP(TRUE, ISNUMBER(SEARCH(工作表5!$A$1:$A$23, C2444)), 工作表5!$B$1:$B$23, "其他")</f>
        <v>送稿機</v>
      </c>
      <c r="C2444" s="145" t="s">
        <v>1782</v>
      </c>
      <c r="D2444" s="156"/>
      <c r="E2444" s="156" t="s">
        <v>1394</v>
      </c>
      <c r="F2444" s="156" t="s">
        <v>281</v>
      </c>
      <c r="G2444" s="154" t="e">
        <v>#VALUE!</v>
      </c>
    </row>
    <row r="2445" spans="1:7" ht="21.6" customHeight="1">
      <c r="A2445" s="154" t="s">
        <v>58</v>
      </c>
      <c r="B2445" s="154" t="str" cm="1">
        <f t="array" ref="B2445">_xlfn.XLOOKUP(TRUE, ISNUMBER(SEARCH(工作表5!$A$1:$A$23, C2445)), 工作表5!$B$1:$B$23, "其他")</f>
        <v>送稿機</v>
      </c>
      <c r="C2445" s="144" t="s">
        <v>285</v>
      </c>
      <c r="D2445" s="156"/>
      <c r="E2445" s="156" t="s">
        <v>1395</v>
      </c>
      <c r="F2445" s="156" t="s">
        <v>226</v>
      </c>
      <c r="G2445" s="154" t="e">
        <v>#VALUE!</v>
      </c>
    </row>
    <row r="2446" spans="1:7" ht="21.6" customHeight="1">
      <c r="A2446" s="154" t="s">
        <v>58</v>
      </c>
      <c r="B2446" s="154" t="str" cm="1">
        <f t="array" ref="B2446">_xlfn.XLOOKUP(TRUE, ISNUMBER(SEARCH(工作表5!$A$1:$A$23, C2446)), 工作表5!$B$1:$B$23, "其他")</f>
        <v>送稿機</v>
      </c>
      <c r="C2446" s="145" t="s">
        <v>282</v>
      </c>
      <c r="D2446" s="156"/>
      <c r="E2446" s="156" t="s">
        <v>1396</v>
      </c>
      <c r="F2446" s="156" t="s">
        <v>288</v>
      </c>
      <c r="G2446" s="154" t="e">
        <v>#VALUE!</v>
      </c>
    </row>
    <row r="2447" spans="1:7" ht="21.6" customHeight="1">
      <c r="A2447" s="154" t="s">
        <v>58</v>
      </c>
      <c r="B2447" s="154" t="str" cm="1">
        <f t="array" ref="B2447">_xlfn.XLOOKUP(TRUE, ISNUMBER(SEARCH(工作表5!$A$1:$A$23, C2447)), 工作表5!$B$1:$B$23, "其他")</f>
        <v>其他</v>
      </c>
      <c r="C2447" s="144" t="s">
        <v>1784</v>
      </c>
      <c r="D2447" s="156"/>
      <c r="E2447" s="156" t="s">
        <v>1452</v>
      </c>
      <c r="F2447" s="156" t="s">
        <v>226</v>
      </c>
      <c r="G2447" s="154">
        <v>500000</v>
      </c>
    </row>
    <row r="2448" spans="1:7" ht="21.6" customHeight="1">
      <c r="A2448" s="154" t="s">
        <v>58</v>
      </c>
      <c r="B2448" s="154" t="str" cm="1">
        <f t="array" ref="B2448">_xlfn.XLOOKUP(TRUE, ISNUMBER(SEARCH(工作表5!$A$1:$A$23, C2448)), 工作表5!$B$1:$B$23, "其他")</f>
        <v>送稿機</v>
      </c>
      <c r="C2448" s="144" t="s">
        <v>337</v>
      </c>
      <c r="D2448" s="156"/>
      <c r="E2448" s="156" t="s">
        <v>1411</v>
      </c>
      <c r="F2448" s="156" t="s">
        <v>336</v>
      </c>
      <c r="G2448" s="154">
        <v>500000</v>
      </c>
    </row>
    <row r="2449" spans="1:7" ht="21.6" customHeight="1">
      <c r="A2449" s="154" t="s">
        <v>58</v>
      </c>
      <c r="B2449" s="154" t="str" cm="1">
        <f t="array" ref="B2449">_xlfn.XLOOKUP(TRUE, ISNUMBER(SEARCH(工作表5!$A$1:$A$23, C2449)), 工作表5!$B$1:$B$23, "其他")</f>
        <v>送稿機</v>
      </c>
      <c r="C2449" s="145" t="s">
        <v>341</v>
      </c>
      <c r="D2449" s="156"/>
      <c r="E2449" s="156" t="s">
        <v>1412</v>
      </c>
      <c r="F2449" s="156" t="s">
        <v>340</v>
      </c>
      <c r="G2449" s="154">
        <v>500000</v>
      </c>
    </row>
    <row r="2450" spans="1:7" ht="21.6" customHeight="1">
      <c r="A2450" s="154" t="s">
        <v>58</v>
      </c>
      <c r="B2450" s="154" t="str" cm="1">
        <f t="array" ref="B2450">_xlfn.XLOOKUP(TRUE, ISNUMBER(SEARCH(工作表5!$A$1:$A$23, C2450)), 工作表5!$B$1:$B$23, "其他")</f>
        <v>其他</v>
      </c>
      <c r="C2450" s="144" t="s">
        <v>1818</v>
      </c>
      <c r="D2450" s="156"/>
      <c r="E2450" s="156" t="s">
        <v>1410</v>
      </c>
      <c r="F2450" s="156" t="s">
        <v>333</v>
      </c>
      <c r="G2450" s="154">
        <v>500000</v>
      </c>
    </row>
    <row r="2451" spans="1:7" ht="21.6" customHeight="1">
      <c r="A2451" s="154" t="s">
        <v>58</v>
      </c>
      <c r="B2451" s="154" t="str" cm="1">
        <f t="array" ref="B2451">_xlfn.XLOOKUP(TRUE, ISNUMBER(SEARCH(工作表5!$A$1:$A$23, C2451)), 工作表5!$B$1:$B$23, "其他")</f>
        <v>送稿機</v>
      </c>
      <c r="C2451" s="144" t="s">
        <v>546</v>
      </c>
      <c r="D2451" s="156"/>
      <c r="E2451" s="156" t="s">
        <v>1411</v>
      </c>
      <c r="F2451" s="156" t="s">
        <v>336</v>
      </c>
      <c r="G2451" s="154">
        <v>500000</v>
      </c>
    </row>
    <row r="2452" spans="1:7" ht="21.6" customHeight="1">
      <c r="A2452" s="154" t="s">
        <v>58</v>
      </c>
      <c r="B2452" s="154" t="str" cm="1">
        <f t="array" ref="B2452">_xlfn.XLOOKUP(TRUE, ISNUMBER(SEARCH(工作表5!$A$1:$A$23, C2452)), 工作表5!$B$1:$B$23, "其他")</f>
        <v>送稿機</v>
      </c>
      <c r="C2452" s="145" t="s">
        <v>547</v>
      </c>
      <c r="D2452" s="156"/>
      <c r="E2452" s="156" t="s">
        <v>1412</v>
      </c>
      <c r="F2452" s="156" t="s">
        <v>340</v>
      </c>
      <c r="G2452" s="154">
        <v>500000</v>
      </c>
    </row>
    <row r="2453" spans="1:7" ht="21.6" customHeight="1">
      <c r="A2453" s="154" t="s">
        <v>58</v>
      </c>
      <c r="B2453" s="154" t="str" cm="1">
        <f t="array" ref="B2453">_xlfn.XLOOKUP(TRUE, ISNUMBER(SEARCH(工作表5!$A$1:$A$23, C2453)), 工作表5!$B$1:$B$23, "其他")</f>
        <v>手送台</v>
      </c>
      <c r="C2453" s="145" t="s">
        <v>1819</v>
      </c>
      <c r="D2453" s="156"/>
      <c r="E2453" s="156" t="s">
        <v>1489</v>
      </c>
      <c r="F2453" s="156" t="s">
        <v>549</v>
      </c>
      <c r="G2453" s="154">
        <v>100000</v>
      </c>
    </row>
    <row r="2454" spans="1:7" ht="21.6" customHeight="1">
      <c r="A2454" s="154" t="s">
        <v>58</v>
      </c>
      <c r="B2454" s="154" t="str" cm="1">
        <f t="array" ref="B2454">_xlfn.XLOOKUP(TRUE, ISNUMBER(SEARCH(工作表5!$A$1:$A$23, C2454)), 工作表5!$B$1:$B$23, "其他")</f>
        <v>手送台</v>
      </c>
      <c r="C2454" s="144" t="s">
        <v>553</v>
      </c>
      <c r="D2454" s="156"/>
      <c r="E2454" s="156" t="s">
        <v>1490</v>
      </c>
      <c r="F2454" s="156" t="s">
        <v>552</v>
      </c>
      <c r="G2454" s="154">
        <v>100000</v>
      </c>
    </row>
    <row r="2455" spans="1:7" ht="21.6" customHeight="1">
      <c r="A2455" s="154" t="s">
        <v>58</v>
      </c>
      <c r="B2455" s="154" t="str" cm="1">
        <f t="array" ref="B2455">_xlfn.XLOOKUP(TRUE, ISNUMBER(SEARCH(工作表5!$A$1:$A$23, C2455)), 工作表5!$B$1:$B$23, "其他")</f>
        <v>手送台</v>
      </c>
      <c r="C2455" s="144" t="s">
        <v>550</v>
      </c>
      <c r="D2455" s="156"/>
      <c r="E2455" s="156" t="s">
        <v>1491</v>
      </c>
      <c r="F2455" s="156" t="s">
        <v>555</v>
      </c>
      <c r="G2455" s="154">
        <v>100000</v>
      </c>
    </row>
    <row r="2456" spans="1:7" ht="21.6" customHeight="1">
      <c r="A2456" s="154" t="s">
        <v>58</v>
      </c>
      <c r="B2456" s="154" t="str" cm="1">
        <f t="array" ref="B2456">_xlfn.XLOOKUP(TRUE, ISNUMBER(SEARCH(工作表5!$A$1:$A$23, C2456)), 工作表5!$B$1:$B$23, "其他")</f>
        <v>手送台</v>
      </c>
      <c r="C2456" s="145" t="s">
        <v>1819</v>
      </c>
      <c r="D2456" s="156"/>
      <c r="E2456" s="156" t="s">
        <v>1489</v>
      </c>
      <c r="F2456" s="156" t="s">
        <v>549</v>
      </c>
      <c r="G2456" s="154">
        <v>120000</v>
      </c>
    </row>
    <row r="2457" spans="1:7" ht="21.6" customHeight="1">
      <c r="A2457" s="154" t="s">
        <v>58</v>
      </c>
      <c r="B2457" s="154" t="str" cm="1">
        <f t="array" ref="B2457">_xlfn.XLOOKUP(TRUE, ISNUMBER(SEARCH(工作表5!$A$1:$A$23, C2457)), 工作表5!$B$1:$B$23, "其他")</f>
        <v>手送台</v>
      </c>
      <c r="C2457" s="144" t="s">
        <v>553</v>
      </c>
      <c r="D2457" s="156"/>
      <c r="E2457" s="156" t="s">
        <v>1390</v>
      </c>
      <c r="F2457" s="156" t="s">
        <v>269</v>
      </c>
      <c r="G2457" s="154">
        <v>120000</v>
      </c>
    </row>
    <row r="2458" spans="1:7" ht="21.6" customHeight="1">
      <c r="A2458" s="154" t="s">
        <v>58</v>
      </c>
      <c r="B2458" s="154" t="str" cm="1">
        <f t="array" ref="B2458">_xlfn.XLOOKUP(TRUE, ISNUMBER(SEARCH(工作表5!$A$1:$A$23, C2458)), 工作表5!$B$1:$B$23, "其他")</f>
        <v>手送台</v>
      </c>
      <c r="C2458" s="144" t="s">
        <v>550</v>
      </c>
      <c r="D2458" s="156"/>
      <c r="E2458" s="156" t="s">
        <v>1391</v>
      </c>
      <c r="F2458" s="156" t="s">
        <v>272</v>
      </c>
      <c r="G2458" s="154">
        <v>120000</v>
      </c>
    </row>
    <row r="2459" spans="1:7" ht="21.6" customHeight="1">
      <c r="A2459" s="154" t="s">
        <v>58</v>
      </c>
      <c r="B2459" s="154" t="str" cm="1">
        <f t="array" ref="B2459">_xlfn.XLOOKUP(TRUE, ISNUMBER(SEARCH(工作表5!$A$1:$A$23, C2459)), 工作表5!$B$1:$B$23, "其他")</f>
        <v>其他</v>
      </c>
      <c r="C2459" s="145" t="s">
        <v>558</v>
      </c>
      <c r="D2459" s="156"/>
      <c r="E2459" s="156" t="s">
        <v>1492</v>
      </c>
      <c r="F2459" s="156" t="s">
        <v>557</v>
      </c>
      <c r="G2459" s="154">
        <v>540000</v>
      </c>
    </row>
    <row r="2460" spans="1:7" ht="21.6" customHeight="1">
      <c r="A2460" s="154" t="s">
        <v>58</v>
      </c>
      <c r="B2460" s="154" t="str" cm="1">
        <f t="array" ref="B2460">_xlfn.XLOOKUP(TRUE, ISNUMBER(SEARCH(工作表5!$A$1:$A$23, C2460)), 工作表5!$B$1:$B$23, "其他")</f>
        <v>轉寫組</v>
      </c>
      <c r="C2460" s="145" t="s">
        <v>1820</v>
      </c>
      <c r="D2460" s="156"/>
      <c r="E2460" s="156" t="s">
        <v>1493</v>
      </c>
      <c r="F2460" s="156" t="s">
        <v>560</v>
      </c>
      <c r="G2460" s="154">
        <v>540000</v>
      </c>
    </row>
    <row r="2461" spans="1:7" ht="21.6" customHeight="1">
      <c r="A2461" s="154" t="s">
        <v>58</v>
      </c>
      <c r="B2461" s="154" t="str" cm="1">
        <f t="array" ref="B2461">_xlfn.XLOOKUP(TRUE, ISNUMBER(SEARCH(工作表5!$A$1:$A$23, C2461)), 工作表5!$B$1:$B$23, "其他")</f>
        <v>定著組</v>
      </c>
      <c r="C2461" s="145" t="s">
        <v>244</v>
      </c>
      <c r="D2461" s="156"/>
      <c r="E2461" s="156" t="s">
        <v>1728</v>
      </c>
      <c r="F2461" s="156" t="s">
        <v>1171</v>
      </c>
      <c r="G2461" s="154">
        <v>540000</v>
      </c>
    </row>
    <row r="2462" spans="1:7" ht="21.6" customHeight="1">
      <c r="A2462" s="154" t="s">
        <v>58</v>
      </c>
      <c r="B2462" s="154" t="str" cm="1">
        <f t="array" ref="B2462">_xlfn.XLOOKUP(TRUE, ISNUMBER(SEARCH(工作表5!$A$1:$A$23, C2462)), 工作表5!$B$1:$B$23, "其他")</f>
        <v>其他</v>
      </c>
      <c r="C2462" s="145" t="s">
        <v>1803</v>
      </c>
      <c r="D2462" s="156"/>
      <c r="E2462" s="156" t="s">
        <v>1729</v>
      </c>
      <c r="F2462" s="156" t="s">
        <v>1173</v>
      </c>
      <c r="G2462" s="154">
        <v>540000</v>
      </c>
    </row>
    <row r="2463" spans="1:7" ht="21.6" customHeight="1">
      <c r="A2463" s="154" t="s">
        <v>58</v>
      </c>
      <c r="B2463" s="154" t="str" cm="1">
        <f t="array" ref="B2463">_xlfn.XLOOKUP(TRUE, ISNUMBER(SEARCH(工作表5!$A$1:$A$23, C2463)), 工作表5!$B$1:$B$23, "其他")</f>
        <v>其他</v>
      </c>
      <c r="C2463" s="145" t="s">
        <v>1803</v>
      </c>
      <c r="D2463" s="156"/>
      <c r="E2463" s="156" t="s">
        <v>1730</v>
      </c>
      <c r="F2463" s="156" t="s">
        <v>1176</v>
      </c>
      <c r="G2463" s="154">
        <v>540000</v>
      </c>
    </row>
    <row r="2464" spans="1:7" ht="21.6" customHeight="1">
      <c r="A2464" s="154" t="s">
        <v>58</v>
      </c>
      <c r="B2464" s="154" t="str" cm="1">
        <f t="array" ref="B2464">_xlfn.XLOOKUP(TRUE, ISNUMBER(SEARCH(工作表5!$A$1:$A$23, C2464)), 工作表5!$B$1:$B$23, "其他")</f>
        <v>取紙組</v>
      </c>
      <c r="C2464" s="144" t="s">
        <v>567</v>
      </c>
      <c r="D2464" s="156"/>
      <c r="E2464" s="156" t="s">
        <v>1496</v>
      </c>
      <c r="F2464" s="156" t="s">
        <v>566</v>
      </c>
      <c r="G2464" s="154">
        <v>200000</v>
      </c>
    </row>
    <row r="2465" spans="1:7" ht="21.6" customHeight="1">
      <c r="A2465" s="154" t="s">
        <v>58</v>
      </c>
      <c r="B2465" s="154" t="str" cm="1">
        <f t="array" ref="B2465">_xlfn.XLOOKUP(TRUE, ISNUMBER(SEARCH(工作表5!$A$1:$A$23, C2465)), 工作表5!$B$1:$B$23, "其他")</f>
        <v>取紙組</v>
      </c>
      <c r="C2465" s="144" t="s">
        <v>567</v>
      </c>
      <c r="D2465" s="156"/>
      <c r="E2465" s="156" t="s">
        <v>1535</v>
      </c>
      <c r="F2465" s="156" t="s">
        <v>673</v>
      </c>
      <c r="G2465" s="154">
        <v>400000</v>
      </c>
    </row>
    <row r="2466" spans="1:7" ht="21.6" customHeight="1">
      <c r="A2466" s="154" t="s">
        <v>58</v>
      </c>
      <c r="B2466" s="154" t="str" cm="1">
        <f t="array" ref="B2466">_xlfn.XLOOKUP(TRUE, ISNUMBER(SEARCH(工作表5!$A$1:$A$23, C2466)), 工作表5!$B$1:$B$23, "其他")</f>
        <v>其他</v>
      </c>
      <c r="C2466" s="144" t="s">
        <v>349</v>
      </c>
      <c r="D2466" s="156"/>
      <c r="E2466" s="156" t="s">
        <v>1415</v>
      </c>
      <c r="F2466" s="156" t="s">
        <v>348</v>
      </c>
      <c r="G2466" s="154">
        <v>500000</v>
      </c>
    </row>
    <row r="2467" spans="1:7" ht="21.6" customHeight="1">
      <c r="A2467" s="154" t="s">
        <v>58</v>
      </c>
      <c r="B2467" s="154" t="str" cm="1">
        <f t="array" ref="B2467">_xlfn.XLOOKUP(TRUE, ISNUMBER(SEARCH(工作表5!$A$1:$A$23, C2467)), 工作表5!$B$1:$B$23, "其他")</f>
        <v>其他</v>
      </c>
      <c r="C2467" s="144" t="s">
        <v>570</v>
      </c>
      <c r="D2467" s="156"/>
      <c r="E2467" s="156" t="s">
        <v>1497</v>
      </c>
      <c r="F2467" s="156" t="s">
        <v>569</v>
      </c>
      <c r="G2467" s="154">
        <v>500000</v>
      </c>
    </row>
    <row r="2468" spans="1:7" ht="21.6" customHeight="1">
      <c r="A2468" s="154" t="s">
        <v>58</v>
      </c>
      <c r="B2468" s="154" t="str" cm="1">
        <f t="array" ref="B2468">_xlfn.XLOOKUP(TRUE, ISNUMBER(SEARCH(工作表5!$A$1:$A$23, C2468)), 工作表5!$B$1:$B$23, "其他")</f>
        <v>送稿機</v>
      </c>
      <c r="C2468" s="145" t="s">
        <v>303</v>
      </c>
      <c r="D2468" s="156"/>
      <c r="E2468" s="156" t="s">
        <v>1401</v>
      </c>
      <c r="F2468" s="156" t="s">
        <v>302</v>
      </c>
      <c r="G2468" s="154" t="e">
        <v>#VALUE!</v>
      </c>
    </row>
    <row r="2469" spans="1:7" ht="21.6" customHeight="1">
      <c r="A2469" s="154" t="s">
        <v>58</v>
      </c>
      <c r="B2469" s="154" t="str" cm="1">
        <f t="array" ref="B2469">_xlfn.XLOOKUP(TRUE, ISNUMBER(SEARCH(工作表5!$A$1:$A$23, C2469)), 工作表5!$B$1:$B$23, "其他")</f>
        <v>滾筒組</v>
      </c>
      <c r="C2469" s="145" t="s">
        <v>132</v>
      </c>
      <c r="D2469" s="156"/>
      <c r="E2469" s="156" t="s">
        <v>1498</v>
      </c>
      <c r="F2469" s="156" t="s">
        <v>572</v>
      </c>
      <c r="G2469" s="154" t="e">
        <v>#VALUE!</v>
      </c>
    </row>
    <row r="2470" spans="1:7" ht="21.6" customHeight="1">
      <c r="A2470" s="154" t="s">
        <v>58</v>
      </c>
      <c r="B2470" s="154" t="str" cm="1">
        <f t="array" ref="B2470">_xlfn.XLOOKUP(TRUE, ISNUMBER(SEARCH(工作表5!$A$1:$A$23, C2470)), 工作表5!$B$1:$B$23, "其他")</f>
        <v>顯像組</v>
      </c>
      <c r="C2470" s="145" t="s">
        <v>575</v>
      </c>
      <c r="D2470" s="156"/>
      <c r="E2470" s="156" t="s">
        <v>1499</v>
      </c>
      <c r="F2470" s="156" t="s">
        <v>574</v>
      </c>
      <c r="G2470" s="154" t="e">
        <v>#VALUE!</v>
      </c>
    </row>
    <row r="2471" spans="1:7" ht="21.6" customHeight="1">
      <c r="A2471" s="154" t="s">
        <v>58</v>
      </c>
      <c r="B2471" s="154" t="str" cm="1">
        <f t="array" ref="B2471">_xlfn.XLOOKUP(TRUE, ISNUMBER(SEARCH(工作表5!$A$1:$A$23, C2471)), 工作表5!$B$1:$B$23, "其他")</f>
        <v>顯像組</v>
      </c>
      <c r="C2471" s="145" t="s">
        <v>1180</v>
      </c>
      <c r="D2471" s="156"/>
      <c r="E2471" s="156" t="s">
        <v>1731</v>
      </c>
      <c r="F2471" s="156" t="s">
        <v>1179</v>
      </c>
      <c r="G2471" s="154" t="e">
        <v>#VALUE!</v>
      </c>
    </row>
    <row r="2472" spans="1:7" ht="21.6" customHeight="1">
      <c r="A2472" s="154" t="s">
        <v>58</v>
      </c>
      <c r="B2472" s="154" t="str" cm="1">
        <f t="array" ref="B2472">_xlfn.XLOOKUP(TRUE, ISNUMBER(SEARCH(工作表5!$A$1:$A$23, C2472)), 工作表5!$B$1:$B$23, "其他")</f>
        <v>顯像組</v>
      </c>
      <c r="C2472" s="144" t="s">
        <v>135</v>
      </c>
      <c r="D2472" s="156"/>
      <c r="E2472" s="156" t="s">
        <v>1500</v>
      </c>
      <c r="F2472" s="156" t="s">
        <v>577</v>
      </c>
      <c r="G2472" s="154" t="e">
        <v>#VALUE!</v>
      </c>
    </row>
    <row r="2473" spans="1:7" ht="21.6" customHeight="1">
      <c r="A2473" s="154" t="s">
        <v>58</v>
      </c>
      <c r="B2473" s="154" t="str" cm="1">
        <f t="array" ref="B2473">_xlfn.XLOOKUP(TRUE, ISNUMBER(SEARCH(工作表5!$A$1:$A$23, C2473)), 工作表5!$B$1:$B$23, "其他")</f>
        <v>轉寫組</v>
      </c>
      <c r="C2473" s="144" t="s">
        <v>1821</v>
      </c>
      <c r="D2473" s="156"/>
      <c r="E2473" s="156" t="s">
        <v>1501</v>
      </c>
      <c r="F2473" s="156" t="s">
        <v>579</v>
      </c>
      <c r="G2473" s="154" t="e">
        <v>#VALUE!</v>
      </c>
    </row>
    <row r="2474" spans="1:7" ht="21.6" customHeight="1">
      <c r="A2474" s="154" t="s">
        <v>58</v>
      </c>
      <c r="B2474" s="154" t="str" cm="1">
        <f t="array" ref="B2474">_xlfn.XLOOKUP(TRUE, ISNUMBER(SEARCH(工作表5!$A$1:$A$23, C2474)), 工作表5!$B$1:$B$23, "其他")</f>
        <v>轉寫組</v>
      </c>
      <c r="C2474" s="144" t="s">
        <v>582</v>
      </c>
      <c r="D2474" s="156"/>
      <c r="E2474" s="156" t="s">
        <v>1502</v>
      </c>
      <c r="F2474" s="156" t="s">
        <v>581</v>
      </c>
      <c r="G2474" s="154" t="e">
        <v>#VALUE!</v>
      </c>
    </row>
    <row r="2475" spans="1:7" ht="21.6" customHeight="1">
      <c r="A2475" s="154" t="s">
        <v>58</v>
      </c>
      <c r="B2475" s="154" t="str" cm="1">
        <f t="array" ref="B2475">_xlfn.XLOOKUP(TRUE, ISNUMBER(SEARCH(工作表5!$A$1:$A$23, C2475)), 工作表5!$B$1:$B$23, "其他")</f>
        <v>定著組</v>
      </c>
      <c r="C2475" s="145" t="s">
        <v>585</v>
      </c>
      <c r="D2475" s="156"/>
      <c r="E2475" s="156" t="s">
        <v>1732</v>
      </c>
      <c r="F2475" s="156" t="s">
        <v>1182</v>
      </c>
      <c r="G2475" s="154" t="e">
        <v>#VALUE!</v>
      </c>
    </row>
    <row r="2476" spans="1:7" ht="21.6" customHeight="1">
      <c r="A2476" s="154" t="s">
        <v>58</v>
      </c>
      <c r="B2476" s="154" t="str" cm="1">
        <f t="array" ref="B2476">_xlfn.XLOOKUP(TRUE, ISNUMBER(SEARCH(工作表5!$A$1:$A$23, C2476)), 工作表5!$B$1:$B$23, "其他")</f>
        <v>定著組</v>
      </c>
      <c r="C2476" s="145" t="s">
        <v>585</v>
      </c>
      <c r="D2476" s="156"/>
      <c r="E2476" s="156" t="s">
        <v>1503</v>
      </c>
      <c r="F2476" s="156" t="s">
        <v>584</v>
      </c>
      <c r="G2476" s="154" t="e">
        <v>#VALUE!</v>
      </c>
    </row>
    <row r="2477" spans="1:7" ht="21.6" customHeight="1">
      <c r="A2477" s="154" t="s">
        <v>58</v>
      </c>
      <c r="B2477" s="154" t="str" cm="1">
        <f t="array" ref="B2477">_xlfn.XLOOKUP(TRUE, ISNUMBER(SEARCH(工作表5!$A$1:$A$23, C2477)), 工作表5!$B$1:$B$23, "其他")</f>
        <v>定著組</v>
      </c>
      <c r="C2477" s="145" t="s">
        <v>585</v>
      </c>
      <c r="D2477" s="156"/>
      <c r="E2477" s="156" t="s">
        <v>1536</v>
      </c>
      <c r="F2477" s="156" t="s">
        <v>676</v>
      </c>
      <c r="G2477" s="154" t="e">
        <v>#VALUE!</v>
      </c>
    </row>
    <row r="2478" spans="1:7" ht="21.6" customHeight="1">
      <c r="A2478" s="154" t="s">
        <v>60</v>
      </c>
      <c r="B2478" s="154" t="str" cm="1">
        <f t="array" ref="B2478">_xlfn.XLOOKUP(TRUE, ISNUMBER(SEARCH(工作表5!$A$1:$A$23, C2478)), 工作表5!$B$1:$B$23, "其他")</f>
        <v>滾筒組</v>
      </c>
      <c r="C2478" s="143" t="s">
        <v>589</v>
      </c>
      <c r="D2478" s="156"/>
      <c r="E2478" s="156" t="s">
        <v>1504</v>
      </c>
      <c r="F2478" s="156" t="s">
        <v>588</v>
      </c>
      <c r="G2478" s="154">
        <v>230000</v>
      </c>
    </row>
    <row r="2479" spans="1:7" ht="21.6" customHeight="1">
      <c r="A2479" s="154" t="s">
        <v>60</v>
      </c>
      <c r="B2479" s="154" t="str" cm="1">
        <f t="array" ref="B2479">_xlfn.XLOOKUP(TRUE, ISNUMBER(SEARCH(工作表5!$A$1:$A$23, C2479)), 工作表5!$B$1:$B$23, "其他")</f>
        <v>滾筒組</v>
      </c>
      <c r="C2479" s="150" t="s">
        <v>887</v>
      </c>
      <c r="D2479" s="156"/>
      <c r="E2479" s="156" t="s">
        <v>1595</v>
      </c>
      <c r="F2479" s="156" t="s">
        <v>841</v>
      </c>
      <c r="G2479" s="154">
        <v>115000</v>
      </c>
    </row>
    <row r="2480" spans="1:7" ht="21.6" customHeight="1">
      <c r="A2480" s="154" t="s">
        <v>60</v>
      </c>
      <c r="B2480" s="154" t="str" cm="1">
        <f t="array" ref="B2480">_xlfn.XLOOKUP(TRUE, ISNUMBER(SEARCH(工作表5!$A$1:$A$23, C2480)), 工作表5!$B$1:$B$23, "其他")</f>
        <v>顯像組</v>
      </c>
      <c r="C2480" s="145" t="s">
        <v>502</v>
      </c>
      <c r="D2480" s="156"/>
      <c r="E2480" s="156" t="s">
        <v>1505</v>
      </c>
      <c r="F2480" s="156" t="s">
        <v>592</v>
      </c>
      <c r="G2480" s="154" t="e">
        <v>#VALUE!</v>
      </c>
    </row>
    <row r="2481" spans="1:7" ht="21.6" customHeight="1">
      <c r="A2481" s="154" t="s">
        <v>60</v>
      </c>
      <c r="B2481" s="154" t="str" cm="1">
        <f t="array" ref="B2481">_xlfn.XLOOKUP(TRUE, ISNUMBER(SEARCH(工作表5!$A$1:$A$23, C2481)), 工作表5!$B$1:$B$23, "其他")</f>
        <v>顯像組</v>
      </c>
      <c r="C2481" s="145" t="s">
        <v>703</v>
      </c>
      <c r="D2481" s="156"/>
      <c r="E2481" s="156" t="s">
        <v>1639</v>
      </c>
      <c r="F2481" s="156" t="s">
        <v>944</v>
      </c>
      <c r="G2481" s="154">
        <v>230000</v>
      </c>
    </row>
    <row r="2482" spans="1:7" ht="21.6" customHeight="1">
      <c r="A2482" s="154" t="s">
        <v>60</v>
      </c>
      <c r="B2482" s="154" t="str" cm="1">
        <f t="array" ref="B2482">_xlfn.XLOOKUP(TRUE, ISNUMBER(SEARCH(工作表5!$A$1:$A$23, C2482)), 工作表5!$B$1:$B$23, "其他")</f>
        <v>顯像組</v>
      </c>
      <c r="C2482" s="144" t="s">
        <v>706</v>
      </c>
      <c r="D2482" s="156"/>
      <c r="E2482" s="156" t="s">
        <v>1640</v>
      </c>
      <c r="F2482" s="156" t="s">
        <v>946</v>
      </c>
      <c r="G2482" s="154">
        <v>230000</v>
      </c>
    </row>
    <row r="2483" spans="1:7" ht="21.6" customHeight="1">
      <c r="A2483" s="154" t="s">
        <v>60</v>
      </c>
      <c r="B2483" s="154" t="str" cm="1">
        <f t="array" ref="B2483">_xlfn.XLOOKUP(TRUE, ISNUMBER(SEARCH(工作表5!$A$1:$A$23, C2483)), 工作表5!$B$1:$B$23, "其他")</f>
        <v>顯像組</v>
      </c>
      <c r="C2483" s="145" t="s">
        <v>709</v>
      </c>
      <c r="D2483" s="156"/>
      <c r="E2483" s="156" t="s">
        <v>1641</v>
      </c>
      <c r="F2483" s="156" t="s">
        <v>948</v>
      </c>
      <c r="G2483" s="154">
        <v>230000</v>
      </c>
    </row>
    <row r="2484" spans="1:7" ht="21.6" customHeight="1">
      <c r="A2484" s="154" t="s">
        <v>60</v>
      </c>
      <c r="B2484" s="154" t="str" cm="1">
        <f t="array" ref="B2484">_xlfn.XLOOKUP(TRUE, ISNUMBER(SEARCH(工作表5!$A$1:$A$23, C2484)), 工作表5!$B$1:$B$23, "其他")</f>
        <v>滾筒組</v>
      </c>
      <c r="C2484" s="145" t="s">
        <v>415</v>
      </c>
      <c r="D2484" s="156"/>
      <c r="E2484" s="156" t="s">
        <v>1506</v>
      </c>
      <c r="F2484" s="156" t="s">
        <v>594</v>
      </c>
      <c r="G2484" s="154" t="e">
        <v>#VALUE!</v>
      </c>
    </row>
    <row r="2485" spans="1:7" ht="21.6" customHeight="1">
      <c r="A2485" s="154" t="s">
        <v>60</v>
      </c>
      <c r="B2485" s="154" t="str" cm="1">
        <f t="array" ref="B2485">_xlfn.XLOOKUP(TRUE, ISNUMBER(SEARCH(工作表5!$A$1:$A$23, C2485)), 工作表5!$B$1:$B$23, "其他")</f>
        <v>滾筒組</v>
      </c>
      <c r="C2485" s="144" t="s">
        <v>597</v>
      </c>
      <c r="D2485" s="156"/>
      <c r="E2485" s="156" t="s">
        <v>1507</v>
      </c>
      <c r="F2485" s="156" t="s">
        <v>596</v>
      </c>
      <c r="G2485" s="154">
        <v>230000</v>
      </c>
    </row>
    <row r="2486" spans="1:7" ht="21.6" customHeight="1">
      <c r="A2486" s="154" t="s">
        <v>60</v>
      </c>
      <c r="B2486" s="154" t="str" cm="1">
        <f t="array" ref="B2486">_xlfn.XLOOKUP(TRUE, ISNUMBER(SEARCH(工作表5!$A$1:$A$23, C2486)), 工作表5!$B$1:$B$23, "其他")</f>
        <v>滾筒組</v>
      </c>
      <c r="C2486" s="144" t="s">
        <v>901</v>
      </c>
      <c r="D2486" s="156"/>
      <c r="E2486" s="156" t="s">
        <v>1642</v>
      </c>
      <c r="F2486" s="156" t="s">
        <v>950</v>
      </c>
      <c r="G2486" s="154">
        <v>115000</v>
      </c>
    </row>
    <row r="2487" spans="1:7" ht="21.6" customHeight="1">
      <c r="A2487" s="154" t="s">
        <v>60</v>
      </c>
      <c r="B2487" s="154" t="str" cm="1">
        <f t="array" ref="B2487">_xlfn.XLOOKUP(TRUE, ISNUMBER(SEARCH(工作表5!$A$1:$A$23, C2487)), 工作表5!$B$1:$B$23, "其他")</f>
        <v>顯像組</v>
      </c>
      <c r="C2487" s="145" t="s">
        <v>600</v>
      </c>
      <c r="D2487" s="156"/>
      <c r="E2487" s="156" t="s">
        <v>1508</v>
      </c>
      <c r="F2487" s="156" t="s">
        <v>599</v>
      </c>
      <c r="G2487" s="154" t="e">
        <v>#VALUE!</v>
      </c>
    </row>
    <row r="2488" spans="1:7" ht="21.6" customHeight="1">
      <c r="A2488" s="154" t="s">
        <v>60</v>
      </c>
      <c r="B2488" s="154" t="str" cm="1">
        <f t="array" ref="B2488">_xlfn.XLOOKUP(TRUE, ISNUMBER(SEARCH(工作表5!$A$1:$A$23, C2488)), 工作表5!$B$1:$B$23, "其他")</f>
        <v>顯像組</v>
      </c>
      <c r="C2488" s="144" t="s">
        <v>1822</v>
      </c>
      <c r="D2488" s="156"/>
      <c r="E2488" s="156" t="s">
        <v>1509</v>
      </c>
      <c r="F2488" s="156" t="s">
        <v>602</v>
      </c>
      <c r="G2488" s="154" t="e">
        <v>#VALUE!</v>
      </c>
    </row>
    <row r="2489" spans="1:7" ht="21.6" customHeight="1">
      <c r="A2489" s="154" t="s">
        <v>60</v>
      </c>
      <c r="B2489" s="154" t="str" cm="1">
        <f t="array" ref="B2489">_xlfn.XLOOKUP(TRUE, ISNUMBER(SEARCH(工作表5!$A$1:$A$23, C2489)), 工作表5!$B$1:$B$23, "其他")</f>
        <v>滾筒組</v>
      </c>
      <c r="C2489" s="144" t="s">
        <v>1823</v>
      </c>
      <c r="D2489" s="156"/>
      <c r="E2489" s="156" t="s">
        <v>1510</v>
      </c>
      <c r="F2489" s="156" t="s">
        <v>604</v>
      </c>
      <c r="G2489" s="154" t="e">
        <v>#VALUE!</v>
      </c>
    </row>
    <row r="2490" spans="1:7" ht="21.6" customHeight="1">
      <c r="A2490" s="154" t="s">
        <v>60</v>
      </c>
      <c r="B2490" s="154" t="str" cm="1">
        <f t="array" ref="B2490">_xlfn.XLOOKUP(TRUE, ISNUMBER(SEARCH(工作表5!$A$1:$A$23, C2490)), 工作表5!$B$1:$B$23, "其他")</f>
        <v>轉寫組</v>
      </c>
      <c r="C2490" s="145" t="s">
        <v>533</v>
      </c>
      <c r="D2490" s="156"/>
      <c r="E2490" s="156" t="s">
        <v>1511</v>
      </c>
      <c r="F2490" s="156" t="s">
        <v>606</v>
      </c>
      <c r="G2490" s="154">
        <v>230000</v>
      </c>
    </row>
    <row r="2491" spans="1:7" ht="21.6" customHeight="1">
      <c r="A2491" s="154" t="s">
        <v>60</v>
      </c>
      <c r="B2491" s="154" t="str" cm="1">
        <f t="array" ref="B2491">_xlfn.XLOOKUP(TRUE, ISNUMBER(SEARCH(工作表5!$A$1:$A$23, C2491)), 工作表5!$B$1:$B$23, "其他")</f>
        <v>轉寫組</v>
      </c>
      <c r="C2491" s="145" t="s">
        <v>1812</v>
      </c>
      <c r="D2491" s="156"/>
      <c r="E2491" s="156" t="s">
        <v>1512</v>
      </c>
      <c r="F2491" s="156" t="s">
        <v>608</v>
      </c>
      <c r="G2491" s="154">
        <v>230000</v>
      </c>
    </row>
    <row r="2492" spans="1:7" ht="21.6" customHeight="1">
      <c r="A2492" s="154" t="s">
        <v>60</v>
      </c>
      <c r="B2492" s="154" t="str" cm="1">
        <f t="array" ref="B2492">_xlfn.XLOOKUP(TRUE, ISNUMBER(SEARCH(工作表5!$A$1:$A$23, C2492)), 工作表5!$B$1:$B$23, "其他")</f>
        <v>轉寫組</v>
      </c>
      <c r="C2492" s="145" t="s">
        <v>1824</v>
      </c>
      <c r="D2492" s="156"/>
      <c r="E2492" s="156" t="s">
        <v>1513</v>
      </c>
      <c r="F2492" s="156" t="s">
        <v>610</v>
      </c>
      <c r="G2492" s="154">
        <v>230000</v>
      </c>
    </row>
    <row r="2493" spans="1:7" ht="21.6" customHeight="1">
      <c r="A2493" s="154" t="s">
        <v>60</v>
      </c>
      <c r="B2493" s="154" t="str" cm="1">
        <f t="array" ref="B2493">_xlfn.XLOOKUP(TRUE, ISNUMBER(SEARCH(工作表5!$A$1:$A$23, C2493)), 工作表5!$B$1:$B$23, "其他")</f>
        <v>轉寫組</v>
      </c>
      <c r="C2493" s="145" t="s">
        <v>1825</v>
      </c>
      <c r="D2493" s="156"/>
      <c r="E2493" s="156" t="s">
        <v>1514</v>
      </c>
      <c r="F2493" s="156" t="s">
        <v>612</v>
      </c>
      <c r="G2493" s="154">
        <v>230000</v>
      </c>
    </row>
    <row r="2494" spans="1:7" ht="21.6" customHeight="1">
      <c r="A2494" s="154" t="s">
        <v>60</v>
      </c>
      <c r="B2494" s="154" t="str" cm="1">
        <f t="array" ref="B2494">_xlfn.XLOOKUP(TRUE, ISNUMBER(SEARCH(工作表5!$A$1:$A$23, C2494)), 工作表5!$B$1:$B$23, "其他")</f>
        <v>轉寫組</v>
      </c>
      <c r="C2494" s="145" t="s">
        <v>1826</v>
      </c>
      <c r="D2494" s="156"/>
      <c r="E2494" s="156" t="s">
        <v>1515</v>
      </c>
      <c r="F2494" s="156" t="s">
        <v>614</v>
      </c>
      <c r="G2494" s="154">
        <v>230000</v>
      </c>
    </row>
    <row r="2495" spans="1:7" ht="21.6" customHeight="1">
      <c r="A2495" s="154" t="s">
        <v>60</v>
      </c>
      <c r="B2495" s="154" t="str" cm="1">
        <f t="array" ref="B2495">_xlfn.XLOOKUP(TRUE, ISNUMBER(SEARCH(工作表5!$A$1:$A$23, C2495)), 工作表5!$B$1:$B$23, "其他")</f>
        <v>其他</v>
      </c>
      <c r="C2495" s="144" t="s">
        <v>101</v>
      </c>
      <c r="D2495" s="156"/>
      <c r="E2495" s="156" t="s">
        <v>1516</v>
      </c>
      <c r="F2495" s="156" t="s">
        <v>616</v>
      </c>
      <c r="G2495" s="154">
        <v>828900</v>
      </c>
    </row>
    <row r="2496" spans="1:7" ht="21.6" customHeight="1">
      <c r="A2496" s="154" t="s">
        <v>60</v>
      </c>
      <c r="B2496" s="154" t="str" cm="1">
        <f t="array" ref="B2496">_xlfn.XLOOKUP(TRUE, ISNUMBER(SEARCH(工作表5!$A$1:$A$23, C2496)), 工作表5!$B$1:$B$23, "其他")</f>
        <v>定著組</v>
      </c>
      <c r="C2496" s="145" t="s">
        <v>1809</v>
      </c>
      <c r="D2496" s="156"/>
      <c r="E2496" s="156" t="s">
        <v>1517</v>
      </c>
      <c r="F2496" s="156" t="s">
        <v>619</v>
      </c>
      <c r="G2496" s="154">
        <v>368000</v>
      </c>
    </row>
    <row r="2497" spans="1:7" ht="21.6" customHeight="1">
      <c r="A2497" s="154" t="s">
        <v>60</v>
      </c>
      <c r="B2497" s="154" t="str" cm="1">
        <f t="array" ref="B2497">_xlfn.XLOOKUP(TRUE, ISNUMBER(SEARCH(工作表5!$A$1:$A$23, C2497)), 工作表5!$B$1:$B$23, "其他")</f>
        <v>定著組</v>
      </c>
      <c r="C2497" s="145" t="s">
        <v>87</v>
      </c>
      <c r="D2497" s="156"/>
      <c r="E2497" s="156" t="s">
        <v>1518</v>
      </c>
      <c r="F2497" s="156" t="s">
        <v>621</v>
      </c>
      <c r="G2497" s="154">
        <v>368000</v>
      </c>
    </row>
    <row r="2498" spans="1:7" ht="21.6" customHeight="1">
      <c r="A2498" s="154" t="s">
        <v>60</v>
      </c>
      <c r="B2498" s="154" t="str" cm="1">
        <f t="array" ref="B2498">_xlfn.XLOOKUP(TRUE, ISNUMBER(SEARCH(工作表5!$A$1:$A$23, C2498)), 工作表5!$B$1:$B$23, "其他")</f>
        <v>定著組</v>
      </c>
      <c r="C2498" s="144" t="s">
        <v>1827</v>
      </c>
      <c r="D2498" s="156"/>
      <c r="E2498" s="156" t="s">
        <v>1519</v>
      </c>
      <c r="F2498" s="156" t="s">
        <v>623</v>
      </c>
      <c r="G2498" s="154">
        <v>368000</v>
      </c>
    </row>
    <row r="2499" spans="1:7" ht="21.6" customHeight="1">
      <c r="A2499" s="154" t="s">
        <v>60</v>
      </c>
      <c r="B2499" s="154" t="str" cm="1">
        <f t="array" ref="B2499">_xlfn.XLOOKUP(TRUE, ISNUMBER(SEARCH(工作表5!$A$1:$A$23, C2499)), 工作表5!$B$1:$B$23, "其他")</f>
        <v>定著組</v>
      </c>
      <c r="C2499" s="144" t="s">
        <v>1828</v>
      </c>
      <c r="D2499" s="156"/>
      <c r="E2499" s="156" t="s">
        <v>1520</v>
      </c>
      <c r="F2499" s="156" t="s">
        <v>625</v>
      </c>
      <c r="G2499" s="154">
        <v>368000</v>
      </c>
    </row>
    <row r="2500" spans="1:7" ht="21.6" customHeight="1">
      <c r="A2500" s="154" t="s">
        <v>60</v>
      </c>
      <c r="B2500" s="154" t="str" cm="1">
        <f t="array" ref="B2500">_xlfn.XLOOKUP(TRUE, ISNUMBER(SEARCH(工作表5!$A$1:$A$23, C2500)), 工作表5!$B$1:$B$23, "其他")</f>
        <v>定著組</v>
      </c>
      <c r="C2500" s="145" t="s">
        <v>628</v>
      </c>
      <c r="D2500" s="156"/>
      <c r="E2500" s="156" t="s">
        <v>1521</v>
      </c>
      <c r="F2500" s="156" t="s">
        <v>627</v>
      </c>
      <c r="G2500" s="154">
        <v>368000</v>
      </c>
    </row>
    <row r="2501" spans="1:7" ht="21.6" customHeight="1">
      <c r="A2501" s="154" t="s">
        <v>60</v>
      </c>
      <c r="B2501" s="154" t="str" cm="1">
        <f t="array" ref="B2501">_xlfn.XLOOKUP(TRUE, ISNUMBER(SEARCH(工作表5!$A$1:$A$23, C2501)), 工作表5!$B$1:$B$23, "其他")</f>
        <v>手送台</v>
      </c>
      <c r="C2501" s="144" t="s">
        <v>631</v>
      </c>
      <c r="D2501" s="156"/>
      <c r="E2501" s="156" t="s">
        <v>1522</v>
      </c>
      <c r="F2501" s="156" t="s">
        <v>630</v>
      </c>
      <c r="G2501" s="154">
        <v>120000</v>
      </c>
    </row>
    <row r="2502" spans="1:7" ht="21.6" customHeight="1">
      <c r="A2502" s="154" t="s">
        <v>60</v>
      </c>
      <c r="B2502" s="154" t="str" cm="1">
        <f t="array" ref="B2502">_xlfn.XLOOKUP(TRUE, ISNUMBER(SEARCH(工作表5!$A$1:$A$23, C2502)), 工作表5!$B$1:$B$23, "其他")</f>
        <v>手送台</v>
      </c>
      <c r="C2502" s="144" t="s">
        <v>115</v>
      </c>
      <c r="D2502" s="156"/>
      <c r="E2502" s="156" t="s">
        <v>1409</v>
      </c>
      <c r="F2502" s="156" t="s">
        <v>330</v>
      </c>
      <c r="G2502" s="154">
        <v>120000</v>
      </c>
    </row>
    <row r="2503" spans="1:7" ht="21.6" customHeight="1">
      <c r="A2503" s="154" t="s">
        <v>60</v>
      </c>
      <c r="B2503" s="154" t="str" cm="1">
        <f t="array" ref="B2503">_xlfn.XLOOKUP(TRUE, ISNUMBER(SEARCH(工作表5!$A$1:$A$23, C2503)), 工作表5!$B$1:$B$23, "其他")</f>
        <v>取紙組</v>
      </c>
      <c r="C2503" s="144" t="s">
        <v>1829</v>
      </c>
      <c r="D2503" s="156"/>
      <c r="E2503" s="156" t="s">
        <v>1389</v>
      </c>
      <c r="F2503" s="156" t="s">
        <v>265</v>
      </c>
      <c r="G2503" s="154">
        <v>80000</v>
      </c>
    </row>
    <row r="2504" spans="1:7" ht="21.6" customHeight="1">
      <c r="A2504" s="154" t="s">
        <v>60</v>
      </c>
      <c r="B2504" s="154" t="str" cm="1">
        <f t="array" ref="B2504">_xlfn.XLOOKUP(TRUE, ISNUMBER(SEARCH(工作表5!$A$1:$A$23, C2504)), 工作表5!$B$1:$B$23, "其他")</f>
        <v>取紙組</v>
      </c>
      <c r="C2504" s="144" t="s">
        <v>633</v>
      </c>
      <c r="D2504" s="156"/>
      <c r="E2504" s="156" t="s">
        <v>1390</v>
      </c>
      <c r="F2504" s="156" t="s">
        <v>269</v>
      </c>
      <c r="G2504" s="154">
        <v>80000</v>
      </c>
    </row>
    <row r="2505" spans="1:7" ht="21.6" customHeight="1">
      <c r="A2505" s="154" t="s">
        <v>60</v>
      </c>
      <c r="B2505" s="154" t="str" cm="1">
        <f t="array" ref="B2505">_xlfn.XLOOKUP(TRUE, ISNUMBER(SEARCH(工作表5!$A$1:$A$23, C2505)), 工作表5!$B$1:$B$23, "其他")</f>
        <v>取紙組</v>
      </c>
      <c r="C2505" s="144" t="s">
        <v>1830</v>
      </c>
      <c r="D2505" s="156"/>
      <c r="E2505" s="156" t="s">
        <v>1391</v>
      </c>
      <c r="F2505" s="156" t="s">
        <v>272</v>
      </c>
      <c r="G2505" s="154">
        <v>80000</v>
      </c>
    </row>
    <row r="2506" spans="1:7" ht="21.6" customHeight="1">
      <c r="A2506" s="154" t="s">
        <v>60</v>
      </c>
      <c r="B2506" s="154" t="str" cm="1">
        <f t="array" ref="B2506">_xlfn.XLOOKUP(TRUE, ISNUMBER(SEARCH(工作表5!$A$1:$A$23, C2506)), 工作表5!$B$1:$B$23, "其他")</f>
        <v>送稿機</v>
      </c>
      <c r="C2506" s="144" t="s">
        <v>320</v>
      </c>
      <c r="D2506" s="156"/>
      <c r="E2506" s="156" t="s">
        <v>1375</v>
      </c>
      <c r="F2506" s="156" t="s">
        <v>226</v>
      </c>
      <c r="G2506" s="154">
        <v>120000</v>
      </c>
    </row>
    <row r="2507" spans="1:7" ht="21.6" customHeight="1">
      <c r="A2507" s="154" t="s">
        <v>60</v>
      </c>
      <c r="B2507" s="154" t="str" cm="1">
        <f t="array" ref="B2507">_xlfn.XLOOKUP(TRUE, ISNUMBER(SEARCH(工作表5!$A$1:$A$23, C2507)), 工作表5!$B$1:$B$23, "其他")</f>
        <v>送稿機</v>
      </c>
      <c r="C2507" s="144" t="s">
        <v>278</v>
      </c>
      <c r="D2507" s="156"/>
      <c r="E2507" s="156" t="s">
        <v>1376</v>
      </c>
      <c r="F2507" s="156" t="s">
        <v>230</v>
      </c>
      <c r="G2507" s="154">
        <v>120000</v>
      </c>
    </row>
    <row r="2508" spans="1:7" ht="21.6" customHeight="1">
      <c r="A2508" s="154" t="s">
        <v>60</v>
      </c>
      <c r="B2508" s="154" t="str" cm="1">
        <f t="array" ref="B2508">_xlfn.XLOOKUP(TRUE, ISNUMBER(SEARCH(工作表5!$A$1:$A$23, C2508)), 工作表5!$B$1:$B$23, "其他")</f>
        <v>送稿機</v>
      </c>
      <c r="C2508" s="144" t="s">
        <v>1782</v>
      </c>
      <c r="D2508" s="156"/>
      <c r="E2508" s="156" t="s">
        <v>1407</v>
      </c>
      <c r="F2508" s="156" t="s">
        <v>324</v>
      </c>
      <c r="G2508" s="154">
        <v>120000</v>
      </c>
    </row>
    <row r="2509" spans="1:7" ht="21.6" customHeight="1">
      <c r="A2509" s="154" t="s">
        <v>60</v>
      </c>
      <c r="B2509" s="154" t="str" cm="1">
        <f t="array" ref="B2509">_xlfn.XLOOKUP(TRUE, ISNUMBER(SEARCH(工作表5!$A$1:$A$23, C2509)), 工作表5!$B$1:$B$23, "其他")</f>
        <v>送稿機</v>
      </c>
      <c r="C2509" s="144" t="s">
        <v>285</v>
      </c>
      <c r="D2509" s="156"/>
      <c r="E2509" s="156" t="s">
        <v>1395</v>
      </c>
      <c r="F2509" s="156" t="s">
        <v>226</v>
      </c>
      <c r="G2509" s="154">
        <v>120000</v>
      </c>
    </row>
    <row r="2510" spans="1:7" ht="21.6" customHeight="1">
      <c r="A2510" s="154" t="s">
        <v>60</v>
      </c>
      <c r="B2510" s="154" t="str" cm="1">
        <f t="array" ref="B2510">_xlfn.XLOOKUP(TRUE, ISNUMBER(SEARCH(工作表5!$A$1:$A$23, C2510)), 工作表5!$B$1:$B$23, "其他")</f>
        <v>送稿機</v>
      </c>
      <c r="C2510" s="144" t="s">
        <v>282</v>
      </c>
      <c r="D2510" s="156"/>
      <c r="E2510" s="156" t="s">
        <v>1396</v>
      </c>
      <c r="F2510" s="156" t="s">
        <v>288</v>
      </c>
      <c r="G2510" s="154">
        <v>120000</v>
      </c>
    </row>
    <row r="2511" spans="1:7" ht="21.6" customHeight="1">
      <c r="A2511" s="154" t="s">
        <v>60</v>
      </c>
      <c r="B2511" s="154" t="str" cm="1">
        <f t="array" ref="B2511">_xlfn.XLOOKUP(TRUE, ISNUMBER(SEARCH(工作表5!$A$1:$A$23, C2511)), 工作表5!$B$1:$B$23, "其他")</f>
        <v>大容量取紙組</v>
      </c>
      <c r="C2511" s="144" t="s">
        <v>237</v>
      </c>
      <c r="D2511" s="156"/>
      <c r="E2511" s="156" t="s">
        <v>1408</v>
      </c>
      <c r="F2511" s="156" t="s">
        <v>327</v>
      </c>
      <c r="G2511" s="154">
        <v>320000</v>
      </c>
    </row>
    <row r="2512" spans="1:7" ht="21.6" customHeight="1">
      <c r="A2512" s="154" t="s">
        <v>60</v>
      </c>
      <c r="B2512" s="154" t="str" cm="1">
        <f t="array" ref="B2512">_xlfn.XLOOKUP(TRUE, ISNUMBER(SEARCH(工作表5!$A$1:$A$23, C2512)), 工作表5!$B$1:$B$23, "其他")</f>
        <v>取紙組</v>
      </c>
      <c r="C2512" s="144" t="s">
        <v>634</v>
      </c>
      <c r="D2512" s="156"/>
      <c r="E2512" s="156" t="s">
        <v>1409</v>
      </c>
      <c r="F2512" s="156" t="s">
        <v>330</v>
      </c>
      <c r="G2512" s="154">
        <v>320000</v>
      </c>
    </row>
    <row r="2513" spans="1:7" ht="21.6" customHeight="1">
      <c r="A2513" s="154" t="s">
        <v>60</v>
      </c>
      <c r="B2513" s="154" t="str" cm="1">
        <f t="array" ref="B2513">_xlfn.XLOOKUP(TRUE, ISNUMBER(SEARCH(工作表5!$A$1:$A$23, C2513)), 工作表5!$B$1:$B$23, "其他")</f>
        <v>其他</v>
      </c>
      <c r="C2513" s="144" t="s">
        <v>1784</v>
      </c>
      <c r="D2513" s="156"/>
      <c r="E2513" s="156" t="s">
        <v>1410</v>
      </c>
      <c r="F2513" s="156" t="s">
        <v>333</v>
      </c>
      <c r="G2513" s="154">
        <v>500000</v>
      </c>
    </row>
    <row r="2514" spans="1:7" ht="21.6" customHeight="1">
      <c r="A2514" s="154" t="s">
        <v>60</v>
      </c>
      <c r="B2514" s="154" t="str" cm="1">
        <f t="array" ref="B2514">_xlfn.XLOOKUP(TRUE, ISNUMBER(SEARCH(工作表5!$A$1:$A$23, C2514)), 工作表5!$B$1:$B$23, "其他")</f>
        <v>送稿機</v>
      </c>
      <c r="C2514" s="144" t="s">
        <v>337</v>
      </c>
      <c r="D2514" s="156"/>
      <c r="E2514" s="156" t="s">
        <v>1411</v>
      </c>
      <c r="F2514" s="156" t="s">
        <v>336</v>
      </c>
      <c r="G2514" s="154">
        <v>500000</v>
      </c>
    </row>
    <row r="2515" spans="1:7" ht="21.6" customHeight="1">
      <c r="A2515" s="154" t="s">
        <v>60</v>
      </c>
      <c r="B2515" s="154" t="str" cm="1">
        <f t="array" ref="B2515">_xlfn.XLOOKUP(TRUE, ISNUMBER(SEARCH(工作表5!$A$1:$A$23, C2515)), 工作表5!$B$1:$B$23, "其他")</f>
        <v>送稿機</v>
      </c>
      <c r="C2515" s="145" t="s">
        <v>341</v>
      </c>
      <c r="D2515" s="156"/>
      <c r="E2515" s="156" t="s">
        <v>1412</v>
      </c>
      <c r="F2515" s="156" t="s">
        <v>340</v>
      </c>
      <c r="G2515" s="154">
        <v>500000</v>
      </c>
    </row>
    <row r="2516" spans="1:7" ht="21.6" customHeight="1">
      <c r="A2516" s="154" t="s">
        <v>60</v>
      </c>
      <c r="B2516" s="154" t="str" cm="1">
        <f t="array" ref="B2516">_xlfn.XLOOKUP(TRUE, ISNUMBER(SEARCH(工作表5!$A$1:$A$23, C2516)), 工作表5!$B$1:$B$23, "其他")</f>
        <v>顯像組</v>
      </c>
      <c r="C2516" s="144" t="s">
        <v>637</v>
      </c>
      <c r="D2516" s="156"/>
      <c r="E2516" s="156" t="s">
        <v>1523</v>
      </c>
      <c r="F2516" s="156" t="s">
        <v>636</v>
      </c>
      <c r="G2516" s="154">
        <v>230000</v>
      </c>
    </row>
    <row r="2517" spans="1:7" ht="21.6" customHeight="1">
      <c r="A2517" s="154" t="s">
        <v>60</v>
      </c>
      <c r="B2517" s="154" t="str" cm="1">
        <f t="array" ref="B2517">_xlfn.XLOOKUP(TRUE, ISNUMBER(SEARCH(工作表5!$A$1:$A$23, C2517)), 工作表5!$B$1:$B$23, "其他")</f>
        <v>顯像組</v>
      </c>
      <c r="C2517" s="144" t="s">
        <v>755</v>
      </c>
      <c r="D2517" s="156"/>
      <c r="E2517" s="156" t="s">
        <v>1644</v>
      </c>
      <c r="F2517" s="156" t="s">
        <v>955</v>
      </c>
      <c r="G2517" s="154">
        <v>115000</v>
      </c>
    </row>
    <row r="2518" spans="1:7" ht="21.6" customHeight="1">
      <c r="A2518" s="154" t="s">
        <v>60</v>
      </c>
      <c r="B2518" s="154" t="str" cm="1">
        <f t="array" ref="B2518">_xlfn.XLOOKUP(TRUE, ISNUMBER(SEARCH(工作表5!$A$1:$A$23, C2518)), 工作表5!$B$1:$B$23, "其他")</f>
        <v>取紙組</v>
      </c>
      <c r="C2518" s="144" t="s">
        <v>638</v>
      </c>
      <c r="D2518" s="156"/>
      <c r="E2518" s="156" t="s">
        <v>1399</v>
      </c>
      <c r="F2518" s="156" t="s">
        <v>296</v>
      </c>
      <c r="G2518" s="154">
        <v>80000</v>
      </c>
    </row>
    <row r="2519" spans="1:7" ht="21.6" customHeight="1">
      <c r="A2519" s="154" t="s">
        <v>60</v>
      </c>
      <c r="B2519" s="154" t="str" cm="1">
        <f t="array" ref="B2519">_xlfn.XLOOKUP(TRUE, ISNUMBER(SEARCH(工作表5!$A$1:$A$23, C2519)), 工作表5!$B$1:$B$23, "其他")</f>
        <v>送稿機</v>
      </c>
      <c r="C2519" s="144" t="s">
        <v>300</v>
      </c>
      <c r="D2519" s="156"/>
      <c r="E2519" s="156" t="s">
        <v>1400</v>
      </c>
      <c r="F2519" s="156" t="s">
        <v>299</v>
      </c>
      <c r="G2519" s="154">
        <v>120000</v>
      </c>
    </row>
    <row r="2520" spans="1:7" ht="21.6" customHeight="1">
      <c r="A2520" s="154" t="s">
        <v>60</v>
      </c>
      <c r="B2520" s="154" t="str" cm="1">
        <f t="array" ref="B2520">_xlfn.XLOOKUP(TRUE, ISNUMBER(SEARCH(工作表5!$A$1:$A$23, C2520)), 工作表5!$B$1:$B$23, "其他")</f>
        <v>送稿機</v>
      </c>
      <c r="C2520" s="144" t="s">
        <v>303</v>
      </c>
      <c r="D2520" s="156"/>
      <c r="E2520" s="156" t="s">
        <v>1414</v>
      </c>
      <c r="F2520" s="156" t="s">
        <v>346</v>
      </c>
      <c r="G2520" s="154">
        <v>120000</v>
      </c>
    </row>
    <row r="2521" spans="1:7" ht="21.6" customHeight="1">
      <c r="A2521" s="154" t="s">
        <v>60</v>
      </c>
      <c r="B2521" s="154" t="str" cm="1">
        <f t="array" ref="B2521">_xlfn.XLOOKUP(TRUE, ISNUMBER(SEARCH(工作表5!$A$1:$A$23, C2521)), 工作表5!$B$1:$B$23, "其他")</f>
        <v>其他</v>
      </c>
      <c r="C2521" s="144" t="s">
        <v>349</v>
      </c>
      <c r="D2521" s="156"/>
      <c r="E2521" s="156" t="s">
        <v>1415</v>
      </c>
      <c r="F2521" s="156" t="s">
        <v>348</v>
      </c>
      <c r="G2521" s="154">
        <v>500000</v>
      </c>
    </row>
    <row r="2522" spans="1:7" ht="21.6" customHeight="1">
      <c r="A2522" s="154" t="s">
        <v>60</v>
      </c>
      <c r="B2522" s="154" t="str" cm="1">
        <f t="array" ref="B2522">_xlfn.XLOOKUP(TRUE, ISNUMBER(SEARCH(工作表5!$A$1:$A$23, C2522)), 工作表5!$B$1:$B$23, "其他")</f>
        <v>定著組</v>
      </c>
      <c r="C2522" s="144" t="s">
        <v>642</v>
      </c>
      <c r="D2522" s="156"/>
      <c r="E2522" s="156" t="s">
        <v>1524</v>
      </c>
      <c r="F2522" s="156" t="s">
        <v>641</v>
      </c>
      <c r="G2522" s="154">
        <v>368000</v>
      </c>
    </row>
    <row r="2523" spans="1:7" ht="21.6" customHeight="1">
      <c r="A2523" s="154" t="s">
        <v>60</v>
      </c>
      <c r="B2523" s="154" t="str" cm="1">
        <f t="array" ref="B2523">_xlfn.XLOOKUP(TRUE, ISNUMBER(SEARCH(工作表5!$A$1:$A$23, C2523)), 工作表5!$B$1:$B$23, "其他")</f>
        <v>轉寫組</v>
      </c>
      <c r="C2523" s="144" t="s">
        <v>645</v>
      </c>
      <c r="D2523" s="156"/>
      <c r="E2523" s="156" t="s">
        <v>1525</v>
      </c>
      <c r="F2523" s="156" t="s">
        <v>644</v>
      </c>
      <c r="G2523" s="154">
        <v>230000</v>
      </c>
    </row>
    <row r="2524" spans="1:7" ht="21.6" customHeight="1">
      <c r="A2524" s="154" t="s">
        <v>60</v>
      </c>
      <c r="B2524" s="154" t="str" cm="1">
        <f t="array" ref="B2524">_xlfn.XLOOKUP(TRUE, ISNUMBER(SEARCH(工作表5!$A$1:$A$23, C2524)), 工作表5!$B$1:$B$23, "其他")</f>
        <v>定著組</v>
      </c>
      <c r="C2524" s="145" t="s">
        <v>585</v>
      </c>
      <c r="D2524" s="156"/>
      <c r="E2524" s="156" t="s">
        <v>1526</v>
      </c>
      <c r="F2524" s="156" t="s">
        <v>647</v>
      </c>
      <c r="G2524" s="154" t="e">
        <v>#VALUE!</v>
      </c>
    </row>
    <row r="2525" spans="1:7" ht="21.6" customHeight="1">
      <c r="A2525" s="154" t="s">
        <v>60</v>
      </c>
      <c r="B2525" s="154" t="str" cm="1">
        <f t="array" ref="B2525">_xlfn.XLOOKUP(TRUE, ISNUMBER(SEARCH(工作表5!$A$1:$A$23, C2525)), 工作表5!$B$1:$B$23, "其他")</f>
        <v>顯像組</v>
      </c>
      <c r="C2525" s="145" t="s">
        <v>129</v>
      </c>
      <c r="D2525" s="156"/>
      <c r="E2525" s="156" t="s">
        <v>1527</v>
      </c>
      <c r="F2525" s="156" t="s">
        <v>649</v>
      </c>
      <c r="G2525" s="154" t="e">
        <v>#VALUE!</v>
      </c>
    </row>
    <row r="2526" spans="1:7" ht="21.6" customHeight="1">
      <c r="A2526" s="154" t="s">
        <v>60</v>
      </c>
      <c r="B2526" s="154" t="str" cm="1">
        <f t="array" ref="B2526">_xlfn.XLOOKUP(TRUE, ISNUMBER(SEARCH(工作表5!$A$1:$A$23, C2526)), 工作表5!$B$1:$B$23, "其他")</f>
        <v>顯像組</v>
      </c>
      <c r="C2526" s="145" t="s">
        <v>772</v>
      </c>
      <c r="D2526" s="156"/>
      <c r="E2526" s="156" t="s">
        <v>1686</v>
      </c>
      <c r="F2526" s="156" t="s">
        <v>1065</v>
      </c>
      <c r="G2526" s="154" t="e">
        <v>#VALUE!</v>
      </c>
    </row>
    <row r="2527" spans="1:7" ht="21.6" customHeight="1">
      <c r="A2527" s="154" t="s">
        <v>60</v>
      </c>
      <c r="B2527" s="154" t="str" cm="1">
        <f t="array" ref="B2527">_xlfn.XLOOKUP(TRUE, ISNUMBER(SEARCH(工作表5!$A$1:$A$23, C2527)), 工作表5!$B$1:$B$23, "其他")</f>
        <v>顯像組</v>
      </c>
      <c r="C2527" s="145" t="s">
        <v>775</v>
      </c>
      <c r="D2527" s="156"/>
      <c r="E2527" s="156" t="s">
        <v>1687</v>
      </c>
      <c r="F2527" s="156" t="s">
        <v>1067</v>
      </c>
      <c r="G2527" s="154" t="e">
        <v>#VALUE!</v>
      </c>
    </row>
    <row r="2528" spans="1:7" ht="21.6" customHeight="1">
      <c r="A2528" s="154" t="s">
        <v>60</v>
      </c>
      <c r="B2528" s="154" t="str" cm="1">
        <f t="array" ref="B2528">_xlfn.XLOOKUP(TRUE, ISNUMBER(SEARCH(工作表5!$A$1:$A$23, C2528)), 工作表5!$B$1:$B$23, "其他")</f>
        <v>顯像組</v>
      </c>
      <c r="C2528" s="145" t="s">
        <v>778</v>
      </c>
      <c r="D2528" s="156"/>
      <c r="E2528" s="156" t="s">
        <v>1688</v>
      </c>
      <c r="F2528" s="156" t="s">
        <v>1069</v>
      </c>
      <c r="G2528" s="154" t="e">
        <v>#VALUE!</v>
      </c>
    </row>
    <row r="2529" spans="1:7" ht="21.6" customHeight="1">
      <c r="A2529" s="154" t="s">
        <v>60</v>
      </c>
      <c r="B2529" s="154" t="str" cm="1">
        <f t="array" ref="B2529">_xlfn.XLOOKUP(TRUE, ISNUMBER(SEARCH(工作表5!$A$1:$A$23, C2529)), 工作表5!$B$1:$B$23, "其他")</f>
        <v>轉寫組</v>
      </c>
      <c r="C2529" s="144" t="s">
        <v>1821</v>
      </c>
      <c r="D2529" s="156"/>
      <c r="E2529" s="156" t="s">
        <v>1528</v>
      </c>
      <c r="F2529" s="156" t="s">
        <v>651</v>
      </c>
      <c r="G2529" s="154" t="e">
        <v>#VALUE!</v>
      </c>
    </row>
    <row r="2530" spans="1:7" ht="21.6" customHeight="1">
      <c r="A2530" s="154" t="s">
        <v>60</v>
      </c>
      <c r="B2530" s="154" t="str" cm="1">
        <f t="array" ref="B2530">_xlfn.XLOOKUP(TRUE, ISNUMBER(SEARCH(工作表5!$A$1:$A$23, C2530)), 工作表5!$B$1:$B$23, "其他")</f>
        <v>轉寫組</v>
      </c>
      <c r="C2530" s="150" t="s">
        <v>1805</v>
      </c>
      <c r="D2530" s="156"/>
      <c r="E2530" s="156" t="s">
        <v>1651</v>
      </c>
      <c r="F2530" s="156" t="s">
        <v>970</v>
      </c>
      <c r="G2530" s="154" t="e">
        <v>#VALUE!</v>
      </c>
    </row>
    <row r="2531" spans="1:7" ht="21.6" customHeight="1">
      <c r="A2531" s="154" t="s">
        <v>1319</v>
      </c>
      <c r="B2531" s="154" t="str" cm="1">
        <f t="array" ref="B2531">_xlfn.XLOOKUP(TRUE, ISNUMBER(SEARCH(工作表5!$A$1:$A$23, C2531)), 工作表5!$B$1:$B$23, "其他")</f>
        <v>滾筒組</v>
      </c>
      <c r="C2531" s="143" t="s">
        <v>71</v>
      </c>
      <c r="D2531" s="156"/>
      <c r="E2531" s="156" t="s">
        <v>1689</v>
      </c>
      <c r="F2531" s="156" t="s">
        <v>1075</v>
      </c>
      <c r="G2531" s="154">
        <v>303000</v>
      </c>
    </row>
    <row r="2532" spans="1:7" ht="21.6" customHeight="1">
      <c r="A2532" s="154" t="s">
        <v>1319</v>
      </c>
      <c r="B2532" s="154" t="str" cm="1">
        <f t="array" ref="B2532">_xlfn.XLOOKUP(TRUE, ISNUMBER(SEARCH(工作表5!$A$1:$A$23, C2532)), 工作表5!$B$1:$B$23, "其他")</f>
        <v>顯像組</v>
      </c>
      <c r="C2532" s="145" t="s">
        <v>502</v>
      </c>
      <c r="D2532" s="156"/>
      <c r="E2532" s="156" t="s">
        <v>1690</v>
      </c>
      <c r="F2532" s="156" t="s">
        <v>1077</v>
      </c>
      <c r="G2532" s="154" t="e">
        <v>#VALUE!</v>
      </c>
    </row>
    <row r="2533" spans="1:7" ht="21.6" customHeight="1">
      <c r="A2533" s="154" t="s">
        <v>1319</v>
      </c>
      <c r="B2533" s="154" t="str" cm="1">
        <f t="array" ref="B2533">_xlfn.XLOOKUP(TRUE, ISNUMBER(SEARCH(工作表5!$A$1:$A$23, C2533)), 工作表5!$B$1:$B$23, "其他")</f>
        <v>顯像組</v>
      </c>
      <c r="C2533" s="145" t="s">
        <v>703</v>
      </c>
      <c r="D2533" s="156"/>
      <c r="E2533" s="156" t="s">
        <v>1691</v>
      </c>
      <c r="F2533" s="156" t="s">
        <v>1079</v>
      </c>
      <c r="G2533" s="154" t="e">
        <v>#VALUE!</v>
      </c>
    </row>
    <row r="2534" spans="1:7" ht="21.6" customHeight="1">
      <c r="A2534" s="154" t="s">
        <v>1319</v>
      </c>
      <c r="B2534" s="154" t="str" cm="1">
        <f t="array" ref="B2534">_xlfn.XLOOKUP(TRUE, ISNUMBER(SEARCH(工作表5!$A$1:$A$23, C2534)), 工作表5!$B$1:$B$23, "其他")</f>
        <v>顯像組</v>
      </c>
      <c r="C2534" s="145" t="s">
        <v>1204</v>
      </c>
      <c r="D2534" s="156"/>
      <c r="E2534" s="156" t="s">
        <v>1692</v>
      </c>
      <c r="F2534" s="156" t="s">
        <v>1081</v>
      </c>
      <c r="G2534" s="154" t="e">
        <v>#VALUE!</v>
      </c>
    </row>
    <row r="2535" spans="1:7" ht="21.6" customHeight="1">
      <c r="A2535" s="154" t="s">
        <v>1319</v>
      </c>
      <c r="B2535" s="154" t="str" cm="1">
        <f t="array" ref="B2535">_xlfn.XLOOKUP(TRUE, ISNUMBER(SEARCH(工作表5!$A$1:$A$23, C2535)), 工作表5!$B$1:$B$23, "其他")</f>
        <v>顯像組</v>
      </c>
      <c r="C2535" s="145" t="s">
        <v>1205</v>
      </c>
      <c r="D2535" s="156"/>
      <c r="E2535" s="156" t="s">
        <v>1693</v>
      </c>
      <c r="F2535" s="156" t="s">
        <v>1083</v>
      </c>
      <c r="G2535" s="154" t="e">
        <v>#VALUE!</v>
      </c>
    </row>
    <row r="2536" spans="1:7" ht="21.6" customHeight="1">
      <c r="A2536" s="154" t="s">
        <v>1319</v>
      </c>
      <c r="B2536" s="154" t="str" cm="1">
        <f t="array" ref="B2536">_xlfn.XLOOKUP(TRUE, ISNUMBER(SEARCH(工作表5!$A$1:$A$23, C2536)), 工作表5!$B$1:$B$23, "其他")</f>
        <v>滾筒組</v>
      </c>
      <c r="C2536" s="145" t="s">
        <v>415</v>
      </c>
      <c r="D2536" s="156"/>
      <c r="E2536" s="156" t="s">
        <v>1694</v>
      </c>
      <c r="F2536" s="156" t="s">
        <v>1085</v>
      </c>
      <c r="G2536" s="154">
        <v>303000</v>
      </c>
    </row>
    <row r="2537" spans="1:7" ht="21.6" customHeight="1">
      <c r="A2537" s="154" t="s">
        <v>1319</v>
      </c>
      <c r="B2537" s="154" t="str" cm="1">
        <f t="array" ref="B2537">_xlfn.XLOOKUP(TRUE, ISNUMBER(SEARCH(工作表5!$A$1:$A$23, C2537)), 工作表5!$B$1:$B$23, "其他")</f>
        <v>定著組</v>
      </c>
      <c r="C2537" s="144" t="s">
        <v>1809</v>
      </c>
      <c r="D2537" s="156"/>
      <c r="E2537" s="156" t="s">
        <v>1695</v>
      </c>
      <c r="F2537" s="156" t="s">
        <v>1087</v>
      </c>
      <c r="G2537" s="154">
        <v>275000</v>
      </c>
    </row>
    <row r="2538" spans="1:7" ht="21.6" customHeight="1">
      <c r="A2538" s="154" t="s">
        <v>1319</v>
      </c>
      <c r="B2538" s="154" t="str" cm="1">
        <f t="array" ref="B2538">_xlfn.XLOOKUP(TRUE, ISNUMBER(SEARCH(工作表5!$A$1:$A$23, C2538)), 工作表5!$B$1:$B$23, "其他")</f>
        <v>定著組</v>
      </c>
      <c r="C2538" s="144" t="s">
        <v>1090</v>
      </c>
      <c r="D2538" s="156"/>
      <c r="E2538" s="156" t="s">
        <v>1696</v>
      </c>
      <c r="F2538" s="156" t="s">
        <v>1089</v>
      </c>
      <c r="G2538" s="154">
        <v>275000</v>
      </c>
    </row>
    <row r="2539" spans="1:7" ht="21.6" customHeight="1">
      <c r="A2539" s="154" t="s">
        <v>1319</v>
      </c>
      <c r="B2539" s="154" t="str" cm="1">
        <f t="array" ref="B2539">_xlfn.XLOOKUP(TRUE, ISNUMBER(SEARCH(工作表5!$A$1:$A$23, C2539)), 工作表5!$B$1:$B$23, "其他")</f>
        <v>定著組</v>
      </c>
      <c r="C2539" s="145" t="s">
        <v>1855</v>
      </c>
      <c r="D2539" s="156"/>
      <c r="E2539" s="156" t="s">
        <v>1697</v>
      </c>
      <c r="F2539" s="156" t="s">
        <v>1092</v>
      </c>
      <c r="G2539" s="154">
        <v>550000</v>
      </c>
    </row>
    <row r="2540" spans="1:7" ht="21.6" customHeight="1">
      <c r="A2540" s="154" t="s">
        <v>1319</v>
      </c>
      <c r="B2540" s="154" t="str" cm="1">
        <f t="array" ref="B2540">_xlfn.XLOOKUP(TRUE, ISNUMBER(SEARCH(工作表5!$A$1:$A$23, C2540)), 工作表5!$B$1:$B$23, "其他")</f>
        <v>轉寫組</v>
      </c>
      <c r="C2540" s="145" t="s">
        <v>1206</v>
      </c>
      <c r="D2540" s="156"/>
      <c r="E2540" s="156" t="s">
        <v>1698</v>
      </c>
      <c r="F2540" s="156" t="s">
        <v>1094</v>
      </c>
      <c r="G2540" s="154">
        <v>303000</v>
      </c>
    </row>
    <row r="2541" spans="1:7" ht="21.6" customHeight="1">
      <c r="A2541" s="154" t="s">
        <v>1319</v>
      </c>
      <c r="B2541" s="154" t="str" cm="1">
        <f t="array" ref="B2541">_xlfn.XLOOKUP(TRUE, ISNUMBER(SEARCH(工作表5!$A$1:$A$23, C2541)), 工作表5!$B$1:$B$23, "其他")</f>
        <v>轉寫組</v>
      </c>
      <c r="C2541" s="145" t="s">
        <v>1207</v>
      </c>
      <c r="D2541" s="156"/>
      <c r="E2541" s="156" t="s">
        <v>1699</v>
      </c>
      <c r="F2541" s="156" t="s">
        <v>1097</v>
      </c>
      <c r="G2541" s="154">
        <v>303000</v>
      </c>
    </row>
    <row r="2542" spans="1:7" ht="21.6" customHeight="1">
      <c r="A2542" s="154" t="s">
        <v>1319</v>
      </c>
      <c r="B2542" s="154" t="str" cm="1">
        <f t="array" ref="B2542">_xlfn.XLOOKUP(TRUE, ISNUMBER(SEARCH(工作表5!$A$1:$A$23, C2542)), 工作表5!$B$1:$B$23, "其他")</f>
        <v>轉寫組</v>
      </c>
      <c r="C2542" s="145" t="s">
        <v>1812</v>
      </c>
      <c r="D2542" s="156"/>
      <c r="E2542" s="156" t="s">
        <v>1700</v>
      </c>
      <c r="F2542" s="156" t="s">
        <v>1099</v>
      </c>
      <c r="G2542" s="154">
        <v>303000</v>
      </c>
    </row>
    <row r="2543" spans="1:7" ht="21.6" customHeight="1">
      <c r="A2543" s="154" t="s">
        <v>1319</v>
      </c>
      <c r="B2543" s="154" t="str" cm="1">
        <f t="array" ref="B2543">_xlfn.XLOOKUP(TRUE, ISNUMBER(SEARCH(工作表5!$A$1:$A$23, C2543)), 工作表5!$B$1:$B$23, "其他")</f>
        <v>轉寫組</v>
      </c>
      <c r="C2543" s="145" t="s">
        <v>1102</v>
      </c>
      <c r="D2543" s="156"/>
      <c r="E2543" s="156" t="s">
        <v>1701</v>
      </c>
      <c r="F2543" s="156" t="s">
        <v>1101</v>
      </c>
      <c r="G2543" s="154">
        <v>303000</v>
      </c>
    </row>
    <row r="2544" spans="1:7" ht="21.6" customHeight="1">
      <c r="A2544" s="154" t="s">
        <v>1319</v>
      </c>
      <c r="B2544" s="154" t="str" cm="1">
        <f t="array" ref="B2544">_xlfn.XLOOKUP(TRUE, ISNUMBER(SEARCH(工作表5!$A$1:$A$23, C2544)), 工作表5!$B$1:$B$23, "其他")</f>
        <v>轉寫組</v>
      </c>
      <c r="C2544" s="148" t="s">
        <v>1848</v>
      </c>
      <c r="D2544" s="156"/>
      <c r="E2544" s="156" t="s">
        <v>1702</v>
      </c>
      <c r="F2544" s="156" t="s">
        <v>1104</v>
      </c>
      <c r="G2544" s="154">
        <v>303000</v>
      </c>
    </row>
    <row r="2545" spans="1:7" ht="21.6" customHeight="1">
      <c r="A2545" s="154" t="s">
        <v>1319</v>
      </c>
      <c r="B2545" s="154" t="str" cm="1">
        <f t="array" ref="B2545">_xlfn.XLOOKUP(TRUE, ISNUMBER(SEARCH(工作表5!$A$1:$A$23, C2545)), 工作表5!$B$1:$B$23, "其他")</f>
        <v>轉寫組</v>
      </c>
      <c r="C2545" s="145" t="s">
        <v>1849</v>
      </c>
      <c r="D2545" s="156"/>
      <c r="E2545" s="156" t="s">
        <v>1703</v>
      </c>
      <c r="F2545" s="156" t="s">
        <v>1106</v>
      </c>
      <c r="G2545" s="154">
        <v>606000</v>
      </c>
    </row>
    <row r="2546" spans="1:7" ht="21.6" customHeight="1">
      <c r="A2546" s="154" t="s">
        <v>1319</v>
      </c>
      <c r="B2546" s="154" t="str" cm="1">
        <f t="array" ref="B2546">_xlfn.XLOOKUP(TRUE, ISNUMBER(SEARCH(工作表5!$A$1:$A$23, C2546)), 工作表5!$B$1:$B$23, "其他")</f>
        <v>滾筒組</v>
      </c>
      <c r="C2546" s="145" t="s">
        <v>1208</v>
      </c>
      <c r="D2546" s="156"/>
      <c r="E2546" s="156" t="s">
        <v>1472</v>
      </c>
      <c r="F2546" s="156" t="s">
        <v>507</v>
      </c>
      <c r="G2546" s="154">
        <v>303000</v>
      </c>
    </row>
    <row r="2547" spans="1:7" ht="21.6" customHeight="1">
      <c r="A2547" s="154" t="s">
        <v>1319</v>
      </c>
      <c r="B2547" s="154" t="str" cm="1">
        <f t="array" ref="B2547">_xlfn.XLOOKUP(TRUE, ISNUMBER(SEARCH(工作表5!$A$1:$A$23, C2547)), 工作表5!$B$1:$B$23, "其他")</f>
        <v>滾筒組</v>
      </c>
      <c r="C2547" s="145" t="s">
        <v>1209</v>
      </c>
      <c r="D2547" s="156"/>
      <c r="E2547" s="156" t="s">
        <v>1539</v>
      </c>
      <c r="F2547" s="156" t="s">
        <v>692</v>
      </c>
      <c r="G2547" s="154">
        <v>303000</v>
      </c>
    </row>
    <row r="2548" spans="1:7" ht="21.6" customHeight="1">
      <c r="A2548" s="154" t="s">
        <v>1319</v>
      </c>
      <c r="B2548" s="154" t="str" cm="1">
        <f t="array" ref="B2548">_xlfn.XLOOKUP(TRUE, ISNUMBER(SEARCH(工作表5!$A$1:$A$23, C2548)), 工作表5!$B$1:$B$23, "其他")</f>
        <v>顯像組</v>
      </c>
      <c r="C2548" s="145" t="s">
        <v>104</v>
      </c>
      <c r="D2548" s="156"/>
      <c r="E2548" s="156" t="s">
        <v>1704</v>
      </c>
      <c r="F2548" s="156" t="s">
        <v>1108</v>
      </c>
      <c r="G2548" s="154">
        <v>303000</v>
      </c>
    </row>
    <row r="2549" spans="1:7" ht="21.6" customHeight="1">
      <c r="A2549" s="154" t="s">
        <v>1319</v>
      </c>
      <c r="B2549" s="154" t="str" cm="1">
        <f t="array" ref="B2549">_xlfn.XLOOKUP(TRUE, ISNUMBER(SEARCH(工作表5!$A$1:$A$23, C2549)), 工作表5!$B$1:$B$23, "其他")</f>
        <v>顯像組</v>
      </c>
      <c r="C2549" s="145" t="s">
        <v>1806</v>
      </c>
      <c r="D2549" s="156"/>
      <c r="E2549" s="156" t="s">
        <v>1474</v>
      </c>
      <c r="F2549" s="156" t="s">
        <v>511</v>
      </c>
      <c r="G2549" s="154">
        <v>303000</v>
      </c>
    </row>
    <row r="2550" spans="1:7" ht="21.6" customHeight="1">
      <c r="A2550" s="154" t="s">
        <v>1319</v>
      </c>
      <c r="B2550" s="154" t="str" cm="1">
        <f t="array" ref="B2550">_xlfn.XLOOKUP(TRUE, ISNUMBER(SEARCH(工作表5!$A$1:$A$23, C2550)), 工作表5!$B$1:$B$23, "其他")</f>
        <v>其他</v>
      </c>
      <c r="C2550" s="145" t="s">
        <v>1808</v>
      </c>
      <c r="D2550" s="156"/>
      <c r="E2550" s="156" t="s">
        <v>1477</v>
      </c>
      <c r="F2550" s="156" t="s">
        <v>518</v>
      </c>
      <c r="G2550" s="154">
        <v>303000</v>
      </c>
    </row>
    <row r="2551" spans="1:7" ht="21.6" customHeight="1">
      <c r="A2551" s="154" t="s">
        <v>1319</v>
      </c>
      <c r="B2551" s="154" t="str" cm="1">
        <f t="array" ref="B2551">_xlfn.XLOOKUP(TRUE, ISNUMBER(SEARCH(工作表5!$A$1:$A$23, C2551)), 工作表5!$B$1:$B$23, "其他")</f>
        <v>其他</v>
      </c>
      <c r="C2551" s="145" t="s">
        <v>1856</v>
      </c>
      <c r="D2551" s="156"/>
      <c r="E2551" s="156" t="s">
        <v>1478</v>
      </c>
      <c r="F2551" s="156" t="s">
        <v>520</v>
      </c>
      <c r="G2551" s="154">
        <v>303000</v>
      </c>
    </row>
    <row r="2552" spans="1:7" ht="21.6" customHeight="1">
      <c r="A2552" s="154" t="s">
        <v>1319</v>
      </c>
      <c r="B2552" s="154" t="str" cm="1">
        <f t="array" ref="B2552">_xlfn.XLOOKUP(TRUE, ISNUMBER(SEARCH(工作表5!$A$1:$A$23, C2552)), 工作表5!$B$1:$B$23, "其他")</f>
        <v>其他</v>
      </c>
      <c r="C2552" s="145" t="s">
        <v>523</v>
      </c>
      <c r="D2552" s="156"/>
      <c r="E2552" s="156" t="s">
        <v>1479</v>
      </c>
      <c r="F2552" s="156" t="s">
        <v>522</v>
      </c>
      <c r="G2552" s="154">
        <v>303000</v>
      </c>
    </row>
    <row r="2553" spans="1:7" ht="21.6" customHeight="1">
      <c r="A2553" s="154" t="s">
        <v>1319</v>
      </c>
      <c r="B2553" s="154" t="str" cm="1">
        <f t="array" ref="B2553">_xlfn.XLOOKUP(TRUE, ISNUMBER(SEARCH(工作表5!$A$1:$A$23, C2553)), 工作表5!$B$1:$B$23, "其他")</f>
        <v>定著組</v>
      </c>
      <c r="C2553" s="145" t="s">
        <v>1210</v>
      </c>
      <c r="D2553" s="156"/>
      <c r="E2553" s="156" t="s">
        <v>1705</v>
      </c>
      <c r="F2553" s="156" t="s">
        <v>1110</v>
      </c>
      <c r="G2553" s="154">
        <v>550000</v>
      </c>
    </row>
    <row r="2554" spans="1:7" ht="21.6" customHeight="1">
      <c r="A2554" s="154" t="s">
        <v>1319</v>
      </c>
      <c r="B2554" s="154" t="str" cm="1">
        <f t="array" ref="B2554">_xlfn.XLOOKUP(TRUE, ISNUMBER(SEARCH(工作表5!$A$1:$A$23, C2554)), 工作表5!$B$1:$B$23, "其他")</f>
        <v>定著組</v>
      </c>
      <c r="C2554" s="145" t="s">
        <v>1850</v>
      </c>
      <c r="D2554" s="156"/>
      <c r="E2554" s="156" t="s">
        <v>1706</v>
      </c>
      <c r="F2554" s="156" t="s">
        <v>1112</v>
      </c>
      <c r="G2554" s="154">
        <v>275000</v>
      </c>
    </row>
    <row r="2555" spans="1:7" ht="21.6" customHeight="1">
      <c r="A2555" s="154" t="s">
        <v>1319</v>
      </c>
      <c r="B2555" s="154" t="str" cm="1">
        <f t="array" ref="B2555">_xlfn.XLOOKUP(TRUE, ISNUMBER(SEARCH(工作表5!$A$1:$A$23, C2555)), 工作表5!$B$1:$B$23, "其他")</f>
        <v>轉寫組</v>
      </c>
      <c r="C2555" s="145" t="s">
        <v>1813</v>
      </c>
      <c r="D2555" s="156"/>
      <c r="E2555" s="156" t="s">
        <v>1707</v>
      </c>
      <c r="F2555" s="156" t="s">
        <v>1114</v>
      </c>
      <c r="G2555" s="154">
        <v>303000</v>
      </c>
    </row>
    <row r="2556" spans="1:7" ht="21.6" customHeight="1">
      <c r="A2556" s="154" t="s">
        <v>1319</v>
      </c>
      <c r="B2556" s="154" t="str" cm="1">
        <f t="array" ref="B2556">_xlfn.XLOOKUP(TRUE, ISNUMBER(SEARCH(工作表5!$A$1:$A$23, C2556)), 工作表5!$B$1:$B$23, "其他")</f>
        <v>轉寫組</v>
      </c>
      <c r="C2556" s="145" t="s">
        <v>1814</v>
      </c>
      <c r="D2556" s="156"/>
      <c r="E2556" s="156" t="s">
        <v>1708</v>
      </c>
      <c r="F2556" s="156" t="s">
        <v>1116</v>
      </c>
      <c r="G2556" s="154">
        <v>303000</v>
      </c>
    </row>
    <row r="2557" spans="1:7" ht="21.6" customHeight="1">
      <c r="A2557" s="154" t="s">
        <v>1319</v>
      </c>
      <c r="B2557" s="154" t="str" cm="1">
        <f t="array" ref="B2557">_xlfn.XLOOKUP(TRUE, ISNUMBER(SEARCH(工作表5!$A$1:$A$23, C2557)), 工作表5!$B$1:$B$23, "其他")</f>
        <v>轉寫組</v>
      </c>
      <c r="C2557" s="145" t="s">
        <v>1815</v>
      </c>
      <c r="D2557" s="156"/>
      <c r="E2557" s="156" t="s">
        <v>1709</v>
      </c>
      <c r="F2557" s="156" t="s">
        <v>1118</v>
      </c>
      <c r="G2557" s="154">
        <v>303000</v>
      </c>
    </row>
    <row r="2558" spans="1:7" ht="21.6" customHeight="1">
      <c r="A2558" s="154" t="s">
        <v>1319</v>
      </c>
      <c r="B2558" s="154" t="str" cm="1">
        <f t="array" ref="B2558">_xlfn.XLOOKUP(TRUE, ISNUMBER(SEARCH(工作表5!$A$1:$A$23, C2558)), 工作表5!$B$1:$B$23, "其他")</f>
        <v>其他</v>
      </c>
      <c r="C2558" s="145" t="s">
        <v>1851</v>
      </c>
      <c r="D2558" s="156"/>
      <c r="E2558" s="156" t="s">
        <v>1710</v>
      </c>
      <c r="F2558" s="156" t="s">
        <v>1120</v>
      </c>
      <c r="G2558" s="154">
        <v>606000</v>
      </c>
    </row>
    <row r="2559" spans="1:7" ht="21.6" customHeight="1">
      <c r="A2559" s="154" t="s">
        <v>1319</v>
      </c>
      <c r="B2559" s="154" t="str" cm="1">
        <f t="array" ref="B2559">_xlfn.XLOOKUP(TRUE, ISNUMBER(SEARCH(工作表5!$A$1:$A$23, C2559)), 工作表5!$B$1:$B$23, "其他")</f>
        <v>其他</v>
      </c>
      <c r="C2559" s="145" t="s">
        <v>1852</v>
      </c>
      <c r="D2559" s="156"/>
      <c r="E2559" s="156" t="s">
        <v>1711</v>
      </c>
      <c r="F2559" s="156" t="s">
        <v>1122</v>
      </c>
      <c r="G2559" s="154">
        <v>606000</v>
      </c>
    </row>
    <row r="2560" spans="1:7" ht="21.6" customHeight="1">
      <c r="A2560" s="154" t="s">
        <v>1319</v>
      </c>
      <c r="B2560" s="154" t="str" cm="1">
        <f t="array" ref="B2560">_xlfn.XLOOKUP(TRUE, ISNUMBER(SEARCH(工作表5!$A$1:$A$23, C2560)), 工作表5!$B$1:$B$23, "其他")</f>
        <v>取紙組</v>
      </c>
      <c r="C2560" s="144" t="s">
        <v>1816</v>
      </c>
      <c r="D2560" s="156"/>
      <c r="E2560" s="156" t="s">
        <v>1452</v>
      </c>
      <c r="F2560" s="156" t="s">
        <v>226</v>
      </c>
      <c r="G2560" s="154" t="e">
        <v>#VALUE!</v>
      </c>
    </row>
    <row r="2561" spans="1:7" ht="21.6" customHeight="1">
      <c r="A2561" s="154" t="s">
        <v>1319</v>
      </c>
      <c r="B2561" s="154" t="str" cm="1">
        <f t="array" ref="B2561">_xlfn.XLOOKUP(TRUE, ISNUMBER(SEARCH(工作表5!$A$1:$A$23, C2561)), 工作表5!$B$1:$B$23, "其他")</f>
        <v>取紙組</v>
      </c>
      <c r="C2561" s="145" t="s">
        <v>1816</v>
      </c>
      <c r="D2561" s="156"/>
      <c r="E2561" s="156" t="s">
        <v>1452</v>
      </c>
      <c r="F2561" s="156" t="s">
        <v>226</v>
      </c>
      <c r="G2561" s="154" t="e">
        <v>#VALUE!</v>
      </c>
    </row>
    <row r="2562" spans="1:7" ht="21.6" customHeight="1">
      <c r="A2562" s="154" t="s">
        <v>1319</v>
      </c>
      <c r="B2562" s="154" t="str" cm="1">
        <f t="array" ref="B2562">_xlfn.XLOOKUP(TRUE, ISNUMBER(SEARCH(工作表5!$A$1:$A$23, C2562)), 工作表5!$B$1:$B$23, "其他")</f>
        <v>取紙組</v>
      </c>
      <c r="C2562" s="144" t="s">
        <v>1817</v>
      </c>
      <c r="D2562" s="156"/>
      <c r="E2562" s="156" t="s">
        <v>1453</v>
      </c>
      <c r="F2562" s="156" t="s">
        <v>458</v>
      </c>
      <c r="G2562" s="154" t="e">
        <v>#VALUE!</v>
      </c>
    </row>
    <row r="2563" spans="1:7" ht="21.6" customHeight="1">
      <c r="A2563" s="154" t="s">
        <v>1319</v>
      </c>
      <c r="B2563" s="154" t="str" cm="1">
        <f t="array" ref="B2563">_xlfn.XLOOKUP(TRUE, ISNUMBER(SEARCH(工作表5!$A$1:$A$23, C2563)), 工作表5!$B$1:$B$23, "其他")</f>
        <v>送稿機</v>
      </c>
      <c r="C2563" s="145" t="s">
        <v>1838</v>
      </c>
      <c r="D2563" s="156"/>
      <c r="E2563" s="156" t="s">
        <v>1375</v>
      </c>
      <c r="F2563" s="156" t="s">
        <v>226</v>
      </c>
      <c r="G2563" s="154" t="e">
        <v>#VALUE!</v>
      </c>
    </row>
    <row r="2564" spans="1:7" ht="21.6" customHeight="1">
      <c r="A2564" s="154" t="s">
        <v>1319</v>
      </c>
      <c r="B2564" s="154" t="str" cm="1">
        <f t="array" ref="B2564">_xlfn.XLOOKUP(TRUE, ISNUMBER(SEARCH(工作表5!$A$1:$A$23, C2564)), 工作表5!$B$1:$B$23, "其他")</f>
        <v>送稿機</v>
      </c>
      <c r="C2564" s="144" t="s">
        <v>1123</v>
      </c>
      <c r="D2564" s="156"/>
      <c r="E2564" s="156" t="s">
        <v>1375</v>
      </c>
      <c r="F2564" s="156" t="s">
        <v>226</v>
      </c>
      <c r="G2564" s="154" t="e">
        <v>#VALUE!</v>
      </c>
    </row>
    <row r="2565" spans="1:7" ht="21.6" customHeight="1">
      <c r="A2565" s="154" t="s">
        <v>1319</v>
      </c>
      <c r="B2565" s="154" t="str" cm="1">
        <f t="array" ref="B2565">_xlfn.XLOOKUP(TRUE, ISNUMBER(SEARCH(工作表5!$A$1:$A$23, C2565)), 工作表5!$B$1:$B$23, "其他")</f>
        <v>送稿機</v>
      </c>
      <c r="C2565" s="145" t="s">
        <v>1839</v>
      </c>
      <c r="D2565" s="156"/>
      <c r="E2565" s="156" t="s">
        <v>1376</v>
      </c>
      <c r="F2565" s="156" t="s">
        <v>230</v>
      </c>
      <c r="G2565" s="154" t="e">
        <v>#VALUE!</v>
      </c>
    </row>
    <row r="2566" spans="1:7" ht="21.6" customHeight="1">
      <c r="A2566" s="154" t="s">
        <v>1319</v>
      </c>
      <c r="B2566" s="154" t="str" cm="1">
        <f t="array" ref="B2566">_xlfn.XLOOKUP(TRUE, ISNUMBER(SEARCH(工作表5!$A$1:$A$23, C2566)), 工作表5!$B$1:$B$23, "其他")</f>
        <v>其他</v>
      </c>
      <c r="C2566" s="144" t="s">
        <v>1853</v>
      </c>
      <c r="D2566" s="156"/>
      <c r="E2566" s="156" t="s">
        <v>1410</v>
      </c>
      <c r="F2566" s="156" t="s">
        <v>333</v>
      </c>
      <c r="G2566" s="154">
        <v>500000</v>
      </c>
    </row>
    <row r="2567" spans="1:7" ht="21.6" customHeight="1">
      <c r="A2567" s="154" t="s">
        <v>1319</v>
      </c>
      <c r="B2567" s="154" t="str" cm="1">
        <f t="array" ref="B2567">_xlfn.XLOOKUP(TRUE, ISNUMBER(SEARCH(工作表5!$A$1:$A$23, C2567)), 工作表5!$B$1:$B$23, "其他")</f>
        <v>其他</v>
      </c>
      <c r="C2567" s="144" t="s">
        <v>1211</v>
      </c>
      <c r="D2567" s="156"/>
      <c r="E2567" s="156" t="s">
        <v>1452</v>
      </c>
      <c r="F2567" s="156" t="s">
        <v>226</v>
      </c>
      <c r="G2567" s="154">
        <v>500000</v>
      </c>
    </row>
    <row r="2568" spans="1:7" ht="21.6" customHeight="1">
      <c r="A2568" s="154" t="s">
        <v>1319</v>
      </c>
      <c r="B2568" s="154" t="str" cm="1">
        <f t="array" ref="B2568">_xlfn.XLOOKUP(TRUE, ISNUMBER(SEARCH(工作表5!$A$1:$A$23, C2568)), 工作表5!$B$1:$B$23, "其他")</f>
        <v>送稿機</v>
      </c>
      <c r="C2568" s="145" t="s">
        <v>1126</v>
      </c>
      <c r="D2568" s="156"/>
      <c r="E2568" s="156" t="s">
        <v>1457</v>
      </c>
      <c r="F2568" s="156" t="s">
        <v>468</v>
      </c>
      <c r="G2568" s="154">
        <v>500000</v>
      </c>
    </row>
    <row r="2569" spans="1:7" ht="21.6" customHeight="1">
      <c r="A2569" s="154" t="s">
        <v>1319</v>
      </c>
      <c r="B2569" s="154" t="str" cm="1">
        <f t="array" ref="B2569">_xlfn.XLOOKUP(TRUE, ISNUMBER(SEARCH(工作表5!$A$1:$A$23, C2569)), 工作表5!$B$1:$B$23, "其他")</f>
        <v>手送台</v>
      </c>
      <c r="C2569" s="145" t="s">
        <v>1819</v>
      </c>
      <c r="D2569" s="156"/>
      <c r="E2569" s="156" t="s">
        <v>1489</v>
      </c>
      <c r="F2569" s="156" t="s">
        <v>549</v>
      </c>
      <c r="G2569" s="154">
        <v>100000</v>
      </c>
    </row>
    <row r="2570" spans="1:7" ht="21.6" customHeight="1">
      <c r="A2570" s="154" t="s">
        <v>1319</v>
      </c>
      <c r="B2570" s="154" t="str" cm="1">
        <f t="array" ref="B2570">_xlfn.XLOOKUP(TRUE, ISNUMBER(SEARCH(工作表5!$A$1:$A$23, C2570)), 工作表5!$B$1:$B$23, "其他")</f>
        <v>手送台</v>
      </c>
      <c r="C2570" s="145" t="s">
        <v>115</v>
      </c>
      <c r="D2570" s="156"/>
      <c r="E2570" s="156" t="s">
        <v>1490</v>
      </c>
      <c r="F2570" s="156" t="s">
        <v>552</v>
      </c>
      <c r="G2570" s="154">
        <v>100000</v>
      </c>
    </row>
    <row r="2571" spans="1:7" ht="21.6" customHeight="1">
      <c r="A2571" s="154" t="s">
        <v>1319</v>
      </c>
      <c r="B2571" s="154" t="str" cm="1">
        <f t="array" ref="B2571">_xlfn.XLOOKUP(TRUE, ISNUMBER(SEARCH(工作表5!$A$1:$A$23, C2571)), 工作表5!$B$1:$B$23, "其他")</f>
        <v>手送台</v>
      </c>
      <c r="C2571" s="145" t="s">
        <v>550</v>
      </c>
      <c r="D2571" s="156"/>
      <c r="E2571" s="156" t="s">
        <v>1491</v>
      </c>
      <c r="F2571" s="156" t="s">
        <v>555</v>
      </c>
      <c r="G2571" s="154">
        <v>100000</v>
      </c>
    </row>
    <row r="2572" spans="1:7" ht="21.6" customHeight="1">
      <c r="A2572" s="154" t="s">
        <v>1319</v>
      </c>
      <c r="B2572" s="154" t="str" cm="1">
        <f t="array" ref="B2572">_xlfn.XLOOKUP(TRUE, ISNUMBER(SEARCH(工作表5!$A$1:$A$23, C2572)), 工作表5!$B$1:$B$23, "其他")</f>
        <v>其他</v>
      </c>
      <c r="C2572" s="145" t="s">
        <v>1212</v>
      </c>
      <c r="D2572" s="156"/>
      <c r="E2572" s="156" t="s">
        <v>1712</v>
      </c>
      <c r="F2572" s="156" t="s">
        <v>1128</v>
      </c>
      <c r="G2572" s="154">
        <v>303000</v>
      </c>
    </row>
    <row r="2573" spans="1:7" ht="21.6" customHeight="1">
      <c r="A2573" s="154" t="s">
        <v>1319</v>
      </c>
      <c r="B2573" s="154" t="str" cm="1">
        <f t="array" ref="B2573">_xlfn.XLOOKUP(TRUE, ISNUMBER(SEARCH(工作表5!$A$1:$A$23, C2573)), 工作表5!$B$1:$B$23, "其他")</f>
        <v>顯像組</v>
      </c>
      <c r="C2573" s="145" t="s">
        <v>1857</v>
      </c>
      <c r="D2573" s="156"/>
      <c r="E2573" s="156" t="s">
        <v>1733</v>
      </c>
      <c r="F2573" s="156" t="s">
        <v>1214</v>
      </c>
      <c r="G2573" s="154">
        <v>303000</v>
      </c>
    </row>
    <row r="2574" spans="1:7" ht="21.6" customHeight="1">
      <c r="A2574" s="154" t="s">
        <v>1319</v>
      </c>
      <c r="B2574" s="154" t="str" cm="1">
        <f t="array" ref="B2574">_xlfn.XLOOKUP(TRUE, ISNUMBER(SEARCH(工作表5!$A$1:$A$23, C2574)), 工作表5!$B$1:$B$23, "其他")</f>
        <v>轉寫組</v>
      </c>
      <c r="C2574" s="145" t="s">
        <v>1820</v>
      </c>
      <c r="D2574" s="156"/>
      <c r="E2574" s="156" t="s">
        <v>1713</v>
      </c>
      <c r="F2574" s="156" t="s">
        <v>1130</v>
      </c>
      <c r="G2574" s="154">
        <v>303000</v>
      </c>
    </row>
    <row r="2575" spans="1:7" ht="21.6" customHeight="1">
      <c r="A2575" s="154" t="s">
        <v>1319</v>
      </c>
      <c r="B2575" s="154" t="str" cm="1">
        <f t="array" ref="B2575">_xlfn.XLOOKUP(TRUE, ISNUMBER(SEARCH(工作表5!$A$1:$A$23, C2575)), 工作表5!$B$1:$B$23, "其他")</f>
        <v>定著組</v>
      </c>
      <c r="C2575" s="145" t="s">
        <v>244</v>
      </c>
      <c r="D2575" s="156"/>
      <c r="E2575" s="156" t="s">
        <v>1714</v>
      </c>
      <c r="F2575" s="156" t="s">
        <v>1132</v>
      </c>
      <c r="G2575" s="154">
        <v>550000</v>
      </c>
    </row>
    <row r="2576" spans="1:7" ht="21.6" customHeight="1">
      <c r="A2576" s="154" t="s">
        <v>1319</v>
      </c>
      <c r="B2576" s="154" t="str" cm="1">
        <f t="array" ref="B2576">_xlfn.XLOOKUP(TRUE, ISNUMBER(SEARCH(工作表5!$A$1:$A$23, C2576)), 工作表5!$B$1:$B$23, "其他")</f>
        <v>轉寫組</v>
      </c>
      <c r="C2576" s="145" t="s">
        <v>1135</v>
      </c>
      <c r="D2576" s="156"/>
      <c r="E2576" s="156" t="s">
        <v>1715</v>
      </c>
      <c r="F2576" s="156" t="s">
        <v>1134</v>
      </c>
      <c r="G2576" s="154">
        <v>303000</v>
      </c>
    </row>
    <row r="2577" spans="1:7" ht="21.6" customHeight="1">
      <c r="A2577" s="154" t="s">
        <v>1319</v>
      </c>
      <c r="B2577" s="154" t="str" cm="1">
        <f t="array" ref="B2577">_xlfn.XLOOKUP(TRUE, ISNUMBER(SEARCH(工作表5!$A$1:$A$23, C2577)), 工作表5!$B$1:$B$23, "其他")</f>
        <v>其他</v>
      </c>
      <c r="C2577" s="145" t="s">
        <v>1803</v>
      </c>
      <c r="D2577" s="156"/>
      <c r="E2577" s="156" t="s">
        <v>1495</v>
      </c>
      <c r="F2577" s="156" t="s">
        <v>564</v>
      </c>
      <c r="G2577" s="154">
        <v>303000</v>
      </c>
    </row>
    <row r="2578" spans="1:7" ht="21.6" customHeight="1">
      <c r="A2578" s="154" t="s">
        <v>1319</v>
      </c>
      <c r="B2578" s="154" t="str" cm="1">
        <f t="array" ref="B2578">_xlfn.XLOOKUP(TRUE, ISNUMBER(SEARCH(工作表5!$A$1:$A$23, C2578)), 工作表5!$B$1:$B$23, "其他")</f>
        <v>其他</v>
      </c>
      <c r="C2578" s="145" t="s">
        <v>1803</v>
      </c>
      <c r="D2578" s="156"/>
      <c r="E2578" s="156" t="s">
        <v>1716</v>
      </c>
      <c r="F2578" s="156" t="s">
        <v>1137</v>
      </c>
      <c r="G2578" s="154">
        <v>606000</v>
      </c>
    </row>
    <row r="2579" spans="1:7" ht="21.6" customHeight="1">
      <c r="A2579" s="154" t="s">
        <v>1319</v>
      </c>
      <c r="B2579" s="154" t="str" cm="1">
        <f t="array" ref="B2579">_xlfn.XLOOKUP(TRUE, ISNUMBER(SEARCH(工作表5!$A$1:$A$23, C2579)), 工作表5!$B$1:$B$23, "其他")</f>
        <v>取紙組</v>
      </c>
      <c r="C2579" s="145" t="s">
        <v>567</v>
      </c>
      <c r="D2579" s="156"/>
      <c r="E2579" s="156" t="s">
        <v>1462</v>
      </c>
      <c r="F2579" s="156" t="s">
        <v>482</v>
      </c>
      <c r="G2579" s="154" t="e">
        <v>#VALUE!</v>
      </c>
    </row>
    <row r="2580" spans="1:7" ht="21.6" customHeight="1">
      <c r="A2580" s="154" t="s">
        <v>1319</v>
      </c>
      <c r="B2580" s="154" t="str" cm="1">
        <f t="array" ref="B2580">_xlfn.XLOOKUP(TRUE, ISNUMBER(SEARCH(工作表5!$A$1:$A$23, C2580)), 工作表5!$B$1:$B$23, "其他")</f>
        <v>送稿機</v>
      </c>
      <c r="C2580" s="145" t="s">
        <v>1189</v>
      </c>
      <c r="D2580" s="156"/>
      <c r="E2580" s="156" t="s">
        <v>1463</v>
      </c>
      <c r="F2580" s="156" t="s">
        <v>485</v>
      </c>
      <c r="G2580" s="154">
        <v>500000</v>
      </c>
    </row>
    <row r="2581" spans="1:7" ht="21.6" customHeight="1">
      <c r="A2581" s="154" t="s">
        <v>1319</v>
      </c>
      <c r="B2581" s="154" t="str" cm="1">
        <f t="array" ref="B2581">_xlfn.XLOOKUP(TRUE, ISNUMBER(SEARCH(工作表5!$A$1:$A$23, C2581)), 工作表5!$B$1:$B$23, "其他")</f>
        <v>送稿機</v>
      </c>
      <c r="C2581" s="145" t="s">
        <v>1854</v>
      </c>
      <c r="D2581" s="156"/>
      <c r="E2581" s="156" t="s">
        <v>1383</v>
      </c>
      <c r="F2581" s="156" t="s">
        <v>249</v>
      </c>
      <c r="G2581" s="154" t="e">
        <v>#VALUE!</v>
      </c>
    </row>
    <row r="2582" spans="1:7" ht="21.6" customHeight="1">
      <c r="A2582" s="154" t="s">
        <v>1319</v>
      </c>
      <c r="B2582" s="154" t="str" cm="1">
        <f t="array" ref="B2582">_xlfn.XLOOKUP(TRUE, ISNUMBER(SEARCH(工作表5!$A$1:$A$23, C2582)), 工作表5!$B$1:$B$23, "其他")</f>
        <v>滾筒組</v>
      </c>
      <c r="C2582" s="145" t="s">
        <v>132</v>
      </c>
      <c r="D2582" s="156"/>
      <c r="E2582" s="156" t="s">
        <v>1717</v>
      </c>
      <c r="F2582" s="156" t="s">
        <v>1140</v>
      </c>
      <c r="G2582" s="154" t="e">
        <v>#VALUE!</v>
      </c>
    </row>
    <row r="2583" spans="1:7" ht="21.6" customHeight="1">
      <c r="A2583" s="154" t="s">
        <v>1319</v>
      </c>
      <c r="B2583" s="154" t="str" cm="1">
        <f t="array" ref="B2583">_xlfn.XLOOKUP(TRUE, ISNUMBER(SEARCH(工作表5!$A$1:$A$23, C2583)), 工作表5!$B$1:$B$23, "其他")</f>
        <v>顯像組</v>
      </c>
      <c r="C2583" s="145" t="s">
        <v>129</v>
      </c>
      <c r="D2583" s="156"/>
      <c r="E2583" s="156" t="s">
        <v>1718</v>
      </c>
      <c r="F2583" s="156" t="s">
        <v>1142</v>
      </c>
      <c r="G2583" s="154" t="e">
        <v>#VALUE!</v>
      </c>
    </row>
    <row r="2584" spans="1:7" ht="21.6" customHeight="1">
      <c r="A2584" s="154" t="s">
        <v>1319</v>
      </c>
      <c r="B2584" s="154" t="str" cm="1">
        <f t="array" ref="B2584">_xlfn.XLOOKUP(TRUE, ISNUMBER(SEARCH(工作表5!$A$1:$A$23, C2584)), 工作表5!$B$1:$B$23, "其他")</f>
        <v>顯像組</v>
      </c>
      <c r="C2584" s="145" t="s">
        <v>1215</v>
      </c>
      <c r="D2584" s="156"/>
      <c r="E2584" s="156" t="s">
        <v>1719</v>
      </c>
      <c r="F2584" s="156" t="s">
        <v>1144</v>
      </c>
      <c r="G2584" s="154" t="e">
        <v>#VALUE!</v>
      </c>
    </row>
    <row r="2585" spans="1:7" ht="21.6" customHeight="1">
      <c r="A2585" s="154" t="s">
        <v>1319</v>
      </c>
      <c r="B2585" s="154" t="str" cm="1">
        <f t="array" ref="B2585">_xlfn.XLOOKUP(TRUE, ISNUMBER(SEARCH(工作表5!$A$1:$A$23, C2585)), 工作表5!$B$1:$B$23, "其他")</f>
        <v>顯像組</v>
      </c>
      <c r="C2585" s="145" t="s">
        <v>1219</v>
      </c>
      <c r="D2585" s="156"/>
      <c r="E2585" s="156" t="s">
        <v>1734</v>
      </c>
      <c r="F2585" s="156" t="s">
        <v>1218</v>
      </c>
      <c r="G2585" s="154" t="e">
        <v>#VALUE!</v>
      </c>
    </row>
    <row r="2586" spans="1:7" ht="21.6" customHeight="1">
      <c r="A2586" s="154" t="s">
        <v>1319</v>
      </c>
      <c r="B2586" s="154" t="str" cm="1">
        <f t="array" ref="B2586">_xlfn.XLOOKUP(TRUE, ISNUMBER(SEARCH(工作表5!$A$1:$A$23, C2586)), 工作表5!$B$1:$B$23, "其他")</f>
        <v>轉寫組</v>
      </c>
      <c r="C2586" s="144" t="s">
        <v>1821</v>
      </c>
      <c r="D2586" s="156"/>
      <c r="E2586" s="156" t="s">
        <v>1720</v>
      </c>
      <c r="F2586" s="156" t="s">
        <v>1146</v>
      </c>
      <c r="G2586" s="154" t="e">
        <v>#VALUE!</v>
      </c>
    </row>
    <row r="2587" spans="1:7" ht="21.6" customHeight="1">
      <c r="A2587" s="154" t="s">
        <v>1319</v>
      </c>
      <c r="B2587" s="154" t="str" cm="1">
        <f t="array" ref="B2587">_xlfn.XLOOKUP(TRUE, ISNUMBER(SEARCH(工作表5!$A$1:$A$23, C2587)), 工作表5!$B$1:$B$23, "其他")</f>
        <v>轉寫組</v>
      </c>
      <c r="C2587" s="144" t="s">
        <v>582</v>
      </c>
      <c r="D2587" s="156"/>
      <c r="E2587" s="156" t="s">
        <v>1721</v>
      </c>
      <c r="F2587" s="156" t="s">
        <v>1148</v>
      </c>
      <c r="G2587" s="154" t="e">
        <v>#VALUE!</v>
      </c>
    </row>
    <row r="2588" spans="1:7" ht="21.6" customHeight="1">
      <c r="A2588" s="154" t="s">
        <v>1319</v>
      </c>
      <c r="B2588" s="154" t="str" cm="1">
        <f t="array" ref="B2588">_xlfn.XLOOKUP(TRUE, ISNUMBER(SEARCH(工作表5!$A$1:$A$23, C2588)), 工作表5!$B$1:$B$23, "其他")</f>
        <v>定著組</v>
      </c>
      <c r="C2588" s="151" t="s">
        <v>1151</v>
      </c>
      <c r="D2588" s="156"/>
      <c r="E2588" s="156" t="s">
        <v>1722</v>
      </c>
      <c r="F2588" s="156" t="s">
        <v>1150</v>
      </c>
      <c r="G2588" s="154" t="e">
        <v>#VALUE!</v>
      </c>
    </row>
    <row r="2589" spans="1:7" ht="21.6" customHeight="1">
      <c r="A2589" s="154" t="s">
        <v>1320</v>
      </c>
      <c r="B2589" s="154" t="str" cm="1">
        <f t="array" ref="B2589">_xlfn.XLOOKUP(TRUE, ISNUMBER(SEARCH(工作表5!$A$1:$A$23, C2589)), 工作表5!$B$1:$B$23, "其他")</f>
        <v>滾筒組</v>
      </c>
      <c r="C2589" s="143" t="s">
        <v>71</v>
      </c>
      <c r="D2589" s="156"/>
      <c r="E2589" s="156" t="s">
        <v>1469</v>
      </c>
      <c r="F2589" s="156" t="s">
        <v>499</v>
      </c>
      <c r="G2589" s="154">
        <v>600000</v>
      </c>
    </row>
    <row r="2590" spans="1:7" ht="21.6" customHeight="1">
      <c r="A2590" s="154" t="s">
        <v>1320</v>
      </c>
      <c r="B2590" s="154" t="str" cm="1">
        <f t="array" ref="B2590">_xlfn.XLOOKUP(TRUE, ISNUMBER(SEARCH(工作表5!$A$1:$A$23, C2590)), 工作表5!$B$1:$B$23, "其他")</f>
        <v>顯像組</v>
      </c>
      <c r="C2590" s="145" t="s">
        <v>502</v>
      </c>
      <c r="D2590" s="156"/>
      <c r="E2590" s="156" t="s">
        <v>1470</v>
      </c>
      <c r="F2590" s="156" t="s">
        <v>501</v>
      </c>
      <c r="G2590" s="154" t="e">
        <v>#VALUE!</v>
      </c>
    </row>
    <row r="2591" spans="1:7" ht="21.6" customHeight="1">
      <c r="A2591" s="154" t="s">
        <v>1320</v>
      </c>
      <c r="B2591" s="154" t="str" cm="1">
        <f t="array" ref="B2591">_xlfn.XLOOKUP(TRUE, ISNUMBER(SEARCH(工作表5!$A$1:$A$23, C2591)), 工作表5!$B$1:$B$23, "其他")</f>
        <v>顯像組</v>
      </c>
      <c r="C2591" s="145" t="s">
        <v>703</v>
      </c>
      <c r="D2591" s="156"/>
      <c r="E2591" s="156" t="s">
        <v>1723</v>
      </c>
      <c r="F2591" s="156" t="s">
        <v>1153</v>
      </c>
      <c r="G2591" s="154" t="e">
        <v>#VALUE!</v>
      </c>
    </row>
    <row r="2592" spans="1:7" ht="21.6" customHeight="1">
      <c r="A2592" s="154" t="s">
        <v>1320</v>
      </c>
      <c r="B2592" s="154" t="str" cm="1">
        <f t="array" ref="B2592">_xlfn.XLOOKUP(TRUE, ISNUMBER(SEARCH(工作表5!$A$1:$A$23, C2592)), 工作表5!$B$1:$B$23, "其他")</f>
        <v>顯像組</v>
      </c>
      <c r="C2592" s="144" t="s">
        <v>706</v>
      </c>
      <c r="D2592" s="156"/>
      <c r="E2592" s="156" t="s">
        <v>1724</v>
      </c>
      <c r="F2592" s="156" t="s">
        <v>1155</v>
      </c>
      <c r="G2592" s="154" t="e">
        <v>#VALUE!</v>
      </c>
    </row>
    <row r="2593" spans="1:7" ht="21.6" customHeight="1">
      <c r="A2593" s="154" t="s">
        <v>1320</v>
      </c>
      <c r="B2593" s="154" t="str" cm="1">
        <f t="array" ref="B2593">_xlfn.XLOOKUP(TRUE, ISNUMBER(SEARCH(工作表5!$A$1:$A$23, C2593)), 工作表5!$B$1:$B$23, "其他")</f>
        <v>顯像組</v>
      </c>
      <c r="C2593" s="145" t="s">
        <v>709</v>
      </c>
      <c r="D2593" s="156"/>
      <c r="E2593" s="156" t="s">
        <v>1725</v>
      </c>
      <c r="F2593" s="156" t="s">
        <v>1157</v>
      </c>
      <c r="G2593" s="154" t="e">
        <v>#VALUE!</v>
      </c>
    </row>
    <row r="2594" spans="1:7" ht="21.6" customHeight="1">
      <c r="A2594" s="154" t="s">
        <v>1320</v>
      </c>
      <c r="B2594" s="154" t="str" cm="1">
        <f t="array" ref="B2594">_xlfn.XLOOKUP(TRUE, ISNUMBER(SEARCH(工作表5!$A$1:$A$23, C2594)), 工作表5!$B$1:$B$23, "其他")</f>
        <v>滾筒組</v>
      </c>
      <c r="C2594" s="145" t="s">
        <v>415</v>
      </c>
      <c r="D2594" s="156"/>
      <c r="E2594" s="156" t="s">
        <v>1471</v>
      </c>
      <c r="F2594" s="156" t="s">
        <v>505</v>
      </c>
      <c r="G2594" s="154">
        <v>600000</v>
      </c>
    </row>
    <row r="2595" spans="1:7" ht="21.6" customHeight="1">
      <c r="A2595" s="154" t="s">
        <v>1320</v>
      </c>
      <c r="B2595" s="154" t="str" cm="1">
        <f t="array" ref="B2595">_xlfn.XLOOKUP(TRUE, ISNUMBER(SEARCH(工作表5!$A$1:$A$23, C2595)), 工作表5!$B$1:$B$23, "其他")</f>
        <v>滾筒組</v>
      </c>
      <c r="C2595" s="144" t="s">
        <v>597</v>
      </c>
      <c r="D2595" s="156"/>
      <c r="E2595" s="156" t="s">
        <v>1539</v>
      </c>
      <c r="F2595" s="156" t="s">
        <v>692</v>
      </c>
      <c r="G2595" s="154">
        <v>600000</v>
      </c>
    </row>
    <row r="2596" spans="1:7" ht="21.6" customHeight="1">
      <c r="A2596" s="154" t="s">
        <v>1320</v>
      </c>
      <c r="B2596" s="154" t="str" cm="1">
        <f t="array" ref="B2596">_xlfn.XLOOKUP(TRUE, ISNUMBER(SEARCH(工作表5!$A$1:$A$23, C2596)), 工作表5!$B$1:$B$23, "其他")</f>
        <v>滾筒組</v>
      </c>
      <c r="C2596" s="144" t="s">
        <v>901</v>
      </c>
      <c r="D2596" s="156"/>
      <c r="E2596" s="156" t="s">
        <v>1472</v>
      </c>
      <c r="F2596" s="156" t="s">
        <v>507</v>
      </c>
      <c r="G2596" s="154">
        <v>600000</v>
      </c>
    </row>
    <row r="2597" spans="1:7" ht="21.6" customHeight="1">
      <c r="A2597" s="154" t="s">
        <v>1320</v>
      </c>
      <c r="B2597" s="154" t="str" cm="1">
        <f t="array" ref="B2597">_xlfn.XLOOKUP(TRUE, ISNUMBER(SEARCH(工作表5!$A$1:$A$23, C2597)), 工作表5!$B$1:$B$23, "其他")</f>
        <v>顯像組</v>
      </c>
      <c r="C2597" s="145" t="s">
        <v>104</v>
      </c>
      <c r="D2597" s="156"/>
      <c r="E2597" s="156" t="s">
        <v>1473</v>
      </c>
      <c r="F2597" s="156" t="s">
        <v>509</v>
      </c>
      <c r="G2597" s="154">
        <v>600000</v>
      </c>
    </row>
    <row r="2598" spans="1:7" ht="21.6" customHeight="1">
      <c r="A2598" s="154" t="s">
        <v>1320</v>
      </c>
      <c r="B2598" s="154" t="str" cm="1">
        <f t="array" ref="B2598">_xlfn.XLOOKUP(TRUE, ISNUMBER(SEARCH(工作表5!$A$1:$A$23, C2598)), 工作表5!$B$1:$B$23, "其他")</f>
        <v>顯像組</v>
      </c>
      <c r="C2598" s="145" t="s">
        <v>1806</v>
      </c>
      <c r="D2598" s="156"/>
      <c r="E2598" s="156" t="s">
        <v>1474</v>
      </c>
      <c r="F2598" s="156" t="s">
        <v>511</v>
      </c>
      <c r="G2598" s="154">
        <v>600000</v>
      </c>
    </row>
    <row r="2599" spans="1:7" ht="21.6" customHeight="1">
      <c r="A2599" s="154" t="s">
        <v>1320</v>
      </c>
      <c r="B2599" s="154" t="str" cm="1">
        <f t="array" ref="B2599">_xlfn.XLOOKUP(TRUE, ISNUMBER(SEARCH(工作表5!$A$1:$A$23, C2599)), 工作表5!$B$1:$B$23, "其他")</f>
        <v>滾筒組</v>
      </c>
      <c r="C2599" s="145" t="s">
        <v>1807</v>
      </c>
      <c r="D2599" s="156"/>
      <c r="E2599" s="156" t="s">
        <v>1475</v>
      </c>
      <c r="F2599" s="156" t="s">
        <v>513</v>
      </c>
      <c r="G2599" s="154">
        <v>600000</v>
      </c>
    </row>
    <row r="2600" spans="1:7" ht="21.6" customHeight="1">
      <c r="A2600" s="154" t="s">
        <v>1320</v>
      </c>
      <c r="B2600" s="154" t="str" cm="1">
        <f t="array" ref="B2600">_xlfn.XLOOKUP(TRUE, ISNUMBER(SEARCH(工作表5!$A$1:$A$23, C2600)), 工作表5!$B$1:$B$23, "其他")</f>
        <v>滾筒組</v>
      </c>
      <c r="C2600" s="145" t="s">
        <v>516</v>
      </c>
      <c r="D2600" s="156"/>
      <c r="E2600" s="156" t="s">
        <v>1476</v>
      </c>
      <c r="F2600" s="156" t="s">
        <v>515</v>
      </c>
      <c r="G2600" s="154">
        <v>600000</v>
      </c>
    </row>
    <row r="2601" spans="1:7" ht="21.6" customHeight="1">
      <c r="A2601" s="154" t="s">
        <v>1320</v>
      </c>
      <c r="B2601" s="154" t="str" cm="1">
        <f t="array" ref="B2601">_xlfn.XLOOKUP(TRUE, ISNUMBER(SEARCH(工作表5!$A$1:$A$23, C2601)), 工作表5!$B$1:$B$23, "其他")</f>
        <v>其他</v>
      </c>
      <c r="C2601" s="145" t="s">
        <v>1808</v>
      </c>
      <c r="D2601" s="156"/>
      <c r="E2601" s="156" t="s">
        <v>1477</v>
      </c>
      <c r="F2601" s="156" t="s">
        <v>518</v>
      </c>
      <c r="G2601" s="154">
        <v>600000</v>
      </c>
    </row>
    <row r="2602" spans="1:7" ht="21.6" customHeight="1">
      <c r="A2602" s="154" t="s">
        <v>1320</v>
      </c>
      <c r="B2602" s="154" t="str" cm="1">
        <f t="array" ref="B2602">_xlfn.XLOOKUP(TRUE, ISNUMBER(SEARCH(工作表5!$A$1:$A$23, C2602)), 工作表5!$B$1:$B$23, "其他")</f>
        <v>其他</v>
      </c>
      <c r="C2602" s="144" t="s">
        <v>101</v>
      </c>
      <c r="D2602" s="156"/>
      <c r="E2602" s="156" t="s">
        <v>1478</v>
      </c>
      <c r="F2602" s="156" t="s">
        <v>520</v>
      </c>
      <c r="G2602" s="154">
        <v>600000</v>
      </c>
    </row>
    <row r="2603" spans="1:7" ht="21.6" customHeight="1">
      <c r="A2603" s="154" t="s">
        <v>1320</v>
      </c>
      <c r="B2603" s="154" t="str" cm="1">
        <f t="array" ref="B2603">_xlfn.XLOOKUP(TRUE, ISNUMBER(SEARCH(工作表5!$A$1:$A$23, C2603)), 工作表5!$B$1:$B$23, "其他")</f>
        <v>其他</v>
      </c>
      <c r="C2603" s="145" t="s">
        <v>523</v>
      </c>
      <c r="D2603" s="156"/>
      <c r="E2603" s="156" t="s">
        <v>1479</v>
      </c>
      <c r="F2603" s="156" t="s">
        <v>522</v>
      </c>
      <c r="G2603" s="154">
        <v>600000</v>
      </c>
    </row>
    <row r="2604" spans="1:7" ht="21.6" customHeight="1">
      <c r="A2604" s="154" t="s">
        <v>1320</v>
      </c>
      <c r="B2604" s="154" t="str" cm="1">
        <f t="array" ref="B2604">_xlfn.XLOOKUP(TRUE, ISNUMBER(SEARCH(工作表5!$A$1:$A$23, C2604)), 工作表5!$B$1:$B$23, "其他")</f>
        <v>其他</v>
      </c>
      <c r="C2604" s="145" t="s">
        <v>1851</v>
      </c>
      <c r="D2604" s="156"/>
      <c r="E2604" s="156" t="s">
        <v>1726</v>
      </c>
      <c r="F2604" s="156" t="s">
        <v>1159</v>
      </c>
      <c r="G2604" s="154">
        <v>600000</v>
      </c>
    </row>
    <row r="2605" spans="1:7" ht="21.6" customHeight="1">
      <c r="A2605" s="154" t="s">
        <v>1320</v>
      </c>
      <c r="B2605" s="154" t="str" cm="1">
        <f t="array" ref="B2605">_xlfn.XLOOKUP(TRUE, ISNUMBER(SEARCH(工作表5!$A$1:$A$23, C2605)), 工作表5!$B$1:$B$23, "其他")</f>
        <v>其他</v>
      </c>
      <c r="C2605" s="145" t="s">
        <v>1851</v>
      </c>
      <c r="D2605" s="156"/>
      <c r="E2605" s="156" t="s">
        <v>1727</v>
      </c>
      <c r="F2605" s="156" t="s">
        <v>1162</v>
      </c>
      <c r="G2605" s="154">
        <v>600000</v>
      </c>
    </row>
    <row r="2606" spans="1:7" ht="21.6" customHeight="1">
      <c r="A2606" s="154" t="s">
        <v>1320</v>
      </c>
      <c r="B2606" s="154" t="str" cm="1">
        <f t="array" ref="B2606">_xlfn.XLOOKUP(TRUE, ISNUMBER(SEARCH(工作表5!$A$1:$A$23, C2606)), 工作表5!$B$1:$B$23, "其他")</f>
        <v>其他</v>
      </c>
      <c r="C2606" s="144" t="s">
        <v>101</v>
      </c>
      <c r="D2606" s="156"/>
      <c r="E2606" s="156" t="s">
        <v>1334</v>
      </c>
      <c r="F2606" s="156" t="s">
        <v>100</v>
      </c>
      <c r="G2606" s="154">
        <v>600000</v>
      </c>
    </row>
    <row r="2607" spans="1:7" ht="21.6" customHeight="1">
      <c r="A2607" s="154" t="s">
        <v>1320</v>
      </c>
      <c r="B2607" s="154" t="str" cm="1">
        <f t="array" ref="B2607">_xlfn.XLOOKUP(TRUE, ISNUMBER(SEARCH(工作表5!$A$1:$A$23, C2607)), 工作表5!$B$1:$B$23, "其他")</f>
        <v>定著組</v>
      </c>
      <c r="C2607" s="144" t="s">
        <v>1809</v>
      </c>
      <c r="D2607" s="156"/>
      <c r="E2607" s="156" t="s">
        <v>1480</v>
      </c>
      <c r="F2607" s="156" t="s">
        <v>525</v>
      </c>
      <c r="G2607" s="154">
        <v>600000</v>
      </c>
    </row>
    <row r="2608" spans="1:7" ht="21.6" customHeight="1">
      <c r="A2608" s="154" t="s">
        <v>1320</v>
      </c>
      <c r="B2608" s="154" t="str" cm="1">
        <f t="array" ref="B2608">_xlfn.XLOOKUP(TRUE, ISNUMBER(SEARCH(工作表5!$A$1:$A$23, C2608)), 工作表5!$B$1:$B$23, "其他")</f>
        <v>定著組</v>
      </c>
      <c r="C2608" s="144" t="s">
        <v>1810</v>
      </c>
      <c r="D2608" s="156"/>
      <c r="E2608" s="156" t="s">
        <v>1481</v>
      </c>
      <c r="F2608" s="156" t="s">
        <v>528</v>
      </c>
      <c r="G2608" s="154">
        <v>600000</v>
      </c>
    </row>
    <row r="2609" spans="1:7" ht="21.6" customHeight="1">
      <c r="A2609" s="154" t="s">
        <v>1320</v>
      </c>
      <c r="B2609" s="154" t="str" cm="1">
        <f t="array" ref="B2609">_xlfn.XLOOKUP(TRUE, ISNUMBER(SEARCH(工作表5!$A$1:$A$23, C2609)), 工作表5!$B$1:$B$23, "其他")</f>
        <v>定著組</v>
      </c>
      <c r="C2609" s="144" t="s">
        <v>1811</v>
      </c>
      <c r="D2609" s="156"/>
      <c r="E2609" s="156" t="s">
        <v>1482</v>
      </c>
      <c r="F2609" s="156" t="s">
        <v>530</v>
      </c>
      <c r="G2609" s="154">
        <v>600000</v>
      </c>
    </row>
    <row r="2610" spans="1:7" ht="21.6" customHeight="1">
      <c r="A2610" s="154" t="s">
        <v>1320</v>
      </c>
      <c r="B2610" s="154" t="str" cm="1">
        <f t="array" ref="B2610">_xlfn.XLOOKUP(TRUE, ISNUMBER(SEARCH(工作表5!$A$1:$A$23, C2610)), 工作表5!$B$1:$B$23, "其他")</f>
        <v>轉寫組</v>
      </c>
      <c r="C2610" s="144" t="s">
        <v>533</v>
      </c>
      <c r="D2610" s="156"/>
      <c r="E2610" s="156" t="s">
        <v>1483</v>
      </c>
      <c r="F2610" s="156" t="s">
        <v>532</v>
      </c>
      <c r="G2610" s="154">
        <v>600000</v>
      </c>
    </row>
    <row r="2611" spans="1:7" ht="21.6" customHeight="1">
      <c r="A2611" s="154" t="s">
        <v>1320</v>
      </c>
      <c r="B2611" s="154" t="str" cm="1">
        <f t="array" ref="B2611">_xlfn.XLOOKUP(TRUE, ISNUMBER(SEARCH(工作表5!$A$1:$A$23, C2611)), 工作表5!$B$1:$B$23, "其他")</f>
        <v>轉寫組</v>
      </c>
      <c r="C2611" s="145" t="s">
        <v>1812</v>
      </c>
      <c r="D2611" s="156"/>
      <c r="E2611" s="156" t="s">
        <v>1484</v>
      </c>
      <c r="F2611" s="156" t="s">
        <v>535</v>
      </c>
      <c r="G2611" s="154">
        <v>600000</v>
      </c>
    </row>
    <row r="2612" spans="1:7" ht="21.6" customHeight="1">
      <c r="A2612" s="154" t="s">
        <v>1320</v>
      </c>
      <c r="B2612" s="154" t="str" cm="1">
        <f t="array" ref="B2612">_xlfn.XLOOKUP(TRUE, ISNUMBER(SEARCH(工作表5!$A$1:$A$23, C2612)), 工作表5!$B$1:$B$23, "其他")</f>
        <v>轉寫組</v>
      </c>
      <c r="C2612" s="145" t="s">
        <v>1813</v>
      </c>
      <c r="D2612" s="156"/>
      <c r="E2612" s="156" t="s">
        <v>1485</v>
      </c>
      <c r="F2612" s="156" t="s">
        <v>537</v>
      </c>
      <c r="G2612" s="154">
        <v>600000</v>
      </c>
    </row>
    <row r="2613" spans="1:7" ht="21.6" customHeight="1">
      <c r="A2613" s="154" t="s">
        <v>1320</v>
      </c>
      <c r="B2613" s="154" t="str" cm="1">
        <f t="array" ref="B2613">_xlfn.XLOOKUP(TRUE, ISNUMBER(SEARCH(工作表5!$A$1:$A$23, C2613)), 工作表5!$B$1:$B$23, "其他")</f>
        <v>轉寫組</v>
      </c>
      <c r="C2613" s="145" t="s">
        <v>1814</v>
      </c>
      <c r="D2613" s="156"/>
      <c r="E2613" s="156" t="s">
        <v>1486</v>
      </c>
      <c r="F2613" s="156" t="s">
        <v>539</v>
      </c>
      <c r="G2613" s="154">
        <v>600000</v>
      </c>
    </row>
    <row r="2614" spans="1:7" ht="21.6" customHeight="1">
      <c r="A2614" s="154" t="s">
        <v>1320</v>
      </c>
      <c r="B2614" s="154" t="str" cm="1">
        <f t="array" ref="B2614">_xlfn.XLOOKUP(TRUE, ISNUMBER(SEARCH(工作表5!$A$1:$A$23, C2614)), 工作表5!$B$1:$B$23, "其他")</f>
        <v>轉寫組</v>
      </c>
      <c r="C2614" s="145" t="s">
        <v>1815</v>
      </c>
      <c r="D2614" s="156"/>
      <c r="E2614" s="156" t="s">
        <v>1487</v>
      </c>
      <c r="F2614" s="156" t="s">
        <v>541</v>
      </c>
      <c r="G2614" s="154">
        <v>600000</v>
      </c>
    </row>
    <row r="2615" spans="1:7" ht="21.6" customHeight="1">
      <c r="A2615" s="154" t="s">
        <v>1320</v>
      </c>
      <c r="B2615" s="154" t="str" cm="1">
        <f t="array" ref="B2615">_xlfn.XLOOKUP(TRUE, ISNUMBER(SEARCH(工作表5!$A$1:$A$23, C2615)), 工作表5!$B$1:$B$23, "其他")</f>
        <v>取紙組</v>
      </c>
      <c r="C2615" s="144" t="s">
        <v>1832</v>
      </c>
      <c r="D2615" s="156"/>
      <c r="E2615" s="156" t="s">
        <v>1488</v>
      </c>
      <c r="F2615" s="156" t="s">
        <v>543</v>
      </c>
      <c r="G2615" s="154">
        <v>200000</v>
      </c>
    </row>
    <row r="2616" spans="1:7" ht="21.6" customHeight="1">
      <c r="A2616" s="154" t="s">
        <v>1320</v>
      </c>
      <c r="B2616" s="154" t="str" cm="1">
        <f t="array" ref="B2616">_xlfn.XLOOKUP(TRUE, ISNUMBER(SEARCH(工作表5!$A$1:$A$23, C2616)), 工作表5!$B$1:$B$23, "其他")</f>
        <v>取紙組</v>
      </c>
      <c r="C2616" s="144" t="s">
        <v>110</v>
      </c>
      <c r="D2616" s="156"/>
      <c r="E2616" s="156" t="s">
        <v>1488</v>
      </c>
      <c r="F2616" s="156" t="s">
        <v>543</v>
      </c>
      <c r="G2616" s="154">
        <v>200000</v>
      </c>
    </row>
    <row r="2617" spans="1:7" ht="21.6" customHeight="1">
      <c r="A2617" s="154" t="s">
        <v>1320</v>
      </c>
      <c r="B2617" s="154" t="str" cm="1">
        <f t="array" ref="B2617">_xlfn.XLOOKUP(TRUE, ISNUMBER(SEARCH(工作表5!$A$1:$A$23, C2617)), 工作表5!$B$1:$B$23, "其他")</f>
        <v>手送台</v>
      </c>
      <c r="C2617" s="144" t="s">
        <v>114</v>
      </c>
      <c r="D2617" s="156"/>
      <c r="E2617" s="156" t="s">
        <v>1453</v>
      </c>
      <c r="F2617" s="156" t="s">
        <v>458</v>
      </c>
      <c r="G2617" s="154">
        <v>200000</v>
      </c>
    </row>
    <row r="2618" spans="1:7" ht="21.6" customHeight="1">
      <c r="A2618" s="154" t="s">
        <v>1320</v>
      </c>
      <c r="B2618" s="154" t="str" cm="1">
        <f t="array" ref="B2618">_xlfn.XLOOKUP(TRUE, ISNUMBER(SEARCH(工作表5!$A$1:$A$23, C2618)), 工作表5!$B$1:$B$23, "其他")</f>
        <v>大容量取紙組</v>
      </c>
      <c r="C2618" s="144" t="s">
        <v>1833</v>
      </c>
      <c r="D2618" s="156"/>
      <c r="E2618" s="156" t="s">
        <v>1488</v>
      </c>
      <c r="F2618" s="156" t="s">
        <v>543</v>
      </c>
      <c r="G2618" s="154">
        <v>400000</v>
      </c>
    </row>
    <row r="2619" spans="1:7" ht="21.6" customHeight="1">
      <c r="A2619" s="154" t="s">
        <v>1320</v>
      </c>
      <c r="B2619" s="154" t="str" cm="1">
        <f t="array" ref="B2619">_xlfn.XLOOKUP(TRUE, ISNUMBER(SEARCH(工作表5!$A$1:$A$23, C2619)), 工作表5!$B$1:$B$23, "其他")</f>
        <v>大容量取紙組</v>
      </c>
      <c r="C2619" s="144" t="s">
        <v>1833</v>
      </c>
      <c r="D2619" s="156"/>
      <c r="E2619" s="156" t="s">
        <v>1411</v>
      </c>
      <c r="F2619" s="156" t="s">
        <v>336</v>
      </c>
      <c r="G2619" s="154">
        <v>400000</v>
      </c>
    </row>
    <row r="2620" spans="1:7" ht="21.6" customHeight="1">
      <c r="A2620" s="154" t="s">
        <v>1320</v>
      </c>
      <c r="B2620" s="154" t="str" cm="1">
        <f t="array" ref="B2620">_xlfn.XLOOKUP(TRUE, ISNUMBER(SEARCH(工作表5!$A$1:$A$23, C2620)), 工作表5!$B$1:$B$23, "其他")</f>
        <v>大容量取紙組</v>
      </c>
      <c r="C2620" s="144" t="s">
        <v>1834</v>
      </c>
      <c r="D2620" s="156"/>
      <c r="E2620" s="156" t="s">
        <v>1412</v>
      </c>
      <c r="F2620" s="156" t="s">
        <v>340</v>
      </c>
      <c r="G2620" s="154">
        <v>400000</v>
      </c>
    </row>
    <row r="2621" spans="1:7" ht="21.6" customHeight="1">
      <c r="A2621" s="154" t="s">
        <v>1320</v>
      </c>
      <c r="B2621" s="154" t="str" cm="1">
        <f t="array" ref="B2621">_xlfn.XLOOKUP(TRUE, ISNUMBER(SEARCH(工作表5!$A$1:$A$23, C2621)), 工作表5!$B$1:$B$23, "其他")</f>
        <v>送稿機</v>
      </c>
      <c r="C2621" s="145" t="s">
        <v>1782</v>
      </c>
      <c r="D2621" s="156"/>
      <c r="E2621" s="156" t="s">
        <v>1394</v>
      </c>
      <c r="F2621" s="156" t="s">
        <v>281</v>
      </c>
      <c r="G2621" s="154" t="e">
        <v>#VALUE!</v>
      </c>
    </row>
    <row r="2622" spans="1:7" ht="21.6" customHeight="1">
      <c r="A2622" s="154" t="s">
        <v>1320</v>
      </c>
      <c r="B2622" s="154" t="str" cm="1">
        <f t="array" ref="B2622">_xlfn.XLOOKUP(TRUE, ISNUMBER(SEARCH(工作表5!$A$1:$A$23, C2622)), 工作表5!$B$1:$B$23, "其他")</f>
        <v>送稿機</v>
      </c>
      <c r="C2622" s="144" t="s">
        <v>285</v>
      </c>
      <c r="D2622" s="156"/>
      <c r="E2622" s="156" t="s">
        <v>1395</v>
      </c>
      <c r="F2622" s="156" t="s">
        <v>226</v>
      </c>
      <c r="G2622" s="154" t="e">
        <v>#VALUE!</v>
      </c>
    </row>
    <row r="2623" spans="1:7" ht="21.6" customHeight="1">
      <c r="A2623" s="154" t="s">
        <v>1320</v>
      </c>
      <c r="B2623" s="154" t="str" cm="1">
        <f t="array" ref="B2623">_xlfn.XLOOKUP(TRUE, ISNUMBER(SEARCH(工作表5!$A$1:$A$23, C2623)), 工作表5!$B$1:$B$23, "其他")</f>
        <v>送稿機</v>
      </c>
      <c r="C2623" s="145" t="s">
        <v>282</v>
      </c>
      <c r="D2623" s="156"/>
      <c r="E2623" s="156" t="s">
        <v>1396</v>
      </c>
      <c r="F2623" s="156" t="s">
        <v>288</v>
      </c>
      <c r="G2623" s="154" t="e">
        <v>#VALUE!</v>
      </c>
    </row>
    <row r="2624" spans="1:7" ht="21.6" customHeight="1">
      <c r="A2624" s="154" t="s">
        <v>1320</v>
      </c>
      <c r="B2624" s="154" t="str" cm="1">
        <f t="array" ref="B2624">_xlfn.XLOOKUP(TRUE, ISNUMBER(SEARCH(工作表5!$A$1:$A$23, C2624)), 工作表5!$B$1:$B$23, "其他")</f>
        <v>其他</v>
      </c>
      <c r="C2624" s="144" t="s">
        <v>1784</v>
      </c>
      <c r="D2624" s="156"/>
      <c r="E2624" s="156" t="s">
        <v>1452</v>
      </c>
      <c r="F2624" s="156" t="s">
        <v>226</v>
      </c>
      <c r="G2624" s="154">
        <v>500000</v>
      </c>
    </row>
    <row r="2625" spans="1:7" ht="21.6" customHeight="1">
      <c r="A2625" s="154" t="s">
        <v>1320</v>
      </c>
      <c r="B2625" s="154" t="str" cm="1">
        <f t="array" ref="B2625">_xlfn.XLOOKUP(TRUE, ISNUMBER(SEARCH(工作表5!$A$1:$A$23, C2625)), 工作表5!$B$1:$B$23, "其他")</f>
        <v>送稿機</v>
      </c>
      <c r="C2625" s="144" t="s">
        <v>337</v>
      </c>
      <c r="D2625" s="156"/>
      <c r="E2625" s="156" t="s">
        <v>1411</v>
      </c>
      <c r="F2625" s="156" t="s">
        <v>336</v>
      </c>
      <c r="G2625" s="154">
        <v>500000</v>
      </c>
    </row>
    <row r="2626" spans="1:7" ht="21.6" customHeight="1">
      <c r="A2626" s="154" t="s">
        <v>1320</v>
      </c>
      <c r="B2626" s="154" t="str" cm="1">
        <f t="array" ref="B2626">_xlfn.XLOOKUP(TRUE, ISNUMBER(SEARCH(工作表5!$A$1:$A$23, C2626)), 工作表5!$B$1:$B$23, "其他")</f>
        <v>送稿機</v>
      </c>
      <c r="C2626" s="145" t="s">
        <v>341</v>
      </c>
      <c r="D2626" s="156"/>
      <c r="E2626" s="156" t="s">
        <v>1412</v>
      </c>
      <c r="F2626" s="156" t="s">
        <v>340</v>
      </c>
      <c r="G2626" s="154">
        <v>500000</v>
      </c>
    </row>
    <row r="2627" spans="1:7" ht="21.6" customHeight="1">
      <c r="A2627" s="154" t="s">
        <v>1320</v>
      </c>
      <c r="B2627" s="154" t="str" cm="1">
        <f t="array" ref="B2627">_xlfn.XLOOKUP(TRUE, ISNUMBER(SEARCH(工作表5!$A$1:$A$23, C2627)), 工作表5!$B$1:$B$23, "其他")</f>
        <v>其他</v>
      </c>
      <c r="C2627" s="144" t="s">
        <v>1818</v>
      </c>
      <c r="D2627" s="156"/>
      <c r="E2627" s="156" t="s">
        <v>1410</v>
      </c>
      <c r="F2627" s="156" t="s">
        <v>333</v>
      </c>
      <c r="G2627" s="154">
        <v>500000</v>
      </c>
    </row>
    <row r="2628" spans="1:7" ht="21.6" customHeight="1">
      <c r="A2628" s="154" t="s">
        <v>1320</v>
      </c>
      <c r="B2628" s="154" t="str" cm="1">
        <f t="array" ref="B2628">_xlfn.XLOOKUP(TRUE, ISNUMBER(SEARCH(工作表5!$A$1:$A$23, C2628)), 工作表5!$B$1:$B$23, "其他")</f>
        <v>送稿機</v>
      </c>
      <c r="C2628" s="144" t="s">
        <v>546</v>
      </c>
      <c r="D2628" s="156"/>
      <c r="E2628" s="156" t="s">
        <v>1411</v>
      </c>
      <c r="F2628" s="156" t="s">
        <v>336</v>
      </c>
      <c r="G2628" s="154">
        <v>500000</v>
      </c>
    </row>
    <row r="2629" spans="1:7" ht="21.6" customHeight="1">
      <c r="A2629" s="154" t="s">
        <v>1320</v>
      </c>
      <c r="B2629" s="154" t="str" cm="1">
        <f t="array" ref="B2629">_xlfn.XLOOKUP(TRUE, ISNUMBER(SEARCH(工作表5!$A$1:$A$23, C2629)), 工作表5!$B$1:$B$23, "其他")</f>
        <v>送稿機</v>
      </c>
      <c r="C2629" s="145" t="s">
        <v>547</v>
      </c>
      <c r="D2629" s="156"/>
      <c r="E2629" s="156" t="s">
        <v>1412</v>
      </c>
      <c r="F2629" s="156" t="s">
        <v>340</v>
      </c>
      <c r="G2629" s="154">
        <v>500000</v>
      </c>
    </row>
    <row r="2630" spans="1:7" ht="21.6" customHeight="1">
      <c r="A2630" s="154" t="s">
        <v>1320</v>
      </c>
      <c r="B2630" s="154" t="str" cm="1">
        <f t="array" ref="B2630">_xlfn.XLOOKUP(TRUE, ISNUMBER(SEARCH(工作表5!$A$1:$A$23, C2630)), 工作表5!$B$1:$B$23, "其他")</f>
        <v>手送台</v>
      </c>
      <c r="C2630" s="145" t="s">
        <v>1819</v>
      </c>
      <c r="D2630" s="156"/>
      <c r="E2630" s="156" t="s">
        <v>1489</v>
      </c>
      <c r="F2630" s="156" t="s">
        <v>549</v>
      </c>
      <c r="G2630" s="154">
        <v>100000</v>
      </c>
    </row>
    <row r="2631" spans="1:7" ht="21.6" customHeight="1">
      <c r="A2631" s="154" t="s">
        <v>1320</v>
      </c>
      <c r="B2631" s="154" t="str" cm="1">
        <f t="array" ref="B2631">_xlfn.XLOOKUP(TRUE, ISNUMBER(SEARCH(工作表5!$A$1:$A$23, C2631)), 工作表5!$B$1:$B$23, "其他")</f>
        <v>手送台</v>
      </c>
      <c r="C2631" s="144" t="s">
        <v>553</v>
      </c>
      <c r="D2631" s="156"/>
      <c r="E2631" s="156" t="s">
        <v>1490</v>
      </c>
      <c r="F2631" s="156" t="s">
        <v>552</v>
      </c>
      <c r="G2631" s="154">
        <v>100000</v>
      </c>
    </row>
    <row r="2632" spans="1:7" ht="21.6" customHeight="1">
      <c r="A2632" s="154" t="s">
        <v>1320</v>
      </c>
      <c r="B2632" s="154" t="str" cm="1">
        <f t="array" ref="B2632">_xlfn.XLOOKUP(TRUE, ISNUMBER(SEARCH(工作表5!$A$1:$A$23, C2632)), 工作表5!$B$1:$B$23, "其他")</f>
        <v>手送台</v>
      </c>
      <c r="C2632" s="144" t="s">
        <v>550</v>
      </c>
      <c r="D2632" s="156"/>
      <c r="E2632" s="156" t="s">
        <v>1491</v>
      </c>
      <c r="F2632" s="156" t="s">
        <v>555</v>
      </c>
      <c r="G2632" s="154">
        <v>100000</v>
      </c>
    </row>
    <row r="2633" spans="1:7" ht="21.6" customHeight="1">
      <c r="A2633" s="154" t="s">
        <v>1320</v>
      </c>
      <c r="B2633" s="154" t="str" cm="1">
        <f t="array" ref="B2633">_xlfn.XLOOKUP(TRUE, ISNUMBER(SEARCH(工作表5!$A$1:$A$23, C2633)), 工作表5!$B$1:$B$23, "其他")</f>
        <v>手送台</v>
      </c>
      <c r="C2633" s="145" t="s">
        <v>1819</v>
      </c>
      <c r="D2633" s="156"/>
      <c r="E2633" s="156" t="s">
        <v>1489</v>
      </c>
      <c r="F2633" s="156" t="s">
        <v>549</v>
      </c>
      <c r="G2633" s="154">
        <v>120000</v>
      </c>
    </row>
    <row r="2634" spans="1:7" ht="21.6" customHeight="1">
      <c r="A2634" s="154" t="s">
        <v>1320</v>
      </c>
      <c r="B2634" s="154" t="str" cm="1">
        <f t="array" ref="B2634">_xlfn.XLOOKUP(TRUE, ISNUMBER(SEARCH(工作表5!$A$1:$A$23, C2634)), 工作表5!$B$1:$B$23, "其他")</f>
        <v>手送台</v>
      </c>
      <c r="C2634" s="144" t="s">
        <v>553</v>
      </c>
      <c r="D2634" s="156"/>
      <c r="E2634" s="156" t="s">
        <v>1390</v>
      </c>
      <c r="F2634" s="156" t="s">
        <v>269</v>
      </c>
      <c r="G2634" s="154">
        <v>120000</v>
      </c>
    </row>
    <row r="2635" spans="1:7" ht="21.6" customHeight="1">
      <c r="A2635" s="154" t="s">
        <v>1320</v>
      </c>
      <c r="B2635" s="154" t="str" cm="1">
        <f t="array" ref="B2635">_xlfn.XLOOKUP(TRUE, ISNUMBER(SEARCH(工作表5!$A$1:$A$23, C2635)), 工作表5!$B$1:$B$23, "其他")</f>
        <v>手送台</v>
      </c>
      <c r="C2635" s="144" t="s">
        <v>550</v>
      </c>
      <c r="D2635" s="156"/>
      <c r="E2635" s="156" t="s">
        <v>1391</v>
      </c>
      <c r="F2635" s="156" t="s">
        <v>272</v>
      </c>
      <c r="G2635" s="154">
        <v>120000</v>
      </c>
    </row>
    <row r="2636" spans="1:7" ht="21.6" customHeight="1">
      <c r="A2636" s="154" t="s">
        <v>1320</v>
      </c>
      <c r="B2636" s="154" t="str" cm="1">
        <f t="array" ref="B2636">_xlfn.XLOOKUP(TRUE, ISNUMBER(SEARCH(工作表5!$A$1:$A$23, C2636)), 工作表5!$B$1:$B$23, "其他")</f>
        <v>其他</v>
      </c>
      <c r="C2636" s="145" t="s">
        <v>1229</v>
      </c>
      <c r="D2636" s="156"/>
      <c r="E2636" s="156" t="s">
        <v>1540</v>
      </c>
      <c r="F2636" s="156" t="s">
        <v>694</v>
      </c>
      <c r="G2636" s="154">
        <v>600000</v>
      </c>
    </row>
    <row r="2637" spans="1:7" ht="21.6" customHeight="1">
      <c r="A2637" s="154" t="s">
        <v>1320</v>
      </c>
      <c r="B2637" s="154" t="str" cm="1">
        <f t="array" ref="B2637">_xlfn.XLOOKUP(TRUE, ISNUMBER(SEARCH(工作表5!$A$1:$A$23, C2637)), 工作表5!$B$1:$B$23, "其他")</f>
        <v>其他</v>
      </c>
      <c r="C2637" s="145" t="s">
        <v>1230</v>
      </c>
      <c r="D2637" s="156"/>
      <c r="E2637" s="156" t="s">
        <v>1492</v>
      </c>
      <c r="F2637" s="156" t="s">
        <v>557</v>
      </c>
      <c r="G2637" s="154">
        <v>600000</v>
      </c>
    </row>
    <row r="2638" spans="1:7" ht="21.6" customHeight="1">
      <c r="A2638" s="154" t="s">
        <v>1320</v>
      </c>
      <c r="B2638" s="154" t="str" cm="1">
        <f t="array" ref="B2638">_xlfn.XLOOKUP(TRUE, ISNUMBER(SEARCH(工作表5!$A$1:$A$23, C2638)), 工作表5!$B$1:$B$23, "其他")</f>
        <v>轉寫組</v>
      </c>
      <c r="C2638" s="145" t="s">
        <v>1820</v>
      </c>
      <c r="D2638" s="156"/>
      <c r="E2638" s="156" t="s">
        <v>1493</v>
      </c>
      <c r="F2638" s="156" t="s">
        <v>560</v>
      </c>
      <c r="G2638" s="154">
        <v>600000</v>
      </c>
    </row>
    <row r="2639" spans="1:7" ht="21.6" customHeight="1">
      <c r="A2639" s="154" t="s">
        <v>1320</v>
      </c>
      <c r="B2639" s="154" t="str" cm="1">
        <f t="array" ref="B2639">_xlfn.XLOOKUP(TRUE, ISNUMBER(SEARCH(工作表5!$A$1:$A$23, C2639)), 工作表5!$B$1:$B$23, "其他")</f>
        <v>定著組</v>
      </c>
      <c r="C2639" s="145" t="s">
        <v>244</v>
      </c>
      <c r="D2639" s="156"/>
      <c r="E2639" s="156" t="s">
        <v>1728</v>
      </c>
      <c r="F2639" s="156" t="s">
        <v>1171</v>
      </c>
      <c r="G2639" s="154">
        <v>600000</v>
      </c>
    </row>
    <row r="2640" spans="1:7" ht="21.6" customHeight="1">
      <c r="A2640" s="154" t="s">
        <v>1320</v>
      </c>
      <c r="B2640" s="154" t="str" cm="1">
        <f t="array" ref="B2640">_xlfn.XLOOKUP(TRUE, ISNUMBER(SEARCH(工作表5!$A$1:$A$23, C2640)), 工作表5!$B$1:$B$23, "其他")</f>
        <v>其他</v>
      </c>
      <c r="C2640" s="145" t="s">
        <v>1803</v>
      </c>
      <c r="D2640" s="156"/>
      <c r="E2640" s="156" t="s">
        <v>1729</v>
      </c>
      <c r="F2640" s="156" t="s">
        <v>1173</v>
      </c>
      <c r="G2640" s="154">
        <v>600000</v>
      </c>
    </row>
    <row r="2641" spans="1:7" ht="21.6" customHeight="1">
      <c r="A2641" s="154" t="s">
        <v>1320</v>
      </c>
      <c r="B2641" s="154" t="str" cm="1">
        <f t="array" ref="B2641">_xlfn.XLOOKUP(TRUE, ISNUMBER(SEARCH(工作表5!$A$1:$A$23, C2641)), 工作表5!$B$1:$B$23, "其他")</f>
        <v>其他</v>
      </c>
      <c r="C2641" s="145" t="s">
        <v>1803</v>
      </c>
      <c r="D2641" s="156"/>
      <c r="E2641" s="156" t="s">
        <v>1730</v>
      </c>
      <c r="F2641" s="156" t="s">
        <v>1176</v>
      </c>
      <c r="G2641" s="154">
        <v>600000</v>
      </c>
    </row>
    <row r="2642" spans="1:7" ht="21.6" customHeight="1">
      <c r="A2642" s="154" t="s">
        <v>1320</v>
      </c>
      <c r="B2642" s="154" t="str" cm="1">
        <f t="array" ref="B2642">_xlfn.XLOOKUP(TRUE, ISNUMBER(SEARCH(工作表5!$A$1:$A$23, C2642)), 工作表5!$B$1:$B$23, "其他")</f>
        <v>取紙組</v>
      </c>
      <c r="C2642" s="144" t="s">
        <v>567</v>
      </c>
      <c r="D2642" s="156"/>
      <c r="E2642" s="156" t="s">
        <v>1496</v>
      </c>
      <c r="F2642" s="156" t="s">
        <v>566</v>
      </c>
      <c r="G2642" s="154">
        <v>200000</v>
      </c>
    </row>
    <row r="2643" spans="1:7" ht="21.6" customHeight="1">
      <c r="A2643" s="154" t="s">
        <v>1320</v>
      </c>
      <c r="B2643" s="154" t="str" cm="1">
        <f t="array" ref="B2643">_xlfn.XLOOKUP(TRUE, ISNUMBER(SEARCH(工作表5!$A$1:$A$23, C2643)), 工作表5!$B$1:$B$23, "其他")</f>
        <v>取紙組</v>
      </c>
      <c r="C2643" s="144" t="s">
        <v>567</v>
      </c>
      <c r="D2643" s="156"/>
      <c r="E2643" s="156" t="s">
        <v>1535</v>
      </c>
      <c r="F2643" s="156" t="s">
        <v>673</v>
      </c>
      <c r="G2643" s="154">
        <v>400000</v>
      </c>
    </row>
    <row r="2644" spans="1:7" ht="21.6" customHeight="1">
      <c r="A2644" s="154" t="s">
        <v>1320</v>
      </c>
      <c r="B2644" s="154" t="str" cm="1">
        <f t="array" ref="B2644">_xlfn.XLOOKUP(TRUE, ISNUMBER(SEARCH(工作表5!$A$1:$A$23, C2644)), 工作表5!$B$1:$B$23, "其他")</f>
        <v>其他</v>
      </c>
      <c r="C2644" s="144" t="s">
        <v>349</v>
      </c>
      <c r="D2644" s="156"/>
      <c r="E2644" s="156" t="s">
        <v>1415</v>
      </c>
      <c r="F2644" s="156" t="s">
        <v>348</v>
      </c>
      <c r="G2644" s="154">
        <v>500000</v>
      </c>
    </row>
    <row r="2645" spans="1:7" ht="21.6" customHeight="1">
      <c r="A2645" s="154" t="s">
        <v>1320</v>
      </c>
      <c r="B2645" s="154" t="str" cm="1">
        <f t="array" ref="B2645">_xlfn.XLOOKUP(TRUE, ISNUMBER(SEARCH(工作表5!$A$1:$A$23, C2645)), 工作表5!$B$1:$B$23, "其他")</f>
        <v>其他</v>
      </c>
      <c r="C2645" s="144" t="s">
        <v>570</v>
      </c>
      <c r="D2645" s="156"/>
      <c r="E2645" s="156" t="s">
        <v>1497</v>
      </c>
      <c r="F2645" s="156" t="s">
        <v>569</v>
      </c>
      <c r="G2645" s="154">
        <v>500000</v>
      </c>
    </row>
    <row r="2646" spans="1:7" ht="21.6" customHeight="1">
      <c r="A2646" s="154" t="s">
        <v>1320</v>
      </c>
      <c r="B2646" s="154" t="str" cm="1">
        <f t="array" ref="B2646">_xlfn.XLOOKUP(TRUE, ISNUMBER(SEARCH(工作表5!$A$1:$A$23, C2646)), 工作表5!$B$1:$B$23, "其他")</f>
        <v>送稿機</v>
      </c>
      <c r="C2646" s="145" t="s">
        <v>303</v>
      </c>
      <c r="D2646" s="156"/>
      <c r="E2646" s="156" t="s">
        <v>1401</v>
      </c>
      <c r="F2646" s="156" t="s">
        <v>302</v>
      </c>
      <c r="G2646" s="154" t="e">
        <v>#VALUE!</v>
      </c>
    </row>
    <row r="2647" spans="1:7" ht="21.6" customHeight="1">
      <c r="A2647" s="154" t="s">
        <v>1320</v>
      </c>
      <c r="B2647" s="154" t="str" cm="1">
        <f t="array" ref="B2647">_xlfn.XLOOKUP(TRUE, ISNUMBER(SEARCH(工作表5!$A$1:$A$23, C2647)), 工作表5!$B$1:$B$23, "其他")</f>
        <v>滾筒組</v>
      </c>
      <c r="C2647" s="145" t="s">
        <v>132</v>
      </c>
      <c r="D2647" s="156"/>
      <c r="E2647" s="156" t="s">
        <v>1498</v>
      </c>
      <c r="F2647" s="156" t="s">
        <v>572</v>
      </c>
      <c r="G2647" s="154" t="e">
        <v>#VALUE!</v>
      </c>
    </row>
    <row r="2648" spans="1:7" ht="21.6" customHeight="1">
      <c r="A2648" s="154" t="s">
        <v>1320</v>
      </c>
      <c r="B2648" s="154" t="str" cm="1">
        <f t="array" ref="B2648">_xlfn.XLOOKUP(TRUE, ISNUMBER(SEARCH(工作表5!$A$1:$A$23, C2648)), 工作表5!$B$1:$B$23, "其他")</f>
        <v>顯像組</v>
      </c>
      <c r="C2648" s="145" t="s">
        <v>575</v>
      </c>
      <c r="D2648" s="156"/>
      <c r="E2648" s="156" t="s">
        <v>1499</v>
      </c>
      <c r="F2648" s="156" t="s">
        <v>574</v>
      </c>
      <c r="G2648" s="154" t="e">
        <v>#VALUE!</v>
      </c>
    </row>
    <row r="2649" spans="1:7" ht="21.6" customHeight="1">
      <c r="A2649" s="154" t="s">
        <v>1320</v>
      </c>
      <c r="B2649" s="154" t="str" cm="1">
        <f t="array" ref="B2649">_xlfn.XLOOKUP(TRUE, ISNUMBER(SEARCH(工作表5!$A$1:$A$23, C2649)), 工作表5!$B$1:$B$23, "其他")</f>
        <v>顯像組</v>
      </c>
      <c r="C2649" s="145" t="s">
        <v>1180</v>
      </c>
      <c r="D2649" s="156"/>
      <c r="E2649" s="156" t="s">
        <v>1731</v>
      </c>
      <c r="F2649" s="156" t="s">
        <v>1179</v>
      </c>
      <c r="G2649" s="154" t="e">
        <v>#VALUE!</v>
      </c>
    </row>
    <row r="2650" spans="1:7" ht="21.6" customHeight="1">
      <c r="A2650" s="154" t="s">
        <v>1320</v>
      </c>
      <c r="B2650" s="154" t="str" cm="1">
        <f t="array" ref="B2650">_xlfn.XLOOKUP(TRUE, ISNUMBER(SEARCH(工作表5!$A$1:$A$23, C2650)), 工作表5!$B$1:$B$23, "其他")</f>
        <v>顯像組</v>
      </c>
      <c r="C2650" s="144" t="s">
        <v>1233</v>
      </c>
      <c r="D2650" s="156"/>
      <c r="E2650" s="156" t="s">
        <v>1541</v>
      </c>
      <c r="F2650" s="156" t="s">
        <v>696</v>
      </c>
      <c r="G2650" s="154" t="e">
        <v>#VALUE!</v>
      </c>
    </row>
    <row r="2651" spans="1:7" ht="21.6" customHeight="1">
      <c r="A2651" s="154" t="s">
        <v>1320</v>
      </c>
      <c r="B2651" s="154" t="str" cm="1">
        <f t="array" ref="B2651">_xlfn.XLOOKUP(TRUE, ISNUMBER(SEARCH(工作表5!$A$1:$A$23, C2651)), 工作表5!$B$1:$B$23, "其他")</f>
        <v>顯像組</v>
      </c>
      <c r="C2651" s="144" t="s">
        <v>1234</v>
      </c>
      <c r="D2651" s="156"/>
      <c r="E2651" s="156" t="s">
        <v>1500</v>
      </c>
      <c r="F2651" s="156" t="s">
        <v>577</v>
      </c>
      <c r="G2651" s="154" t="e">
        <v>#VALUE!</v>
      </c>
    </row>
    <row r="2652" spans="1:7" ht="21.6" customHeight="1">
      <c r="A2652" s="154" t="s">
        <v>1320</v>
      </c>
      <c r="B2652" s="154" t="str" cm="1">
        <f t="array" ref="B2652">_xlfn.XLOOKUP(TRUE, ISNUMBER(SEARCH(工作表5!$A$1:$A$23, C2652)), 工作表5!$B$1:$B$23, "其他")</f>
        <v>轉寫組</v>
      </c>
      <c r="C2652" s="144" t="s">
        <v>1821</v>
      </c>
      <c r="D2652" s="156"/>
      <c r="E2652" s="156" t="s">
        <v>1501</v>
      </c>
      <c r="F2652" s="156" t="s">
        <v>579</v>
      </c>
      <c r="G2652" s="154" t="e">
        <v>#VALUE!</v>
      </c>
    </row>
    <row r="2653" spans="1:7" ht="21.6" customHeight="1">
      <c r="A2653" s="154" t="s">
        <v>1320</v>
      </c>
      <c r="B2653" s="154" t="str" cm="1">
        <f t="array" ref="B2653">_xlfn.XLOOKUP(TRUE, ISNUMBER(SEARCH(工作表5!$A$1:$A$23, C2653)), 工作表5!$B$1:$B$23, "其他")</f>
        <v>轉寫組</v>
      </c>
      <c r="C2653" s="144" t="s">
        <v>582</v>
      </c>
      <c r="D2653" s="156"/>
      <c r="E2653" s="156" t="s">
        <v>1502</v>
      </c>
      <c r="F2653" s="156" t="s">
        <v>581</v>
      </c>
      <c r="G2653" s="154" t="e">
        <v>#VALUE!</v>
      </c>
    </row>
    <row r="2654" spans="1:7" ht="21.6" customHeight="1">
      <c r="A2654" s="154" t="s">
        <v>1320</v>
      </c>
      <c r="B2654" s="154" t="str" cm="1">
        <f t="array" ref="B2654">_xlfn.XLOOKUP(TRUE, ISNUMBER(SEARCH(工作表5!$A$1:$A$23, C2654)), 工作表5!$B$1:$B$23, "其他")</f>
        <v>定著組</v>
      </c>
      <c r="C2654" s="145" t="s">
        <v>585</v>
      </c>
      <c r="D2654" s="156"/>
      <c r="E2654" s="156" t="s">
        <v>1732</v>
      </c>
      <c r="F2654" s="156" t="s">
        <v>1182</v>
      </c>
      <c r="G2654" s="154" t="e">
        <v>#VALUE!</v>
      </c>
    </row>
    <row r="2655" spans="1:7" ht="21.6" customHeight="1">
      <c r="A2655" s="154" t="s">
        <v>1320</v>
      </c>
      <c r="B2655" s="154" t="str" cm="1">
        <f t="array" ref="B2655">_xlfn.XLOOKUP(TRUE, ISNUMBER(SEARCH(工作表5!$A$1:$A$23, C2655)), 工作表5!$B$1:$B$23, "其他")</f>
        <v>定著組</v>
      </c>
      <c r="C2655" s="145" t="s">
        <v>585</v>
      </c>
      <c r="D2655" s="156"/>
      <c r="E2655" s="156" t="s">
        <v>1503</v>
      </c>
      <c r="F2655" s="156" t="s">
        <v>584</v>
      </c>
      <c r="G2655" s="154" t="e">
        <v>#VALUE!</v>
      </c>
    </row>
    <row r="2656" spans="1:7" ht="21.6" customHeight="1">
      <c r="A2656" s="154" t="s">
        <v>1320</v>
      </c>
      <c r="B2656" s="154" t="str" cm="1">
        <f t="array" ref="B2656">_xlfn.XLOOKUP(TRUE, ISNUMBER(SEARCH(工作表5!$A$1:$A$23, C2656)), 工作表5!$B$1:$B$23, "其他")</f>
        <v>定著組</v>
      </c>
      <c r="C2656" s="145" t="s">
        <v>585</v>
      </c>
      <c r="D2656" s="156"/>
      <c r="E2656" s="156" t="s">
        <v>1536</v>
      </c>
      <c r="F2656" s="156" t="s">
        <v>676</v>
      </c>
      <c r="G2656" s="154" t="e">
        <v>#VALUE!</v>
      </c>
    </row>
    <row r="2657" spans="1:7" ht="21.6" customHeight="1">
      <c r="A2657" s="154" t="s">
        <v>1321</v>
      </c>
      <c r="B2657" s="154" t="str" cm="1">
        <f t="array" ref="B2657">_xlfn.XLOOKUP(TRUE, ISNUMBER(SEARCH(工作表5!$A$1:$A$23, C2657)), 工作表5!$B$1:$B$23, "其他")</f>
        <v>滾筒組</v>
      </c>
      <c r="C2657" s="143" t="s">
        <v>193</v>
      </c>
      <c r="D2657" s="156"/>
      <c r="E2657" s="156" t="s">
        <v>1361</v>
      </c>
      <c r="F2657" s="156" t="s">
        <v>192</v>
      </c>
      <c r="G2657" s="154">
        <v>120000</v>
      </c>
    </row>
    <row r="2658" spans="1:7" ht="21.6" customHeight="1">
      <c r="A2658" s="154" t="s">
        <v>1321</v>
      </c>
      <c r="B2658" s="154" t="str" cm="1">
        <f t="array" ref="B2658">_xlfn.XLOOKUP(TRUE, ISNUMBER(SEARCH(工作表5!$A$1:$A$23, C2658)), 工作表5!$B$1:$B$23, "其他")</f>
        <v>顯像組</v>
      </c>
      <c r="C2658" s="144" t="s">
        <v>75</v>
      </c>
      <c r="D2658" s="156"/>
      <c r="E2658" s="156" t="s">
        <v>1735</v>
      </c>
      <c r="F2658" s="156" t="s">
        <v>1239</v>
      </c>
      <c r="G2658" s="154">
        <v>120000</v>
      </c>
    </row>
    <row r="2659" spans="1:7" ht="21.6" customHeight="1">
      <c r="A2659" s="154" t="s">
        <v>1321</v>
      </c>
      <c r="B2659" s="154" t="str" cm="1">
        <f t="array" ref="B2659">_xlfn.XLOOKUP(TRUE, ISNUMBER(SEARCH(工作表5!$A$1:$A$23, C2659)), 工作表5!$B$1:$B$23, "其他")</f>
        <v>滾筒組</v>
      </c>
      <c r="C2659" s="144" t="s">
        <v>78</v>
      </c>
      <c r="D2659" s="156"/>
      <c r="E2659" s="156" t="s">
        <v>1326</v>
      </c>
      <c r="F2659" s="156" t="s">
        <v>77</v>
      </c>
      <c r="G2659" s="154">
        <v>120000</v>
      </c>
    </row>
    <row r="2660" spans="1:7" ht="21.6" customHeight="1">
      <c r="A2660" s="154" t="s">
        <v>1321</v>
      </c>
      <c r="B2660" s="154" t="str" cm="1">
        <f t="array" ref="B2660">_xlfn.XLOOKUP(TRUE, ISNUMBER(SEARCH(工作表5!$A$1:$A$23, C2660)), 工作表5!$B$1:$B$23, "其他")</f>
        <v>定著組</v>
      </c>
      <c r="C2660" s="145" t="s">
        <v>1775</v>
      </c>
      <c r="D2660" s="156"/>
      <c r="E2660" s="156" t="s">
        <v>1736</v>
      </c>
      <c r="F2660" s="156" t="s">
        <v>1241</v>
      </c>
      <c r="G2660" s="154">
        <v>240000</v>
      </c>
    </row>
    <row r="2661" spans="1:7" ht="21.6" customHeight="1">
      <c r="A2661" s="154" t="s">
        <v>1321</v>
      </c>
      <c r="B2661" s="154" t="str" cm="1">
        <f t="array" ref="B2661">_xlfn.XLOOKUP(TRUE, ISNUMBER(SEARCH(工作表5!$A$1:$A$23, C2661)), 工作表5!$B$1:$B$23, "其他")</f>
        <v>定著組</v>
      </c>
      <c r="C2661" s="144" t="s">
        <v>87</v>
      </c>
      <c r="D2661" s="156"/>
      <c r="E2661" s="156" t="s">
        <v>1737</v>
      </c>
      <c r="F2661" s="156" t="s">
        <v>1243</v>
      </c>
      <c r="G2661" s="154">
        <v>240000</v>
      </c>
    </row>
    <row r="2662" spans="1:7" ht="21.6" customHeight="1">
      <c r="A2662" s="154" t="s">
        <v>1321</v>
      </c>
      <c r="B2662" s="154" t="str" cm="1">
        <f t="array" ref="B2662">_xlfn.XLOOKUP(TRUE, ISNUMBER(SEARCH(工作表5!$A$1:$A$23, C2662)), 工作表5!$B$1:$B$23, "其他")</f>
        <v>定著組</v>
      </c>
      <c r="C2662" s="144" t="s">
        <v>1809</v>
      </c>
      <c r="D2662" s="156"/>
      <c r="E2662" s="156" t="s">
        <v>1738</v>
      </c>
      <c r="F2662" s="156" t="s">
        <v>1245</v>
      </c>
      <c r="G2662" s="154">
        <v>240000</v>
      </c>
    </row>
    <row r="2663" spans="1:7" ht="21.6" customHeight="1">
      <c r="A2663" s="154" t="s">
        <v>1321</v>
      </c>
      <c r="B2663" s="154" t="str" cm="1">
        <f t="array" ref="B2663">_xlfn.XLOOKUP(TRUE, ISNUMBER(SEARCH(工作表5!$A$1:$A$23, C2663)), 工作表5!$B$1:$B$23, "其他")</f>
        <v>轉寫組</v>
      </c>
      <c r="C2663" s="144" t="s">
        <v>81</v>
      </c>
      <c r="D2663" s="156"/>
      <c r="E2663" s="156" t="s">
        <v>1365</v>
      </c>
      <c r="F2663" s="156" t="s">
        <v>202</v>
      </c>
      <c r="G2663" s="154">
        <v>120000</v>
      </c>
    </row>
    <row r="2664" spans="1:7" ht="21.6" customHeight="1">
      <c r="A2664" s="154" t="s">
        <v>1321</v>
      </c>
      <c r="B2664" s="154" t="str" cm="1">
        <f t="array" ref="B2664">_xlfn.XLOOKUP(TRUE, ISNUMBER(SEARCH(工作表5!$A$1:$A$23, C2664)), 工作表5!$B$1:$B$23, "其他")</f>
        <v>滾筒組</v>
      </c>
      <c r="C2664" s="144" t="s">
        <v>95</v>
      </c>
      <c r="D2664" s="156"/>
      <c r="E2664" s="156" t="s">
        <v>1332</v>
      </c>
      <c r="F2664" s="156" t="s">
        <v>94</v>
      </c>
      <c r="G2664" s="154">
        <v>120000</v>
      </c>
    </row>
    <row r="2665" spans="1:7" ht="21.6" customHeight="1">
      <c r="A2665" s="154" t="s">
        <v>1321</v>
      </c>
      <c r="B2665" s="154" t="str" cm="1">
        <f t="array" ref="B2665">_xlfn.XLOOKUP(TRUE, ISNUMBER(SEARCH(工作表5!$A$1:$A$23, C2665)), 工作表5!$B$1:$B$23, "其他")</f>
        <v>滾筒組</v>
      </c>
      <c r="C2665" s="144" t="s">
        <v>98</v>
      </c>
      <c r="D2665" s="156"/>
      <c r="E2665" s="156" t="s">
        <v>1366</v>
      </c>
      <c r="F2665" s="156" t="s">
        <v>204</v>
      </c>
      <c r="G2665" s="154">
        <v>120000</v>
      </c>
    </row>
    <row r="2666" spans="1:7" ht="21.6" customHeight="1">
      <c r="A2666" s="154" t="s">
        <v>1321</v>
      </c>
      <c r="B2666" s="154" t="str" cm="1">
        <f t="array" ref="B2666">_xlfn.XLOOKUP(TRUE, ISNUMBER(SEARCH(工作表5!$A$1:$A$23, C2666)), 工作表5!$B$1:$B$23, "其他")</f>
        <v>滾筒組</v>
      </c>
      <c r="C2666" s="144" t="s">
        <v>107</v>
      </c>
      <c r="D2666" s="156"/>
      <c r="E2666" s="156" t="s">
        <v>1367</v>
      </c>
      <c r="F2666" s="156" t="s">
        <v>206</v>
      </c>
      <c r="G2666" s="154">
        <v>120000</v>
      </c>
    </row>
    <row r="2667" spans="1:7" ht="21.6" customHeight="1">
      <c r="A2667" s="154" t="s">
        <v>1321</v>
      </c>
      <c r="B2667" s="154" t="str" cm="1">
        <f t="array" ref="B2667">_xlfn.XLOOKUP(TRUE, ISNUMBER(SEARCH(工作表5!$A$1:$A$23, C2667)), 工作表5!$B$1:$B$23, "其他")</f>
        <v>顯像組</v>
      </c>
      <c r="C2667" s="145" t="s">
        <v>104</v>
      </c>
      <c r="D2667" s="156"/>
      <c r="E2667" s="156" t="s">
        <v>1368</v>
      </c>
      <c r="F2667" s="156" t="s">
        <v>208</v>
      </c>
      <c r="G2667" s="154">
        <v>120000</v>
      </c>
    </row>
    <row r="2668" spans="1:7" ht="21.6" customHeight="1">
      <c r="A2668" s="154" t="s">
        <v>1321</v>
      </c>
      <c r="B2668" s="154" t="str" cm="1">
        <f t="array" ref="B2668">_xlfn.XLOOKUP(TRUE, ISNUMBER(SEARCH(工作表5!$A$1:$A$23, C2668)), 工作表5!$B$1:$B$23, "其他")</f>
        <v>定著組</v>
      </c>
      <c r="C2668" s="148" t="s">
        <v>1858</v>
      </c>
      <c r="D2668" s="156"/>
      <c r="E2668" s="156" t="s">
        <v>1739</v>
      </c>
      <c r="F2668" s="156" t="s">
        <v>1247</v>
      </c>
      <c r="G2668" s="154">
        <v>240000</v>
      </c>
    </row>
    <row r="2669" spans="1:7" ht="21.6" customHeight="1">
      <c r="A2669" s="154" t="s">
        <v>1321</v>
      </c>
      <c r="B2669" s="154" t="str" cm="1">
        <f t="array" ref="B2669">_xlfn.XLOOKUP(TRUE, ISNUMBER(SEARCH(工作表5!$A$1:$A$23, C2669)), 工作表5!$B$1:$B$23, "其他")</f>
        <v>定著組</v>
      </c>
      <c r="C2669" s="144" t="s">
        <v>90</v>
      </c>
      <c r="D2669" s="156"/>
      <c r="E2669" s="156" t="s">
        <v>1740</v>
      </c>
      <c r="F2669" s="156" t="s">
        <v>1249</v>
      </c>
      <c r="G2669" s="154">
        <v>120000</v>
      </c>
    </row>
    <row r="2670" spans="1:7" ht="21.6" customHeight="1">
      <c r="A2670" s="154" t="s">
        <v>1321</v>
      </c>
      <c r="B2670" s="154" t="str" cm="1">
        <f t="array" ref="B2670">_xlfn.XLOOKUP(TRUE, ISNUMBER(SEARCH(工作表5!$A$1:$A$23, C2670)), 工作表5!$B$1:$B$23, "其他")</f>
        <v>其他</v>
      </c>
      <c r="C2670" s="144" t="s">
        <v>101</v>
      </c>
      <c r="D2670" s="156"/>
      <c r="E2670" s="156" t="s">
        <v>1370</v>
      </c>
      <c r="F2670" s="156" t="s">
        <v>212</v>
      </c>
      <c r="G2670" s="154">
        <v>240000</v>
      </c>
    </row>
    <row r="2671" spans="1:7" ht="21.6" customHeight="1">
      <c r="A2671" s="154" t="s">
        <v>1321</v>
      </c>
      <c r="B2671" s="154" t="str" cm="1">
        <f t="array" ref="B2671">_xlfn.XLOOKUP(TRUE, ISNUMBER(SEARCH(工作表5!$A$1:$A$23, C2671)), 工作表5!$B$1:$B$23, "其他")</f>
        <v>取紙組</v>
      </c>
      <c r="C2671" s="144" t="s">
        <v>1777</v>
      </c>
      <c r="D2671" s="156"/>
      <c r="E2671" s="156" t="s">
        <v>1371</v>
      </c>
      <c r="F2671" s="156" t="s">
        <v>214</v>
      </c>
      <c r="G2671" s="154">
        <v>80000</v>
      </c>
    </row>
    <row r="2672" spans="1:7" ht="21.6" customHeight="1">
      <c r="A2672" s="154" t="s">
        <v>1321</v>
      </c>
      <c r="B2672" s="154" t="str" cm="1">
        <f t="array" ref="B2672">_xlfn.XLOOKUP(TRUE, ISNUMBER(SEARCH(工作表5!$A$1:$A$23, C2672)), 工作表5!$B$1:$B$23, "其他")</f>
        <v>取紙組</v>
      </c>
      <c r="C2672" s="144" t="s">
        <v>219</v>
      </c>
      <c r="D2672" s="156"/>
      <c r="E2672" s="156" t="s">
        <v>1372</v>
      </c>
      <c r="F2672" s="156" t="s">
        <v>218</v>
      </c>
      <c r="G2672" s="154">
        <v>80000</v>
      </c>
    </row>
    <row r="2673" spans="1:7" ht="21.6" customHeight="1">
      <c r="A2673" s="154" t="s">
        <v>1321</v>
      </c>
      <c r="B2673" s="154" t="str" cm="1">
        <f t="array" ref="B2673">_xlfn.XLOOKUP(TRUE, ISNUMBER(SEARCH(工作表5!$A$1:$A$23, C2673)), 工作表5!$B$1:$B$23, "其他")</f>
        <v>取紙組</v>
      </c>
      <c r="C2673" s="144" t="s">
        <v>215</v>
      </c>
      <c r="D2673" s="156"/>
      <c r="E2673" s="156" t="s">
        <v>1373</v>
      </c>
      <c r="F2673" s="156" t="s">
        <v>221</v>
      </c>
      <c r="G2673" s="154">
        <v>80000</v>
      </c>
    </row>
    <row r="2674" spans="1:7" ht="21.6" customHeight="1">
      <c r="A2674" s="154" t="s">
        <v>1321</v>
      </c>
      <c r="B2674" s="154" t="str" cm="1">
        <f t="array" ref="B2674">_xlfn.XLOOKUP(TRUE, ISNUMBER(SEARCH(工作表5!$A$1:$A$23, C2674)), 工作表5!$B$1:$B$23, "其他")</f>
        <v>手送台</v>
      </c>
      <c r="C2674" s="144" t="s">
        <v>631</v>
      </c>
      <c r="D2674" s="156"/>
      <c r="E2674" s="156" t="s">
        <v>1356</v>
      </c>
      <c r="F2674" s="156" t="s">
        <v>171</v>
      </c>
      <c r="G2674" s="154">
        <v>80000</v>
      </c>
    </row>
    <row r="2675" spans="1:7" ht="21.6" customHeight="1">
      <c r="A2675" s="154" t="s">
        <v>1321</v>
      </c>
      <c r="B2675" s="154" t="str" cm="1">
        <f t="array" ref="B2675">_xlfn.XLOOKUP(TRUE, ISNUMBER(SEARCH(工作表5!$A$1:$A$23, C2675)), 工作表5!$B$1:$B$23, "其他")</f>
        <v>手送台</v>
      </c>
      <c r="C2675" s="144" t="s">
        <v>224</v>
      </c>
      <c r="D2675" s="156"/>
      <c r="E2675" s="156" t="s">
        <v>1374</v>
      </c>
      <c r="F2675" s="156" t="s">
        <v>223</v>
      </c>
      <c r="G2675" s="154">
        <v>80000</v>
      </c>
    </row>
    <row r="2676" spans="1:7" ht="21.6" customHeight="1">
      <c r="A2676" s="154" t="s">
        <v>1321</v>
      </c>
      <c r="B2676" s="154" t="str" cm="1">
        <f t="array" ref="B2676">_xlfn.XLOOKUP(TRUE, ISNUMBER(SEARCH(工作表5!$A$1:$A$23, C2676)), 工作表5!$B$1:$B$23, "其他")</f>
        <v>送稿機</v>
      </c>
      <c r="C2676" s="145" t="s">
        <v>1859</v>
      </c>
      <c r="D2676" s="156"/>
      <c r="E2676" s="156" t="s">
        <v>1375</v>
      </c>
      <c r="F2676" s="156" t="s">
        <v>226</v>
      </c>
      <c r="G2676" s="154">
        <v>120000</v>
      </c>
    </row>
    <row r="2677" spans="1:7" ht="21.6" customHeight="1">
      <c r="A2677" s="154" t="s">
        <v>1321</v>
      </c>
      <c r="B2677" s="154" t="str" cm="1">
        <f t="array" ref="B2677">_xlfn.XLOOKUP(TRUE, ISNUMBER(SEARCH(工作表5!$A$1:$A$23, C2677)), 工作表5!$B$1:$B$23, "其他")</f>
        <v>送稿機</v>
      </c>
      <c r="C2677" s="145" t="s">
        <v>1252</v>
      </c>
      <c r="D2677" s="156"/>
      <c r="E2677" s="156" t="s">
        <v>1376</v>
      </c>
      <c r="F2677" s="156" t="s">
        <v>230</v>
      </c>
      <c r="G2677" s="154">
        <v>120000</v>
      </c>
    </row>
    <row r="2678" spans="1:7" ht="21.6" customHeight="1">
      <c r="A2678" s="154" t="s">
        <v>1321</v>
      </c>
      <c r="B2678" s="154" t="str" cm="1">
        <f t="array" ref="B2678">_xlfn.XLOOKUP(TRUE, ISNUMBER(SEARCH(工作表5!$A$1:$A$23, C2678)), 工作表5!$B$1:$B$23, "其他")</f>
        <v>顯像組</v>
      </c>
      <c r="C2678" s="144" t="s">
        <v>122</v>
      </c>
      <c r="D2678" s="156"/>
      <c r="E2678" s="156" t="s">
        <v>1741</v>
      </c>
      <c r="F2678" s="156" t="s">
        <v>1254</v>
      </c>
      <c r="G2678" s="154">
        <v>120000</v>
      </c>
    </row>
    <row r="2679" spans="1:7" ht="21.6" customHeight="1">
      <c r="A2679" s="154" t="s">
        <v>1321</v>
      </c>
      <c r="B2679" s="154" t="str" cm="1">
        <f t="array" ref="B2679">_xlfn.XLOOKUP(TRUE, ISNUMBER(SEARCH(工作表5!$A$1:$A$23, C2679)), 工作表5!$B$1:$B$23, "其他")</f>
        <v>定著組</v>
      </c>
      <c r="C2679" s="145" t="s">
        <v>244</v>
      </c>
      <c r="D2679" s="156"/>
      <c r="E2679" s="156" t="s">
        <v>1742</v>
      </c>
      <c r="F2679" s="156" t="s">
        <v>1256</v>
      </c>
      <c r="G2679" s="154">
        <v>240000</v>
      </c>
    </row>
    <row r="2680" spans="1:7" ht="21.6" customHeight="1">
      <c r="A2680" s="154" t="s">
        <v>1321</v>
      </c>
      <c r="B2680" s="154" t="str" cm="1">
        <f t="array" ref="B2680">_xlfn.XLOOKUP(TRUE, ISNUMBER(SEARCH(工作表5!$A$1:$A$23, C2680)), 工作表5!$B$1:$B$23, "其他")</f>
        <v>取紙組</v>
      </c>
      <c r="C2680" s="144" t="s">
        <v>247</v>
      </c>
      <c r="D2680" s="156"/>
      <c r="E2680" s="156" t="s">
        <v>1382</v>
      </c>
      <c r="F2680" s="156" t="s">
        <v>246</v>
      </c>
      <c r="G2680" s="154">
        <v>80000</v>
      </c>
    </row>
    <row r="2681" spans="1:7" ht="21.6" customHeight="1">
      <c r="A2681" s="154" t="s">
        <v>1321</v>
      </c>
      <c r="B2681" s="154" t="str" cm="1">
        <f t="array" ref="B2681">_xlfn.XLOOKUP(TRUE, ISNUMBER(SEARCH(工作表5!$A$1:$A$23, C2681)), 工作表5!$B$1:$B$23, "其他")</f>
        <v>送稿機</v>
      </c>
      <c r="C2681" s="144" t="s">
        <v>1257</v>
      </c>
      <c r="D2681" s="156"/>
      <c r="E2681" s="156" t="s">
        <v>1383</v>
      </c>
      <c r="F2681" s="156" t="s">
        <v>249</v>
      </c>
      <c r="G2681" s="154">
        <v>120000</v>
      </c>
    </row>
    <row r="2682" spans="1:7" ht="21.6" customHeight="1">
      <c r="A2682" s="154" t="s">
        <v>1321</v>
      </c>
      <c r="B2682" s="154" t="str" cm="1">
        <f t="array" ref="B2682">_xlfn.XLOOKUP(TRUE, ISNUMBER(SEARCH(工作表5!$A$1:$A$23, C2682)), 工作表5!$B$1:$B$23, "其他")</f>
        <v>顯像組</v>
      </c>
      <c r="C2682" s="146" t="s">
        <v>129</v>
      </c>
      <c r="D2682" s="156"/>
      <c r="E2682" s="156" t="s">
        <v>1743</v>
      </c>
      <c r="F2682" s="156" t="s">
        <v>1259</v>
      </c>
      <c r="G2682" s="154" t="e">
        <v>#VALUE!</v>
      </c>
    </row>
    <row r="2683" spans="1:7" ht="21.6" customHeight="1">
      <c r="A2683" s="154" t="s">
        <v>1321</v>
      </c>
      <c r="B2683" s="154" t="str" cm="1">
        <f t="array" ref="B2683">_xlfn.XLOOKUP(TRUE, ISNUMBER(SEARCH(工作表5!$A$1:$A$23, C2683)), 工作表5!$B$1:$B$23, "其他")</f>
        <v>定著組</v>
      </c>
      <c r="C2683" s="144" t="s">
        <v>1262</v>
      </c>
      <c r="D2683" s="156"/>
      <c r="E2683" s="156" t="s">
        <v>1744</v>
      </c>
      <c r="F2683" s="156" t="s">
        <v>1261</v>
      </c>
      <c r="G2683" s="154" t="e">
        <v>#VALUE!</v>
      </c>
    </row>
    <row r="2684" spans="1:7" ht="21.6" customHeight="1">
      <c r="A2684" s="154" t="s">
        <v>1322</v>
      </c>
      <c r="B2684" s="154" t="str" cm="1">
        <f t="array" ref="B2684">_xlfn.XLOOKUP(TRUE, ISNUMBER(SEARCH(工作表5!$A$1:$A$23, C2684)), 工作表5!$B$1:$B$23, "其他")</f>
        <v>滾筒組</v>
      </c>
      <c r="C2684" s="143" t="s">
        <v>589</v>
      </c>
      <c r="D2684" s="156"/>
      <c r="E2684" s="156" t="s">
        <v>1504</v>
      </c>
      <c r="F2684" s="156" t="s">
        <v>588</v>
      </c>
      <c r="G2684" s="154">
        <v>210000</v>
      </c>
    </row>
    <row r="2685" spans="1:7" ht="21.6" customHeight="1">
      <c r="A2685" s="154" t="s">
        <v>1322</v>
      </c>
      <c r="B2685" s="154" t="str" cm="1">
        <f t="array" ref="B2685">_xlfn.XLOOKUP(TRUE, ISNUMBER(SEARCH(工作表5!$A$1:$A$23, C2685)), 工作表5!$B$1:$B$23, "其他")</f>
        <v>顯像組</v>
      </c>
      <c r="C2685" s="145" t="s">
        <v>502</v>
      </c>
      <c r="D2685" s="156"/>
      <c r="E2685" s="156" t="s">
        <v>1616</v>
      </c>
      <c r="F2685" s="156" t="s">
        <v>890</v>
      </c>
      <c r="G2685" s="154">
        <v>210000</v>
      </c>
    </row>
    <row r="2686" spans="1:7" ht="21.6" customHeight="1">
      <c r="A2686" s="154" t="s">
        <v>1322</v>
      </c>
      <c r="B2686" s="154" t="str" cm="1">
        <f t="array" ref="B2686">_xlfn.XLOOKUP(TRUE, ISNUMBER(SEARCH(工作表5!$A$1:$A$23, C2686)), 工作表5!$B$1:$B$23, "其他")</f>
        <v>顯像組</v>
      </c>
      <c r="C2686" s="145" t="s">
        <v>1269</v>
      </c>
      <c r="D2686" s="156"/>
      <c r="E2686" s="156" t="s">
        <v>1745</v>
      </c>
      <c r="F2686" s="156" t="s">
        <v>1268</v>
      </c>
      <c r="G2686" s="154">
        <v>210000</v>
      </c>
    </row>
    <row r="2687" spans="1:7" ht="21.6" customHeight="1">
      <c r="A2687" s="154" t="s">
        <v>1322</v>
      </c>
      <c r="B2687" s="154" t="str" cm="1">
        <f t="array" ref="B2687">_xlfn.XLOOKUP(TRUE, ISNUMBER(SEARCH(工作表5!$A$1:$A$23, C2687)), 工作表5!$B$1:$B$23, "其他")</f>
        <v>滾筒組</v>
      </c>
      <c r="C2687" s="145" t="s">
        <v>415</v>
      </c>
      <c r="D2687" s="156"/>
      <c r="E2687" s="156" t="s">
        <v>1547</v>
      </c>
      <c r="F2687" s="156" t="s">
        <v>711</v>
      </c>
      <c r="G2687" s="154">
        <v>210000</v>
      </c>
    </row>
    <row r="2688" spans="1:7" ht="21.6" customHeight="1">
      <c r="A2688" s="154" t="s">
        <v>1322</v>
      </c>
      <c r="B2688" s="154" t="str" cm="1">
        <f t="array" ref="B2688">_xlfn.XLOOKUP(TRUE, ISNUMBER(SEARCH(工作表5!$A$1:$A$23, C2688)), 工作表5!$B$1:$B$23, "其他")</f>
        <v>滾筒組</v>
      </c>
      <c r="C2688" s="144" t="s">
        <v>597</v>
      </c>
      <c r="D2688" s="156"/>
      <c r="E2688" s="156" t="s">
        <v>1620</v>
      </c>
      <c r="F2688" s="156" t="s">
        <v>900</v>
      </c>
      <c r="G2688" s="154">
        <v>210000</v>
      </c>
    </row>
    <row r="2689" spans="1:7" ht="21.6" customHeight="1">
      <c r="A2689" s="154" t="s">
        <v>1322</v>
      </c>
      <c r="B2689" s="154" t="str" cm="1">
        <f t="array" ref="B2689">_xlfn.XLOOKUP(TRUE, ISNUMBER(SEARCH(工作表5!$A$1:$A$23, C2689)), 工作表5!$B$1:$B$23, "其他")</f>
        <v>顯像組</v>
      </c>
      <c r="C2689" s="145" t="s">
        <v>600</v>
      </c>
      <c r="D2689" s="156"/>
      <c r="E2689" s="156" t="s">
        <v>1508</v>
      </c>
      <c r="F2689" s="156" t="s">
        <v>599</v>
      </c>
      <c r="G2689" s="154">
        <v>210000</v>
      </c>
    </row>
    <row r="2690" spans="1:7" ht="21.6" customHeight="1">
      <c r="A2690" s="154" t="s">
        <v>1322</v>
      </c>
      <c r="B2690" s="154" t="str" cm="1">
        <f t="array" ref="B2690">_xlfn.XLOOKUP(TRUE, ISNUMBER(SEARCH(工作表5!$A$1:$A$23, C2690)), 工作表5!$B$1:$B$23, "其他")</f>
        <v>顯像組</v>
      </c>
      <c r="C2690" s="144" t="s">
        <v>1822</v>
      </c>
      <c r="D2690" s="156"/>
      <c r="E2690" s="156" t="s">
        <v>1509</v>
      </c>
      <c r="F2690" s="156" t="s">
        <v>602</v>
      </c>
      <c r="G2690" s="154">
        <v>210000</v>
      </c>
    </row>
    <row r="2691" spans="1:7" ht="21.6" customHeight="1">
      <c r="A2691" s="154" t="s">
        <v>1322</v>
      </c>
      <c r="B2691" s="154" t="str" cm="1">
        <f t="array" ref="B2691">_xlfn.XLOOKUP(TRUE, ISNUMBER(SEARCH(工作表5!$A$1:$A$23, C2691)), 工作表5!$B$1:$B$23, "其他")</f>
        <v>滾筒組</v>
      </c>
      <c r="C2691" s="144" t="s">
        <v>1823</v>
      </c>
      <c r="D2691" s="156"/>
      <c r="E2691" s="156" t="s">
        <v>1621</v>
      </c>
      <c r="F2691" s="156" t="s">
        <v>903</v>
      </c>
      <c r="G2691" s="154">
        <v>210000</v>
      </c>
    </row>
    <row r="2692" spans="1:7" ht="21.6" customHeight="1">
      <c r="A2692" s="154" t="s">
        <v>1322</v>
      </c>
      <c r="B2692" s="154" t="str" cm="1">
        <f t="array" ref="B2692">_xlfn.XLOOKUP(TRUE, ISNUMBER(SEARCH(工作表5!$A$1:$A$23, C2692)), 工作表5!$B$1:$B$23, "其他")</f>
        <v>轉寫組</v>
      </c>
      <c r="C2692" s="145" t="s">
        <v>533</v>
      </c>
      <c r="D2692" s="156"/>
      <c r="E2692" s="156" t="s">
        <v>1511</v>
      </c>
      <c r="F2692" s="156" t="s">
        <v>606</v>
      </c>
      <c r="G2692" s="154">
        <v>210000</v>
      </c>
    </row>
    <row r="2693" spans="1:7" ht="21.6" customHeight="1">
      <c r="A2693" s="154" t="s">
        <v>1322</v>
      </c>
      <c r="B2693" s="154" t="str" cm="1">
        <f t="array" ref="B2693">_xlfn.XLOOKUP(TRUE, ISNUMBER(SEARCH(工作表5!$A$1:$A$23, C2693)), 工作表5!$B$1:$B$23, "其他")</f>
        <v>轉寫組</v>
      </c>
      <c r="C2693" s="145" t="s">
        <v>1812</v>
      </c>
      <c r="D2693" s="156"/>
      <c r="E2693" s="156" t="s">
        <v>1512</v>
      </c>
      <c r="F2693" s="156" t="s">
        <v>608</v>
      </c>
      <c r="G2693" s="154">
        <v>210000</v>
      </c>
    </row>
    <row r="2694" spans="1:7" ht="21.6" customHeight="1">
      <c r="A2694" s="154" t="s">
        <v>1322</v>
      </c>
      <c r="B2694" s="154" t="str" cm="1">
        <f t="array" ref="B2694">_xlfn.XLOOKUP(TRUE, ISNUMBER(SEARCH(工作表5!$A$1:$A$23, C2694)), 工作表5!$B$1:$B$23, "其他")</f>
        <v>轉寫組</v>
      </c>
      <c r="C2694" s="145" t="s">
        <v>1824</v>
      </c>
      <c r="D2694" s="156"/>
      <c r="E2694" s="156" t="s">
        <v>1513</v>
      </c>
      <c r="F2694" s="156" t="s">
        <v>610</v>
      </c>
      <c r="G2694" s="154">
        <v>210000</v>
      </c>
    </row>
    <row r="2695" spans="1:7" ht="21.6" customHeight="1">
      <c r="A2695" s="154" t="s">
        <v>1322</v>
      </c>
      <c r="B2695" s="154" t="str" cm="1">
        <f t="array" ref="B2695">_xlfn.XLOOKUP(TRUE, ISNUMBER(SEARCH(工作表5!$A$1:$A$23, C2695)), 工作表5!$B$1:$B$23, "其他")</f>
        <v>轉寫組</v>
      </c>
      <c r="C2695" s="145" t="s">
        <v>1825</v>
      </c>
      <c r="D2695" s="156"/>
      <c r="E2695" s="156" t="s">
        <v>1514</v>
      </c>
      <c r="F2695" s="156" t="s">
        <v>612</v>
      </c>
      <c r="G2695" s="154">
        <v>210000</v>
      </c>
    </row>
    <row r="2696" spans="1:7" ht="21.6" customHeight="1">
      <c r="A2696" s="154" t="s">
        <v>1322</v>
      </c>
      <c r="B2696" s="154" t="str" cm="1">
        <f t="array" ref="B2696">_xlfn.XLOOKUP(TRUE, ISNUMBER(SEARCH(工作表5!$A$1:$A$23, C2696)), 工作表5!$B$1:$B$23, "其他")</f>
        <v>轉寫組</v>
      </c>
      <c r="C2696" s="145" t="s">
        <v>1826</v>
      </c>
      <c r="D2696" s="156"/>
      <c r="E2696" s="156" t="s">
        <v>1515</v>
      </c>
      <c r="F2696" s="156" t="s">
        <v>614</v>
      </c>
      <c r="G2696" s="154">
        <v>210000</v>
      </c>
    </row>
    <row r="2697" spans="1:7" ht="21.6" customHeight="1">
      <c r="A2697" s="154" t="s">
        <v>1322</v>
      </c>
      <c r="B2697" s="154" t="str" cm="1">
        <f t="array" ref="B2697">_xlfn.XLOOKUP(TRUE, ISNUMBER(SEARCH(工作表5!$A$1:$A$23, C2697)), 工作表5!$B$1:$B$23, "其他")</f>
        <v>定著組</v>
      </c>
      <c r="C2697" s="145" t="s">
        <v>1809</v>
      </c>
      <c r="D2697" s="156"/>
      <c r="E2697" s="156" t="s">
        <v>1746</v>
      </c>
      <c r="F2697" s="156" t="s">
        <v>1275</v>
      </c>
      <c r="G2697" s="154">
        <v>480000</v>
      </c>
    </row>
    <row r="2698" spans="1:7" ht="21.6" customHeight="1">
      <c r="A2698" s="154" t="s">
        <v>1322</v>
      </c>
      <c r="B2698" s="154" t="str" cm="1">
        <f t="array" ref="B2698">_xlfn.XLOOKUP(TRUE, ISNUMBER(SEARCH(工作表5!$A$1:$A$23, C2698)), 工作表5!$B$1:$B$23, "其他")</f>
        <v>定著組</v>
      </c>
      <c r="C2698" s="145" t="s">
        <v>1775</v>
      </c>
      <c r="D2698" s="156"/>
      <c r="E2698" s="156" t="s">
        <v>1747</v>
      </c>
      <c r="F2698" s="156" t="s">
        <v>1277</v>
      </c>
      <c r="G2698" s="154">
        <v>480000</v>
      </c>
    </row>
    <row r="2699" spans="1:7" ht="21.6" customHeight="1">
      <c r="A2699" s="154" t="s">
        <v>1322</v>
      </c>
      <c r="B2699" s="154" t="str" cm="1">
        <f t="array" ref="B2699">_xlfn.XLOOKUP(TRUE, ISNUMBER(SEARCH(工作表5!$A$1:$A$23, C2699)), 工作表5!$B$1:$B$23, "其他")</f>
        <v>定著組</v>
      </c>
      <c r="C2699" s="145" t="s">
        <v>87</v>
      </c>
      <c r="D2699" s="156"/>
      <c r="E2699" s="156" t="s">
        <v>1748</v>
      </c>
      <c r="F2699" s="156" t="s">
        <v>1279</v>
      </c>
      <c r="G2699" s="154">
        <v>480000</v>
      </c>
    </row>
    <row r="2700" spans="1:7" ht="21.6" customHeight="1">
      <c r="A2700" s="154" t="s">
        <v>1322</v>
      </c>
      <c r="B2700" s="154" t="str" cm="1">
        <f t="array" ref="B2700">_xlfn.XLOOKUP(TRUE, ISNUMBER(SEARCH(工作表5!$A$1:$A$23, C2700)), 工作表5!$B$1:$B$23, "其他")</f>
        <v>定著組</v>
      </c>
      <c r="C2700" s="145" t="s">
        <v>628</v>
      </c>
      <c r="D2700" s="156"/>
      <c r="E2700" s="156" t="s">
        <v>1749</v>
      </c>
      <c r="F2700" s="156" t="s">
        <v>1281</v>
      </c>
      <c r="G2700" s="154">
        <v>480000</v>
      </c>
    </row>
    <row r="2701" spans="1:7" ht="21.6" customHeight="1">
      <c r="A2701" s="154" t="s">
        <v>1322</v>
      </c>
      <c r="B2701" s="154" t="str" cm="1">
        <f t="array" ref="B2701">_xlfn.XLOOKUP(TRUE, ISNUMBER(SEARCH(工作表5!$A$1:$A$23, C2701)), 工作表5!$B$1:$B$23, "其他")</f>
        <v>其他</v>
      </c>
      <c r="C2701" s="145" t="s">
        <v>101</v>
      </c>
      <c r="D2701" s="156"/>
      <c r="E2701" s="156" t="s">
        <v>1551</v>
      </c>
      <c r="F2701" s="156" t="s">
        <v>720</v>
      </c>
      <c r="G2701" s="154">
        <v>630000</v>
      </c>
    </row>
    <row r="2702" spans="1:7" ht="21.6" customHeight="1">
      <c r="A2702" s="154" t="s">
        <v>1322</v>
      </c>
      <c r="B2702" s="154" t="str" cm="1">
        <f t="array" ref="B2702">_xlfn.XLOOKUP(TRUE, ISNUMBER(SEARCH(工作表5!$A$1:$A$23, C2702)), 工作表5!$B$1:$B$23, "其他")</f>
        <v>手送台</v>
      </c>
      <c r="C2702" s="144" t="s">
        <v>631</v>
      </c>
      <c r="D2702" s="156"/>
      <c r="E2702" s="156" t="s">
        <v>1392</v>
      </c>
      <c r="F2702" s="156" t="s">
        <v>274</v>
      </c>
      <c r="G2702" s="154">
        <v>80000</v>
      </c>
    </row>
    <row r="2703" spans="1:7" ht="21.6" customHeight="1">
      <c r="A2703" s="154" t="s">
        <v>1322</v>
      </c>
      <c r="B2703" s="154" t="str" cm="1">
        <f t="array" ref="B2703">_xlfn.XLOOKUP(TRUE, ISNUMBER(SEARCH(工作表5!$A$1:$A$23, C2703)), 工作表5!$B$1:$B$23, "其他")</f>
        <v>手送台</v>
      </c>
      <c r="C2703" s="144" t="s">
        <v>115</v>
      </c>
      <c r="D2703" s="156"/>
      <c r="E2703" s="156" t="s">
        <v>1393</v>
      </c>
      <c r="F2703" s="156" t="s">
        <v>277</v>
      </c>
      <c r="G2703" s="154">
        <v>80000</v>
      </c>
    </row>
    <row r="2704" spans="1:7" ht="21.6" customHeight="1">
      <c r="A2704" s="154" t="s">
        <v>1322</v>
      </c>
      <c r="B2704" s="154" t="str" cm="1">
        <f t="array" ref="B2704">_xlfn.XLOOKUP(TRUE, ISNUMBER(SEARCH(工作表5!$A$1:$A$23, C2704)), 工作表5!$B$1:$B$23, "其他")</f>
        <v>取紙組</v>
      </c>
      <c r="C2704" s="144" t="s">
        <v>1841</v>
      </c>
      <c r="D2704" s="156"/>
      <c r="E2704" s="156" t="s">
        <v>1389</v>
      </c>
      <c r="F2704" s="156" t="s">
        <v>265</v>
      </c>
      <c r="G2704" s="154">
        <v>80000</v>
      </c>
    </row>
    <row r="2705" spans="1:7" ht="21.6" customHeight="1">
      <c r="A2705" s="154" t="s">
        <v>1322</v>
      </c>
      <c r="B2705" s="154" t="str" cm="1">
        <f t="array" ref="B2705">_xlfn.XLOOKUP(TRUE, ISNUMBER(SEARCH(工作表5!$A$1:$A$23, C2705)), 工作表5!$B$1:$B$23, "其他")</f>
        <v>取紙組</v>
      </c>
      <c r="C2705" s="144" t="s">
        <v>797</v>
      </c>
      <c r="D2705" s="156"/>
      <c r="E2705" s="156" t="s">
        <v>1390</v>
      </c>
      <c r="F2705" s="156" t="s">
        <v>269</v>
      </c>
      <c r="G2705" s="154">
        <v>80000</v>
      </c>
    </row>
    <row r="2706" spans="1:7" ht="21.6" customHeight="1">
      <c r="A2706" s="154" t="s">
        <v>1322</v>
      </c>
      <c r="B2706" s="154" t="str" cm="1">
        <f t="array" ref="B2706">_xlfn.XLOOKUP(TRUE, ISNUMBER(SEARCH(工作表5!$A$1:$A$23, C2706)), 工作表5!$B$1:$B$23, "其他")</f>
        <v>取紙組</v>
      </c>
      <c r="C2706" s="144" t="s">
        <v>1842</v>
      </c>
      <c r="D2706" s="156"/>
      <c r="E2706" s="156" t="s">
        <v>1391</v>
      </c>
      <c r="F2706" s="156" t="s">
        <v>272</v>
      </c>
      <c r="G2706" s="154">
        <v>80000</v>
      </c>
    </row>
    <row r="2707" spans="1:7" ht="21.6" customHeight="1">
      <c r="A2707" s="154" t="s">
        <v>1322</v>
      </c>
      <c r="B2707" s="154" t="str" cm="1">
        <f t="array" ref="B2707">_xlfn.XLOOKUP(TRUE, ISNUMBER(SEARCH(工作表5!$A$1:$A$23, C2707)), 工作表5!$B$1:$B$23, "其他")</f>
        <v>送稿機</v>
      </c>
      <c r="C2707" s="144" t="s">
        <v>1781</v>
      </c>
      <c r="D2707" s="156"/>
      <c r="E2707" s="156" t="s">
        <v>1375</v>
      </c>
      <c r="F2707" s="156" t="s">
        <v>226</v>
      </c>
      <c r="G2707" s="154">
        <v>120000</v>
      </c>
    </row>
    <row r="2708" spans="1:7" ht="21.6" customHeight="1">
      <c r="A2708" s="154" t="s">
        <v>1322</v>
      </c>
      <c r="B2708" s="154" t="str" cm="1">
        <f t="array" ref="B2708">_xlfn.XLOOKUP(TRUE, ISNUMBER(SEARCH(工作表5!$A$1:$A$23, C2708)), 工作表5!$B$1:$B$23, "其他")</f>
        <v>送稿機</v>
      </c>
      <c r="C2708" s="144" t="s">
        <v>278</v>
      </c>
      <c r="D2708" s="156"/>
      <c r="E2708" s="156" t="s">
        <v>1376</v>
      </c>
      <c r="F2708" s="156" t="s">
        <v>230</v>
      </c>
      <c r="G2708" s="154">
        <v>120000</v>
      </c>
    </row>
    <row r="2709" spans="1:7" ht="21.6" customHeight="1">
      <c r="A2709" s="154" t="s">
        <v>1322</v>
      </c>
      <c r="B2709" s="154" t="str" cm="1">
        <f t="array" ref="B2709">_xlfn.XLOOKUP(TRUE, ISNUMBER(SEARCH(工作表5!$A$1:$A$23, C2709)), 工作表5!$B$1:$B$23, "其他")</f>
        <v>送稿機</v>
      </c>
      <c r="C2709" s="144" t="s">
        <v>1782</v>
      </c>
      <c r="D2709" s="156"/>
      <c r="E2709" s="156" t="s">
        <v>1394</v>
      </c>
      <c r="F2709" s="156" t="s">
        <v>281</v>
      </c>
      <c r="G2709" s="154">
        <v>120000</v>
      </c>
    </row>
    <row r="2710" spans="1:7" ht="21.6" customHeight="1">
      <c r="A2710" s="154" t="s">
        <v>1322</v>
      </c>
      <c r="B2710" s="154" t="str" cm="1">
        <f t="array" ref="B2710">_xlfn.XLOOKUP(TRUE, ISNUMBER(SEARCH(工作表5!$A$1:$A$23, C2710)), 工作表5!$B$1:$B$23, "其他")</f>
        <v>送稿機</v>
      </c>
      <c r="C2710" s="144" t="s">
        <v>285</v>
      </c>
      <c r="D2710" s="156"/>
      <c r="E2710" s="156" t="s">
        <v>1395</v>
      </c>
      <c r="F2710" s="156" t="s">
        <v>226</v>
      </c>
      <c r="G2710" s="154">
        <v>120000</v>
      </c>
    </row>
    <row r="2711" spans="1:7" ht="21.6" customHeight="1">
      <c r="A2711" s="154" t="s">
        <v>1322</v>
      </c>
      <c r="B2711" s="154" t="str" cm="1">
        <f t="array" ref="B2711">_xlfn.XLOOKUP(TRUE, ISNUMBER(SEARCH(工作表5!$A$1:$A$23, C2711)), 工作表5!$B$1:$B$23, "其他")</f>
        <v>送稿機</v>
      </c>
      <c r="C2711" s="144" t="s">
        <v>282</v>
      </c>
      <c r="D2711" s="156"/>
      <c r="E2711" s="156" t="s">
        <v>1396</v>
      </c>
      <c r="F2711" s="156" t="s">
        <v>288</v>
      </c>
      <c r="G2711" s="154">
        <v>120000</v>
      </c>
    </row>
    <row r="2712" spans="1:7" ht="21.6" customHeight="1">
      <c r="A2712" s="154" t="s">
        <v>1322</v>
      </c>
      <c r="B2712" s="154" t="str" cm="1">
        <f t="array" ref="B2712">_xlfn.XLOOKUP(TRUE, ISNUMBER(SEARCH(工作表5!$A$1:$A$23, C2712)), 工作表5!$B$1:$B$23, "其他")</f>
        <v>取紙組</v>
      </c>
      <c r="C2712" s="144" t="s">
        <v>1843</v>
      </c>
      <c r="D2712" s="156"/>
      <c r="E2712" s="156" t="s">
        <v>1377</v>
      </c>
      <c r="F2712" s="156" t="s">
        <v>232</v>
      </c>
      <c r="G2712" s="154">
        <v>160000</v>
      </c>
    </row>
    <row r="2713" spans="1:7" ht="21.6" customHeight="1">
      <c r="A2713" s="154" t="s">
        <v>1322</v>
      </c>
      <c r="B2713" s="154" t="str" cm="1">
        <f t="array" ref="B2713">_xlfn.XLOOKUP(TRUE, ISNUMBER(SEARCH(工作表5!$A$1:$A$23, C2713)), 工作表5!$B$1:$B$23, "其他")</f>
        <v>大容量取紙組</v>
      </c>
      <c r="C2713" s="144" t="s">
        <v>237</v>
      </c>
      <c r="D2713" s="156"/>
      <c r="E2713" s="156" t="s">
        <v>1378</v>
      </c>
      <c r="F2713" s="156" t="s">
        <v>236</v>
      </c>
      <c r="G2713" s="154">
        <v>160000</v>
      </c>
    </row>
    <row r="2714" spans="1:7" ht="21.6" customHeight="1">
      <c r="A2714" s="154" t="s">
        <v>1322</v>
      </c>
      <c r="B2714" s="154" t="str" cm="1">
        <f t="array" ref="B2714">_xlfn.XLOOKUP(TRUE, ISNUMBER(SEARCH(工作表5!$A$1:$A$23, C2714)), 工作表5!$B$1:$B$23, "其他")</f>
        <v>取紙組</v>
      </c>
      <c r="C2714" s="144" t="s">
        <v>798</v>
      </c>
      <c r="D2714" s="156"/>
      <c r="E2714" s="156" t="s">
        <v>1379</v>
      </c>
      <c r="F2714" s="156" t="s">
        <v>239</v>
      </c>
      <c r="G2714" s="154">
        <v>160000</v>
      </c>
    </row>
    <row r="2715" spans="1:7" ht="21.6" customHeight="1">
      <c r="A2715" s="154" t="s">
        <v>1322</v>
      </c>
      <c r="B2715" s="154" t="str" cm="1">
        <f t="array" ref="B2715">_xlfn.XLOOKUP(TRUE, ISNUMBER(SEARCH(工作表5!$A$1:$A$23, C2715)), 工作表5!$B$1:$B$23, "其他")</f>
        <v>顯像組</v>
      </c>
      <c r="C2715" s="144" t="s">
        <v>637</v>
      </c>
      <c r="D2715" s="156"/>
      <c r="E2715" s="156" t="s">
        <v>1625</v>
      </c>
      <c r="F2715" s="156" t="s">
        <v>914</v>
      </c>
      <c r="G2715" s="154">
        <v>210000</v>
      </c>
    </row>
    <row r="2716" spans="1:7" ht="21.6" customHeight="1">
      <c r="A2716" s="154" t="s">
        <v>1322</v>
      </c>
      <c r="B2716" s="154" t="str" cm="1">
        <f t="array" ref="B2716">_xlfn.XLOOKUP(TRUE, ISNUMBER(SEARCH(工作表5!$A$1:$A$23, C2716)), 工作表5!$B$1:$B$23, "其他")</f>
        <v>顯像組</v>
      </c>
      <c r="C2716" s="144" t="s">
        <v>1284</v>
      </c>
      <c r="D2716" s="156"/>
      <c r="E2716" s="156" t="s">
        <v>1750</v>
      </c>
      <c r="F2716" s="156" t="s">
        <v>1283</v>
      </c>
      <c r="G2716" s="154">
        <v>210000</v>
      </c>
    </row>
    <row r="2717" spans="1:7" ht="21.6" customHeight="1">
      <c r="A2717" s="154" t="s">
        <v>1322</v>
      </c>
      <c r="B2717" s="154" t="str" cm="1">
        <f t="array" ref="B2717">_xlfn.XLOOKUP(TRUE, ISNUMBER(SEARCH(工作表5!$A$1:$A$23, C2717)), 工作表5!$B$1:$B$23, "其他")</f>
        <v>取紙組</v>
      </c>
      <c r="C2717" s="144" t="s">
        <v>799</v>
      </c>
      <c r="D2717" s="156"/>
      <c r="E2717" s="156" t="s">
        <v>1399</v>
      </c>
      <c r="F2717" s="156" t="s">
        <v>296</v>
      </c>
      <c r="G2717" s="154">
        <v>80000</v>
      </c>
    </row>
    <row r="2718" spans="1:7" ht="21.6" customHeight="1">
      <c r="A2718" s="154" t="s">
        <v>1322</v>
      </c>
      <c r="B2718" s="154" t="str" cm="1">
        <f t="array" ref="B2718">_xlfn.XLOOKUP(TRUE, ISNUMBER(SEARCH(工作表5!$A$1:$A$23, C2718)), 工作表5!$B$1:$B$23, "其他")</f>
        <v>送稿機</v>
      </c>
      <c r="C2718" s="144" t="s">
        <v>300</v>
      </c>
      <c r="D2718" s="156"/>
      <c r="E2718" s="156" t="s">
        <v>1400</v>
      </c>
      <c r="F2718" s="156" t="s">
        <v>299</v>
      </c>
      <c r="G2718" s="154">
        <v>120000</v>
      </c>
    </row>
    <row r="2719" spans="1:7" ht="21.6" customHeight="1">
      <c r="A2719" s="154" t="s">
        <v>1322</v>
      </c>
      <c r="B2719" s="154" t="str" cm="1">
        <f t="array" ref="B2719">_xlfn.XLOOKUP(TRUE, ISNUMBER(SEARCH(工作表5!$A$1:$A$23, C2719)), 工作表5!$B$1:$B$23, "其他")</f>
        <v>送稿機</v>
      </c>
      <c r="C2719" s="144" t="s">
        <v>303</v>
      </c>
      <c r="D2719" s="156"/>
      <c r="E2719" s="156" t="s">
        <v>1401</v>
      </c>
      <c r="F2719" s="156" t="s">
        <v>302</v>
      </c>
      <c r="G2719" s="154">
        <v>120000</v>
      </c>
    </row>
    <row r="2720" spans="1:7" ht="21.6" customHeight="1">
      <c r="A2720" s="154" t="s">
        <v>1322</v>
      </c>
      <c r="B2720" s="154" t="str" cm="1">
        <f t="array" ref="B2720">_xlfn.XLOOKUP(TRUE, ISNUMBER(SEARCH(工作表5!$A$1:$A$23, C2720)), 工作表5!$B$1:$B$23, "其他")</f>
        <v>其他</v>
      </c>
      <c r="C2720" s="144" t="s">
        <v>760</v>
      </c>
      <c r="D2720" s="156"/>
      <c r="E2720" s="156" t="s">
        <v>1384</v>
      </c>
      <c r="F2720" s="156" t="s">
        <v>252</v>
      </c>
      <c r="G2720" s="154">
        <v>160000</v>
      </c>
    </row>
    <row r="2721" spans="1:7" ht="21.6" customHeight="1">
      <c r="A2721" s="154" t="s">
        <v>1322</v>
      </c>
      <c r="B2721" s="154" t="str" cm="1">
        <f t="array" ref="B2721">_xlfn.XLOOKUP(TRUE, ISNUMBER(SEARCH(工作表5!$A$1:$A$23, C2721)), 工作表5!$B$1:$B$23, "其他")</f>
        <v>定著組</v>
      </c>
      <c r="C2721" s="144" t="s">
        <v>642</v>
      </c>
      <c r="D2721" s="156"/>
      <c r="E2721" s="156" t="s">
        <v>1751</v>
      </c>
      <c r="F2721" s="156" t="s">
        <v>1286</v>
      </c>
      <c r="G2721" s="154">
        <v>480000</v>
      </c>
    </row>
    <row r="2722" spans="1:7" ht="21.6" customHeight="1">
      <c r="A2722" s="154" t="s">
        <v>1322</v>
      </c>
      <c r="B2722" s="154" t="str" cm="1">
        <f t="array" ref="B2722">_xlfn.XLOOKUP(TRUE, ISNUMBER(SEARCH(工作表5!$A$1:$A$23, C2722)), 工作表5!$B$1:$B$23, "其他")</f>
        <v>轉寫組</v>
      </c>
      <c r="C2722" s="144" t="s">
        <v>645</v>
      </c>
      <c r="D2722" s="156"/>
      <c r="E2722" s="156" t="s">
        <v>1525</v>
      </c>
      <c r="F2722" s="156" t="s">
        <v>644</v>
      </c>
      <c r="G2722" s="154">
        <v>210000</v>
      </c>
    </row>
    <row r="2723" spans="1:7" ht="21.6" customHeight="1">
      <c r="A2723" s="154" t="s">
        <v>1322</v>
      </c>
      <c r="B2723" s="154" t="str" cm="1">
        <f t="array" ref="B2723">_xlfn.XLOOKUP(TRUE, ISNUMBER(SEARCH(工作表5!$A$1:$A$23, C2723)), 工作表5!$B$1:$B$23, "其他")</f>
        <v>定著組</v>
      </c>
      <c r="C2723" s="145" t="s">
        <v>585</v>
      </c>
      <c r="D2723" s="156"/>
      <c r="E2723" s="156" t="s">
        <v>1752</v>
      </c>
      <c r="F2723" s="156" t="s">
        <v>1288</v>
      </c>
      <c r="G2723" s="154" t="e">
        <v>#VALUE!</v>
      </c>
    </row>
    <row r="2724" spans="1:7" ht="21.6" customHeight="1">
      <c r="A2724" s="154" t="s">
        <v>1322</v>
      </c>
      <c r="B2724" s="154" t="str" cm="1">
        <f t="array" ref="B2724">_xlfn.XLOOKUP(TRUE, ISNUMBER(SEARCH(工作表5!$A$1:$A$23, C2724)), 工作表5!$B$1:$B$23, "其他")</f>
        <v>顯像組</v>
      </c>
      <c r="C2724" s="145" t="s">
        <v>129</v>
      </c>
      <c r="D2724" s="156"/>
      <c r="E2724" s="156" t="s">
        <v>1630</v>
      </c>
      <c r="F2724" s="156" t="s">
        <v>924</v>
      </c>
      <c r="G2724" s="154" t="e">
        <v>#VALUE!</v>
      </c>
    </row>
    <row r="2725" spans="1:7" ht="21.6" customHeight="1">
      <c r="A2725" s="154" t="s">
        <v>1322</v>
      </c>
      <c r="B2725" s="154" t="str" cm="1">
        <f t="array" ref="B2725">_xlfn.XLOOKUP(TRUE, ISNUMBER(SEARCH(工作表5!$A$1:$A$23, C2725)), 工作表5!$B$1:$B$23, "其他")</f>
        <v>顯像組</v>
      </c>
      <c r="C2725" s="145" t="s">
        <v>1292</v>
      </c>
      <c r="D2725" s="156"/>
      <c r="E2725" s="156" t="s">
        <v>1753</v>
      </c>
      <c r="F2725" s="156" t="s">
        <v>1291</v>
      </c>
      <c r="G2725" s="154" t="e">
        <v>#VALUE!</v>
      </c>
    </row>
    <row r="2726" spans="1:7" ht="21.6" customHeight="1">
      <c r="A2726" s="154" t="s">
        <v>1322</v>
      </c>
      <c r="B2726" s="154" t="str" cm="1">
        <f t="array" ref="B2726">_xlfn.XLOOKUP(TRUE, ISNUMBER(SEARCH(工作表5!$A$1:$A$23, C2726)), 工作表5!$B$1:$B$23, "其他")</f>
        <v>轉寫組</v>
      </c>
      <c r="C2726" s="144" t="s">
        <v>1821</v>
      </c>
      <c r="D2726" s="156"/>
      <c r="E2726" s="156" t="s">
        <v>1528</v>
      </c>
      <c r="F2726" s="156" t="s">
        <v>651</v>
      </c>
      <c r="G2726" s="154" t="e">
        <v>#VALUE!</v>
      </c>
    </row>
    <row r="2727" spans="1:7" ht="21.6" customHeight="1">
      <c r="A2727" s="154" t="s">
        <v>1322</v>
      </c>
      <c r="B2727" s="154" t="str" cm="1">
        <f t="array" ref="B2727">_xlfn.XLOOKUP(TRUE, ISNUMBER(SEARCH(工作表5!$A$1:$A$23, C2727)), 工作表5!$B$1:$B$23, "其他")</f>
        <v>轉寫組</v>
      </c>
      <c r="C2727" s="150" t="s">
        <v>1805</v>
      </c>
      <c r="D2727" s="156"/>
      <c r="E2727" s="156" t="s">
        <v>1754</v>
      </c>
      <c r="F2727" s="156" t="s">
        <v>1294</v>
      </c>
      <c r="G2727" s="154" t="e">
        <v>#VALUE!</v>
      </c>
    </row>
    <row r="2728" spans="1:7" ht="21.6" customHeight="1">
      <c r="A2728" s="154" t="s">
        <v>1323</v>
      </c>
      <c r="B2728" s="154" t="str" cm="1">
        <f t="array" ref="B2728">_xlfn.XLOOKUP(TRUE, ISNUMBER(SEARCH(工作表5!$A$1:$A$23, C2728)), 工作表5!$B$1:$B$23, "其他")</f>
        <v>滾筒組</v>
      </c>
      <c r="C2728" s="143" t="s">
        <v>589</v>
      </c>
      <c r="D2728" s="156"/>
      <c r="E2728" s="156" t="s">
        <v>1504</v>
      </c>
      <c r="F2728" s="156" t="s">
        <v>588</v>
      </c>
      <c r="G2728" s="154">
        <v>210000</v>
      </c>
    </row>
    <row r="2729" spans="1:7" ht="21.6" customHeight="1">
      <c r="A2729" s="154" t="s">
        <v>1323</v>
      </c>
      <c r="B2729" s="154" t="str" cm="1">
        <f t="array" ref="B2729">_xlfn.XLOOKUP(TRUE, ISNUMBER(SEARCH(工作表5!$A$1:$A$23, C2729)), 工作表5!$B$1:$B$23, "其他")</f>
        <v>顯像組</v>
      </c>
      <c r="C2729" s="145" t="s">
        <v>502</v>
      </c>
      <c r="D2729" s="156"/>
      <c r="E2729" s="156" t="s">
        <v>1616</v>
      </c>
      <c r="F2729" s="156" t="s">
        <v>890</v>
      </c>
      <c r="G2729" s="154">
        <v>210000</v>
      </c>
    </row>
    <row r="2730" spans="1:7" ht="21.6" customHeight="1">
      <c r="A2730" s="154" t="s">
        <v>1323</v>
      </c>
      <c r="B2730" s="154" t="str" cm="1">
        <f t="array" ref="B2730">_xlfn.XLOOKUP(TRUE, ISNUMBER(SEARCH(工作表5!$A$1:$A$23, C2730)), 工作表5!$B$1:$B$23, "其他")</f>
        <v>顯像組</v>
      </c>
      <c r="C2730" s="145" t="s">
        <v>1269</v>
      </c>
      <c r="D2730" s="156"/>
      <c r="E2730" s="156" t="s">
        <v>1745</v>
      </c>
      <c r="F2730" s="156" t="s">
        <v>1268</v>
      </c>
      <c r="G2730" s="154">
        <v>210000</v>
      </c>
    </row>
    <row r="2731" spans="1:7" ht="21.6" customHeight="1">
      <c r="A2731" s="154" t="s">
        <v>1323</v>
      </c>
      <c r="B2731" s="154" t="str" cm="1">
        <f t="array" ref="B2731">_xlfn.XLOOKUP(TRUE, ISNUMBER(SEARCH(工作表5!$A$1:$A$23, C2731)), 工作表5!$B$1:$B$23, "其他")</f>
        <v>滾筒組</v>
      </c>
      <c r="C2731" s="145" t="s">
        <v>415</v>
      </c>
      <c r="D2731" s="156"/>
      <c r="E2731" s="156" t="s">
        <v>1547</v>
      </c>
      <c r="F2731" s="156" t="s">
        <v>711</v>
      </c>
      <c r="G2731" s="154">
        <v>210000</v>
      </c>
    </row>
    <row r="2732" spans="1:7" ht="21.6" customHeight="1">
      <c r="A2732" s="154" t="s">
        <v>1323</v>
      </c>
      <c r="B2732" s="154" t="str" cm="1">
        <f t="array" ref="B2732">_xlfn.XLOOKUP(TRUE, ISNUMBER(SEARCH(工作表5!$A$1:$A$23, C2732)), 工作表5!$B$1:$B$23, "其他")</f>
        <v>滾筒組</v>
      </c>
      <c r="C2732" s="144" t="s">
        <v>597</v>
      </c>
      <c r="D2732" s="156"/>
      <c r="E2732" s="156" t="s">
        <v>1620</v>
      </c>
      <c r="F2732" s="156" t="s">
        <v>900</v>
      </c>
      <c r="G2732" s="154">
        <v>210000</v>
      </c>
    </row>
    <row r="2733" spans="1:7" ht="21.6" customHeight="1">
      <c r="A2733" s="154" t="s">
        <v>1323</v>
      </c>
      <c r="B2733" s="154" t="str" cm="1">
        <f t="array" ref="B2733">_xlfn.XLOOKUP(TRUE, ISNUMBER(SEARCH(工作表5!$A$1:$A$23, C2733)), 工作表5!$B$1:$B$23, "其他")</f>
        <v>顯像組</v>
      </c>
      <c r="C2733" s="145" t="s">
        <v>600</v>
      </c>
      <c r="D2733" s="156"/>
      <c r="E2733" s="156" t="s">
        <v>1508</v>
      </c>
      <c r="F2733" s="156" t="s">
        <v>599</v>
      </c>
      <c r="G2733" s="154">
        <v>210000</v>
      </c>
    </row>
    <row r="2734" spans="1:7" ht="21.6" customHeight="1">
      <c r="A2734" s="154" t="s">
        <v>1323</v>
      </c>
      <c r="B2734" s="154" t="str" cm="1">
        <f t="array" ref="B2734">_xlfn.XLOOKUP(TRUE, ISNUMBER(SEARCH(工作表5!$A$1:$A$23, C2734)), 工作表5!$B$1:$B$23, "其他")</f>
        <v>顯像組</v>
      </c>
      <c r="C2734" s="144" t="s">
        <v>1822</v>
      </c>
      <c r="D2734" s="156"/>
      <c r="E2734" s="156" t="s">
        <v>1509</v>
      </c>
      <c r="F2734" s="156" t="s">
        <v>602</v>
      </c>
      <c r="G2734" s="154">
        <v>210000</v>
      </c>
    </row>
    <row r="2735" spans="1:7" ht="21.6" customHeight="1">
      <c r="A2735" s="154" t="s">
        <v>1323</v>
      </c>
      <c r="B2735" s="154" t="str" cm="1">
        <f t="array" ref="B2735">_xlfn.XLOOKUP(TRUE, ISNUMBER(SEARCH(工作表5!$A$1:$A$23, C2735)), 工作表5!$B$1:$B$23, "其他")</f>
        <v>滾筒組</v>
      </c>
      <c r="C2735" s="144" t="s">
        <v>1823</v>
      </c>
      <c r="D2735" s="156"/>
      <c r="E2735" s="156" t="s">
        <v>1621</v>
      </c>
      <c r="F2735" s="156" t="s">
        <v>903</v>
      </c>
      <c r="G2735" s="154">
        <v>210000</v>
      </c>
    </row>
    <row r="2736" spans="1:7" ht="21.6" customHeight="1">
      <c r="A2736" s="154" t="s">
        <v>1323</v>
      </c>
      <c r="B2736" s="154" t="str" cm="1">
        <f t="array" ref="B2736">_xlfn.XLOOKUP(TRUE, ISNUMBER(SEARCH(工作表5!$A$1:$A$23, C2736)), 工作表5!$B$1:$B$23, "其他")</f>
        <v>轉寫組</v>
      </c>
      <c r="C2736" s="145" t="s">
        <v>533</v>
      </c>
      <c r="D2736" s="156"/>
      <c r="E2736" s="156" t="s">
        <v>1511</v>
      </c>
      <c r="F2736" s="156" t="s">
        <v>606</v>
      </c>
      <c r="G2736" s="154">
        <v>210000</v>
      </c>
    </row>
    <row r="2737" spans="1:7" ht="21.6" customHeight="1">
      <c r="A2737" s="154" t="s">
        <v>1323</v>
      </c>
      <c r="B2737" s="154" t="str" cm="1">
        <f t="array" ref="B2737">_xlfn.XLOOKUP(TRUE, ISNUMBER(SEARCH(工作表5!$A$1:$A$23, C2737)), 工作表5!$B$1:$B$23, "其他")</f>
        <v>轉寫組</v>
      </c>
      <c r="C2737" s="145" t="s">
        <v>1812</v>
      </c>
      <c r="D2737" s="156"/>
      <c r="E2737" s="156" t="s">
        <v>1512</v>
      </c>
      <c r="F2737" s="156" t="s">
        <v>608</v>
      </c>
      <c r="G2737" s="154">
        <v>210000</v>
      </c>
    </row>
    <row r="2738" spans="1:7" ht="21.6" customHeight="1">
      <c r="A2738" s="154" t="s">
        <v>1323</v>
      </c>
      <c r="B2738" s="154" t="str" cm="1">
        <f t="array" ref="B2738">_xlfn.XLOOKUP(TRUE, ISNUMBER(SEARCH(工作表5!$A$1:$A$23, C2738)), 工作表5!$B$1:$B$23, "其他")</f>
        <v>轉寫組</v>
      </c>
      <c r="C2738" s="145" t="s">
        <v>1824</v>
      </c>
      <c r="D2738" s="156"/>
      <c r="E2738" s="156" t="s">
        <v>1513</v>
      </c>
      <c r="F2738" s="156" t="s">
        <v>610</v>
      </c>
      <c r="G2738" s="154">
        <v>210000</v>
      </c>
    </row>
    <row r="2739" spans="1:7" ht="21.6" customHeight="1">
      <c r="A2739" s="154" t="s">
        <v>1323</v>
      </c>
      <c r="B2739" s="154" t="str" cm="1">
        <f t="array" ref="B2739">_xlfn.XLOOKUP(TRUE, ISNUMBER(SEARCH(工作表5!$A$1:$A$23, C2739)), 工作表5!$B$1:$B$23, "其他")</f>
        <v>轉寫組</v>
      </c>
      <c r="C2739" s="145" t="s">
        <v>1825</v>
      </c>
      <c r="D2739" s="156"/>
      <c r="E2739" s="156" t="s">
        <v>1514</v>
      </c>
      <c r="F2739" s="156" t="s">
        <v>612</v>
      </c>
      <c r="G2739" s="154">
        <v>210000</v>
      </c>
    </row>
    <row r="2740" spans="1:7" ht="21.6" customHeight="1">
      <c r="A2740" s="154" t="s">
        <v>1323</v>
      </c>
      <c r="B2740" s="154" t="str" cm="1">
        <f t="array" ref="B2740">_xlfn.XLOOKUP(TRUE, ISNUMBER(SEARCH(工作表5!$A$1:$A$23, C2740)), 工作表5!$B$1:$B$23, "其他")</f>
        <v>轉寫組</v>
      </c>
      <c r="C2740" s="145" t="s">
        <v>1826</v>
      </c>
      <c r="D2740" s="156"/>
      <c r="E2740" s="156" t="s">
        <v>1515</v>
      </c>
      <c r="F2740" s="156" t="s">
        <v>614</v>
      </c>
      <c r="G2740" s="154">
        <v>210000</v>
      </c>
    </row>
    <row r="2741" spans="1:7" ht="21.6" customHeight="1">
      <c r="A2741" s="154" t="s">
        <v>1323</v>
      </c>
      <c r="B2741" s="154" t="str" cm="1">
        <f t="array" ref="B2741">_xlfn.XLOOKUP(TRUE, ISNUMBER(SEARCH(工作表5!$A$1:$A$23, C2741)), 工作表5!$B$1:$B$23, "其他")</f>
        <v>定著組</v>
      </c>
      <c r="C2741" s="145" t="s">
        <v>1809</v>
      </c>
      <c r="D2741" s="156"/>
      <c r="E2741" s="156" t="s">
        <v>1746</v>
      </c>
      <c r="F2741" s="156" t="s">
        <v>1275</v>
      </c>
      <c r="G2741" s="154">
        <v>480000</v>
      </c>
    </row>
    <row r="2742" spans="1:7" ht="21.6" customHeight="1">
      <c r="A2742" s="154" t="s">
        <v>1323</v>
      </c>
      <c r="B2742" s="154" t="str" cm="1">
        <f t="array" ref="B2742">_xlfn.XLOOKUP(TRUE, ISNUMBER(SEARCH(工作表5!$A$1:$A$23, C2742)), 工作表5!$B$1:$B$23, "其他")</f>
        <v>定著組</v>
      </c>
      <c r="C2742" s="145" t="s">
        <v>1775</v>
      </c>
      <c r="D2742" s="156"/>
      <c r="E2742" s="156" t="s">
        <v>1747</v>
      </c>
      <c r="F2742" s="156" t="s">
        <v>1277</v>
      </c>
      <c r="G2742" s="154">
        <v>480000</v>
      </c>
    </row>
    <row r="2743" spans="1:7" ht="21.6" customHeight="1">
      <c r="A2743" s="154" t="s">
        <v>1323</v>
      </c>
      <c r="B2743" s="154" t="str" cm="1">
        <f t="array" ref="B2743">_xlfn.XLOOKUP(TRUE, ISNUMBER(SEARCH(工作表5!$A$1:$A$23, C2743)), 工作表5!$B$1:$B$23, "其他")</f>
        <v>定著組</v>
      </c>
      <c r="C2743" s="145" t="s">
        <v>87</v>
      </c>
      <c r="D2743" s="156"/>
      <c r="E2743" s="156" t="s">
        <v>1748</v>
      </c>
      <c r="F2743" s="156" t="s">
        <v>1279</v>
      </c>
      <c r="G2743" s="154">
        <v>480000</v>
      </c>
    </row>
    <row r="2744" spans="1:7" ht="21.6" customHeight="1">
      <c r="A2744" s="154" t="s">
        <v>1323</v>
      </c>
      <c r="B2744" s="154" t="str" cm="1">
        <f t="array" ref="B2744">_xlfn.XLOOKUP(TRUE, ISNUMBER(SEARCH(工作表5!$A$1:$A$23, C2744)), 工作表5!$B$1:$B$23, "其他")</f>
        <v>定著組</v>
      </c>
      <c r="C2744" s="145" t="s">
        <v>628</v>
      </c>
      <c r="D2744" s="156"/>
      <c r="E2744" s="156" t="s">
        <v>1749</v>
      </c>
      <c r="F2744" s="156" t="s">
        <v>1281</v>
      </c>
      <c r="G2744" s="154">
        <v>480000</v>
      </c>
    </row>
    <row r="2745" spans="1:7" ht="21.6" customHeight="1">
      <c r="A2745" s="154" t="s">
        <v>1323</v>
      </c>
      <c r="B2745" s="154" t="str" cm="1">
        <f t="array" ref="B2745">_xlfn.XLOOKUP(TRUE, ISNUMBER(SEARCH(工作表5!$A$1:$A$23, C2745)), 工作表5!$B$1:$B$23, "其他")</f>
        <v>其他</v>
      </c>
      <c r="C2745" s="145" t="s">
        <v>101</v>
      </c>
      <c r="D2745" s="156"/>
      <c r="E2745" s="156" t="s">
        <v>1551</v>
      </c>
      <c r="F2745" s="156" t="s">
        <v>720</v>
      </c>
      <c r="G2745" s="154">
        <v>630000</v>
      </c>
    </row>
    <row r="2746" spans="1:7" ht="21.6" customHeight="1">
      <c r="A2746" s="154" t="s">
        <v>1323</v>
      </c>
      <c r="B2746" s="154" t="str" cm="1">
        <f t="array" ref="B2746">_xlfn.XLOOKUP(TRUE, ISNUMBER(SEARCH(工作表5!$A$1:$A$23, C2746)), 工作表5!$B$1:$B$23, "其他")</f>
        <v>手送台</v>
      </c>
      <c r="C2746" s="144" t="s">
        <v>631</v>
      </c>
      <c r="D2746" s="156"/>
      <c r="E2746" s="156" t="s">
        <v>1392</v>
      </c>
      <c r="F2746" s="156" t="s">
        <v>274</v>
      </c>
      <c r="G2746" s="154">
        <v>80000</v>
      </c>
    </row>
    <row r="2747" spans="1:7" ht="21.6" customHeight="1">
      <c r="A2747" s="154" t="s">
        <v>1323</v>
      </c>
      <c r="B2747" s="154" t="str" cm="1">
        <f t="array" ref="B2747">_xlfn.XLOOKUP(TRUE, ISNUMBER(SEARCH(工作表5!$A$1:$A$23, C2747)), 工作表5!$B$1:$B$23, "其他")</f>
        <v>手送台</v>
      </c>
      <c r="C2747" s="144" t="s">
        <v>115</v>
      </c>
      <c r="D2747" s="156"/>
      <c r="E2747" s="156" t="s">
        <v>1393</v>
      </c>
      <c r="F2747" s="156" t="s">
        <v>277</v>
      </c>
      <c r="G2747" s="154">
        <v>80000</v>
      </c>
    </row>
    <row r="2748" spans="1:7" ht="21.6" customHeight="1">
      <c r="A2748" s="154" t="s">
        <v>1323</v>
      </c>
      <c r="B2748" s="154" t="str" cm="1">
        <f t="array" ref="B2748">_xlfn.XLOOKUP(TRUE, ISNUMBER(SEARCH(工作表5!$A$1:$A$23, C2748)), 工作表5!$B$1:$B$23, "其他")</f>
        <v>取紙組</v>
      </c>
      <c r="C2748" s="144" t="s">
        <v>1841</v>
      </c>
      <c r="D2748" s="156"/>
      <c r="E2748" s="156" t="s">
        <v>1389</v>
      </c>
      <c r="F2748" s="156" t="s">
        <v>265</v>
      </c>
      <c r="G2748" s="154">
        <v>80000</v>
      </c>
    </row>
    <row r="2749" spans="1:7" ht="21.6" customHeight="1">
      <c r="A2749" s="154" t="s">
        <v>1323</v>
      </c>
      <c r="B2749" s="154" t="str" cm="1">
        <f t="array" ref="B2749">_xlfn.XLOOKUP(TRUE, ISNUMBER(SEARCH(工作表5!$A$1:$A$23, C2749)), 工作表5!$B$1:$B$23, "其他")</f>
        <v>取紙組</v>
      </c>
      <c r="C2749" s="144" t="s">
        <v>797</v>
      </c>
      <c r="D2749" s="156"/>
      <c r="E2749" s="156" t="s">
        <v>1390</v>
      </c>
      <c r="F2749" s="156" t="s">
        <v>269</v>
      </c>
      <c r="G2749" s="154">
        <v>80000</v>
      </c>
    </row>
    <row r="2750" spans="1:7" ht="21.6" customHeight="1">
      <c r="A2750" s="154" t="s">
        <v>1323</v>
      </c>
      <c r="B2750" s="154" t="str" cm="1">
        <f t="array" ref="B2750">_xlfn.XLOOKUP(TRUE, ISNUMBER(SEARCH(工作表5!$A$1:$A$23, C2750)), 工作表5!$B$1:$B$23, "其他")</f>
        <v>取紙組</v>
      </c>
      <c r="C2750" s="144" t="s">
        <v>1842</v>
      </c>
      <c r="D2750" s="156"/>
      <c r="E2750" s="156" t="s">
        <v>1391</v>
      </c>
      <c r="F2750" s="156" t="s">
        <v>272</v>
      </c>
      <c r="G2750" s="154">
        <v>80000</v>
      </c>
    </row>
    <row r="2751" spans="1:7" ht="21.6" customHeight="1">
      <c r="A2751" s="154" t="s">
        <v>1323</v>
      </c>
      <c r="B2751" s="154" t="str" cm="1">
        <f t="array" ref="B2751">_xlfn.XLOOKUP(TRUE, ISNUMBER(SEARCH(工作表5!$A$1:$A$23, C2751)), 工作表5!$B$1:$B$23, "其他")</f>
        <v>送稿機</v>
      </c>
      <c r="C2751" s="144" t="s">
        <v>1781</v>
      </c>
      <c r="D2751" s="156"/>
      <c r="E2751" s="156" t="s">
        <v>1375</v>
      </c>
      <c r="F2751" s="156" t="s">
        <v>226</v>
      </c>
      <c r="G2751" s="154">
        <v>120000</v>
      </c>
    </row>
    <row r="2752" spans="1:7" ht="21.6" customHeight="1">
      <c r="A2752" s="154" t="s">
        <v>1323</v>
      </c>
      <c r="B2752" s="154" t="str" cm="1">
        <f t="array" ref="B2752">_xlfn.XLOOKUP(TRUE, ISNUMBER(SEARCH(工作表5!$A$1:$A$23, C2752)), 工作表5!$B$1:$B$23, "其他")</f>
        <v>送稿機</v>
      </c>
      <c r="C2752" s="144" t="s">
        <v>278</v>
      </c>
      <c r="D2752" s="156"/>
      <c r="E2752" s="156" t="s">
        <v>1376</v>
      </c>
      <c r="F2752" s="156" t="s">
        <v>230</v>
      </c>
      <c r="G2752" s="154">
        <v>120000</v>
      </c>
    </row>
    <row r="2753" spans="1:7" ht="21.6" customHeight="1">
      <c r="A2753" s="154" t="s">
        <v>1323</v>
      </c>
      <c r="B2753" s="154" t="str" cm="1">
        <f t="array" ref="B2753">_xlfn.XLOOKUP(TRUE, ISNUMBER(SEARCH(工作表5!$A$1:$A$23, C2753)), 工作表5!$B$1:$B$23, "其他")</f>
        <v>送稿機</v>
      </c>
      <c r="C2753" s="144" t="s">
        <v>1782</v>
      </c>
      <c r="D2753" s="156"/>
      <c r="E2753" s="156" t="s">
        <v>1394</v>
      </c>
      <c r="F2753" s="156" t="s">
        <v>281</v>
      </c>
      <c r="G2753" s="154">
        <v>120000</v>
      </c>
    </row>
    <row r="2754" spans="1:7" ht="21.6" customHeight="1">
      <c r="A2754" s="154" t="s">
        <v>1323</v>
      </c>
      <c r="B2754" s="154" t="str" cm="1">
        <f t="array" ref="B2754">_xlfn.XLOOKUP(TRUE, ISNUMBER(SEARCH(工作表5!$A$1:$A$23, C2754)), 工作表5!$B$1:$B$23, "其他")</f>
        <v>送稿機</v>
      </c>
      <c r="C2754" s="144" t="s">
        <v>285</v>
      </c>
      <c r="D2754" s="156"/>
      <c r="E2754" s="156" t="s">
        <v>1395</v>
      </c>
      <c r="F2754" s="156" t="s">
        <v>226</v>
      </c>
      <c r="G2754" s="154">
        <v>120000</v>
      </c>
    </row>
    <row r="2755" spans="1:7" ht="21.6" customHeight="1">
      <c r="A2755" s="154" t="s">
        <v>1323</v>
      </c>
      <c r="B2755" s="154" t="str" cm="1">
        <f t="array" ref="B2755">_xlfn.XLOOKUP(TRUE, ISNUMBER(SEARCH(工作表5!$A$1:$A$23, C2755)), 工作表5!$B$1:$B$23, "其他")</f>
        <v>送稿機</v>
      </c>
      <c r="C2755" s="144" t="s">
        <v>282</v>
      </c>
      <c r="D2755" s="156"/>
      <c r="E2755" s="156" t="s">
        <v>1396</v>
      </c>
      <c r="F2755" s="156" t="s">
        <v>288</v>
      </c>
      <c r="G2755" s="154">
        <v>120000</v>
      </c>
    </row>
    <row r="2756" spans="1:7" ht="21.6" customHeight="1">
      <c r="A2756" s="154" t="s">
        <v>1323</v>
      </c>
      <c r="B2756" s="154" t="str" cm="1">
        <f t="array" ref="B2756">_xlfn.XLOOKUP(TRUE, ISNUMBER(SEARCH(工作表5!$A$1:$A$23, C2756)), 工作表5!$B$1:$B$23, "其他")</f>
        <v>取紙組</v>
      </c>
      <c r="C2756" s="144" t="s">
        <v>1843</v>
      </c>
      <c r="D2756" s="156"/>
      <c r="E2756" s="156" t="s">
        <v>1377</v>
      </c>
      <c r="F2756" s="156" t="s">
        <v>232</v>
      </c>
      <c r="G2756" s="154">
        <v>160000</v>
      </c>
    </row>
    <row r="2757" spans="1:7" ht="21.6" customHeight="1">
      <c r="A2757" s="154" t="s">
        <v>1323</v>
      </c>
      <c r="B2757" s="154" t="str" cm="1">
        <f t="array" ref="B2757">_xlfn.XLOOKUP(TRUE, ISNUMBER(SEARCH(工作表5!$A$1:$A$23, C2757)), 工作表5!$B$1:$B$23, "其他")</f>
        <v>大容量取紙組</v>
      </c>
      <c r="C2757" s="144" t="s">
        <v>237</v>
      </c>
      <c r="D2757" s="156"/>
      <c r="E2757" s="156" t="s">
        <v>1378</v>
      </c>
      <c r="F2757" s="156" t="s">
        <v>236</v>
      </c>
      <c r="G2757" s="154">
        <v>160000</v>
      </c>
    </row>
    <row r="2758" spans="1:7" ht="21.6" customHeight="1">
      <c r="A2758" s="154" t="s">
        <v>1323</v>
      </c>
      <c r="B2758" s="154" t="str" cm="1">
        <f t="array" ref="B2758">_xlfn.XLOOKUP(TRUE, ISNUMBER(SEARCH(工作表5!$A$1:$A$23, C2758)), 工作表5!$B$1:$B$23, "其他")</f>
        <v>取紙組</v>
      </c>
      <c r="C2758" s="144" t="s">
        <v>798</v>
      </c>
      <c r="D2758" s="156"/>
      <c r="E2758" s="156" t="s">
        <v>1379</v>
      </c>
      <c r="F2758" s="156" t="s">
        <v>239</v>
      </c>
      <c r="G2758" s="154">
        <v>160000</v>
      </c>
    </row>
    <row r="2759" spans="1:7" ht="21.6" customHeight="1">
      <c r="A2759" s="154" t="s">
        <v>1323</v>
      </c>
      <c r="B2759" s="154" t="str" cm="1">
        <f t="array" ref="B2759">_xlfn.XLOOKUP(TRUE, ISNUMBER(SEARCH(工作表5!$A$1:$A$23, C2759)), 工作表5!$B$1:$B$23, "其他")</f>
        <v>顯像組</v>
      </c>
      <c r="C2759" s="144" t="s">
        <v>637</v>
      </c>
      <c r="D2759" s="156"/>
      <c r="E2759" s="156" t="s">
        <v>1625</v>
      </c>
      <c r="F2759" s="156" t="s">
        <v>914</v>
      </c>
      <c r="G2759" s="154">
        <v>210000</v>
      </c>
    </row>
    <row r="2760" spans="1:7" ht="21.6" customHeight="1">
      <c r="A2760" s="154" t="s">
        <v>1323</v>
      </c>
      <c r="B2760" s="154" t="str" cm="1">
        <f t="array" ref="B2760">_xlfn.XLOOKUP(TRUE, ISNUMBER(SEARCH(工作表5!$A$1:$A$23, C2760)), 工作表5!$B$1:$B$23, "其他")</f>
        <v>顯像組</v>
      </c>
      <c r="C2760" s="144" t="s">
        <v>1284</v>
      </c>
      <c r="D2760" s="156"/>
      <c r="E2760" s="156" t="s">
        <v>1750</v>
      </c>
      <c r="F2760" s="156" t="s">
        <v>1283</v>
      </c>
      <c r="G2760" s="154">
        <v>210000</v>
      </c>
    </row>
    <row r="2761" spans="1:7" ht="21.6" customHeight="1">
      <c r="A2761" s="154" t="s">
        <v>1323</v>
      </c>
      <c r="B2761" s="154" t="str" cm="1">
        <f t="array" ref="B2761">_xlfn.XLOOKUP(TRUE, ISNUMBER(SEARCH(工作表5!$A$1:$A$23, C2761)), 工作表5!$B$1:$B$23, "其他")</f>
        <v>取紙組</v>
      </c>
      <c r="C2761" s="144" t="s">
        <v>799</v>
      </c>
      <c r="D2761" s="156"/>
      <c r="E2761" s="156" t="s">
        <v>1399</v>
      </c>
      <c r="F2761" s="156" t="s">
        <v>296</v>
      </c>
      <c r="G2761" s="154">
        <v>80000</v>
      </c>
    </row>
    <row r="2762" spans="1:7" ht="21.6" customHeight="1">
      <c r="A2762" s="154" t="s">
        <v>1323</v>
      </c>
      <c r="B2762" s="154" t="str" cm="1">
        <f t="array" ref="B2762">_xlfn.XLOOKUP(TRUE, ISNUMBER(SEARCH(工作表5!$A$1:$A$23, C2762)), 工作表5!$B$1:$B$23, "其他")</f>
        <v>送稿機</v>
      </c>
      <c r="C2762" s="144" t="s">
        <v>300</v>
      </c>
      <c r="D2762" s="156"/>
      <c r="E2762" s="156" t="s">
        <v>1400</v>
      </c>
      <c r="F2762" s="156" t="s">
        <v>299</v>
      </c>
      <c r="G2762" s="154">
        <v>120000</v>
      </c>
    </row>
    <row r="2763" spans="1:7" ht="21.6" customHeight="1">
      <c r="A2763" s="154" t="s">
        <v>1323</v>
      </c>
      <c r="B2763" s="154" t="str" cm="1">
        <f t="array" ref="B2763">_xlfn.XLOOKUP(TRUE, ISNUMBER(SEARCH(工作表5!$A$1:$A$23, C2763)), 工作表5!$B$1:$B$23, "其他")</f>
        <v>送稿機</v>
      </c>
      <c r="C2763" s="144" t="s">
        <v>303</v>
      </c>
      <c r="D2763" s="156"/>
      <c r="E2763" s="156" t="s">
        <v>1401</v>
      </c>
      <c r="F2763" s="156" t="s">
        <v>302</v>
      </c>
      <c r="G2763" s="154">
        <v>120000</v>
      </c>
    </row>
    <row r="2764" spans="1:7" ht="21.6" customHeight="1">
      <c r="A2764" s="154" t="s">
        <v>1323</v>
      </c>
      <c r="B2764" s="154" t="str" cm="1">
        <f t="array" ref="B2764">_xlfn.XLOOKUP(TRUE, ISNUMBER(SEARCH(工作表5!$A$1:$A$23, C2764)), 工作表5!$B$1:$B$23, "其他")</f>
        <v>其他</v>
      </c>
      <c r="C2764" s="144" t="s">
        <v>760</v>
      </c>
      <c r="D2764" s="156"/>
      <c r="E2764" s="156" t="s">
        <v>1384</v>
      </c>
      <c r="F2764" s="156" t="s">
        <v>252</v>
      </c>
      <c r="G2764" s="154">
        <v>160000</v>
      </c>
    </row>
    <row r="2765" spans="1:7" ht="21.6" customHeight="1">
      <c r="A2765" s="154" t="s">
        <v>1323</v>
      </c>
      <c r="B2765" s="154" t="str" cm="1">
        <f t="array" ref="B2765">_xlfn.XLOOKUP(TRUE, ISNUMBER(SEARCH(工作表5!$A$1:$A$23, C2765)), 工作表5!$B$1:$B$23, "其他")</f>
        <v>定著組</v>
      </c>
      <c r="C2765" s="144" t="s">
        <v>642</v>
      </c>
      <c r="D2765" s="156"/>
      <c r="E2765" s="156" t="s">
        <v>1751</v>
      </c>
      <c r="F2765" s="156" t="s">
        <v>1286</v>
      </c>
      <c r="G2765" s="154">
        <v>480000</v>
      </c>
    </row>
    <row r="2766" spans="1:7" ht="21.6" customHeight="1">
      <c r="A2766" s="154" t="s">
        <v>1323</v>
      </c>
      <c r="B2766" s="154" t="str" cm="1">
        <f t="array" ref="B2766">_xlfn.XLOOKUP(TRUE, ISNUMBER(SEARCH(工作表5!$A$1:$A$23, C2766)), 工作表5!$B$1:$B$23, "其他")</f>
        <v>轉寫組</v>
      </c>
      <c r="C2766" s="144" t="s">
        <v>645</v>
      </c>
      <c r="D2766" s="156"/>
      <c r="E2766" s="156" t="s">
        <v>1525</v>
      </c>
      <c r="F2766" s="156" t="s">
        <v>644</v>
      </c>
      <c r="G2766" s="154">
        <v>210000</v>
      </c>
    </row>
    <row r="2767" spans="1:7" ht="21.6" customHeight="1">
      <c r="A2767" s="154" t="s">
        <v>1323</v>
      </c>
      <c r="B2767" s="154" t="str" cm="1">
        <f t="array" ref="B2767">_xlfn.XLOOKUP(TRUE, ISNUMBER(SEARCH(工作表5!$A$1:$A$23, C2767)), 工作表5!$B$1:$B$23, "其他")</f>
        <v>定著組</v>
      </c>
      <c r="C2767" s="145" t="s">
        <v>585</v>
      </c>
      <c r="D2767" s="156"/>
      <c r="E2767" s="156" t="s">
        <v>1752</v>
      </c>
      <c r="F2767" s="156" t="s">
        <v>1288</v>
      </c>
      <c r="G2767" s="154" t="e">
        <v>#VALUE!</v>
      </c>
    </row>
    <row r="2768" spans="1:7" ht="21.6" customHeight="1">
      <c r="A2768" s="154" t="s">
        <v>1323</v>
      </c>
      <c r="B2768" s="154" t="str" cm="1">
        <f t="array" ref="B2768">_xlfn.XLOOKUP(TRUE, ISNUMBER(SEARCH(工作表5!$A$1:$A$23, C2768)), 工作表5!$B$1:$B$23, "其他")</f>
        <v>顯像組</v>
      </c>
      <c r="C2768" s="145" t="s">
        <v>129</v>
      </c>
      <c r="D2768" s="156"/>
      <c r="E2768" s="156" t="s">
        <v>1677</v>
      </c>
      <c r="F2768" s="156" t="s">
        <v>1045</v>
      </c>
      <c r="G2768" s="154" t="e">
        <v>#VALUE!</v>
      </c>
    </row>
    <row r="2769" spans="1:7" ht="21.6" customHeight="1">
      <c r="A2769" s="154" t="s">
        <v>1323</v>
      </c>
      <c r="B2769" s="154" t="str" cm="1">
        <f t="array" ref="B2769">_xlfn.XLOOKUP(TRUE, ISNUMBER(SEARCH(工作表5!$A$1:$A$23, C2769)), 工作表5!$B$1:$B$23, "其他")</f>
        <v>顯像組</v>
      </c>
      <c r="C2769" s="145" t="s">
        <v>1292</v>
      </c>
      <c r="D2769" s="156"/>
      <c r="E2769" s="156" t="s">
        <v>1753</v>
      </c>
      <c r="F2769" s="156" t="s">
        <v>1291</v>
      </c>
      <c r="G2769" s="154" t="e">
        <v>#VALUE!</v>
      </c>
    </row>
    <row r="2770" spans="1:7" ht="21.6" customHeight="1">
      <c r="A2770" s="154" t="s">
        <v>1323</v>
      </c>
      <c r="B2770" s="154" t="str" cm="1">
        <f t="array" ref="B2770">_xlfn.XLOOKUP(TRUE, ISNUMBER(SEARCH(工作表5!$A$1:$A$23, C2770)), 工作表5!$B$1:$B$23, "其他")</f>
        <v>轉寫組</v>
      </c>
      <c r="C2770" s="144" t="s">
        <v>1821</v>
      </c>
      <c r="D2770" s="156"/>
      <c r="E2770" s="156" t="s">
        <v>1528</v>
      </c>
      <c r="F2770" s="156" t="s">
        <v>651</v>
      </c>
      <c r="G2770" s="154" t="e">
        <v>#VALUE!</v>
      </c>
    </row>
    <row r="2771" spans="1:7" ht="21.6" customHeight="1">
      <c r="A2771" s="154" t="s">
        <v>1323</v>
      </c>
      <c r="B2771" s="154" t="str" cm="1">
        <f t="array" ref="B2771">_xlfn.XLOOKUP(TRUE, ISNUMBER(SEARCH(工作表5!$A$1:$A$23, C2771)), 工作表5!$B$1:$B$23, "其他")</f>
        <v>轉寫組</v>
      </c>
      <c r="C2771" s="152" t="s">
        <v>1805</v>
      </c>
      <c r="D2771" s="156"/>
      <c r="E2771" s="156" t="s">
        <v>1754</v>
      </c>
      <c r="F2771" s="156" t="s">
        <v>1294</v>
      </c>
      <c r="G2771" s="154" t="e">
        <v>#VALUE!</v>
      </c>
    </row>
    <row r="2772" spans="1:7" ht="21.6" customHeight="1">
      <c r="C2772" s="153"/>
    </row>
  </sheetData>
  <autoFilter ref="A1:G2771" xr:uid="{71353311-3C58-49A1-8DB1-5996A03DFF0D}"/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771E7-DFD4-476F-ADAF-13BF39AF95B3}">
  <dimension ref="A1:G28"/>
  <sheetViews>
    <sheetView workbookViewId="0">
      <selection activeCell="D17" sqref="D17"/>
    </sheetView>
  </sheetViews>
  <sheetFormatPr defaultRowHeight="15.6"/>
  <cols>
    <col min="1" max="1" width="20.25" bestFit="1" customWidth="1"/>
  </cols>
  <sheetData>
    <row r="1" spans="1:7">
      <c r="A1" t="s">
        <v>71</v>
      </c>
      <c r="B1" t="s">
        <v>1763</v>
      </c>
      <c r="F1" t="s">
        <v>71</v>
      </c>
      <c r="G1" t="s">
        <v>1763</v>
      </c>
    </row>
    <row r="2" spans="1:7">
      <c r="A2" t="s">
        <v>1862</v>
      </c>
      <c r="B2" t="s">
        <v>129</v>
      </c>
      <c r="F2" t="s">
        <v>1862</v>
      </c>
      <c r="G2" t="s">
        <v>129</v>
      </c>
    </row>
    <row r="3" spans="1:7">
      <c r="A3" t="s">
        <v>1863</v>
      </c>
      <c r="B3" t="s">
        <v>1766</v>
      </c>
      <c r="F3" t="s">
        <v>1863</v>
      </c>
      <c r="G3" t="s">
        <v>1766</v>
      </c>
    </row>
    <row r="4" spans="1:7">
      <c r="A4" t="s">
        <v>1864</v>
      </c>
      <c r="B4" t="s">
        <v>585</v>
      </c>
      <c r="F4" t="s">
        <v>1864</v>
      </c>
      <c r="G4" t="s">
        <v>585</v>
      </c>
    </row>
    <row r="5" spans="1:7">
      <c r="A5" t="s">
        <v>1865</v>
      </c>
      <c r="B5" t="s">
        <v>585</v>
      </c>
      <c r="F5" t="s">
        <v>1865</v>
      </c>
      <c r="G5" t="s">
        <v>585</v>
      </c>
    </row>
    <row r="6" spans="1:7">
      <c r="A6" t="s">
        <v>1866</v>
      </c>
      <c r="B6" t="s">
        <v>585</v>
      </c>
      <c r="F6" t="s">
        <v>1866</v>
      </c>
      <c r="G6" t="s">
        <v>585</v>
      </c>
    </row>
    <row r="7" spans="1:7">
      <c r="A7" t="s">
        <v>1867</v>
      </c>
      <c r="B7" t="s">
        <v>1764</v>
      </c>
      <c r="F7" t="s">
        <v>1867</v>
      </c>
      <c r="G7" t="s">
        <v>1764</v>
      </c>
    </row>
    <row r="8" spans="1:7">
      <c r="A8" t="s">
        <v>1868</v>
      </c>
      <c r="B8" t="s">
        <v>1769</v>
      </c>
      <c r="F8" t="s">
        <v>1868</v>
      </c>
      <c r="G8" t="s">
        <v>1769</v>
      </c>
    </row>
    <row r="9" spans="1:7">
      <c r="A9" t="s">
        <v>1772</v>
      </c>
      <c r="B9" t="s">
        <v>1773</v>
      </c>
      <c r="F9" t="s">
        <v>1772</v>
      </c>
      <c r="G9" t="s">
        <v>1773</v>
      </c>
    </row>
    <row r="10" spans="1:7">
      <c r="A10" t="s">
        <v>1869</v>
      </c>
      <c r="B10" t="s">
        <v>1773</v>
      </c>
      <c r="F10" t="s">
        <v>1869</v>
      </c>
      <c r="G10" t="s">
        <v>1773</v>
      </c>
    </row>
    <row r="11" spans="1:7">
      <c r="A11" t="s">
        <v>1870</v>
      </c>
      <c r="B11" t="s">
        <v>1769</v>
      </c>
      <c r="F11" t="s">
        <v>1870</v>
      </c>
      <c r="G11" t="s">
        <v>1769</v>
      </c>
    </row>
    <row r="12" spans="1:7">
      <c r="A12" t="s">
        <v>1871</v>
      </c>
      <c r="B12" t="s">
        <v>1769</v>
      </c>
      <c r="F12" t="s">
        <v>1871</v>
      </c>
      <c r="G12" t="s">
        <v>1769</v>
      </c>
    </row>
    <row r="13" spans="1:7">
      <c r="A13" t="s">
        <v>1878</v>
      </c>
      <c r="B13" t="s">
        <v>1769</v>
      </c>
      <c r="F13" t="s">
        <v>1872</v>
      </c>
      <c r="G13" t="s">
        <v>1769</v>
      </c>
    </row>
    <row r="14" spans="1:7">
      <c r="A14" t="s">
        <v>1873</v>
      </c>
      <c r="B14" t="s">
        <v>1860</v>
      </c>
      <c r="F14" t="s">
        <v>1873</v>
      </c>
      <c r="G14" t="s">
        <v>1860</v>
      </c>
    </row>
    <row r="15" spans="1:7">
      <c r="A15" t="s">
        <v>114</v>
      </c>
      <c r="B15" t="s">
        <v>1770</v>
      </c>
    </row>
    <row r="16" spans="1:7">
      <c r="A16" t="s">
        <v>115</v>
      </c>
      <c r="B16" t="s">
        <v>1770</v>
      </c>
    </row>
    <row r="17" spans="1:2">
      <c r="A17" t="s">
        <v>1771</v>
      </c>
      <c r="B17" t="s">
        <v>1770</v>
      </c>
    </row>
    <row r="18" spans="1:2">
      <c r="A18" t="s">
        <v>1874</v>
      </c>
      <c r="B18" t="s">
        <v>1765</v>
      </c>
    </row>
    <row r="19" spans="1:2">
      <c r="A19" t="s">
        <v>1875</v>
      </c>
      <c r="B19" t="s">
        <v>1764</v>
      </c>
    </row>
    <row r="20" spans="1:2">
      <c r="A20" t="s">
        <v>1876</v>
      </c>
      <c r="B20" t="s">
        <v>1765</v>
      </c>
    </row>
    <row r="21" spans="1:2">
      <c r="A21" t="s">
        <v>1877</v>
      </c>
      <c r="B21" t="s">
        <v>1773</v>
      </c>
    </row>
    <row r="22" spans="1:2">
      <c r="A22" t="s">
        <v>1880</v>
      </c>
      <c r="B22" t="s">
        <v>1773</v>
      </c>
    </row>
    <row r="23" spans="1:2">
      <c r="A23" t="s">
        <v>1881</v>
      </c>
      <c r="B23" t="s">
        <v>1773</v>
      </c>
    </row>
    <row r="26" spans="1:2">
      <c r="A26" s="144"/>
      <c r="B26" s="156"/>
    </row>
    <row r="27" spans="1:2">
      <c r="A27" s="148"/>
      <c r="B27" s="156"/>
    </row>
    <row r="28" spans="1:2">
      <c r="A28" s="144"/>
      <c r="B28" s="156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1</vt:i4>
      </vt:variant>
    </vt:vector>
  </HeadingPairs>
  <TitlesOfParts>
    <vt:vector size="6" baseType="lpstr">
      <vt:lpstr>Part</vt:lpstr>
      <vt:lpstr>工作表1</vt:lpstr>
      <vt:lpstr>工作表2</vt:lpstr>
      <vt:lpstr>工作表4</vt:lpstr>
      <vt:lpstr>工作表5</vt:lpstr>
      <vt:lpstr>Part!Print_Titles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Diyn</dc:creator>
  <cp:lastModifiedBy>. Diyn</cp:lastModifiedBy>
  <dcterms:created xsi:type="dcterms:W3CDTF">2026-08-19T05:26:14Z</dcterms:created>
  <dcterms:modified xsi:type="dcterms:W3CDTF">2026-08-19T07:47:15Z</dcterms:modified>
</cp:coreProperties>
</file>