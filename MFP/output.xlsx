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D32CC77-2961-4A1A-8B37-6C8B3706C342}"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<sst xmlns="http://schemas.openxmlformats.org/spreadsheetml/2006/main" count="70291" uniqueCount="12219">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</sst>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4" width="9" style="40" customWidth="1"/>
    <col min="55"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6"/>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9"/>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6" width="9" style="7" customWidth="1"/>
    <col min="117"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2">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ref="AL2242:AL2249" si="70">DATEVALUE(TEXT(I2242, "yyyy/mm/dd"))</f>
        <v>#VALUE!</v>
      </c>
      <c r="AM2242" s="36">
        <f t="shared" ref="AM2242:AM2249" si="71">DATEVALUE(TEXT(X2242, "yyyy/mm/dd"))</f>
        <v>46113</v>
      </c>
    </row>
    <row r="2243" spans="1:39" ht="21.6" customHeight="1" x14ac:dyDescent="0.3">
      <c r="A2243" s="31">
        <v>2</v>
      </c>
      <c r="B2243" s="31" t="s">
        <v>1191</v>
      </c>
      <c r="C2243" s="31">
        <v>2026040099</v>
      </c>
      <c r="D2243" s="31" t="s">
        <v>12156</v>
      </c>
      <c r="E2243" s="31" t="s">
        <v>2734</v>
      </c>
      <c r="F2243" s="31">
        <v>3892</v>
      </c>
      <c r="G2243" s="31" t="s">
        <v>3939</v>
      </c>
      <c r="H2243" s="31" t="s">
        <v>2871</v>
      </c>
      <c r="I2243" s="31" t="s">
        <v>12157</v>
      </c>
      <c r="J2243" s="31" t="s">
        <v>2766</v>
      </c>
      <c r="K2243" s="31" t="s">
        <v>2740</v>
      </c>
      <c r="L2243" s="31" t="s">
        <v>2841</v>
      </c>
      <c r="M2243" s="32" t="s">
        <v>2842</v>
      </c>
      <c r="N2243" s="31" t="s">
        <v>2843</v>
      </c>
      <c r="O2243" s="32" t="s">
        <v>2844</v>
      </c>
      <c r="P2243" s="33" t="s">
        <v>12158</v>
      </c>
      <c r="Q2243" s="31" t="s">
        <v>3940</v>
      </c>
      <c r="R2243" s="31" t="s">
        <v>2746</v>
      </c>
      <c r="S2243" s="31" t="s">
        <v>462</v>
      </c>
      <c r="T2243" s="31">
        <v>1</v>
      </c>
      <c r="U2243" s="31" t="s">
        <v>2747</v>
      </c>
      <c r="V2243" s="31" t="s">
        <v>12159</v>
      </c>
      <c r="W2243" s="31" t="s">
        <v>12160</v>
      </c>
      <c r="X2243" s="53">
        <v>46113.666666666657</v>
      </c>
      <c r="Y2243" s="31" t="s">
        <v>12161</v>
      </c>
      <c r="Z2243" s="31">
        <v>1</v>
      </c>
      <c r="AA2243" s="31"/>
      <c r="AB2243" s="31" t="s">
        <v>2751</v>
      </c>
      <c r="AC2243" s="34" t="s">
        <v>12162</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12163</v>
      </c>
      <c r="E2244" s="31" t="s">
        <v>2734</v>
      </c>
      <c r="F2244" s="31">
        <v>4970</v>
      </c>
      <c r="G2244" s="31" t="s">
        <v>10223</v>
      </c>
      <c r="H2244" s="31" t="s">
        <v>9531</v>
      </c>
      <c r="I2244" s="31" t="s">
        <v>12164</v>
      </c>
      <c r="J2244" s="31" t="s">
        <v>2766</v>
      </c>
      <c r="K2244" s="31" t="s">
        <v>2740</v>
      </c>
      <c r="L2244" s="31" t="s">
        <v>2741</v>
      </c>
      <c r="M2244" s="32" t="s">
        <v>2742</v>
      </c>
      <c r="N2244" s="31">
        <v>2305</v>
      </c>
      <c r="O2244" s="32" t="s">
        <v>3265</v>
      </c>
      <c r="P2244" s="33" t="s">
        <v>12165</v>
      </c>
      <c r="Q2244" s="31" t="s">
        <v>10224</v>
      </c>
      <c r="R2244" s="31" t="s">
        <v>2746</v>
      </c>
      <c r="S2244" s="31" t="s">
        <v>843</v>
      </c>
      <c r="T2244" s="31">
        <v>1</v>
      </c>
      <c r="U2244" s="31" t="s">
        <v>2747</v>
      </c>
      <c r="V2244" s="31" t="s">
        <v>12166</v>
      </c>
      <c r="W2244" s="31" t="s">
        <v>12167</v>
      </c>
      <c r="X2244" s="53">
        <v>46113.574999999997</v>
      </c>
      <c r="Y2244" s="31" t="s">
        <v>12168</v>
      </c>
      <c r="Z2244" s="31">
        <v>0.4</v>
      </c>
      <c r="AA2244" s="31"/>
      <c r="AB2244" s="31" t="s">
        <v>2751</v>
      </c>
      <c r="AC2244" s="34" t="s">
        <v>12169</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4203</v>
      </c>
      <c r="H2245" s="31" t="s">
        <v>1740</v>
      </c>
      <c r="I2245" s="31"/>
      <c r="J2245" s="31"/>
      <c r="K2245" s="31"/>
      <c r="L2245" s="31"/>
      <c r="M2245" s="32"/>
      <c r="N2245" s="31"/>
      <c r="O2245" s="32"/>
      <c r="P2245" s="33"/>
      <c r="Q2245" s="31" t="s">
        <v>4204</v>
      </c>
      <c r="R2245" s="31" t="s">
        <v>2746</v>
      </c>
      <c r="S2245" s="31" t="s">
        <v>300</v>
      </c>
      <c r="T2245" s="31">
        <v>1</v>
      </c>
      <c r="U2245" s="31" t="s">
        <v>2747</v>
      </c>
      <c r="V2245" s="31" t="s">
        <v>12170</v>
      </c>
      <c r="W2245" s="31" t="s">
        <v>12171</v>
      </c>
      <c r="X2245" s="53">
        <v>46113.541666666657</v>
      </c>
      <c r="Y2245" s="31"/>
      <c r="Z2245" s="31">
        <v>0.3</v>
      </c>
      <c r="AA2245" s="31"/>
      <c r="AB2245" s="31" t="s">
        <v>2751</v>
      </c>
      <c r="AC2245" s="34" t="s">
        <v>4795</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2809</v>
      </c>
      <c r="G2246" s="31" t="s">
        <v>2810</v>
      </c>
      <c r="H2246" s="31" t="s">
        <v>1740</v>
      </c>
      <c r="I2246" s="31"/>
      <c r="J2246" s="31"/>
      <c r="K2246" s="31"/>
      <c r="L2246" s="31"/>
      <c r="M2246" s="32"/>
      <c r="N2246" s="31"/>
      <c r="O2246" s="32"/>
      <c r="P2246" s="33"/>
      <c r="Q2246" s="31" t="s">
        <v>2814</v>
      </c>
      <c r="R2246" s="31" t="s">
        <v>2746</v>
      </c>
      <c r="S2246" s="31" t="s">
        <v>300</v>
      </c>
      <c r="T2246" s="31">
        <v>1</v>
      </c>
      <c r="U2246" s="31" t="s">
        <v>2747</v>
      </c>
      <c r="V2246" s="31" t="s">
        <v>12172</v>
      </c>
      <c r="W2246" s="31" t="s">
        <v>12173</v>
      </c>
      <c r="X2246" s="53">
        <v>46113.583333333343</v>
      </c>
      <c r="Y2246" s="31"/>
      <c r="Z2246" s="31">
        <v>0.3</v>
      </c>
      <c r="AA2246" s="31"/>
      <c r="AB2246" s="31" t="s">
        <v>2751</v>
      </c>
      <c r="AC2246" s="34" t="s">
        <v>4795</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4366</v>
      </c>
      <c r="H2247" s="31" t="s">
        <v>1740</v>
      </c>
      <c r="I2247" s="31"/>
      <c r="J2247" s="31"/>
      <c r="K2247" s="31"/>
      <c r="L2247" s="31"/>
      <c r="M2247" s="32"/>
      <c r="N2247" s="31"/>
      <c r="O2247" s="32"/>
      <c r="P2247" s="33"/>
      <c r="Q2247" s="31" t="s">
        <v>4367</v>
      </c>
      <c r="R2247" s="31" t="s">
        <v>2746</v>
      </c>
      <c r="S2247" s="31" t="s">
        <v>300</v>
      </c>
      <c r="T2247" s="31">
        <v>1</v>
      </c>
      <c r="U2247" s="31" t="s">
        <v>2747</v>
      </c>
      <c r="V2247" s="31" t="s">
        <v>12174</v>
      </c>
      <c r="W2247" s="31" t="s">
        <v>12175</v>
      </c>
      <c r="X2247" s="53">
        <v>46113.625</v>
      </c>
      <c r="Y2247" s="31"/>
      <c r="Z2247" s="31">
        <v>0.4</v>
      </c>
      <c r="AA2247" s="31"/>
      <c r="AB2247" s="31" t="s">
        <v>2751</v>
      </c>
      <c r="AC2247" s="34" t="s">
        <v>4795</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3694</v>
      </c>
      <c r="H2248" s="31" t="s">
        <v>1740</v>
      </c>
      <c r="I2248" s="31"/>
      <c r="J2248" s="31"/>
      <c r="K2248" s="31"/>
      <c r="L2248" s="31"/>
      <c r="M2248" s="32"/>
      <c r="N2248" s="31"/>
      <c r="O2248" s="32"/>
      <c r="P2248" s="33"/>
      <c r="Q2248" s="31" t="s">
        <v>3697</v>
      </c>
      <c r="R2248" s="31" t="s">
        <v>2746</v>
      </c>
      <c r="S2248" s="31" t="s">
        <v>300</v>
      </c>
      <c r="T2248" s="31">
        <v>1</v>
      </c>
      <c r="U2248" s="31" t="s">
        <v>2747</v>
      </c>
      <c r="V2248" s="31" t="s">
        <v>12176</v>
      </c>
      <c r="W2248" s="31" t="s">
        <v>12177</v>
      </c>
      <c r="X2248" s="53">
        <v>46113.640972222223</v>
      </c>
      <c r="Y2248" s="31"/>
      <c r="Z2248" s="31">
        <v>0.3</v>
      </c>
      <c r="AA2248" s="31"/>
      <c r="AB2248" s="31" t="s">
        <v>2751</v>
      </c>
      <c r="AC2248" s="34" t="s">
        <v>4795</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3939</v>
      </c>
      <c r="H2249" s="31" t="s">
        <v>2871</v>
      </c>
      <c r="I2249" s="31"/>
      <c r="J2249" s="31"/>
      <c r="K2249" s="31"/>
      <c r="L2249" s="31"/>
      <c r="M2249" s="32"/>
      <c r="N2249" s="31"/>
      <c r="O2249" s="32"/>
      <c r="P2249" s="33"/>
      <c r="Q2249" s="31" t="s">
        <v>3940</v>
      </c>
      <c r="R2249" s="31" t="s">
        <v>2746</v>
      </c>
      <c r="S2249" s="31" t="s">
        <v>462</v>
      </c>
      <c r="T2249" s="31">
        <v>1</v>
      </c>
      <c r="U2249" s="31" t="s">
        <v>2747</v>
      </c>
      <c r="V2249" s="31" t="s">
        <v>12178</v>
      </c>
      <c r="W2249" s="31" t="s">
        <v>12179</v>
      </c>
      <c r="X2249" s="53">
        <v>46113.680555555547</v>
      </c>
      <c r="Y2249" s="31"/>
      <c r="Z2249" s="31">
        <v>0.3</v>
      </c>
      <c r="AA2249" s="31"/>
      <c r="AB2249" s="31" t="s">
        <v>2751</v>
      </c>
      <c r="AC2249" s="34" t="s">
        <v>4795</v>
      </c>
      <c r="AD2249" s="31" t="s">
        <v>1071</v>
      </c>
      <c r="AE2249" s="31"/>
      <c r="AF2249" s="31"/>
      <c r="AG2249" s="31"/>
      <c r="AH2249" s="31"/>
      <c r="AI2249" s="31"/>
      <c r="AJ2249" s="31" t="s">
        <v>1071</v>
      </c>
      <c r="AK2249" s="31" t="s">
        <v>1071</v>
      </c>
      <c r="AL2249" s="35" t="e">
        <f t="shared" si="70"/>
        <v>#VALUE!</v>
      </c>
      <c r="AM2249" s="36">
        <f t="shared" si="71"/>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12180</v>
      </c>
    </row>
    <row r="2" spans="1:14" x14ac:dyDescent="0.3">
      <c r="A2" t="s">
        <v>12180</v>
      </c>
      <c r="B2" t="s">
        <v>1047</v>
      </c>
      <c r="C2" t="s">
        <v>12181</v>
      </c>
      <c r="D2" t="s">
        <v>12182</v>
      </c>
      <c r="E2" t="s">
        <v>1045</v>
      </c>
      <c r="F2" t="s">
        <v>12183</v>
      </c>
      <c r="G2" t="s">
        <v>12184</v>
      </c>
      <c r="H2" t="s">
        <v>12185</v>
      </c>
      <c r="I2" t="s">
        <v>12186</v>
      </c>
      <c r="J2" t="s">
        <v>12187</v>
      </c>
      <c r="K2" t="s">
        <v>12188</v>
      </c>
      <c r="M2" s="1" t="s">
        <v>281</v>
      </c>
      <c r="N2" t="s">
        <v>1047</v>
      </c>
    </row>
    <row r="3" spans="1:14" x14ac:dyDescent="0.3">
      <c r="M3" s="1" t="s">
        <v>282</v>
      </c>
      <c r="N3" t="s">
        <v>12181</v>
      </c>
    </row>
    <row r="4" spans="1:14" x14ac:dyDescent="0.3">
      <c r="M4" s="1" t="s">
        <v>283</v>
      </c>
      <c r="N4" t="s">
        <v>12182</v>
      </c>
    </row>
    <row r="5" spans="1:14" x14ac:dyDescent="0.3">
      <c r="M5" s="1" t="s">
        <v>284</v>
      </c>
      <c r="N5" t="s">
        <v>1045</v>
      </c>
    </row>
    <row r="6" spans="1:14" x14ac:dyDescent="0.3">
      <c r="M6" s="1" t="s">
        <v>285</v>
      </c>
      <c r="N6" t="s">
        <v>12183</v>
      </c>
    </row>
    <row r="7" spans="1:14" x14ac:dyDescent="0.3">
      <c r="M7" s="1" t="s">
        <v>286</v>
      </c>
      <c r="N7" t="s">
        <v>12184</v>
      </c>
    </row>
    <row r="8" spans="1:14" x14ac:dyDescent="0.3">
      <c r="M8" s="1" t="s">
        <v>287</v>
      </c>
      <c r="N8" t="s">
        <v>12185</v>
      </c>
    </row>
    <row r="9" spans="1:14" x14ac:dyDescent="0.3">
      <c r="M9" s="1" t="s">
        <v>288</v>
      </c>
      <c r="N9" t="s">
        <v>12186</v>
      </c>
    </row>
    <row r="10" spans="1:14" x14ac:dyDescent="0.3">
      <c r="M10" s="1" t="s">
        <v>289</v>
      </c>
      <c r="N10" t="s">
        <v>12187</v>
      </c>
    </row>
    <row r="11" spans="1:14" x14ac:dyDescent="0.3">
      <c r="M11" s="1" t="s">
        <v>290</v>
      </c>
      <c r="N11" t="s">
        <v>12188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12189</v>
      </c>
      <c r="C2" s="42" t="s">
        <v>326</v>
      </c>
      <c r="D2" s="42" t="s">
        <v>12190</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12191</v>
      </c>
    </row>
    <row r="3" spans="1:15" s="40" customFormat="1" ht="21.6" customHeight="1" x14ac:dyDescent="0.3">
      <c r="A3" s="42" t="s">
        <v>92</v>
      </c>
      <c r="B3" s="42" t="s">
        <v>12192</v>
      </c>
      <c r="C3" s="42" t="s">
        <v>326</v>
      </c>
      <c r="D3" s="42" t="s">
        <v>12193</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12194</v>
      </c>
    </row>
    <row r="4" spans="1:15" s="40" customFormat="1" ht="21.6" customHeight="1" x14ac:dyDescent="0.3">
      <c r="A4" s="42" t="s">
        <v>93</v>
      </c>
      <c r="B4" s="42" t="s">
        <v>12195</v>
      </c>
      <c r="C4" s="42" t="s">
        <v>326</v>
      </c>
      <c r="D4" s="42" t="s">
        <v>12196</v>
      </c>
      <c r="E4" s="42" t="s">
        <v>374</v>
      </c>
      <c r="F4" s="42" t="s">
        <v>434</v>
      </c>
      <c r="G4" s="42" t="s">
        <v>1996</v>
      </c>
      <c r="H4" s="42" t="s">
        <v>462</v>
      </c>
      <c r="I4" s="42" t="s">
        <v>12197</v>
      </c>
      <c r="J4" s="43">
        <v>45839</v>
      </c>
      <c r="K4" s="43">
        <v>46934</v>
      </c>
      <c r="L4" s="43" t="str">
        <f t="array" ref="L4">IF(MAX(IF((MFP!I:I=A4)*(MFP!S:S="O"),DATEVALUE(MFP!F:F)))=0,"",MAX(IF((MFP!I:I=A4)*(MFP!S:S="O"),DATEVALUE(MFP!F:F))))</f>
        <v/>
      </c>
      <c r="M4" s="42" t="s">
        <v>302</v>
      </c>
      <c r="N4" s="42" t="s">
        <v>626</v>
      </c>
      <c r="O4" s="42" t="s">
        <v>12198</v>
      </c>
    </row>
    <row r="5" spans="1:15" s="40" customFormat="1" ht="21.6" customHeight="1" x14ac:dyDescent="0.3">
      <c r="A5" s="42" t="s">
        <v>97</v>
      </c>
      <c r="B5" s="42" t="s">
        <v>12199</v>
      </c>
      <c r="C5" s="42" t="s">
        <v>326</v>
      </c>
      <c r="D5" s="42" t="s">
        <v>12200</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12201</v>
      </c>
      <c r="C6" s="42" t="s">
        <v>326</v>
      </c>
      <c r="D6" s="42" t="s">
        <v>12202</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12203</v>
      </c>
      <c r="C7" s="42" t="s">
        <v>326</v>
      </c>
      <c r="D7" s="42" t="s">
        <v>12204</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12205</v>
      </c>
      <c r="C8" s="42" t="s">
        <v>326</v>
      </c>
      <c r="D8" s="42" t="s">
        <v>12206</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12207</v>
      </c>
      <c r="C9" s="42" t="s">
        <v>326</v>
      </c>
      <c r="D9" s="42" t="s">
        <v>12208</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12209</v>
      </c>
      <c r="C10" s="42" t="s">
        <v>326</v>
      </c>
      <c r="D10" s="42" t="s">
        <v>12210</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12211</v>
      </c>
      <c r="C11" s="42" t="s">
        <v>326</v>
      </c>
      <c r="D11" s="42" t="s">
        <v>12212</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12213</v>
      </c>
      <c r="C12" s="42">
        <v>60</v>
      </c>
      <c r="D12" s="42" t="s">
        <v>12214</v>
      </c>
      <c r="E12" s="42" t="s">
        <v>351</v>
      </c>
      <c r="F12" s="42" t="s">
        <v>1022</v>
      </c>
      <c r="G12" s="42" t="s">
        <v>1023</v>
      </c>
      <c r="H12" s="42" t="s">
        <v>843</v>
      </c>
      <c r="I12" s="42" t="s">
        <v>12215</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12216</v>
      </c>
      <c r="C13" s="42">
        <v>30</v>
      </c>
      <c r="D13" s="42" t="s">
        <v>12217</v>
      </c>
      <c r="E13" s="42" t="s">
        <v>594</v>
      </c>
      <c r="F13" s="42" t="s">
        <v>322</v>
      </c>
      <c r="G13" s="42" t="s">
        <v>323</v>
      </c>
      <c r="H13" s="42" t="s">
        <v>300</v>
      </c>
      <c r="I13" s="42" t="s">
        <v>12218</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2026-04-01T10:35:06Z</dcterms:modified>
</cp:coreProperties>
</file>