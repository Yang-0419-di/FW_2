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28421B7-C945-4543-A319-DA527412668F}" xr6:coauthVersionLast="47" xr6:coauthVersionMax="47" xr10:uidLastSave="{00000000-0000-0000-0000-000000000000}"/>
  <bookViews>
    <workbookView xWindow="30120" yWindow="1350" windowWidth="16200" windowHeight="921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<sst xmlns="http://schemas.openxmlformats.org/spreadsheetml/2006/main" count="68967" uniqueCount="12086">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</sst>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9" width="9" style="45" customWidth="1"/>
    <col min="50"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9" width="9" style="7" customWidth="1"/>
    <col min="90"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11" width="9" style="7" customWidth="1"/>
    <col min="112"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9" si="68">DATEVALUE(TEXT(I2178, "yyyy/mm/dd"))</f>
        <v>46099</v>
      </c>
      <c r="AM2178" s="39">
        <f t="shared" ref="AM2178:AM2219"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4">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4">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4">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4">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4">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4">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4">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4">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4">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4">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4">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4">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4">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row r="2219" spans="1:39" ht="21.6" customHeight="1" x14ac:dyDescent="0.3">
      <c r="A2219" s="34">
        <v>183</v>
      </c>
      <c r="B2219" s="34" t="s">
        <v>1070</v>
      </c>
      <c r="C2219" s="34">
        <v>2026033476</v>
      </c>
      <c r="D2219" s="34"/>
      <c r="E2219" s="34"/>
      <c r="F2219" s="34">
        <v>3601</v>
      </c>
      <c r="G2219" s="34" t="s">
        <v>8404</v>
      </c>
      <c r="H2219" s="34" t="s">
        <v>2731</v>
      </c>
      <c r="I2219" s="34"/>
      <c r="J2219" s="34"/>
      <c r="K2219" s="34"/>
      <c r="L2219" s="34"/>
      <c r="M2219" s="35"/>
      <c r="N2219" s="34"/>
      <c r="O2219" s="35"/>
      <c r="P2219" s="36"/>
      <c r="Q2219" s="34" t="s">
        <v>4069</v>
      </c>
      <c r="R2219" s="34" t="s">
        <v>2740</v>
      </c>
      <c r="S2219" s="34" t="s">
        <v>843</v>
      </c>
      <c r="T2219" s="34">
        <v>1</v>
      </c>
      <c r="U2219" s="34" t="s">
        <v>2741</v>
      </c>
      <c r="V2219" s="34" t="s">
        <v>12044</v>
      </c>
      <c r="W2219" s="34" t="s">
        <v>12045</v>
      </c>
      <c r="X2219" s="54">
        <v>46107.642361111109</v>
      </c>
      <c r="Y2219" s="34"/>
      <c r="Z2219" s="34">
        <v>0.6</v>
      </c>
      <c r="AA2219" s="34"/>
      <c r="AB2219" s="34" t="s">
        <v>2745</v>
      </c>
      <c r="AC2219" s="37" t="s">
        <v>12046</v>
      </c>
      <c r="AD2219" s="34" t="s">
        <v>1071</v>
      </c>
      <c r="AE2219" s="34"/>
      <c r="AF2219" s="34"/>
      <c r="AG2219" s="34"/>
      <c r="AH2219" s="34"/>
      <c r="AI2219" s="34"/>
      <c r="AJ2219" s="34" t="s">
        <v>1071</v>
      </c>
      <c r="AK2219" s="34" t="s">
        <v>1071</v>
      </c>
      <c r="AL2219" s="38" t="e">
        <f t="shared" si="68"/>
        <v>#VALUE!</v>
      </c>
      <c r="AM2219"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12047</v>
      </c>
    </row>
    <row r="2" spans="1:14" x14ac:dyDescent="0.3">
      <c r="A2" t="s">
        <v>12047</v>
      </c>
      <c r="B2" t="s">
        <v>1047</v>
      </c>
      <c r="C2" t="s">
        <v>12048</v>
      </c>
      <c r="D2" t="s">
        <v>12049</v>
      </c>
      <c r="E2" t="s">
        <v>1045</v>
      </c>
      <c r="F2" t="s">
        <v>12050</v>
      </c>
      <c r="G2" t="s">
        <v>12051</v>
      </c>
      <c r="H2" t="s">
        <v>12052</v>
      </c>
      <c r="I2" t="s">
        <v>12053</v>
      </c>
      <c r="J2" t="s">
        <v>12054</v>
      </c>
      <c r="K2" t="s">
        <v>12055</v>
      </c>
      <c r="M2" s="1" t="s">
        <v>281</v>
      </c>
      <c r="N2" t="s">
        <v>1047</v>
      </c>
    </row>
    <row r="3" spans="1:14" x14ac:dyDescent="0.3">
      <c r="M3" s="1" t="s">
        <v>282</v>
      </c>
      <c r="N3" t="s">
        <v>12048</v>
      </c>
    </row>
    <row r="4" spans="1:14" x14ac:dyDescent="0.3">
      <c r="M4" s="1" t="s">
        <v>283</v>
      </c>
      <c r="N4" t="s">
        <v>12049</v>
      </c>
    </row>
    <row r="5" spans="1:14" x14ac:dyDescent="0.3">
      <c r="M5" s="1" t="s">
        <v>284</v>
      </c>
      <c r="N5" t="s">
        <v>1045</v>
      </c>
    </row>
    <row r="6" spans="1:14" x14ac:dyDescent="0.3">
      <c r="M6" s="1" t="s">
        <v>285</v>
      </c>
      <c r="N6" t="s">
        <v>12050</v>
      </c>
    </row>
    <row r="7" spans="1:14" x14ac:dyDescent="0.3">
      <c r="M7" s="1" t="s">
        <v>286</v>
      </c>
      <c r="N7" t="s">
        <v>12051</v>
      </c>
    </row>
    <row r="8" spans="1:14" x14ac:dyDescent="0.3">
      <c r="M8" s="1" t="s">
        <v>287</v>
      </c>
      <c r="N8" t="s">
        <v>12052</v>
      </c>
    </row>
    <row r="9" spans="1:14" x14ac:dyDescent="0.3">
      <c r="M9" s="1" t="s">
        <v>288</v>
      </c>
      <c r="N9" t="s">
        <v>12053</v>
      </c>
    </row>
    <row r="10" spans="1:14" x14ac:dyDescent="0.3">
      <c r="M10" s="1" t="s">
        <v>289</v>
      </c>
      <c r="N10" t="s">
        <v>12054</v>
      </c>
    </row>
    <row r="11" spans="1:14" x14ac:dyDescent="0.3">
      <c r="M11" s="1" t="s">
        <v>290</v>
      </c>
      <c r="N11" t="s">
        <v>12055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12056</v>
      </c>
      <c r="C2" s="47" t="s">
        <v>326</v>
      </c>
      <c r="D2" s="47" t="s">
        <v>12057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12058</v>
      </c>
    </row>
    <row r="3" spans="1:15" s="45" customFormat="1" ht="21.6" customHeight="1" x14ac:dyDescent="0.3">
      <c r="A3" s="47" t="s">
        <v>92</v>
      </c>
      <c r="B3" s="47" t="s">
        <v>12059</v>
      </c>
      <c r="C3" s="47" t="s">
        <v>326</v>
      </c>
      <c r="D3" s="47" t="s">
        <v>12060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12061</v>
      </c>
    </row>
    <row r="4" spans="1:15" s="45" customFormat="1" ht="21.6" customHeight="1" x14ac:dyDescent="0.3">
      <c r="A4" s="47" t="s">
        <v>93</v>
      </c>
      <c r="B4" s="47" t="s">
        <v>12062</v>
      </c>
      <c r="C4" s="47" t="s">
        <v>326</v>
      </c>
      <c r="D4" s="47" t="s">
        <v>12063</v>
      </c>
      <c r="E4" s="47" t="s">
        <v>374</v>
      </c>
      <c r="F4" s="47" t="s">
        <v>434</v>
      </c>
      <c r="G4" s="47" t="s">
        <v>1996</v>
      </c>
      <c r="H4" s="47" t="s">
        <v>462</v>
      </c>
      <c r="I4" s="47" t="s">
        <v>12064</v>
      </c>
      <c r="J4" s="48">
        <v>45839</v>
      </c>
      <c r="K4" s="48">
        <v>46934</v>
      </c>
      <c r="L4" s="48" t="str">
        <f t="array" ref="L4">IF(MAX(IF((MFP!I:I=A4)*(MFP!S:S="O"),DATEVALUE(MFP!F:F)))=0,"",MAX(IF((MFP!I:I=A4)*(MFP!S:S="O"),DATEVALUE(MFP!F:F))))</f>
        <v/>
      </c>
      <c r="M4" s="47" t="s">
        <v>302</v>
      </c>
      <c r="N4" s="47" t="s">
        <v>626</v>
      </c>
      <c r="O4" s="47" t="s">
        <v>12065</v>
      </c>
    </row>
    <row r="5" spans="1:15" s="45" customFormat="1" ht="21.6" customHeight="1" x14ac:dyDescent="0.3">
      <c r="A5" s="47" t="s">
        <v>97</v>
      </c>
      <c r="B5" s="47" t="s">
        <v>12066</v>
      </c>
      <c r="C5" s="47" t="s">
        <v>326</v>
      </c>
      <c r="D5" s="47" t="s">
        <v>12067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12068</v>
      </c>
      <c r="C6" s="47" t="s">
        <v>326</v>
      </c>
      <c r="D6" s="47" t="s">
        <v>12069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12070</v>
      </c>
      <c r="C7" s="47" t="s">
        <v>326</v>
      </c>
      <c r="D7" s="47" t="s">
        <v>12071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12072</v>
      </c>
      <c r="C8" s="47" t="s">
        <v>326</v>
      </c>
      <c r="D8" s="47" t="s">
        <v>12073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12074</v>
      </c>
      <c r="C9" s="47" t="s">
        <v>326</v>
      </c>
      <c r="D9" s="47" t="s">
        <v>12075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12076</v>
      </c>
      <c r="C10" s="47" t="s">
        <v>326</v>
      </c>
      <c r="D10" s="47" t="s">
        <v>12077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12078</v>
      </c>
      <c r="C11" s="47" t="s">
        <v>326</v>
      </c>
      <c r="D11" s="47" t="s">
        <v>12079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12080</v>
      </c>
      <c r="C12" s="47">
        <v>60</v>
      </c>
      <c r="D12" s="47" t="s">
        <v>12081</v>
      </c>
      <c r="E12" s="47" t="s">
        <v>351</v>
      </c>
      <c r="F12" s="47" t="s">
        <v>1022</v>
      </c>
      <c r="G12" s="47" t="s">
        <v>1023</v>
      </c>
      <c r="H12" s="47" t="s">
        <v>843</v>
      </c>
      <c r="I12" s="47" t="s">
        <v>12082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12083</v>
      </c>
      <c r="C13" s="47">
        <v>30</v>
      </c>
      <c r="D13" s="47" t="s">
        <v>12084</v>
      </c>
      <c r="E13" s="47" t="s">
        <v>594</v>
      </c>
      <c r="F13" s="47" t="s">
        <v>322</v>
      </c>
      <c r="G13" s="47" t="s">
        <v>323</v>
      </c>
      <c r="H13" s="47" t="s">
        <v>300</v>
      </c>
      <c r="I13" s="47" t="s">
        <v>12085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2026-03-27T07:57:03Z</dcterms:modified>
</cp:coreProperties>
</file>