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MFP\"/>
    </mc:Choice>
  </mc:AlternateContent>
  <xr:revisionPtr revIDLastSave="0" documentId="13_ncr:1_{84B81FA6-EF1C-4B3B-86D3-D420187CE6C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總表" sheetId="1" r:id="rId1"/>
    <sheet name="概況" sheetId="2" r:id="rId2"/>
  </sheets>
  <definedNames>
    <definedName name="_xlnm._FilterDatabase" localSheetId="0" hidden="1">總表!$A$1:$M$139</definedName>
    <definedName name="_xlnm.Print_Area" localSheetId="0">總表!$A$1:$M$139</definedName>
    <definedName name="_xlnm.Print_Titles" localSheetId="0">總表!$1:$1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" i="2" l="1"/>
  <c r="E7" i="2"/>
  <c r="F7" i="2"/>
  <c r="G7" i="2"/>
  <c r="H7" i="2"/>
  <c r="I7" i="2"/>
  <c r="J7" i="2"/>
  <c r="K7" i="2"/>
  <c r="L7" i="2"/>
  <c r="M7" i="2"/>
  <c r="N7" i="2"/>
  <c r="O7" i="2"/>
  <c r="P7" i="2"/>
  <c r="C7" i="2"/>
  <c r="B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C11" i="2"/>
  <c r="D8" i="2"/>
  <c r="E8" i="2"/>
  <c r="F8" i="2"/>
  <c r="G8" i="2"/>
  <c r="H8" i="2"/>
  <c r="I8" i="2"/>
  <c r="J8" i="2"/>
  <c r="K8" i="2"/>
  <c r="L8" i="2"/>
  <c r="M8" i="2"/>
  <c r="N8" i="2"/>
  <c r="O8" i="2"/>
  <c r="P8" i="2"/>
  <c r="D9" i="2"/>
  <c r="E9" i="2"/>
  <c r="F9" i="2"/>
  <c r="G9" i="2"/>
  <c r="H9" i="2"/>
  <c r="I9" i="2"/>
  <c r="J9" i="2"/>
  <c r="K9" i="2"/>
  <c r="L9" i="2"/>
  <c r="M9" i="2"/>
  <c r="N9" i="2"/>
  <c r="O9" i="2"/>
  <c r="P9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C10" i="2"/>
  <c r="C9" i="2"/>
  <c r="C8" i="2"/>
  <c r="B8" i="2" s="1"/>
  <c r="D4" i="2"/>
  <c r="E4" i="2"/>
  <c r="F4" i="2"/>
  <c r="G4" i="2"/>
  <c r="H4" i="2"/>
  <c r="I4" i="2"/>
  <c r="J4" i="2"/>
  <c r="K4" i="2"/>
  <c r="L4" i="2"/>
  <c r="M4" i="2"/>
  <c r="N4" i="2"/>
  <c r="O4" i="2"/>
  <c r="P4" i="2"/>
  <c r="C4" i="2"/>
  <c r="D3" i="2"/>
  <c r="E3" i="2"/>
  <c r="F3" i="2"/>
  <c r="G3" i="2"/>
  <c r="H3" i="2"/>
  <c r="I3" i="2"/>
  <c r="J3" i="2"/>
  <c r="K3" i="2"/>
  <c r="L3" i="2"/>
  <c r="M3" i="2"/>
  <c r="N3" i="2"/>
  <c r="O3" i="2"/>
  <c r="P3" i="2"/>
  <c r="C3" i="2"/>
  <c r="D2" i="2"/>
  <c r="N2" i="2"/>
  <c r="O2" i="2"/>
  <c r="E2" i="2"/>
  <c r="F2" i="2"/>
  <c r="G2" i="2"/>
  <c r="P2" i="2"/>
  <c r="H2" i="2"/>
  <c r="I2" i="2"/>
  <c r="J2" i="2"/>
  <c r="K2" i="2"/>
  <c r="L2" i="2"/>
  <c r="M2" i="2"/>
  <c r="C2" i="2"/>
  <c r="B7" i="2" l="1"/>
  <c r="B12" i="2" s="1"/>
  <c r="B10" i="2"/>
  <c r="B9" i="2"/>
  <c r="B2" i="2"/>
  <c r="B4" i="2"/>
  <c r="B3" i="2"/>
</calcChain>
</file>

<file path=xl/sharedStrings.xml><?xml version="1.0" encoding="utf-8"?>
<sst xmlns="http://schemas.openxmlformats.org/spreadsheetml/2006/main" count="1593" uniqueCount="642">
  <si>
    <t>項次</t>
  </si>
  <si>
    <t>設備代號</t>
  </si>
  <si>
    <t>保養人員</t>
  </si>
  <si>
    <t>機型</t>
  </si>
  <si>
    <t>機號</t>
  </si>
  <si>
    <t>客戶編號</t>
  </si>
  <si>
    <t>客戶名稱</t>
  </si>
  <si>
    <t>地址</t>
  </si>
  <si>
    <t>客戶類別</t>
  </si>
  <si>
    <t>T252000131</t>
  </si>
  <si>
    <t>吳宗鴻</t>
  </si>
  <si>
    <t>eS-2520AC 彩色複合機</t>
  </si>
  <si>
    <t>CSLN24580</t>
  </si>
  <si>
    <t>0000607404</t>
  </si>
  <si>
    <t>臺北市私立淘兒園幼稚園</t>
  </si>
  <si>
    <t>承德路4段57號</t>
  </si>
  <si>
    <t>eS-2510AC 彩色複合機</t>
  </si>
  <si>
    <t>eS-3018A 黑白複合機</t>
  </si>
  <si>
    <t>合約規定</t>
  </si>
  <si>
    <t>eS-3515AC 彩色複合機</t>
  </si>
  <si>
    <t>eS-3518A 黑白複合機</t>
  </si>
  <si>
    <t>eS-4528A 黑白複合機</t>
  </si>
  <si>
    <t>eS-3525AC 彩色複合機</t>
  </si>
  <si>
    <t>eS-4525AC 彩色複合機</t>
  </si>
  <si>
    <t>T352500088</t>
  </si>
  <si>
    <t>湯家瑋</t>
  </si>
  <si>
    <t>CSCP41898</t>
  </si>
  <si>
    <t>0009461242</t>
  </si>
  <si>
    <t>嬌聯股份有限公司</t>
  </si>
  <si>
    <t>新站區16號25樓</t>
  </si>
  <si>
    <t>T352500089</t>
  </si>
  <si>
    <t>CSCP41889</t>
  </si>
  <si>
    <t>eS-3028A 黑白複合機</t>
  </si>
  <si>
    <t>T301800045</t>
  </si>
  <si>
    <t>狄澤洋</t>
  </si>
  <si>
    <t>CZHJ10195</t>
  </si>
  <si>
    <t>0012401254</t>
  </si>
  <si>
    <t>台芝國際股份有限公司/新北服務站</t>
  </si>
  <si>
    <t>光復路一段82之8號8樓</t>
  </si>
  <si>
    <t>T35AC00107</t>
  </si>
  <si>
    <t>eS-3505AC 彩色複合機</t>
  </si>
  <si>
    <t>CFHH30501</t>
  </si>
  <si>
    <t>0014093802</t>
  </si>
  <si>
    <t>中興北街247巷5號3樓</t>
  </si>
  <si>
    <t>eS-4518A 黑白複合機</t>
  </si>
  <si>
    <t>T352500152</t>
  </si>
  <si>
    <t>CSEQ42878</t>
  </si>
  <si>
    <t>0016086192</t>
  </si>
  <si>
    <t>嘉德開發股份有限公司</t>
  </si>
  <si>
    <t>中山北路6段88號7樓</t>
  </si>
  <si>
    <t>0016740494</t>
  </si>
  <si>
    <t>T351800042</t>
  </si>
  <si>
    <t>CZFJ57937</t>
  </si>
  <si>
    <t>水湳街74號2樓</t>
  </si>
  <si>
    <t>CTKM29953</t>
  </si>
  <si>
    <t>eS-3008A 黑白複合機</t>
  </si>
  <si>
    <t>T351500136</t>
  </si>
  <si>
    <t>CNKL50216</t>
  </si>
  <si>
    <t>0022662550</t>
  </si>
  <si>
    <t>家福股份有限公司</t>
  </si>
  <si>
    <t>五華街282號(蘆洲)</t>
  </si>
  <si>
    <t>T351800111</t>
  </si>
  <si>
    <t>CZGM66185</t>
  </si>
  <si>
    <t>0023060232</t>
  </si>
  <si>
    <t>五工六路35號1樓(五股檢品)</t>
  </si>
  <si>
    <t>T351800045</t>
  </si>
  <si>
    <t>CZDJ50608</t>
  </si>
  <si>
    <t>五工六路35號1樓(五股生鮮物流)</t>
  </si>
  <si>
    <t>T302800060</t>
  </si>
  <si>
    <t>CTFP34375</t>
  </si>
  <si>
    <t>五工六路35號1樓(五股運輸)</t>
  </si>
  <si>
    <t>T351800110</t>
  </si>
  <si>
    <t>CZGM66188</t>
  </si>
  <si>
    <t>五工六路35號4樓(五股)</t>
  </si>
  <si>
    <t>T302800057</t>
  </si>
  <si>
    <t>CTFP34402</t>
  </si>
  <si>
    <t>工商路128號1樓(五股DC廠工商運輸)</t>
  </si>
  <si>
    <t>T352500005</t>
  </si>
  <si>
    <t>CSKM54436</t>
  </si>
  <si>
    <t>0026162508</t>
  </si>
  <si>
    <t>至善路2段256巷9號3樓</t>
  </si>
  <si>
    <t>eS-5528A 黑白複合機</t>
  </si>
  <si>
    <t>T451800125</t>
  </si>
  <si>
    <t>CZFK40637</t>
  </si>
  <si>
    <t>0027249877</t>
  </si>
  <si>
    <t>中正路657-12號8樓(新莊8F)</t>
  </si>
  <si>
    <t>T252000146</t>
  </si>
  <si>
    <t>CSLN24583</t>
  </si>
  <si>
    <t>中正路657-12號8樓(新莊客服</t>
  </si>
  <si>
    <t>T251000065</t>
  </si>
  <si>
    <t>CNCL22716</t>
  </si>
  <si>
    <t>中正路657-12號8樓(新莊客服部)</t>
  </si>
  <si>
    <t>T351800081</t>
  </si>
  <si>
    <t>CZLL51490</t>
  </si>
  <si>
    <t>eS-3508A 黑白複合機</t>
  </si>
  <si>
    <t>T302800006</t>
  </si>
  <si>
    <t>CTKM29929</t>
  </si>
  <si>
    <t>0028001058</t>
  </si>
  <si>
    <t>信宇顧問有限公司</t>
  </si>
  <si>
    <t>民族路50巷46號3樓</t>
  </si>
  <si>
    <t>T351500013</t>
  </si>
  <si>
    <t>CNCJ35932</t>
  </si>
  <si>
    <t>0028468548</t>
  </si>
  <si>
    <t>重新路5段609巷2號4F(三重湯城)</t>
  </si>
  <si>
    <t>T351800128</t>
  </si>
  <si>
    <t>CZEM63657</t>
  </si>
  <si>
    <t>0028581149</t>
  </si>
  <si>
    <t>德森精密有限公司</t>
  </si>
  <si>
    <t>文化北路1段60巷108號3樓</t>
  </si>
  <si>
    <t>T350800003</t>
  </si>
  <si>
    <t>CGHG29293</t>
  </si>
  <si>
    <t>0028791145</t>
  </si>
  <si>
    <t>精能光學股份有限公司</t>
  </si>
  <si>
    <t>五工路102號5樓</t>
  </si>
  <si>
    <t>T452800033</t>
  </si>
  <si>
    <t>CTDP27643</t>
  </si>
  <si>
    <t>T301800140</t>
  </si>
  <si>
    <t>CZKL47691</t>
  </si>
  <si>
    <t>0029033557</t>
  </si>
  <si>
    <t>五權二路8號2樓</t>
  </si>
  <si>
    <t>eS-5015AC 彩色複合機</t>
  </si>
  <si>
    <t>T251000032</t>
  </si>
  <si>
    <t>CNLJ21425</t>
  </si>
  <si>
    <t>0029147496</t>
  </si>
  <si>
    <t>三羚國際股份有限公司</t>
  </si>
  <si>
    <t>新北大道6段405號4樓</t>
  </si>
  <si>
    <t>T552800002</t>
  </si>
  <si>
    <t>CTJM61565</t>
  </si>
  <si>
    <t>0029903409</t>
  </si>
  <si>
    <t>奎山學校財團法人</t>
  </si>
  <si>
    <t>明德路200號</t>
  </si>
  <si>
    <t>T302800001</t>
  </si>
  <si>
    <t>CTKM29947</t>
  </si>
  <si>
    <t>0031006824</t>
  </si>
  <si>
    <t>財團法人台北國際社區青年育樂活動中心</t>
  </si>
  <si>
    <t>天玉街26-1號</t>
  </si>
  <si>
    <t>T302800007</t>
  </si>
  <si>
    <t>0034078596</t>
  </si>
  <si>
    <t>中正路384號3樓</t>
  </si>
  <si>
    <t>T302800008</t>
  </si>
  <si>
    <t>CTKM29922</t>
  </si>
  <si>
    <t>中正路384號4樓</t>
  </si>
  <si>
    <t>T301800083</t>
  </si>
  <si>
    <t>CZAK31836</t>
  </si>
  <si>
    <t>0045905987</t>
  </si>
  <si>
    <t>愛能視股份有限公司</t>
  </si>
  <si>
    <t>T302800012</t>
  </si>
  <si>
    <t>CTKM29916</t>
  </si>
  <si>
    <t>0053461207</t>
  </si>
  <si>
    <t>捷旺宅不動產經紀有限公司</t>
  </si>
  <si>
    <t>捷運路32號</t>
  </si>
  <si>
    <t>T351500059</t>
  </si>
  <si>
    <t>CNHJ30091</t>
  </si>
  <si>
    <t>0053761794</t>
  </si>
  <si>
    <t>森奧設計工程有限公司</t>
  </si>
  <si>
    <t>文化二路1段266號B1-13</t>
  </si>
  <si>
    <t>T251000051</t>
  </si>
  <si>
    <t>CNCL22701</t>
  </si>
  <si>
    <t>0054029200</t>
  </si>
  <si>
    <t>沛盈實業有限公司</t>
  </si>
  <si>
    <t>中正路665號9樓</t>
  </si>
  <si>
    <t>T351500004</t>
  </si>
  <si>
    <t>CNCJ35958</t>
  </si>
  <si>
    <t>0054179018</t>
  </si>
  <si>
    <t>重新路5段609巷10號3樓(新北蘋果授權維修中心)</t>
  </si>
  <si>
    <t>T251000056</t>
  </si>
  <si>
    <t>CNCL22728</t>
  </si>
  <si>
    <t>0054717678</t>
  </si>
  <si>
    <t>奧創資訊股份有限公司</t>
  </si>
  <si>
    <t>文化路二段285號32樓</t>
  </si>
  <si>
    <t>T252000044</t>
  </si>
  <si>
    <t>CSFN24529</t>
  </si>
  <si>
    <t>0054830904</t>
  </si>
  <si>
    <t>漢來美食股份有限公司台北天母分公司</t>
  </si>
  <si>
    <t>中山北路六段77號7樓</t>
  </si>
  <si>
    <t>T252000130</t>
  </si>
  <si>
    <t>CSLN24512</t>
  </si>
  <si>
    <t>0060510903</t>
  </si>
  <si>
    <t>岳吉不動產股份有限公司</t>
  </si>
  <si>
    <t>義理街1號1樓</t>
  </si>
  <si>
    <t>T352500061</t>
  </si>
  <si>
    <t>CSIN68346</t>
  </si>
  <si>
    <t>0060600524</t>
  </si>
  <si>
    <t>美商維斯達有限公司台灣分公司</t>
  </si>
  <si>
    <t>中山北路5段478號8樓(行銷)</t>
  </si>
  <si>
    <t>0066405565</t>
  </si>
  <si>
    <t>T252000086</t>
  </si>
  <si>
    <t>CSKN22123</t>
  </si>
  <si>
    <t>仁義街79巷旁工地</t>
  </si>
  <si>
    <t>T252000113</t>
  </si>
  <si>
    <t>CSLN24584</t>
  </si>
  <si>
    <t>仁義街與元信一街交叉口</t>
  </si>
  <si>
    <t>T252000025</t>
  </si>
  <si>
    <t>CSKM23121</t>
  </si>
  <si>
    <t>莊田路與信華三街交叉口(華固一莊)</t>
  </si>
  <si>
    <t>T452800047</t>
  </si>
  <si>
    <t>CTCQ12029</t>
  </si>
  <si>
    <t>0070797352</t>
  </si>
  <si>
    <t>文化二路1段62-5號1F(營業部)</t>
  </si>
  <si>
    <t>T252000125</t>
  </si>
  <si>
    <t>CSLN24521</t>
  </si>
  <si>
    <t>文化二路1段62-5號2F(放款部</t>
  </si>
  <si>
    <t>T501500008</t>
  </si>
  <si>
    <t>CNDM33317</t>
  </si>
  <si>
    <t>0072785825</t>
  </si>
  <si>
    <t>貴子路69號B1(保險組)</t>
  </si>
  <si>
    <t>T501500009</t>
  </si>
  <si>
    <t>CNFM40226</t>
  </si>
  <si>
    <t>T451800006</t>
  </si>
  <si>
    <t>CZCJ48441</t>
  </si>
  <si>
    <t>0080173221</t>
  </si>
  <si>
    <t>凱擘股份有限公司</t>
  </si>
  <si>
    <t>中正路657-10號2樓</t>
  </si>
  <si>
    <t>T252000102</t>
  </si>
  <si>
    <t>CSLN24566</t>
  </si>
  <si>
    <t>0080420911</t>
  </si>
  <si>
    <t>仲誠不動產經紀有限公司</t>
  </si>
  <si>
    <t>重新路3段110號</t>
  </si>
  <si>
    <t>T301800084</t>
  </si>
  <si>
    <t>CZHK50153</t>
  </si>
  <si>
    <t>0080504221</t>
  </si>
  <si>
    <t>康寧生物科技股份有限公司</t>
  </si>
  <si>
    <t>裕民六路122號7樓</t>
  </si>
  <si>
    <t>T452500019</t>
  </si>
  <si>
    <t>CSCP41954</t>
  </si>
  <si>
    <t>0082893416</t>
  </si>
  <si>
    <t>台灣派樂騰健康科技有限公司</t>
  </si>
  <si>
    <t>五工路118號</t>
  </si>
  <si>
    <t>T252000015</t>
  </si>
  <si>
    <t>CSKM23137</t>
  </si>
  <si>
    <t>0082977604</t>
  </si>
  <si>
    <t>稻盛不動產有限公司</t>
  </si>
  <si>
    <t>中山北路5段682號1樓</t>
  </si>
  <si>
    <t>T251000029</t>
  </si>
  <si>
    <t>CNLJ21430</t>
  </si>
  <si>
    <t>0083482030</t>
  </si>
  <si>
    <t>力翔精密機械有限公司</t>
  </si>
  <si>
    <t>和平路114巷8號6樓</t>
  </si>
  <si>
    <t>T351800123</t>
  </si>
  <si>
    <t>CZEM63655</t>
  </si>
  <si>
    <t>0084124531</t>
  </si>
  <si>
    <t>喬治費歇爾機械股份有限公司</t>
  </si>
  <si>
    <t>興德路94號</t>
  </si>
  <si>
    <t>T352500038</t>
  </si>
  <si>
    <t>CSBN63000</t>
  </si>
  <si>
    <t>0086121480</t>
  </si>
  <si>
    <t>重新路5段609巷10號9樓</t>
  </si>
  <si>
    <t>T452800007</t>
  </si>
  <si>
    <t>CTFN48531</t>
  </si>
  <si>
    <t>T300800068</t>
  </si>
  <si>
    <t>CGIG33575</t>
  </si>
  <si>
    <t>0086215521</t>
  </si>
  <si>
    <t>中山北路2段375號6樓(環保局第6分隊)</t>
  </si>
  <si>
    <t>T301800176</t>
  </si>
  <si>
    <t>CZAJ36135</t>
  </si>
  <si>
    <t>中山北路2段375號8樓(家暴防治中心)</t>
  </si>
  <si>
    <t>T301800088</t>
  </si>
  <si>
    <t>CZLL51553</t>
  </si>
  <si>
    <t>中山北路2段73號2樓</t>
  </si>
  <si>
    <t>T301800041</t>
  </si>
  <si>
    <t>中正東路2段73號</t>
  </si>
  <si>
    <t>T352500148</t>
  </si>
  <si>
    <t>CSAP63657</t>
  </si>
  <si>
    <t>0086449921</t>
  </si>
  <si>
    <t>光復路1段61巷26號2樓</t>
  </si>
  <si>
    <t>T251000082</t>
  </si>
  <si>
    <t>CNHM27663</t>
  </si>
  <si>
    <t>0089157905</t>
  </si>
  <si>
    <t>天奕房屋股份有限公司</t>
  </si>
  <si>
    <t>中正路249-1號2樓</t>
  </si>
  <si>
    <t>T302800156</t>
  </si>
  <si>
    <t>CTFQ21010</t>
  </si>
  <si>
    <t>0089860312</t>
  </si>
  <si>
    <t>中正路651-5號10樓(工程部1)</t>
  </si>
  <si>
    <t>T351800083</t>
  </si>
  <si>
    <t>CZLL51491</t>
  </si>
  <si>
    <t>T302800155</t>
  </si>
  <si>
    <t>CTFQ21022</t>
  </si>
  <si>
    <t>中正路651-5號10樓(工程部2)</t>
  </si>
  <si>
    <t>T351800118</t>
  </si>
  <si>
    <t>CZGM66176</t>
  </si>
  <si>
    <t>T351800082</t>
  </si>
  <si>
    <t>CZLL51502</t>
  </si>
  <si>
    <t>中正路651-5號10樓(櫃台1)</t>
  </si>
  <si>
    <t>T301800025</t>
  </si>
  <si>
    <t>CZFJ57431</t>
  </si>
  <si>
    <t>中正路651-5號10樓(櫃台2)</t>
  </si>
  <si>
    <t>T302800154</t>
  </si>
  <si>
    <t>CTFQ21008</t>
  </si>
  <si>
    <t>T302800152</t>
  </si>
  <si>
    <t>CTEQ19834</t>
  </si>
  <si>
    <t>中正路651-5號10樓(營管部)</t>
  </si>
  <si>
    <t>T351800085</t>
  </si>
  <si>
    <t>CZLL51506</t>
  </si>
  <si>
    <t>中正路651-5號10樓(節目部)</t>
  </si>
  <si>
    <t>T302800153</t>
  </si>
  <si>
    <t>CTEQ19824</t>
  </si>
  <si>
    <t>中正路651-5號10樓(走道)</t>
  </si>
  <si>
    <t>T351800084</t>
  </si>
  <si>
    <t>CZLL51469</t>
  </si>
  <si>
    <t>T301800026</t>
  </si>
  <si>
    <t>CZFJ57430</t>
  </si>
  <si>
    <t>美寧街57巷34號1樓(異地備援)</t>
  </si>
  <si>
    <t>TE30600111</t>
  </si>
  <si>
    <t>eS-306 黑白複合機</t>
  </si>
  <si>
    <t>C2H252869</t>
  </si>
  <si>
    <t>T251000085</t>
  </si>
  <si>
    <t>CNHM27658</t>
  </si>
  <si>
    <t>0090013977</t>
  </si>
  <si>
    <t>博鼎房屋仲介有限公司</t>
  </si>
  <si>
    <t>文林路418號</t>
  </si>
  <si>
    <t>T251000040</t>
  </si>
  <si>
    <t>CNKK29718</t>
  </si>
  <si>
    <t>0090437124</t>
  </si>
  <si>
    <t>聯詠房屋仲介有限公司</t>
  </si>
  <si>
    <t>德行西路98號1樓</t>
  </si>
  <si>
    <t>T302800068</t>
  </si>
  <si>
    <t>CTIN54009</t>
  </si>
  <si>
    <t>0090574267</t>
  </si>
  <si>
    <t>圓友管理顧問有限公司</t>
  </si>
  <si>
    <t>集智街68號1樓</t>
  </si>
  <si>
    <t>T251000037</t>
  </si>
  <si>
    <t>CNKK29724</t>
  </si>
  <si>
    <t>0090874010</t>
  </si>
  <si>
    <t>稻盛房屋有限公司</t>
  </si>
  <si>
    <t>承德路4段120號1樓</t>
  </si>
  <si>
    <t>T301800126</t>
  </si>
  <si>
    <t>CZKL47734</t>
  </si>
  <si>
    <t>0091259180</t>
  </si>
  <si>
    <t>自信街81巷11號</t>
  </si>
  <si>
    <t>T252000072</t>
  </si>
  <si>
    <t>CSKN20050</t>
  </si>
  <si>
    <t>0093698930</t>
  </si>
  <si>
    <t>朗居不動產有限公司</t>
  </si>
  <si>
    <t>忠誠路1段87號1樓</t>
  </si>
  <si>
    <t>T252000033</t>
  </si>
  <si>
    <t>CSFN24513</t>
  </si>
  <si>
    <t>0094017715</t>
  </si>
  <si>
    <t>眾億不動產股份有限公司</t>
  </si>
  <si>
    <t>文林路418號2樓</t>
  </si>
  <si>
    <t>T252000064</t>
  </si>
  <si>
    <t>CSIN14432</t>
  </si>
  <si>
    <t>0094196196</t>
  </si>
  <si>
    <t>聯登房屋仲介有限公司</t>
  </si>
  <si>
    <t>德行西路100號</t>
  </si>
  <si>
    <t>T252000150</t>
  </si>
  <si>
    <t>CSLN24555</t>
  </si>
  <si>
    <t>0094802284</t>
  </si>
  <si>
    <t>漢庭營造股份有限公司</t>
  </si>
  <si>
    <t>延平北路5段257巷2弄1號</t>
  </si>
  <si>
    <t>T252000136</t>
  </si>
  <si>
    <t>CSLN24602</t>
  </si>
  <si>
    <t>德厚街76號7樓</t>
  </si>
  <si>
    <t>T251000067</t>
  </si>
  <si>
    <t>CNCL22698</t>
  </si>
  <si>
    <t>0096971616</t>
  </si>
  <si>
    <t>中正東路1段3巷33號7樓</t>
  </si>
  <si>
    <t>T252000142</t>
  </si>
  <si>
    <t>CSLN24514</t>
  </si>
  <si>
    <t>T301800028</t>
  </si>
  <si>
    <t>CZFJ57508</t>
  </si>
  <si>
    <t>T302800158</t>
  </si>
  <si>
    <t>CTFQ21013</t>
  </si>
  <si>
    <t>T351800086</t>
  </si>
  <si>
    <t>CZLL51471</t>
  </si>
  <si>
    <t>T302800159</t>
  </si>
  <si>
    <t>CTFQ22065</t>
  </si>
  <si>
    <t>0096973620</t>
  </si>
  <si>
    <t>三民路128巷87-5號2樓(工程部2)</t>
  </si>
  <si>
    <t>T351500203</t>
  </si>
  <si>
    <t>CNEM36735</t>
  </si>
  <si>
    <t>T252000143</t>
  </si>
  <si>
    <t>CSLN24603</t>
  </si>
  <si>
    <t>三民路128巷87-6號2樓(工程部</t>
  </si>
  <si>
    <t>T251000086</t>
  </si>
  <si>
    <t>CNHM27648</t>
  </si>
  <si>
    <t>三民路128巷87-6號2樓(工程部1)</t>
  </si>
  <si>
    <t>T351500070</t>
  </si>
  <si>
    <t>CNCK31420</t>
  </si>
  <si>
    <t>中山一路10號4樓(業務部)</t>
  </si>
  <si>
    <t>T251000089</t>
  </si>
  <si>
    <t>CNHM27656</t>
  </si>
  <si>
    <t>中山一路12號3樓(單據組1)</t>
  </si>
  <si>
    <t>T302800048</t>
  </si>
  <si>
    <t>CTFP34384</t>
  </si>
  <si>
    <t>中山一路12號3樓(單據組2)</t>
  </si>
  <si>
    <t>TM43000001</t>
  </si>
  <si>
    <t>HP M430f 黑白複合機</t>
  </si>
  <si>
    <t>CNBRT6W3KX</t>
  </si>
  <si>
    <t>中山一路12號3樓(收費組)</t>
  </si>
  <si>
    <t>T251000088</t>
  </si>
  <si>
    <t>CNHM27650</t>
  </si>
  <si>
    <t>中山一路12號3樓(櫃台)</t>
  </si>
  <si>
    <t>TM43000003</t>
  </si>
  <si>
    <t>CNBRT6W3LX</t>
  </si>
  <si>
    <t>中山一路12號3樓(櫃台一)</t>
  </si>
  <si>
    <t>TM43000002</t>
  </si>
  <si>
    <t>中山一路12號3樓(櫃台二)</t>
  </si>
  <si>
    <t>T251000090</t>
  </si>
  <si>
    <t>CNHM27661</t>
  </si>
  <si>
    <t>中山一路12號3樓(行政組)</t>
  </si>
  <si>
    <t>T251000087</t>
  </si>
  <si>
    <t>CNHM27660</t>
  </si>
  <si>
    <t>和興街66號3樓(節目中心)</t>
  </si>
  <si>
    <t>T252000144</t>
  </si>
  <si>
    <t>CSLN24522</t>
  </si>
  <si>
    <t>0097176270</t>
  </si>
  <si>
    <t>T302800142</t>
  </si>
  <si>
    <t>CTEQ19836</t>
  </si>
  <si>
    <t>五權路48號2樓(五股倉庫)</t>
  </si>
  <si>
    <t>T301800153</t>
  </si>
  <si>
    <t>CZKL47673</t>
  </si>
  <si>
    <t>光復路1段88號3樓(三重台科)</t>
  </si>
  <si>
    <t>T301800017</t>
  </si>
  <si>
    <t>CZFJ57463</t>
  </si>
  <si>
    <t>重新路5段609巷2號10樓(總經理)</t>
  </si>
  <si>
    <t>T302800029</t>
  </si>
  <si>
    <t>CTFN46912</t>
  </si>
  <si>
    <t>重新路5段609巷2號3樓</t>
  </si>
  <si>
    <t>T351500019</t>
  </si>
  <si>
    <t>CNCJ35976</t>
  </si>
  <si>
    <t>重新路五段609巷2號10樓</t>
  </si>
  <si>
    <t>T451800022</t>
  </si>
  <si>
    <t>CZFJ57917</t>
  </si>
  <si>
    <t>重新路五段609巷2號10樓(三重湯城客服)</t>
  </si>
  <si>
    <t>T351500014</t>
  </si>
  <si>
    <t>CNCJ35895</t>
  </si>
  <si>
    <t>重新路五段609巷2號10樓-2(三重湯城)</t>
  </si>
  <si>
    <t>T301800008</t>
  </si>
  <si>
    <t>CZFJ57471</t>
  </si>
  <si>
    <t>重新路五段609巷2號10樓-3</t>
  </si>
  <si>
    <t>T451800007</t>
  </si>
  <si>
    <t>CZDJ50669</t>
  </si>
  <si>
    <t>T301800012</t>
  </si>
  <si>
    <t>CZFJ57461</t>
  </si>
  <si>
    <t>重新路五段609巷2號2樓</t>
  </si>
  <si>
    <t>T301800009</t>
  </si>
  <si>
    <t>CZFJ57472</t>
  </si>
  <si>
    <t>重新路五段609巷2號3樓-3</t>
  </si>
  <si>
    <t>T451800021</t>
  </si>
  <si>
    <t>CZFJ57914</t>
  </si>
  <si>
    <t>重新路五段609巷2號4樓(客服)</t>
  </si>
  <si>
    <t>台灣大哥大/台北客服4樓後1LJ10(黑)//4528-</t>
  </si>
  <si>
    <t>T451800027</t>
  </si>
  <si>
    <t>CZFJ57919</t>
  </si>
  <si>
    <t>台灣大哥大/台北客服4F申裝查核處(黑)/家瑋</t>
  </si>
  <si>
    <t>T452800070</t>
  </si>
  <si>
    <t>CTCQ12036</t>
  </si>
  <si>
    <t>T301800010</t>
  </si>
  <si>
    <t>CZFJ57490</t>
  </si>
  <si>
    <t>重新路五段609巷2號4樓-2</t>
  </si>
  <si>
    <t>T451800168</t>
  </si>
  <si>
    <t>CZLL48769</t>
  </si>
  <si>
    <t>重新路五段609巷2號4樓-2(三重湯城)</t>
  </si>
  <si>
    <t>台灣大哥大/台北客服4樓中(黑)/湯/4528-71</t>
  </si>
  <si>
    <t>T452800031</t>
  </si>
  <si>
    <t>CTDP27647</t>
  </si>
  <si>
    <t>T452800032</t>
  </si>
  <si>
    <t>CTFP34828</t>
  </si>
  <si>
    <t>T452800069</t>
  </si>
  <si>
    <t>CTCQ12034</t>
  </si>
  <si>
    <t>T452800071</t>
  </si>
  <si>
    <t>CTEQ19895</t>
  </si>
  <si>
    <t>T351500177</t>
  </si>
  <si>
    <t>CNDM33303</t>
  </si>
  <si>
    <t>重新路五段609巷2號4樓-2(客服)</t>
  </si>
  <si>
    <t>台灣大哥大/台北客服4樓2LJ12銷支科(彩)/湯</t>
  </si>
  <si>
    <t>T351500007</t>
  </si>
  <si>
    <t>CNCJ35857</t>
  </si>
  <si>
    <t>重新路五段609巷2號5樓-3(三重湯城維修中</t>
  </si>
  <si>
    <t>T301800156</t>
  </si>
  <si>
    <t>CZKL47737</t>
  </si>
  <si>
    <t>重新路五段609巷2號8F(三重湯城8F)</t>
  </si>
  <si>
    <t>T351500167</t>
  </si>
  <si>
    <t>CNHL34601</t>
  </si>
  <si>
    <t>重新路五段609巷2號8樓(三重湯城8F)</t>
  </si>
  <si>
    <t>T301800157</t>
  </si>
  <si>
    <t>CZKL47696</t>
  </si>
  <si>
    <t>重新路五段609巷2號9F(三重湯城9F)</t>
  </si>
  <si>
    <t>T351500017</t>
  </si>
  <si>
    <t>CNCJ35917</t>
  </si>
  <si>
    <t>重新路五段609巷2號9樓(三重湯城客服)</t>
  </si>
  <si>
    <t>T301800155</t>
  </si>
  <si>
    <t>CZKL47729</t>
  </si>
  <si>
    <t>重新路五段609巷2號F(三重湯城7F)</t>
  </si>
  <si>
    <t>T351500137</t>
  </si>
  <si>
    <t>CNHL34604</t>
  </si>
  <si>
    <t>0097177475</t>
  </si>
  <si>
    <t>華南永昌綜合證券股份有限公司淡水分公司</t>
  </si>
  <si>
    <t>中正路28號4樓(淡水)</t>
  </si>
  <si>
    <t>T301800172</t>
  </si>
  <si>
    <t>CZKL47719</t>
  </si>
  <si>
    <t>0097306837</t>
  </si>
  <si>
    <t>中山路123號3樓(淡水分校)</t>
  </si>
  <si>
    <t>T301800174</t>
  </si>
  <si>
    <t>CZKL47692</t>
  </si>
  <si>
    <t>中山路1段10號5樓(板橋分校)</t>
  </si>
  <si>
    <t>T301800171</t>
  </si>
  <si>
    <t>CZKL47707</t>
  </si>
  <si>
    <t>中正區336-1號(新莊)</t>
  </si>
  <si>
    <t>T302800123</t>
  </si>
  <si>
    <t>CTIP43705</t>
  </si>
  <si>
    <t>正義北路218號(三重分校)</t>
  </si>
  <si>
    <t>T452500008</t>
  </si>
  <si>
    <t>CSHN62966</t>
  </si>
  <si>
    <t>6024989898</t>
  </si>
  <si>
    <t>五湖里南勢51號(金山分院)</t>
  </si>
  <si>
    <t>T652800015</t>
  </si>
  <si>
    <t>eS-6528A 黑白複合機</t>
  </si>
  <si>
    <t>CTHN64808</t>
  </si>
  <si>
    <t>T652800016</t>
  </si>
  <si>
    <t>CTHN64826</t>
  </si>
  <si>
    <t>T452500016</t>
  </si>
  <si>
    <t>CSJN45086</t>
  </si>
  <si>
    <t>6025149099</t>
  </si>
  <si>
    <t>巴西商務辦事處</t>
  </si>
  <si>
    <t>德行西路45號2樓</t>
  </si>
  <si>
    <t>類別</t>
    <phoneticPr fontId="2" type="noConversion"/>
  </si>
  <si>
    <t>代保養</t>
    <phoneticPr fontId="2" type="noConversion"/>
  </si>
  <si>
    <t>維護</t>
    <phoneticPr fontId="2" type="noConversion"/>
  </si>
  <si>
    <t>台北市</t>
  </si>
  <si>
    <t>士林區</t>
  </si>
  <si>
    <t>北投區</t>
  </si>
  <si>
    <t>新北市</t>
  </si>
  <si>
    <t>三重區</t>
  </si>
  <si>
    <t>五股區</t>
  </si>
  <si>
    <t>板橋區</t>
  </si>
  <si>
    <t>林口區</t>
  </si>
  <si>
    <t>金山區</t>
  </si>
  <si>
    <t>泰山區</t>
  </si>
  <si>
    <t>淡水區</t>
  </si>
  <si>
    <t>新莊區</t>
  </si>
  <si>
    <t>蘆洲區</t>
  </si>
  <si>
    <t>區域</t>
    <phoneticPr fontId="2" type="noConversion"/>
  </si>
  <si>
    <t>縣市</t>
    <phoneticPr fontId="2" type="noConversion"/>
  </si>
  <si>
    <r>
      <rPr>
        <sz val="11"/>
        <color rgb="FF000000"/>
        <rFont val="微軟正黑體"/>
        <family val="2"/>
        <charset val="136"/>
      </rPr>
      <t>創價文教基金會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小辦公室</t>
    </r>
    <r>
      <rPr>
        <sz val="11"/>
        <color rgb="FF000000"/>
        <rFont val="Calibri"/>
        <family val="2"/>
      </rPr>
      <t>3</t>
    </r>
    <r>
      <rPr>
        <sz val="11"/>
        <color rgb="FF000000"/>
        <rFont val="微軟正黑體"/>
        <family val="2"/>
        <charset val="136"/>
      </rPr>
      <t>樓</t>
    </r>
    <phoneticPr fontId="2" type="noConversion"/>
  </si>
  <si>
    <r>
      <rPr>
        <sz val="11"/>
        <color rgb="FF000000"/>
        <rFont val="微軟正黑體"/>
        <family val="2"/>
        <charset val="136"/>
      </rPr>
      <t>嘉儀企業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三重</t>
    </r>
    <phoneticPr fontId="2" type="noConversion"/>
  </si>
  <si>
    <t>品興營造/華固慕川</t>
  </si>
  <si>
    <t>品興營造/華固織幸</t>
  </si>
  <si>
    <t>東森電視事業(股)/三重湯城</t>
  </si>
  <si>
    <t>宏偉營造/三重</t>
  </si>
  <si>
    <t>漢庭營造/三重</t>
  </si>
  <si>
    <t>台灣大哥大/三重台科3樓</t>
  </si>
  <si>
    <t>台灣大哥大/台北客服10F(總經理)</t>
  </si>
  <si>
    <t>台灣大哥大/三重湯城4樓(黑)</t>
  </si>
  <si>
    <t>台灣大哥大/台北客服10樓(彩)</t>
  </si>
  <si>
    <t>台灣大哥大/台北客服10樓(黑)</t>
  </si>
  <si>
    <t>台灣大哥大/台北客服10樓-2(彩)</t>
  </si>
  <si>
    <t>台灣大哥大/台北客服10樓-3(黑)</t>
  </si>
  <si>
    <t>台灣大哥大/台北客服2樓(黑)</t>
  </si>
  <si>
    <t>台灣大哥大/台北客服3樓-3</t>
  </si>
  <si>
    <t>台灣大哥大/台北客服4樓後1LJ10(黑)</t>
  </si>
  <si>
    <t>台灣大哥大/台北客服4樓-2LJ23(黑)</t>
  </si>
  <si>
    <t>台灣大哥大/台北客服4樓-2LJ15(黑)</t>
  </si>
  <si>
    <t>台灣大哥大/台北客服4樓-2LJ6(黑)</t>
  </si>
  <si>
    <t>台灣大哥大/台北客服4樓中(黑)</t>
  </si>
  <si>
    <t>台灣大哥大/三重湯城手機維修中心</t>
  </si>
  <si>
    <t>台灣大哥大/三重湯城8樓(黑)</t>
  </si>
  <si>
    <t>台灣大哥大/三重湯城8樓(彩)</t>
  </si>
  <si>
    <t>台灣大哥大/三重湯城9樓(黑)</t>
  </si>
  <si>
    <t>台灣大哥大/台北客服9樓(彩)</t>
  </si>
  <si>
    <t>台灣大哥大/三重湯城7樓(黑)</t>
  </si>
  <si>
    <t>智基科技開發(股)/三重</t>
  </si>
  <si>
    <t>台灣善美的/五股檢品</t>
  </si>
  <si>
    <t>台灣善美的/五股/留用</t>
  </si>
  <si>
    <t>台灣善美的/五股運輸</t>
  </si>
  <si>
    <t>台灣善美的/五股</t>
  </si>
  <si>
    <t>台灣善美的(股)/五股DC廠工商運輸</t>
  </si>
  <si>
    <t>台灣大哥大/五股倉庫(黑)</t>
  </si>
  <si>
    <t>智基科技開發(股)/板橋</t>
  </si>
  <si>
    <t>合作金庫銀行/林口文化1F營業部</t>
  </si>
  <si>
    <t>合作金庫銀行/林口文化2F放款部</t>
  </si>
  <si>
    <t>品興營造/華固一莊</t>
  </si>
  <si>
    <t>輔仁大學學校附設醫院/保險組右</t>
  </si>
  <si>
    <t>輔仁大學學校附設醫院/保險組左</t>
  </si>
  <si>
    <t>永佳樂/異地備援泰山</t>
  </si>
  <si>
    <t>永佳樂/異地備援泰山/3018-26</t>
  </si>
  <si>
    <t>台固媒體/新莊8F/留用</t>
  </si>
  <si>
    <t>台固媒體/新莊8F客服部</t>
  </si>
  <si>
    <t>台固媒體/新莊8F客服部/2520-146</t>
  </si>
  <si>
    <t>台固媒體(股)/新莊8F/留用</t>
  </si>
  <si>
    <t>台灣紋意/新莊</t>
  </si>
  <si>
    <t>私立台灣盲人重建院/3F</t>
  </si>
  <si>
    <t>私立台灣盲人重建院/4F</t>
  </si>
  <si>
    <t>永佳樂有線電視/工程部1</t>
  </si>
  <si>
    <t>永佳樂有線電視/工程部1/3028-156</t>
  </si>
  <si>
    <t>永佳樂有線電視/工程部2</t>
  </si>
  <si>
    <t>永佳樂有線電視/工程部2/3028-155</t>
  </si>
  <si>
    <t>永佳樂有線電視/櫃台1/留用</t>
  </si>
  <si>
    <t>永佳樂有線電視/櫃台2/3028-154</t>
  </si>
  <si>
    <t>永佳樂有線電視/櫃台2</t>
  </si>
  <si>
    <t>永佳樂有線電視/營管部</t>
  </si>
  <si>
    <t>永佳樂有線電視/節目部</t>
  </si>
  <si>
    <t>永佳樂有線電視/走道</t>
  </si>
  <si>
    <t>永佳樂有線電視/走道/3028-153</t>
  </si>
  <si>
    <t>自立文理短期補習班//原君文</t>
  </si>
  <si>
    <t>全聯有線電視/節目中心/2520-144</t>
  </si>
  <si>
    <t>全聯有線電視/節目中心</t>
  </si>
  <si>
    <t>智基科技開發/新莊</t>
  </si>
  <si>
    <t>全聯有線電視/工程部2</t>
  </si>
  <si>
    <t>全聯有線電視/工程部1</t>
  </si>
  <si>
    <t>全聯有線電視/工程部1/2520-143</t>
  </si>
  <si>
    <t>全聯有線電視/業務部</t>
  </si>
  <si>
    <t>全聯有線電視/單據組1</t>
  </si>
  <si>
    <t>全聯有線電視/單據組2</t>
  </si>
  <si>
    <t>全聯有線電視/收費組</t>
  </si>
  <si>
    <t>全聯有線電視/櫃台</t>
  </si>
  <si>
    <t>全聯有線電視/櫃台一</t>
  </si>
  <si>
    <t>全聯有線電視/櫃台二</t>
  </si>
  <si>
    <t>全聯有線電視/行政組</t>
  </si>
  <si>
    <t>臺大醫院/金山分院總務室</t>
  </si>
  <si>
    <t>臺大醫院/金山分院行政</t>
  </si>
  <si>
    <t>臺大醫院/金山分院病歷</t>
  </si>
  <si>
    <t>淡水就業服務站1F/代頂能保養</t>
  </si>
  <si>
    <t>紅樹林有線電視/7樓/2520-142</t>
  </si>
  <si>
    <t>紅樹林有線電視/7樓</t>
  </si>
  <si>
    <t>紅樹林有線電視/7樓櫃台/留用</t>
  </si>
  <si>
    <t>紅樹林有線電視/7樓工程部</t>
  </si>
  <si>
    <t>紅樹林有線電視/7樓工程部/3028-158</t>
  </si>
  <si>
    <t>華南永昌綜合證券/淡水</t>
  </si>
  <si>
    <r>
      <rPr>
        <sz val="11"/>
        <color rgb="FF000000"/>
        <rFont val="微軟正黑體"/>
        <family val="2"/>
        <charset val="136"/>
      </rPr>
      <t>台灣固網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三重湯城</t>
    </r>
    <r>
      <rPr>
        <sz val="11"/>
        <color rgb="FF000000"/>
        <rFont val="Calibri"/>
        <family val="2"/>
      </rPr>
      <t>4</t>
    </r>
    <r>
      <rPr>
        <sz val="11"/>
        <color rgb="FF000000"/>
        <rFont val="微軟正黑體"/>
        <family val="2"/>
        <charset val="136"/>
      </rPr>
      <t>樓</t>
    </r>
    <r>
      <rPr>
        <sz val="11"/>
        <color rgb="FF000000"/>
        <rFont val="Calibri"/>
        <family val="2"/>
      </rPr>
      <t>(</t>
    </r>
    <r>
      <rPr>
        <sz val="11"/>
        <color rgb="FF000000"/>
        <rFont val="微軟正黑體"/>
        <family val="2"/>
        <charset val="136"/>
      </rPr>
      <t>固網客服</t>
    </r>
    <r>
      <rPr>
        <sz val="11"/>
        <color rgb="FF000000"/>
        <rFont val="Calibri"/>
        <family val="2"/>
      </rPr>
      <t>)(</t>
    </r>
    <r>
      <rPr>
        <sz val="11"/>
        <color rgb="FF000000"/>
        <rFont val="微軟正黑體"/>
        <family val="2"/>
        <charset val="136"/>
      </rPr>
      <t>彩</t>
    </r>
    <r>
      <rPr>
        <sz val="11"/>
        <color rgb="FF000000"/>
        <rFont val="Calibri"/>
        <family val="2"/>
      </rPr>
      <t>)</t>
    </r>
    <phoneticPr fontId="2" type="noConversion"/>
  </si>
  <si>
    <r>
      <rPr>
        <sz val="11"/>
        <color rgb="FF000000"/>
        <rFont val="微軟正黑體"/>
        <family val="2"/>
        <charset val="136"/>
      </rPr>
      <t>台灣大數位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新北蘋果授權維修中心</t>
    </r>
    <r>
      <rPr>
        <sz val="11"/>
        <color rgb="FF000000"/>
        <rFont val="Calibri"/>
        <family val="2"/>
      </rPr>
      <t>(</t>
    </r>
    <r>
      <rPr>
        <sz val="11"/>
        <color rgb="FF000000"/>
        <rFont val="微軟正黑體"/>
        <family val="2"/>
        <charset val="136"/>
      </rPr>
      <t>彩</t>
    </r>
    <r>
      <rPr>
        <sz val="11"/>
        <color rgb="FF000000"/>
        <rFont val="Calibri"/>
        <family val="2"/>
      </rPr>
      <t>)</t>
    </r>
    <phoneticPr fontId="2" type="noConversion"/>
  </si>
  <si>
    <r>
      <rPr>
        <sz val="11"/>
        <color rgb="FF000000"/>
        <rFont val="微軟正黑體"/>
        <family val="2"/>
        <charset val="136"/>
      </rPr>
      <t>淡水就業服務站</t>
    </r>
    <r>
      <rPr>
        <sz val="11"/>
        <color rgb="FF000000"/>
        <rFont val="Calibri"/>
        <family val="2"/>
      </rPr>
      <t>2F/</t>
    </r>
    <r>
      <rPr>
        <sz val="11"/>
        <color rgb="FF000000"/>
        <rFont val="微軟正黑體"/>
        <family val="2"/>
        <charset val="136"/>
      </rPr>
      <t>代頂能保養</t>
    </r>
    <phoneticPr fontId="2" type="noConversion"/>
  </si>
  <si>
    <r>
      <rPr>
        <sz val="11"/>
        <color rgb="FF000000"/>
        <rFont val="微軟正黑體"/>
        <family val="2"/>
        <charset val="136"/>
      </rPr>
      <t>環保局淡水第六分隊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代頂能保養</t>
    </r>
    <phoneticPr fontId="2" type="noConversion"/>
  </si>
  <si>
    <r>
      <rPr>
        <sz val="11"/>
        <color rgb="FF000000"/>
        <rFont val="微軟正黑體"/>
        <family val="2"/>
        <charset val="136"/>
      </rPr>
      <t>家暴暨性侵防治中心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代頂能保養</t>
    </r>
    <phoneticPr fontId="2" type="noConversion"/>
  </si>
  <si>
    <r>
      <rPr>
        <sz val="11"/>
        <color rgb="FF000000"/>
        <rFont val="微軟正黑體"/>
        <family val="2"/>
        <charset val="136"/>
      </rPr>
      <t>全聯實業</t>
    </r>
    <r>
      <rPr>
        <sz val="11"/>
        <color rgb="FF000000"/>
        <rFont val="Calibri"/>
        <family val="2"/>
      </rPr>
      <t>/</t>
    </r>
    <r>
      <rPr>
        <sz val="11"/>
        <color rgb="FF000000"/>
        <rFont val="微軟正黑體"/>
        <family val="2"/>
        <charset val="136"/>
      </rPr>
      <t>蘆洲北二處</t>
    </r>
    <phoneticPr fontId="2" type="noConversion"/>
  </si>
  <si>
    <t>專案</t>
    <phoneticPr fontId="2" type="noConversion"/>
  </si>
  <si>
    <t>台哥大</t>
    <phoneticPr fontId="2" type="noConversion"/>
  </si>
  <si>
    <t>全聯</t>
    <phoneticPr fontId="2" type="noConversion"/>
  </si>
  <si>
    <t>士林區</t>
    <phoneticPr fontId="2" type="noConversion"/>
  </si>
  <si>
    <t>北投區</t>
    <phoneticPr fontId="2" type="noConversion"/>
  </si>
  <si>
    <t>石門區</t>
  </si>
  <si>
    <t>三芝區</t>
  </si>
  <si>
    <t>八里區</t>
  </si>
  <si>
    <t>數量</t>
    <phoneticPr fontId="2" type="noConversion"/>
  </si>
  <si>
    <t>彩色機型</t>
    <phoneticPr fontId="2" type="noConversion"/>
  </si>
  <si>
    <t>黑白機型</t>
    <phoneticPr fontId="2" type="noConversion"/>
  </si>
  <si>
    <t>總數</t>
    <phoneticPr fontId="2" type="noConversion"/>
  </si>
  <si>
    <t>保養週期</t>
    <phoneticPr fontId="2" type="noConversion"/>
  </si>
  <si>
    <t>保養週期等級</t>
    <phoneticPr fontId="2" type="noConversion"/>
  </si>
  <si>
    <t>合約規定</t>
    <phoneticPr fontId="2" type="noConversion"/>
  </si>
  <si>
    <t>合計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</si>
</sst>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</font>
    <font>
      <b/>
      <sz val="12"/>
      <color rgb="FF000000"/>
      <name val="新細明體"/>
      <family val="1"/>
      <charset val="136"/>
    </font>
    <font>
      <sz val="9"/>
      <name val="細明體"/>
      <family val="3"/>
      <charset val="136"/>
    </font>
    <font>
      <sz val="11"/>
      <color rgb="FF000000"/>
      <name val="Microsoft JhengHei"/>
      <family val="2"/>
      <charset val="136"/>
    </font>
    <font>
      <sz val="11"/>
      <color rgb="FF000000"/>
      <name val="微軟正黑體"/>
      <family val="2"/>
      <charset val="136"/>
    </font>
    <font>
      <sz val="11"/>
      <color rgb="FF000000"/>
      <name val="Calibri"/>
      <family val="2"/>
    </font>
    <font>
      <sz val="11"/>
      <color rgb="FF000000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Fill="1"/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41"/>
  <sheetViews>
    <sheetView workbookViewId="0">
      <selection activeCell="F55" sqref="F55"/>
    </sheetView>
  </sheetViews>
  <sheetFormatPr defaultRowHeight="14.4"/>
  <cols>
    <col min="1" max="1" width="6" customWidth="1"/>
    <col min="2" max="2" width="8.33203125" bestFit="1" customWidth="1"/>
    <col min="3" max="3" width="8.33203125" customWidth="1"/>
    <col min="4" max="4" width="14" customWidth="1"/>
    <col min="5" max="5" width="10" customWidth="1"/>
    <col min="6" max="6" width="24" customWidth="1"/>
    <col min="7" max="7" width="14" customWidth="1"/>
    <col min="8" max="8" width="18" customWidth="1"/>
    <col min="9" max="9" width="40" customWidth="1"/>
    <col min="10" max="11" width="10.6640625" bestFit="1" customWidth="1"/>
    <col min="12" max="12" width="40" customWidth="1"/>
    <col min="13" max="13" width="8" customWidth="1"/>
  </cols>
  <sheetData>
    <row r="1" spans="1:13" ht="49.95" customHeight="1">
      <c r="A1" s="2" t="s">
        <v>0</v>
      </c>
      <c r="B1" s="2" t="s">
        <v>517</v>
      </c>
      <c r="C1" s="2" t="s">
        <v>638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534</v>
      </c>
      <c r="K1" s="2" t="s">
        <v>533</v>
      </c>
      <c r="L1" s="2" t="s">
        <v>7</v>
      </c>
      <c r="M1" s="2" t="s">
        <v>8</v>
      </c>
    </row>
    <row r="2" spans="1:13">
      <c r="A2" s="3">
        <v>1</v>
      </c>
      <c r="B2" s="4" t="s">
        <v>518</v>
      </c>
      <c r="C2" s="4">
        <v>90</v>
      </c>
      <c r="D2" s="3" t="s">
        <v>9</v>
      </c>
      <c r="E2" s="3" t="s">
        <v>10</v>
      </c>
      <c r="F2" s="3" t="s">
        <v>11</v>
      </c>
      <c r="G2" s="3" t="s">
        <v>12</v>
      </c>
      <c r="H2" s="3" t="s">
        <v>13</v>
      </c>
      <c r="I2" s="5" t="s">
        <v>14</v>
      </c>
      <c r="J2" s="3" t="s">
        <v>520</v>
      </c>
      <c r="K2" s="3" t="s">
        <v>521</v>
      </c>
      <c r="L2" s="5" t="s">
        <v>15</v>
      </c>
      <c r="M2" s="3"/>
    </row>
    <row r="3" spans="1:13">
      <c r="A3" s="3">
        <v>2</v>
      </c>
      <c r="B3" s="4" t="s">
        <v>518</v>
      </c>
      <c r="C3" s="4">
        <v>30</v>
      </c>
      <c r="D3" s="3" t="s">
        <v>45</v>
      </c>
      <c r="E3" s="3" t="s">
        <v>10</v>
      </c>
      <c r="F3" s="3" t="s">
        <v>22</v>
      </c>
      <c r="G3" s="3" t="s">
        <v>46</v>
      </c>
      <c r="H3" s="3" t="s">
        <v>47</v>
      </c>
      <c r="I3" s="5" t="s">
        <v>48</v>
      </c>
      <c r="J3" s="3" t="s">
        <v>520</v>
      </c>
      <c r="K3" s="3" t="s">
        <v>521</v>
      </c>
      <c r="L3" s="5" t="s">
        <v>49</v>
      </c>
      <c r="M3" s="3"/>
    </row>
    <row r="4" spans="1:13">
      <c r="A4" s="3">
        <v>3</v>
      </c>
      <c r="B4" s="4" t="s">
        <v>518</v>
      </c>
      <c r="C4" s="4">
        <v>30</v>
      </c>
      <c r="D4" s="3" t="s">
        <v>77</v>
      </c>
      <c r="E4" s="3" t="s">
        <v>10</v>
      </c>
      <c r="F4" s="3" t="s">
        <v>22</v>
      </c>
      <c r="G4" s="3" t="s">
        <v>78</v>
      </c>
      <c r="H4" s="3" t="s">
        <v>79</v>
      </c>
      <c r="I4" s="6" t="s">
        <v>535</v>
      </c>
      <c r="J4" s="3" t="s">
        <v>520</v>
      </c>
      <c r="K4" s="3" t="s">
        <v>521</v>
      </c>
      <c r="L4" s="5" t="s">
        <v>80</v>
      </c>
      <c r="M4" s="3"/>
    </row>
    <row r="5" spans="1:13">
      <c r="A5" s="3">
        <v>4</v>
      </c>
      <c r="B5" s="4" t="s">
        <v>518</v>
      </c>
      <c r="C5" s="4">
        <v>90</v>
      </c>
      <c r="D5" s="3" t="s">
        <v>131</v>
      </c>
      <c r="E5" s="3" t="s">
        <v>10</v>
      </c>
      <c r="F5" s="3" t="s">
        <v>32</v>
      </c>
      <c r="G5" s="3" t="s">
        <v>132</v>
      </c>
      <c r="H5" s="3" t="s">
        <v>133</v>
      </c>
      <c r="I5" s="5" t="s">
        <v>134</v>
      </c>
      <c r="J5" s="3" t="s">
        <v>520</v>
      </c>
      <c r="K5" s="3" t="s">
        <v>521</v>
      </c>
      <c r="L5" s="5" t="s">
        <v>135</v>
      </c>
      <c r="M5" s="3"/>
    </row>
    <row r="6" spans="1:13">
      <c r="A6" s="3">
        <v>5</v>
      </c>
      <c r="B6" s="4" t="s">
        <v>518</v>
      </c>
      <c r="C6" s="4">
        <v>90</v>
      </c>
      <c r="D6" s="3" t="s">
        <v>170</v>
      </c>
      <c r="E6" s="3" t="s">
        <v>10</v>
      </c>
      <c r="F6" s="3" t="s">
        <v>11</v>
      </c>
      <c r="G6" s="3" t="s">
        <v>171</v>
      </c>
      <c r="H6" s="3" t="s">
        <v>172</v>
      </c>
      <c r="I6" s="5" t="s">
        <v>173</v>
      </c>
      <c r="J6" s="3" t="s">
        <v>520</v>
      </c>
      <c r="K6" s="3" t="s">
        <v>521</v>
      </c>
      <c r="L6" s="5" t="s">
        <v>174</v>
      </c>
      <c r="M6" s="3"/>
    </row>
    <row r="7" spans="1:13">
      <c r="A7" s="3">
        <v>6</v>
      </c>
      <c r="B7" s="4" t="s">
        <v>518</v>
      </c>
      <c r="C7" s="4">
        <v>30</v>
      </c>
      <c r="D7" s="3" t="s">
        <v>180</v>
      </c>
      <c r="E7" s="3" t="s">
        <v>10</v>
      </c>
      <c r="F7" s="3" t="s">
        <v>22</v>
      </c>
      <c r="G7" s="3" t="s">
        <v>181</v>
      </c>
      <c r="H7" s="3" t="s">
        <v>182</v>
      </c>
      <c r="I7" s="5" t="s">
        <v>183</v>
      </c>
      <c r="J7" s="3" t="s">
        <v>520</v>
      </c>
      <c r="K7" s="3" t="s">
        <v>521</v>
      </c>
      <c r="L7" s="5" t="s">
        <v>184</v>
      </c>
      <c r="M7" s="3"/>
    </row>
    <row r="8" spans="1:13">
      <c r="A8" s="3">
        <v>7</v>
      </c>
      <c r="B8" s="4" t="s">
        <v>518</v>
      </c>
      <c r="C8" s="4">
        <v>60</v>
      </c>
      <c r="D8" s="3" t="s">
        <v>228</v>
      </c>
      <c r="E8" s="3" t="s">
        <v>10</v>
      </c>
      <c r="F8" s="3" t="s">
        <v>11</v>
      </c>
      <c r="G8" s="3" t="s">
        <v>229</v>
      </c>
      <c r="H8" s="3" t="s">
        <v>230</v>
      </c>
      <c r="I8" s="5" t="s">
        <v>231</v>
      </c>
      <c r="J8" s="3" t="s">
        <v>520</v>
      </c>
      <c r="K8" s="3" t="s">
        <v>521</v>
      </c>
      <c r="L8" s="5" t="s">
        <v>232</v>
      </c>
      <c r="M8" s="3"/>
    </row>
    <row r="9" spans="1:13">
      <c r="A9" s="3">
        <v>8</v>
      </c>
      <c r="B9" s="4" t="s">
        <v>518</v>
      </c>
      <c r="C9" s="4">
        <v>60</v>
      </c>
      <c r="D9" s="3" t="s">
        <v>265</v>
      </c>
      <c r="E9" s="3" t="s">
        <v>10</v>
      </c>
      <c r="F9" s="3" t="s">
        <v>16</v>
      </c>
      <c r="G9" s="3" t="s">
        <v>266</v>
      </c>
      <c r="H9" s="3" t="s">
        <v>267</v>
      </c>
      <c r="I9" s="5" t="s">
        <v>268</v>
      </c>
      <c r="J9" s="3" t="s">
        <v>520</v>
      </c>
      <c r="K9" s="3" t="s">
        <v>521</v>
      </c>
      <c r="L9" s="5" t="s">
        <v>269</v>
      </c>
      <c r="M9" s="3"/>
    </row>
    <row r="10" spans="1:13">
      <c r="A10" s="3">
        <v>9</v>
      </c>
      <c r="B10" s="4" t="s">
        <v>518</v>
      </c>
      <c r="C10" s="4">
        <v>60</v>
      </c>
      <c r="D10" s="3" t="s">
        <v>306</v>
      </c>
      <c r="E10" s="3" t="s">
        <v>10</v>
      </c>
      <c r="F10" s="3" t="s">
        <v>16</v>
      </c>
      <c r="G10" s="3" t="s">
        <v>307</v>
      </c>
      <c r="H10" s="3" t="s">
        <v>308</v>
      </c>
      <c r="I10" s="5" t="s">
        <v>309</v>
      </c>
      <c r="J10" s="3" t="s">
        <v>520</v>
      </c>
      <c r="K10" s="3" t="s">
        <v>521</v>
      </c>
      <c r="L10" s="5" t="s">
        <v>310</v>
      </c>
      <c r="M10" s="3"/>
    </row>
    <row r="11" spans="1:13">
      <c r="A11" s="3">
        <v>10</v>
      </c>
      <c r="B11" s="4" t="s">
        <v>518</v>
      </c>
      <c r="C11" s="4">
        <v>60</v>
      </c>
      <c r="D11" s="3" t="s">
        <v>311</v>
      </c>
      <c r="E11" s="3" t="s">
        <v>10</v>
      </c>
      <c r="F11" s="3" t="s">
        <v>16</v>
      </c>
      <c r="G11" s="3" t="s">
        <v>312</v>
      </c>
      <c r="H11" s="3" t="s">
        <v>313</v>
      </c>
      <c r="I11" s="5" t="s">
        <v>314</v>
      </c>
      <c r="J11" s="3" t="s">
        <v>520</v>
      </c>
      <c r="K11" s="3" t="s">
        <v>521</v>
      </c>
      <c r="L11" s="5" t="s">
        <v>315</v>
      </c>
      <c r="M11" s="3"/>
    </row>
    <row r="12" spans="1:13">
      <c r="A12" s="3">
        <v>11</v>
      </c>
      <c r="B12" s="4" t="s">
        <v>518</v>
      </c>
      <c r="C12" s="4">
        <v>60</v>
      </c>
      <c r="D12" s="3" t="s">
        <v>321</v>
      </c>
      <c r="E12" s="3" t="s">
        <v>10</v>
      </c>
      <c r="F12" s="3" t="s">
        <v>16</v>
      </c>
      <c r="G12" s="3" t="s">
        <v>322</v>
      </c>
      <c r="H12" s="3" t="s">
        <v>323</v>
      </c>
      <c r="I12" s="5" t="s">
        <v>324</v>
      </c>
      <c r="J12" s="3" t="s">
        <v>520</v>
      </c>
      <c r="K12" s="3" t="s">
        <v>521</v>
      </c>
      <c r="L12" s="5" t="s">
        <v>325</v>
      </c>
      <c r="M12" s="3"/>
    </row>
    <row r="13" spans="1:13">
      <c r="A13" s="3">
        <v>12</v>
      </c>
      <c r="B13" s="4" t="s">
        <v>518</v>
      </c>
      <c r="C13" s="4">
        <v>60</v>
      </c>
      <c r="D13" s="3" t="s">
        <v>330</v>
      </c>
      <c r="E13" s="3" t="s">
        <v>10</v>
      </c>
      <c r="F13" s="3" t="s">
        <v>11</v>
      </c>
      <c r="G13" s="3" t="s">
        <v>331</v>
      </c>
      <c r="H13" s="3" t="s">
        <v>332</v>
      </c>
      <c r="I13" s="5" t="s">
        <v>333</v>
      </c>
      <c r="J13" s="3" t="s">
        <v>520</v>
      </c>
      <c r="K13" s="3" t="s">
        <v>521</v>
      </c>
      <c r="L13" s="5" t="s">
        <v>334</v>
      </c>
      <c r="M13" s="3"/>
    </row>
    <row r="14" spans="1:13">
      <c r="A14" s="3">
        <v>13</v>
      </c>
      <c r="B14" s="4" t="s">
        <v>518</v>
      </c>
      <c r="C14" s="4">
        <v>60</v>
      </c>
      <c r="D14" s="3" t="s">
        <v>335</v>
      </c>
      <c r="E14" s="3" t="s">
        <v>10</v>
      </c>
      <c r="F14" s="3" t="s">
        <v>11</v>
      </c>
      <c r="G14" s="3" t="s">
        <v>336</v>
      </c>
      <c r="H14" s="3" t="s">
        <v>337</v>
      </c>
      <c r="I14" s="5" t="s">
        <v>338</v>
      </c>
      <c r="J14" s="3" t="s">
        <v>520</v>
      </c>
      <c r="K14" s="3" t="s">
        <v>521</v>
      </c>
      <c r="L14" s="5" t="s">
        <v>339</v>
      </c>
      <c r="M14" s="3"/>
    </row>
    <row r="15" spans="1:13">
      <c r="A15" s="3">
        <v>14</v>
      </c>
      <c r="B15" s="4" t="s">
        <v>518</v>
      </c>
      <c r="C15" s="4">
        <v>60</v>
      </c>
      <c r="D15" s="3" t="s">
        <v>340</v>
      </c>
      <c r="E15" s="3" t="s">
        <v>10</v>
      </c>
      <c r="F15" s="3" t="s">
        <v>11</v>
      </c>
      <c r="G15" s="3" t="s">
        <v>341</v>
      </c>
      <c r="H15" s="3" t="s">
        <v>342</v>
      </c>
      <c r="I15" s="5" t="s">
        <v>343</v>
      </c>
      <c r="J15" s="3" t="s">
        <v>520</v>
      </c>
      <c r="K15" s="3" t="s">
        <v>521</v>
      </c>
      <c r="L15" s="5" t="s">
        <v>344</v>
      </c>
      <c r="M15" s="3"/>
    </row>
    <row r="16" spans="1:13">
      <c r="A16" s="3">
        <v>15</v>
      </c>
      <c r="B16" s="4" t="s">
        <v>518</v>
      </c>
      <c r="C16" s="4">
        <v>60</v>
      </c>
      <c r="D16" s="3" t="s">
        <v>345</v>
      </c>
      <c r="E16" s="3" t="s">
        <v>10</v>
      </c>
      <c r="F16" s="3" t="s">
        <v>11</v>
      </c>
      <c r="G16" s="3" t="s">
        <v>346</v>
      </c>
      <c r="H16" s="3" t="s">
        <v>347</v>
      </c>
      <c r="I16" s="5" t="s">
        <v>348</v>
      </c>
      <c r="J16" s="3" t="s">
        <v>520</v>
      </c>
      <c r="K16" s="3" t="s">
        <v>521</v>
      </c>
      <c r="L16" s="5" t="s">
        <v>349</v>
      </c>
      <c r="M16" s="3"/>
    </row>
    <row r="17" spans="1:13">
      <c r="A17" s="3">
        <v>16</v>
      </c>
      <c r="B17" s="4" t="s">
        <v>518</v>
      </c>
      <c r="C17" s="4">
        <v>30</v>
      </c>
      <c r="D17" s="3" t="s">
        <v>512</v>
      </c>
      <c r="E17" s="3" t="s">
        <v>10</v>
      </c>
      <c r="F17" s="3" t="s">
        <v>23</v>
      </c>
      <c r="G17" s="3" t="s">
        <v>513</v>
      </c>
      <c r="H17" s="3" t="s">
        <v>514</v>
      </c>
      <c r="I17" s="5" t="s">
        <v>515</v>
      </c>
      <c r="J17" s="3" t="s">
        <v>520</v>
      </c>
      <c r="K17" s="3" t="s">
        <v>521</v>
      </c>
      <c r="L17" s="5" t="s">
        <v>516</v>
      </c>
      <c r="M17" s="3"/>
    </row>
    <row r="18" spans="1:13">
      <c r="A18" s="3">
        <v>17</v>
      </c>
      <c r="B18" s="4" t="s">
        <v>518</v>
      </c>
      <c r="C18" s="4">
        <v>30</v>
      </c>
      <c r="D18" s="3" t="s">
        <v>126</v>
      </c>
      <c r="E18" s="3" t="s">
        <v>10</v>
      </c>
      <c r="F18" s="3" t="s">
        <v>81</v>
      </c>
      <c r="G18" s="3" t="s">
        <v>127</v>
      </c>
      <c r="H18" s="3" t="s">
        <v>128</v>
      </c>
      <c r="I18" s="5" t="s">
        <v>129</v>
      </c>
      <c r="J18" s="3" t="s">
        <v>520</v>
      </c>
      <c r="K18" s="3" t="s">
        <v>522</v>
      </c>
      <c r="L18" s="5" t="s">
        <v>130</v>
      </c>
      <c r="M18" s="3"/>
    </row>
    <row r="19" spans="1:13">
      <c r="A19" s="3">
        <v>18</v>
      </c>
      <c r="B19" s="4" t="s">
        <v>518</v>
      </c>
      <c r="C19" s="4">
        <v>60</v>
      </c>
      <c r="D19" s="3" t="s">
        <v>175</v>
      </c>
      <c r="E19" s="3" t="s">
        <v>10</v>
      </c>
      <c r="F19" s="3" t="s">
        <v>11</v>
      </c>
      <c r="G19" s="3" t="s">
        <v>176</v>
      </c>
      <c r="H19" s="3" t="s">
        <v>177</v>
      </c>
      <c r="I19" s="5" t="s">
        <v>178</v>
      </c>
      <c r="J19" s="3" t="s">
        <v>520</v>
      </c>
      <c r="K19" s="3" t="s">
        <v>522</v>
      </c>
      <c r="L19" s="5" t="s">
        <v>179</v>
      </c>
      <c r="M19" s="3"/>
    </row>
    <row r="20" spans="1:13">
      <c r="A20" s="3">
        <v>19</v>
      </c>
      <c r="B20" s="4" t="s">
        <v>518</v>
      </c>
      <c r="C20" s="4">
        <v>60</v>
      </c>
      <c r="D20" s="3" t="s">
        <v>218</v>
      </c>
      <c r="E20" s="3" t="s">
        <v>10</v>
      </c>
      <c r="F20" s="3" t="s">
        <v>17</v>
      </c>
      <c r="G20" s="3" t="s">
        <v>219</v>
      </c>
      <c r="H20" s="3" t="s">
        <v>220</v>
      </c>
      <c r="I20" s="5" t="s">
        <v>221</v>
      </c>
      <c r="J20" s="3" t="s">
        <v>520</v>
      </c>
      <c r="K20" s="3" t="s">
        <v>522</v>
      </c>
      <c r="L20" s="5" t="s">
        <v>222</v>
      </c>
      <c r="M20" s="3"/>
    </row>
    <row r="21" spans="1:13">
      <c r="A21" s="3">
        <v>20</v>
      </c>
      <c r="B21" s="4" t="s">
        <v>519</v>
      </c>
      <c r="C21" s="4">
        <v>30</v>
      </c>
      <c r="D21" s="3" t="s">
        <v>33</v>
      </c>
      <c r="E21" s="3" t="s">
        <v>34</v>
      </c>
      <c r="F21" s="3" t="s">
        <v>17</v>
      </c>
      <c r="G21" s="3" t="s">
        <v>35</v>
      </c>
      <c r="H21" s="3" t="s">
        <v>36</v>
      </c>
      <c r="I21" s="5" t="s">
        <v>37</v>
      </c>
      <c r="J21" s="3" t="s">
        <v>523</v>
      </c>
      <c r="K21" s="3" t="s">
        <v>524</v>
      </c>
      <c r="L21" s="5" t="s">
        <v>38</v>
      </c>
      <c r="M21" s="3"/>
    </row>
    <row r="22" spans="1:13">
      <c r="A22" s="3">
        <v>21</v>
      </c>
      <c r="B22" s="4" t="s">
        <v>519</v>
      </c>
      <c r="C22" s="4">
        <v>90</v>
      </c>
      <c r="D22" s="3" t="s">
        <v>39</v>
      </c>
      <c r="E22" s="3" t="s">
        <v>25</v>
      </c>
      <c r="F22" s="3" t="s">
        <v>40</v>
      </c>
      <c r="G22" s="3" t="s">
        <v>41</v>
      </c>
      <c r="H22" s="3" t="s">
        <v>42</v>
      </c>
      <c r="I22" s="6" t="s">
        <v>536</v>
      </c>
      <c r="J22" s="3" t="s">
        <v>523</v>
      </c>
      <c r="K22" s="3" t="s">
        <v>524</v>
      </c>
      <c r="L22" s="5" t="s">
        <v>43</v>
      </c>
      <c r="M22" s="3"/>
    </row>
    <row r="23" spans="1:13">
      <c r="A23" s="3">
        <v>22</v>
      </c>
      <c r="B23" s="4" t="s">
        <v>519</v>
      </c>
      <c r="C23" s="4" t="s">
        <v>18</v>
      </c>
      <c r="D23" s="3" t="s">
        <v>56</v>
      </c>
      <c r="E23" s="3" t="s">
        <v>25</v>
      </c>
      <c r="F23" s="3" t="s">
        <v>19</v>
      </c>
      <c r="G23" s="3" t="s">
        <v>57</v>
      </c>
      <c r="H23" s="3" t="s">
        <v>58</v>
      </c>
      <c r="I23" s="5" t="s">
        <v>59</v>
      </c>
      <c r="J23" s="3" t="s">
        <v>523</v>
      </c>
      <c r="K23" s="3" t="s">
        <v>524</v>
      </c>
      <c r="L23" s="5" t="s">
        <v>60</v>
      </c>
      <c r="M23" s="4" t="s">
        <v>626</v>
      </c>
    </row>
    <row r="24" spans="1:13">
      <c r="A24" s="3">
        <v>23</v>
      </c>
      <c r="B24" s="4" t="s">
        <v>519</v>
      </c>
      <c r="C24" s="4" t="s">
        <v>18</v>
      </c>
      <c r="D24" s="3" t="s">
        <v>100</v>
      </c>
      <c r="E24" s="3" t="s">
        <v>25</v>
      </c>
      <c r="F24" s="3" t="s">
        <v>19</v>
      </c>
      <c r="G24" s="3" t="s">
        <v>101</v>
      </c>
      <c r="H24" s="3" t="s">
        <v>102</v>
      </c>
      <c r="I24" s="6" t="s">
        <v>620</v>
      </c>
      <c r="J24" s="3" t="s">
        <v>523</v>
      </c>
      <c r="K24" s="3" t="s">
        <v>524</v>
      </c>
      <c r="L24" s="5" t="s">
        <v>103</v>
      </c>
      <c r="M24" s="4" t="s">
        <v>627</v>
      </c>
    </row>
    <row r="25" spans="1:13">
      <c r="A25" s="3">
        <v>24</v>
      </c>
      <c r="B25" s="4" t="s">
        <v>519</v>
      </c>
      <c r="C25" s="4">
        <v>60</v>
      </c>
      <c r="D25" s="3" t="s">
        <v>146</v>
      </c>
      <c r="E25" s="3" t="s">
        <v>25</v>
      </c>
      <c r="F25" s="3" t="s">
        <v>32</v>
      </c>
      <c r="G25" s="3" t="s">
        <v>147</v>
      </c>
      <c r="H25" s="3" t="s">
        <v>148</v>
      </c>
      <c r="I25" s="5" t="s">
        <v>149</v>
      </c>
      <c r="J25" s="3" t="s">
        <v>523</v>
      </c>
      <c r="K25" s="3" t="s">
        <v>524</v>
      </c>
      <c r="L25" s="5" t="s">
        <v>150</v>
      </c>
      <c r="M25" s="3"/>
    </row>
    <row r="26" spans="1:13">
      <c r="A26" s="3">
        <v>25</v>
      </c>
      <c r="B26" s="4" t="s">
        <v>519</v>
      </c>
      <c r="C26" s="4" t="s">
        <v>18</v>
      </c>
      <c r="D26" s="3" t="s">
        <v>161</v>
      </c>
      <c r="E26" s="3" t="s">
        <v>25</v>
      </c>
      <c r="F26" s="3" t="s">
        <v>19</v>
      </c>
      <c r="G26" s="3" t="s">
        <v>162</v>
      </c>
      <c r="H26" s="3" t="s">
        <v>163</v>
      </c>
      <c r="I26" s="6" t="s">
        <v>621</v>
      </c>
      <c r="J26" s="3" t="s">
        <v>523</v>
      </c>
      <c r="K26" s="3" t="s">
        <v>524</v>
      </c>
      <c r="L26" s="5" t="s">
        <v>164</v>
      </c>
      <c r="M26" s="4" t="s">
        <v>627</v>
      </c>
    </row>
    <row r="27" spans="1:13">
      <c r="A27" s="3">
        <v>26</v>
      </c>
      <c r="B27" s="4" t="s">
        <v>519</v>
      </c>
      <c r="C27" s="4" t="s">
        <v>18</v>
      </c>
      <c r="D27" s="3" t="s">
        <v>186</v>
      </c>
      <c r="E27" s="3" t="s">
        <v>25</v>
      </c>
      <c r="F27" s="3" t="s">
        <v>11</v>
      </c>
      <c r="G27" s="3" t="s">
        <v>187</v>
      </c>
      <c r="H27" s="3" t="s">
        <v>185</v>
      </c>
      <c r="I27" s="5" t="s">
        <v>537</v>
      </c>
      <c r="J27" s="3" t="s">
        <v>523</v>
      </c>
      <c r="K27" s="3" t="s">
        <v>524</v>
      </c>
      <c r="L27" s="5" t="s">
        <v>188</v>
      </c>
      <c r="M27" s="4" t="s">
        <v>626</v>
      </c>
    </row>
    <row r="28" spans="1:13">
      <c r="A28" s="3">
        <v>27</v>
      </c>
      <c r="B28" s="4" t="s">
        <v>519</v>
      </c>
      <c r="C28" s="4" t="s">
        <v>18</v>
      </c>
      <c r="D28" s="3" t="s">
        <v>189</v>
      </c>
      <c r="E28" s="3" t="s">
        <v>25</v>
      </c>
      <c r="F28" s="3" t="s">
        <v>11</v>
      </c>
      <c r="G28" s="3" t="s">
        <v>190</v>
      </c>
      <c r="H28" s="3" t="s">
        <v>185</v>
      </c>
      <c r="I28" s="5" t="s">
        <v>538</v>
      </c>
      <c r="J28" s="3" t="s">
        <v>523</v>
      </c>
      <c r="K28" s="3" t="s">
        <v>524</v>
      </c>
      <c r="L28" s="5" t="s">
        <v>191</v>
      </c>
      <c r="M28" s="4" t="s">
        <v>626</v>
      </c>
    </row>
    <row r="29" spans="1:13">
      <c r="A29" s="3">
        <v>28</v>
      </c>
      <c r="B29" s="4" t="s">
        <v>519</v>
      </c>
      <c r="C29" s="4">
        <v>60</v>
      </c>
      <c r="D29" s="3" t="s">
        <v>213</v>
      </c>
      <c r="E29" s="3" t="s">
        <v>25</v>
      </c>
      <c r="F29" s="3" t="s">
        <v>11</v>
      </c>
      <c r="G29" s="3" t="s">
        <v>214</v>
      </c>
      <c r="H29" s="3" t="s">
        <v>215</v>
      </c>
      <c r="I29" s="5" t="s">
        <v>216</v>
      </c>
      <c r="J29" s="3" t="s">
        <v>523</v>
      </c>
      <c r="K29" s="3" t="s">
        <v>524</v>
      </c>
      <c r="L29" s="5" t="s">
        <v>217</v>
      </c>
      <c r="M29" s="3"/>
    </row>
    <row r="30" spans="1:13">
      <c r="A30" s="3">
        <v>29</v>
      </c>
      <c r="B30" s="4" t="s">
        <v>519</v>
      </c>
      <c r="C30" s="4">
        <v>30</v>
      </c>
      <c r="D30" s="3" t="s">
        <v>238</v>
      </c>
      <c r="E30" s="3" t="s">
        <v>25</v>
      </c>
      <c r="F30" s="3" t="s">
        <v>20</v>
      </c>
      <c r="G30" s="3" t="s">
        <v>239</v>
      </c>
      <c r="H30" s="3" t="s">
        <v>240</v>
      </c>
      <c r="I30" s="5" t="s">
        <v>241</v>
      </c>
      <c r="J30" s="3" t="s">
        <v>523</v>
      </c>
      <c r="K30" s="3" t="s">
        <v>524</v>
      </c>
      <c r="L30" s="5" t="s">
        <v>242</v>
      </c>
      <c r="M30" s="3"/>
    </row>
    <row r="31" spans="1:13">
      <c r="A31" s="3">
        <v>30</v>
      </c>
      <c r="B31" s="4" t="s">
        <v>519</v>
      </c>
      <c r="C31" s="4" t="s">
        <v>18</v>
      </c>
      <c r="D31" s="3" t="s">
        <v>243</v>
      </c>
      <c r="E31" s="3" t="s">
        <v>25</v>
      </c>
      <c r="F31" s="3" t="s">
        <v>22</v>
      </c>
      <c r="G31" s="3" t="s">
        <v>244</v>
      </c>
      <c r="H31" s="3" t="s">
        <v>245</v>
      </c>
      <c r="I31" s="5" t="s">
        <v>539</v>
      </c>
      <c r="J31" s="3" t="s">
        <v>523</v>
      </c>
      <c r="K31" s="3" t="s">
        <v>524</v>
      </c>
      <c r="L31" s="5" t="s">
        <v>246</v>
      </c>
      <c r="M31" s="4" t="s">
        <v>626</v>
      </c>
    </row>
    <row r="32" spans="1:13">
      <c r="A32" s="3">
        <v>31</v>
      </c>
      <c r="B32" s="4" t="s">
        <v>519</v>
      </c>
      <c r="C32" s="4" t="s">
        <v>18</v>
      </c>
      <c r="D32" s="3" t="s">
        <v>247</v>
      </c>
      <c r="E32" s="3" t="s">
        <v>25</v>
      </c>
      <c r="F32" s="3" t="s">
        <v>21</v>
      </c>
      <c r="G32" s="3" t="s">
        <v>248</v>
      </c>
      <c r="H32" s="3" t="s">
        <v>245</v>
      </c>
      <c r="I32" s="5" t="s">
        <v>539</v>
      </c>
      <c r="J32" s="3" t="s">
        <v>523</v>
      </c>
      <c r="K32" s="3" t="s">
        <v>524</v>
      </c>
      <c r="L32" s="5" t="s">
        <v>246</v>
      </c>
      <c r="M32" s="4" t="s">
        <v>626</v>
      </c>
    </row>
    <row r="33" spans="1:13">
      <c r="A33" s="3">
        <v>32</v>
      </c>
      <c r="B33" s="4" t="s">
        <v>519</v>
      </c>
      <c r="C33" s="4">
        <v>30</v>
      </c>
      <c r="D33" s="3" t="s">
        <v>261</v>
      </c>
      <c r="E33" s="3" t="s">
        <v>25</v>
      </c>
      <c r="F33" s="3" t="s">
        <v>22</v>
      </c>
      <c r="G33" s="3" t="s">
        <v>262</v>
      </c>
      <c r="H33" s="3" t="s">
        <v>263</v>
      </c>
      <c r="I33" s="5" t="s">
        <v>540</v>
      </c>
      <c r="J33" s="3" t="s">
        <v>523</v>
      </c>
      <c r="K33" s="3" t="s">
        <v>524</v>
      </c>
      <c r="L33" s="5" t="s">
        <v>264</v>
      </c>
      <c r="M33" s="3"/>
    </row>
    <row r="34" spans="1:13">
      <c r="A34" s="3">
        <v>33</v>
      </c>
      <c r="B34" s="4" t="s">
        <v>519</v>
      </c>
      <c r="C34" s="4">
        <v>60</v>
      </c>
      <c r="D34" s="3" t="s">
        <v>316</v>
      </c>
      <c r="E34" s="3" t="s">
        <v>34</v>
      </c>
      <c r="F34" s="3" t="s">
        <v>32</v>
      </c>
      <c r="G34" s="3" t="s">
        <v>317</v>
      </c>
      <c r="H34" s="3" t="s">
        <v>318</v>
      </c>
      <c r="I34" s="5" t="s">
        <v>319</v>
      </c>
      <c r="J34" s="3" t="s">
        <v>523</v>
      </c>
      <c r="K34" s="3" t="s">
        <v>524</v>
      </c>
      <c r="L34" s="5" t="s">
        <v>320</v>
      </c>
      <c r="M34" s="3"/>
    </row>
    <row r="35" spans="1:13">
      <c r="A35" s="3">
        <v>34</v>
      </c>
      <c r="B35" s="4" t="s">
        <v>519</v>
      </c>
      <c r="C35" s="4">
        <v>60</v>
      </c>
      <c r="D35" s="3" t="s">
        <v>350</v>
      </c>
      <c r="E35" s="3" t="s">
        <v>25</v>
      </c>
      <c r="F35" s="3" t="s">
        <v>11</v>
      </c>
      <c r="G35" s="3" t="s">
        <v>351</v>
      </c>
      <c r="H35" s="3" t="s">
        <v>347</v>
      </c>
      <c r="I35" s="5" t="s">
        <v>541</v>
      </c>
      <c r="J35" s="3" t="s">
        <v>523</v>
      </c>
      <c r="K35" s="3" t="s">
        <v>524</v>
      </c>
      <c r="L35" s="5" t="s">
        <v>352</v>
      </c>
      <c r="M35" s="3"/>
    </row>
    <row r="36" spans="1:13">
      <c r="A36" s="3">
        <v>35</v>
      </c>
      <c r="B36" s="4" t="s">
        <v>519</v>
      </c>
      <c r="C36" s="4" t="s">
        <v>18</v>
      </c>
      <c r="D36" s="3" t="s">
        <v>410</v>
      </c>
      <c r="E36" s="3" t="s">
        <v>25</v>
      </c>
      <c r="F36" s="3" t="s">
        <v>17</v>
      </c>
      <c r="G36" s="3" t="s">
        <v>411</v>
      </c>
      <c r="H36" s="3" t="s">
        <v>406</v>
      </c>
      <c r="I36" s="5" t="s">
        <v>542</v>
      </c>
      <c r="J36" s="3" t="s">
        <v>523</v>
      </c>
      <c r="K36" s="3" t="s">
        <v>524</v>
      </c>
      <c r="L36" s="5" t="s">
        <v>412</v>
      </c>
      <c r="M36" s="4" t="s">
        <v>627</v>
      </c>
    </row>
    <row r="37" spans="1:13">
      <c r="A37" s="3">
        <v>36</v>
      </c>
      <c r="B37" s="4" t="s">
        <v>519</v>
      </c>
      <c r="C37" s="4" t="s">
        <v>18</v>
      </c>
      <c r="D37" s="3" t="s">
        <v>413</v>
      </c>
      <c r="E37" s="3" t="s">
        <v>25</v>
      </c>
      <c r="F37" s="3" t="s">
        <v>17</v>
      </c>
      <c r="G37" s="3" t="s">
        <v>414</v>
      </c>
      <c r="H37" s="3" t="s">
        <v>406</v>
      </c>
      <c r="I37" s="5" t="s">
        <v>543</v>
      </c>
      <c r="J37" s="3" t="s">
        <v>523</v>
      </c>
      <c r="K37" s="3" t="s">
        <v>524</v>
      </c>
      <c r="L37" s="5" t="s">
        <v>415</v>
      </c>
      <c r="M37" s="4" t="s">
        <v>627</v>
      </c>
    </row>
    <row r="38" spans="1:13">
      <c r="A38" s="3">
        <v>37</v>
      </c>
      <c r="B38" s="4" t="s">
        <v>519</v>
      </c>
      <c r="C38" s="4" t="s">
        <v>18</v>
      </c>
      <c r="D38" s="3" t="s">
        <v>416</v>
      </c>
      <c r="E38" s="3" t="s">
        <v>25</v>
      </c>
      <c r="F38" s="3" t="s">
        <v>32</v>
      </c>
      <c r="G38" s="3" t="s">
        <v>417</v>
      </c>
      <c r="H38" s="3" t="s">
        <v>406</v>
      </c>
      <c r="I38" s="5" t="s">
        <v>544</v>
      </c>
      <c r="J38" s="3" t="s">
        <v>523</v>
      </c>
      <c r="K38" s="3" t="s">
        <v>524</v>
      </c>
      <c r="L38" s="5" t="s">
        <v>418</v>
      </c>
      <c r="M38" s="4" t="s">
        <v>627</v>
      </c>
    </row>
    <row r="39" spans="1:13">
      <c r="A39" s="3">
        <v>38</v>
      </c>
      <c r="B39" s="4" t="s">
        <v>519</v>
      </c>
      <c r="C39" s="4" t="s">
        <v>18</v>
      </c>
      <c r="D39" s="3" t="s">
        <v>419</v>
      </c>
      <c r="E39" s="3" t="s">
        <v>25</v>
      </c>
      <c r="F39" s="3" t="s">
        <v>19</v>
      </c>
      <c r="G39" s="3" t="s">
        <v>420</v>
      </c>
      <c r="H39" s="3" t="s">
        <v>406</v>
      </c>
      <c r="I39" s="5" t="s">
        <v>545</v>
      </c>
      <c r="J39" s="3" t="s">
        <v>523</v>
      </c>
      <c r="K39" s="3" t="s">
        <v>524</v>
      </c>
      <c r="L39" s="5" t="s">
        <v>421</v>
      </c>
      <c r="M39" s="4" t="s">
        <v>627</v>
      </c>
    </row>
    <row r="40" spans="1:13">
      <c r="A40" s="3">
        <v>39</v>
      </c>
      <c r="B40" s="4" t="s">
        <v>519</v>
      </c>
      <c r="C40" s="4" t="s">
        <v>18</v>
      </c>
      <c r="D40" s="3" t="s">
        <v>422</v>
      </c>
      <c r="E40" s="3" t="s">
        <v>25</v>
      </c>
      <c r="F40" s="3" t="s">
        <v>44</v>
      </c>
      <c r="G40" s="3" t="s">
        <v>423</v>
      </c>
      <c r="H40" s="3" t="s">
        <v>406</v>
      </c>
      <c r="I40" s="5" t="s">
        <v>546</v>
      </c>
      <c r="J40" s="3" t="s">
        <v>523</v>
      </c>
      <c r="K40" s="3" t="s">
        <v>524</v>
      </c>
      <c r="L40" s="5" t="s">
        <v>424</v>
      </c>
      <c r="M40" s="4" t="s">
        <v>627</v>
      </c>
    </row>
    <row r="41" spans="1:13">
      <c r="A41" s="3">
        <v>40</v>
      </c>
      <c r="B41" s="4" t="s">
        <v>519</v>
      </c>
      <c r="C41" s="4" t="s">
        <v>18</v>
      </c>
      <c r="D41" s="3" t="s">
        <v>425</v>
      </c>
      <c r="E41" s="3" t="s">
        <v>25</v>
      </c>
      <c r="F41" s="3" t="s">
        <v>19</v>
      </c>
      <c r="G41" s="3" t="s">
        <v>426</v>
      </c>
      <c r="H41" s="3" t="s">
        <v>406</v>
      </c>
      <c r="I41" s="5" t="s">
        <v>547</v>
      </c>
      <c r="J41" s="3" t="s">
        <v>523</v>
      </c>
      <c r="K41" s="3" t="s">
        <v>524</v>
      </c>
      <c r="L41" s="5" t="s">
        <v>427</v>
      </c>
      <c r="M41" s="4" t="s">
        <v>627</v>
      </c>
    </row>
    <row r="42" spans="1:13">
      <c r="A42" s="3">
        <v>41</v>
      </c>
      <c r="B42" s="4" t="s">
        <v>519</v>
      </c>
      <c r="C42" s="4" t="s">
        <v>18</v>
      </c>
      <c r="D42" s="3" t="s">
        <v>428</v>
      </c>
      <c r="E42" s="3" t="s">
        <v>25</v>
      </c>
      <c r="F42" s="3" t="s">
        <v>17</v>
      </c>
      <c r="G42" s="3" t="s">
        <v>429</v>
      </c>
      <c r="H42" s="3" t="s">
        <v>406</v>
      </c>
      <c r="I42" s="5" t="s">
        <v>548</v>
      </c>
      <c r="J42" s="3" t="s">
        <v>523</v>
      </c>
      <c r="K42" s="3" t="s">
        <v>524</v>
      </c>
      <c r="L42" s="5" t="s">
        <v>430</v>
      </c>
      <c r="M42" s="4" t="s">
        <v>627</v>
      </c>
    </row>
    <row r="43" spans="1:13">
      <c r="A43" s="3">
        <v>42</v>
      </c>
      <c r="B43" s="4" t="s">
        <v>519</v>
      </c>
      <c r="C43" s="4" t="s">
        <v>18</v>
      </c>
      <c r="D43" s="3" t="s">
        <v>431</v>
      </c>
      <c r="E43" s="3" t="s">
        <v>25</v>
      </c>
      <c r="F43" s="3" t="s">
        <v>44</v>
      </c>
      <c r="G43" s="3" t="s">
        <v>432</v>
      </c>
      <c r="H43" s="3" t="s">
        <v>406</v>
      </c>
      <c r="I43" s="5" t="s">
        <v>548</v>
      </c>
      <c r="J43" s="3" t="s">
        <v>523</v>
      </c>
      <c r="K43" s="3" t="s">
        <v>524</v>
      </c>
      <c r="L43" s="5" t="s">
        <v>430</v>
      </c>
      <c r="M43" s="4" t="s">
        <v>627</v>
      </c>
    </row>
    <row r="44" spans="1:13">
      <c r="A44" s="3">
        <v>43</v>
      </c>
      <c r="B44" s="4" t="s">
        <v>519</v>
      </c>
      <c r="C44" s="4" t="s">
        <v>18</v>
      </c>
      <c r="D44" s="3" t="s">
        <v>433</v>
      </c>
      <c r="E44" s="3" t="s">
        <v>25</v>
      </c>
      <c r="F44" s="3" t="s">
        <v>17</v>
      </c>
      <c r="G44" s="3" t="s">
        <v>434</v>
      </c>
      <c r="H44" s="3" t="s">
        <v>406</v>
      </c>
      <c r="I44" s="5" t="s">
        <v>549</v>
      </c>
      <c r="J44" s="3" t="s">
        <v>523</v>
      </c>
      <c r="K44" s="3" t="s">
        <v>524</v>
      </c>
      <c r="L44" s="5" t="s">
        <v>435</v>
      </c>
      <c r="M44" s="4" t="s">
        <v>627</v>
      </c>
    </row>
    <row r="45" spans="1:13">
      <c r="A45" s="3">
        <v>44</v>
      </c>
      <c r="B45" s="4" t="s">
        <v>519</v>
      </c>
      <c r="C45" s="4" t="s">
        <v>18</v>
      </c>
      <c r="D45" s="3" t="s">
        <v>436</v>
      </c>
      <c r="E45" s="3" t="s">
        <v>25</v>
      </c>
      <c r="F45" s="3" t="s">
        <v>17</v>
      </c>
      <c r="G45" s="3" t="s">
        <v>437</v>
      </c>
      <c r="H45" s="3" t="s">
        <v>406</v>
      </c>
      <c r="I45" s="5" t="s">
        <v>550</v>
      </c>
      <c r="J45" s="3" t="s">
        <v>523</v>
      </c>
      <c r="K45" s="3" t="s">
        <v>524</v>
      </c>
      <c r="L45" s="5" t="s">
        <v>438</v>
      </c>
      <c r="M45" s="4" t="s">
        <v>627</v>
      </c>
    </row>
    <row r="46" spans="1:13">
      <c r="A46" s="3">
        <v>45</v>
      </c>
      <c r="B46" s="4" t="s">
        <v>519</v>
      </c>
      <c r="C46" s="4" t="s">
        <v>18</v>
      </c>
      <c r="D46" s="3" t="s">
        <v>439</v>
      </c>
      <c r="E46" s="3" t="s">
        <v>25</v>
      </c>
      <c r="F46" s="3" t="s">
        <v>44</v>
      </c>
      <c r="G46" s="3" t="s">
        <v>440</v>
      </c>
      <c r="H46" s="3" t="s">
        <v>406</v>
      </c>
      <c r="I46" s="5" t="s">
        <v>442</v>
      </c>
      <c r="J46" s="3" t="s">
        <v>523</v>
      </c>
      <c r="K46" s="3" t="s">
        <v>524</v>
      </c>
      <c r="L46" s="5" t="s">
        <v>441</v>
      </c>
      <c r="M46" s="4" t="s">
        <v>627</v>
      </c>
    </row>
    <row r="47" spans="1:13">
      <c r="A47" s="3">
        <v>46</v>
      </c>
      <c r="B47" s="4" t="s">
        <v>519</v>
      </c>
      <c r="C47" s="4" t="s">
        <v>18</v>
      </c>
      <c r="D47" s="3" t="s">
        <v>443</v>
      </c>
      <c r="E47" s="3" t="s">
        <v>25</v>
      </c>
      <c r="F47" s="3" t="s">
        <v>44</v>
      </c>
      <c r="G47" s="3" t="s">
        <v>444</v>
      </c>
      <c r="H47" s="3" t="s">
        <v>406</v>
      </c>
      <c r="I47" s="5" t="s">
        <v>445</v>
      </c>
      <c r="J47" s="3" t="s">
        <v>523</v>
      </c>
      <c r="K47" s="3" t="s">
        <v>524</v>
      </c>
      <c r="L47" s="5" t="s">
        <v>441</v>
      </c>
      <c r="M47" s="4" t="s">
        <v>627</v>
      </c>
    </row>
    <row r="48" spans="1:13">
      <c r="A48" s="3">
        <v>47</v>
      </c>
      <c r="B48" s="4" t="s">
        <v>519</v>
      </c>
      <c r="C48" s="4" t="s">
        <v>18</v>
      </c>
      <c r="D48" s="3" t="s">
        <v>446</v>
      </c>
      <c r="E48" s="3" t="s">
        <v>25</v>
      </c>
      <c r="F48" s="3" t="s">
        <v>21</v>
      </c>
      <c r="G48" s="3" t="s">
        <v>447</v>
      </c>
      <c r="H48" s="3" t="s">
        <v>406</v>
      </c>
      <c r="I48" s="5" t="s">
        <v>551</v>
      </c>
      <c r="J48" s="3" t="s">
        <v>523</v>
      </c>
      <c r="K48" s="3" t="s">
        <v>524</v>
      </c>
      <c r="L48" s="5" t="s">
        <v>441</v>
      </c>
      <c r="M48" s="4" t="s">
        <v>627</v>
      </c>
    </row>
    <row r="49" spans="1:13">
      <c r="A49" s="3">
        <v>48</v>
      </c>
      <c r="B49" s="4" t="s">
        <v>519</v>
      </c>
      <c r="C49" s="4" t="e">
        <v>#N/A</v>
      </c>
      <c r="D49" s="3" t="s">
        <v>448</v>
      </c>
      <c r="E49" s="3" t="s">
        <v>25</v>
      </c>
      <c r="F49" s="3" t="s">
        <v>17</v>
      </c>
      <c r="G49" s="3" t="s">
        <v>449</v>
      </c>
      <c r="H49" s="3" t="s">
        <v>406</v>
      </c>
      <c r="I49" s="5" t="s">
        <v>544</v>
      </c>
      <c r="J49" s="3" t="s">
        <v>523</v>
      </c>
      <c r="K49" s="3" t="s">
        <v>524</v>
      </c>
      <c r="L49" s="5" t="s">
        <v>450</v>
      </c>
      <c r="M49" s="4" t="s">
        <v>627</v>
      </c>
    </row>
    <row r="50" spans="1:13">
      <c r="A50" s="3">
        <v>49</v>
      </c>
      <c r="B50" s="4" t="s">
        <v>519</v>
      </c>
      <c r="C50" s="4" t="s">
        <v>18</v>
      </c>
      <c r="D50" s="3" t="s">
        <v>451</v>
      </c>
      <c r="E50" s="3" t="s">
        <v>25</v>
      </c>
      <c r="F50" s="3" t="s">
        <v>44</v>
      </c>
      <c r="G50" s="3" t="s">
        <v>452</v>
      </c>
      <c r="H50" s="3" t="s">
        <v>406</v>
      </c>
      <c r="I50" s="5" t="s">
        <v>454</v>
      </c>
      <c r="J50" s="3" t="s">
        <v>523</v>
      </c>
      <c r="K50" s="3" t="s">
        <v>524</v>
      </c>
      <c r="L50" s="5" t="s">
        <v>453</v>
      </c>
      <c r="M50" s="4" t="s">
        <v>627</v>
      </c>
    </row>
    <row r="51" spans="1:13">
      <c r="A51" s="3">
        <v>50</v>
      </c>
      <c r="B51" s="4" t="s">
        <v>519</v>
      </c>
      <c r="C51" s="4" t="s">
        <v>18</v>
      </c>
      <c r="D51" s="3" t="s">
        <v>455</v>
      </c>
      <c r="E51" s="3" t="s">
        <v>25</v>
      </c>
      <c r="F51" s="3" t="s">
        <v>21</v>
      </c>
      <c r="G51" s="3" t="s">
        <v>456</v>
      </c>
      <c r="H51" s="3" t="s">
        <v>406</v>
      </c>
      <c r="I51" s="5" t="s">
        <v>552</v>
      </c>
      <c r="J51" s="3" t="s">
        <v>523</v>
      </c>
      <c r="K51" s="3" t="s">
        <v>524</v>
      </c>
      <c r="L51" s="5" t="s">
        <v>453</v>
      </c>
      <c r="M51" s="4" t="s">
        <v>627</v>
      </c>
    </row>
    <row r="52" spans="1:13">
      <c r="A52" s="3">
        <v>51</v>
      </c>
      <c r="B52" s="4" t="s">
        <v>519</v>
      </c>
      <c r="C52" s="4" t="s">
        <v>18</v>
      </c>
      <c r="D52" s="3" t="s">
        <v>457</v>
      </c>
      <c r="E52" s="3" t="s">
        <v>25</v>
      </c>
      <c r="F52" s="3" t="s">
        <v>21</v>
      </c>
      <c r="G52" s="3" t="s">
        <v>458</v>
      </c>
      <c r="H52" s="3" t="s">
        <v>406</v>
      </c>
      <c r="I52" s="5" t="s">
        <v>553</v>
      </c>
      <c r="J52" s="3" t="s">
        <v>523</v>
      </c>
      <c r="K52" s="3" t="s">
        <v>524</v>
      </c>
      <c r="L52" s="5" t="s">
        <v>453</v>
      </c>
      <c r="M52" s="4" t="s">
        <v>627</v>
      </c>
    </row>
    <row r="53" spans="1:13">
      <c r="A53" s="3">
        <v>52</v>
      </c>
      <c r="B53" s="4" t="s">
        <v>519</v>
      </c>
      <c r="C53" s="4" t="s">
        <v>18</v>
      </c>
      <c r="D53" s="3" t="s">
        <v>459</v>
      </c>
      <c r="E53" s="3" t="s">
        <v>25</v>
      </c>
      <c r="F53" s="3" t="s">
        <v>21</v>
      </c>
      <c r="G53" s="3" t="s">
        <v>460</v>
      </c>
      <c r="H53" s="3" t="s">
        <v>406</v>
      </c>
      <c r="I53" s="5" t="s">
        <v>554</v>
      </c>
      <c r="J53" s="3" t="s">
        <v>523</v>
      </c>
      <c r="K53" s="3" t="s">
        <v>524</v>
      </c>
      <c r="L53" s="5" t="s">
        <v>453</v>
      </c>
      <c r="M53" s="4" t="s">
        <v>627</v>
      </c>
    </row>
    <row r="54" spans="1:13">
      <c r="A54" s="3">
        <v>53</v>
      </c>
      <c r="B54" s="4" t="s">
        <v>519</v>
      </c>
      <c r="C54" s="4" t="s">
        <v>18</v>
      </c>
      <c r="D54" s="3" t="s">
        <v>461</v>
      </c>
      <c r="E54" s="3" t="s">
        <v>25</v>
      </c>
      <c r="F54" s="3" t="s">
        <v>21</v>
      </c>
      <c r="G54" s="3" t="s">
        <v>462</v>
      </c>
      <c r="H54" s="3" t="s">
        <v>406</v>
      </c>
      <c r="I54" s="5" t="s">
        <v>555</v>
      </c>
      <c r="J54" s="3" t="s">
        <v>523</v>
      </c>
      <c r="K54" s="3" t="s">
        <v>524</v>
      </c>
      <c r="L54" s="5" t="s">
        <v>453</v>
      </c>
      <c r="M54" s="4" t="s">
        <v>627</v>
      </c>
    </row>
    <row r="55" spans="1:13">
      <c r="A55" s="3">
        <v>54</v>
      </c>
      <c r="B55" s="4" t="s">
        <v>519</v>
      </c>
      <c r="C55" s="4" t="s">
        <v>18</v>
      </c>
      <c r="D55" s="3" t="s">
        <v>463</v>
      </c>
      <c r="E55" s="3" t="s">
        <v>25</v>
      </c>
      <c r="F55" s="3" t="s">
        <v>19</v>
      </c>
      <c r="G55" s="3" t="s">
        <v>464</v>
      </c>
      <c r="H55" s="3" t="s">
        <v>406</v>
      </c>
      <c r="I55" s="5" t="s">
        <v>466</v>
      </c>
      <c r="J55" s="3" t="s">
        <v>523</v>
      </c>
      <c r="K55" s="3" t="s">
        <v>524</v>
      </c>
      <c r="L55" s="5" t="s">
        <v>465</v>
      </c>
      <c r="M55" s="4" t="s">
        <v>627</v>
      </c>
    </row>
    <row r="56" spans="1:13">
      <c r="A56" s="3">
        <v>55</v>
      </c>
      <c r="B56" s="4" t="s">
        <v>519</v>
      </c>
      <c r="C56" s="4" t="s">
        <v>18</v>
      </c>
      <c r="D56" s="3" t="s">
        <v>467</v>
      </c>
      <c r="E56" s="3" t="s">
        <v>25</v>
      </c>
      <c r="F56" s="3" t="s">
        <v>19</v>
      </c>
      <c r="G56" s="3" t="s">
        <v>468</v>
      </c>
      <c r="H56" s="3" t="s">
        <v>406</v>
      </c>
      <c r="I56" s="5" t="s">
        <v>556</v>
      </c>
      <c r="J56" s="3" t="s">
        <v>523</v>
      </c>
      <c r="K56" s="3" t="s">
        <v>524</v>
      </c>
      <c r="L56" s="5" t="s">
        <v>469</v>
      </c>
      <c r="M56" s="4" t="s">
        <v>627</v>
      </c>
    </row>
    <row r="57" spans="1:13">
      <c r="A57" s="3">
        <v>56</v>
      </c>
      <c r="B57" s="4" t="s">
        <v>519</v>
      </c>
      <c r="C57" s="4" t="s">
        <v>18</v>
      </c>
      <c r="D57" s="3" t="s">
        <v>470</v>
      </c>
      <c r="E57" s="3" t="s">
        <v>25</v>
      </c>
      <c r="F57" s="3" t="s">
        <v>17</v>
      </c>
      <c r="G57" s="3" t="s">
        <v>471</v>
      </c>
      <c r="H57" s="3" t="s">
        <v>406</v>
      </c>
      <c r="I57" s="5" t="s">
        <v>557</v>
      </c>
      <c r="J57" s="3" t="s">
        <v>523</v>
      </c>
      <c r="K57" s="3" t="s">
        <v>524</v>
      </c>
      <c r="L57" s="5" t="s">
        <v>472</v>
      </c>
      <c r="M57" s="4" t="s">
        <v>627</v>
      </c>
    </row>
    <row r="58" spans="1:13">
      <c r="A58" s="3">
        <v>57</v>
      </c>
      <c r="B58" s="4" t="s">
        <v>519</v>
      </c>
      <c r="C58" s="4" t="s">
        <v>18</v>
      </c>
      <c r="D58" s="3" t="s">
        <v>473</v>
      </c>
      <c r="E58" s="3" t="s">
        <v>25</v>
      </c>
      <c r="F58" s="3" t="s">
        <v>19</v>
      </c>
      <c r="G58" s="3" t="s">
        <v>474</v>
      </c>
      <c r="H58" s="3" t="s">
        <v>406</v>
      </c>
      <c r="I58" s="5" t="s">
        <v>558</v>
      </c>
      <c r="J58" s="3" t="s">
        <v>523</v>
      </c>
      <c r="K58" s="3" t="s">
        <v>524</v>
      </c>
      <c r="L58" s="5" t="s">
        <v>475</v>
      </c>
      <c r="M58" s="4" t="s">
        <v>627</v>
      </c>
    </row>
    <row r="59" spans="1:13">
      <c r="A59" s="3">
        <v>58</v>
      </c>
      <c r="B59" s="4" t="s">
        <v>519</v>
      </c>
      <c r="C59" s="4" t="s">
        <v>18</v>
      </c>
      <c r="D59" s="3" t="s">
        <v>476</v>
      </c>
      <c r="E59" s="3" t="s">
        <v>25</v>
      </c>
      <c r="F59" s="3" t="s">
        <v>17</v>
      </c>
      <c r="G59" s="3" t="s">
        <v>477</v>
      </c>
      <c r="H59" s="3" t="s">
        <v>406</v>
      </c>
      <c r="I59" s="5" t="s">
        <v>559</v>
      </c>
      <c r="J59" s="3" t="s">
        <v>523</v>
      </c>
      <c r="K59" s="3" t="s">
        <v>524</v>
      </c>
      <c r="L59" s="5" t="s">
        <v>478</v>
      </c>
      <c r="M59" s="4" t="s">
        <v>627</v>
      </c>
    </row>
    <row r="60" spans="1:13">
      <c r="A60" s="3">
        <v>59</v>
      </c>
      <c r="B60" s="4" t="s">
        <v>519</v>
      </c>
      <c r="C60" s="4" t="s">
        <v>18</v>
      </c>
      <c r="D60" s="3" t="s">
        <v>479</v>
      </c>
      <c r="E60" s="3" t="s">
        <v>25</v>
      </c>
      <c r="F60" s="3" t="s">
        <v>19</v>
      </c>
      <c r="G60" s="3" t="s">
        <v>480</v>
      </c>
      <c r="H60" s="3" t="s">
        <v>406</v>
      </c>
      <c r="I60" s="5" t="s">
        <v>560</v>
      </c>
      <c r="J60" s="3" t="s">
        <v>523</v>
      </c>
      <c r="K60" s="3" t="s">
        <v>524</v>
      </c>
      <c r="L60" s="5" t="s">
        <v>481</v>
      </c>
      <c r="M60" s="4" t="s">
        <v>627</v>
      </c>
    </row>
    <row r="61" spans="1:13">
      <c r="A61" s="3">
        <v>60</v>
      </c>
      <c r="B61" s="4" t="s">
        <v>519</v>
      </c>
      <c r="C61" s="4" t="s">
        <v>18</v>
      </c>
      <c r="D61" s="3" t="s">
        <v>482</v>
      </c>
      <c r="E61" s="3" t="s">
        <v>25</v>
      </c>
      <c r="F61" s="3" t="s">
        <v>17</v>
      </c>
      <c r="G61" s="3" t="s">
        <v>483</v>
      </c>
      <c r="H61" s="3" t="s">
        <v>406</v>
      </c>
      <c r="I61" s="5" t="s">
        <v>561</v>
      </c>
      <c r="J61" s="3" t="s">
        <v>523</v>
      </c>
      <c r="K61" s="3" t="s">
        <v>524</v>
      </c>
      <c r="L61" s="5" t="s">
        <v>484</v>
      </c>
      <c r="M61" s="4" t="s">
        <v>627</v>
      </c>
    </row>
    <row r="62" spans="1:13">
      <c r="A62" s="3">
        <v>61</v>
      </c>
      <c r="B62" s="4" t="s">
        <v>519</v>
      </c>
      <c r="C62" s="4" t="s">
        <v>18</v>
      </c>
      <c r="D62" s="3" t="s">
        <v>500</v>
      </c>
      <c r="E62" s="3" t="s">
        <v>25</v>
      </c>
      <c r="F62" s="3" t="s">
        <v>32</v>
      </c>
      <c r="G62" s="3" t="s">
        <v>501</v>
      </c>
      <c r="H62" s="3" t="s">
        <v>492</v>
      </c>
      <c r="I62" s="5" t="s">
        <v>562</v>
      </c>
      <c r="J62" s="3" t="s">
        <v>523</v>
      </c>
      <c r="K62" s="3" t="s">
        <v>524</v>
      </c>
      <c r="L62" s="5" t="s">
        <v>502</v>
      </c>
      <c r="M62" s="4" t="s">
        <v>626</v>
      </c>
    </row>
    <row r="63" spans="1:13">
      <c r="A63" s="3">
        <v>62</v>
      </c>
      <c r="B63" s="4" t="s">
        <v>519</v>
      </c>
      <c r="C63" s="4" t="s">
        <v>18</v>
      </c>
      <c r="D63" s="3" t="s">
        <v>61</v>
      </c>
      <c r="E63" s="3" t="s">
        <v>25</v>
      </c>
      <c r="F63" s="3" t="s">
        <v>20</v>
      </c>
      <c r="G63" s="3" t="s">
        <v>62</v>
      </c>
      <c r="H63" s="3" t="s">
        <v>63</v>
      </c>
      <c r="I63" s="5" t="s">
        <v>563</v>
      </c>
      <c r="J63" s="3" t="s">
        <v>523</v>
      </c>
      <c r="K63" s="3" t="s">
        <v>525</v>
      </c>
      <c r="L63" s="5" t="s">
        <v>64</v>
      </c>
      <c r="M63" s="4" t="s">
        <v>628</v>
      </c>
    </row>
    <row r="64" spans="1:13">
      <c r="A64" s="3">
        <v>63</v>
      </c>
      <c r="B64" s="4" t="s">
        <v>519</v>
      </c>
      <c r="C64" s="4" t="s">
        <v>18</v>
      </c>
      <c r="D64" s="3" t="s">
        <v>65</v>
      </c>
      <c r="E64" s="3" t="s">
        <v>25</v>
      </c>
      <c r="F64" s="3" t="s">
        <v>20</v>
      </c>
      <c r="G64" s="3" t="s">
        <v>66</v>
      </c>
      <c r="H64" s="3" t="s">
        <v>63</v>
      </c>
      <c r="I64" s="5" t="s">
        <v>564</v>
      </c>
      <c r="J64" s="3" t="s">
        <v>523</v>
      </c>
      <c r="K64" s="3" t="s">
        <v>525</v>
      </c>
      <c r="L64" s="5" t="s">
        <v>67</v>
      </c>
      <c r="M64" s="4" t="s">
        <v>628</v>
      </c>
    </row>
    <row r="65" spans="1:13">
      <c r="A65" s="3">
        <v>64</v>
      </c>
      <c r="B65" s="4" t="s">
        <v>519</v>
      </c>
      <c r="C65" s="4" t="e">
        <v>#N/A</v>
      </c>
      <c r="D65" s="3" t="s">
        <v>68</v>
      </c>
      <c r="E65" s="3" t="s">
        <v>25</v>
      </c>
      <c r="F65" s="3" t="s">
        <v>32</v>
      </c>
      <c r="G65" s="3" t="s">
        <v>69</v>
      </c>
      <c r="H65" s="3" t="s">
        <v>63</v>
      </c>
      <c r="I65" s="5" t="s">
        <v>565</v>
      </c>
      <c r="J65" s="3" t="s">
        <v>523</v>
      </c>
      <c r="K65" s="3" t="s">
        <v>525</v>
      </c>
      <c r="L65" s="5" t="s">
        <v>70</v>
      </c>
      <c r="M65" s="4" t="s">
        <v>628</v>
      </c>
    </row>
    <row r="66" spans="1:13">
      <c r="A66" s="3">
        <v>65</v>
      </c>
      <c r="B66" s="4" t="s">
        <v>519</v>
      </c>
      <c r="C66" s="4" t="s">
        <v>18</v>
      </c>
      <c r="D66" s="3" t="s">
        <v>71</v>
      </c>
      <c r="E66" s="3" t="s">
        <v>25</v>
      </c>
      <c r="F66" s="3" t="s">
        <v>20</v>
      </c>
      <c r="G66" s="3" t="s">
        <v>72</v>
      </c>
      <c r="H66" s="3" t="s">
        <v>63</v>
      </c>
      <c r="I66" s="5" t="s">
        <v>566</v>
      </c>
      <c r="J66" s="3" t="s">
        <v>523</v>
      </c>
      <c r="K66" s="3" t="s">
        <v>525</v>
      </c>
      <c r="L66" s="5" t="s">
        <v>73</v>
      </c>
      <c r="M66" s="4" t="s">
        <v>628</v>
      </c>
    </row>
    <row r="67" spans="1:13">
      <c r="A67" s="3">
        <v>66</v>
      </c>
      <c r="B67" s="4" t="s">
        <v>519</v>
      </c>
      <c r="C67" s="4" t="s">
        <v>18</v>
      </c>
      <c r="D67" s="3" t="s">
        <v>74</v>
      </c>
      <c r="E67" s="3" t="s">
        <v>25</v>
      </c>
      <c r="F67" s="3" t="s">
        <v>32</v>
      </c>
      <c r="G67" s="3" t="s">
        <v>75</v>
      </c>
      <c r="H67" s="3" t="s">
        <v>63</v>
      </c>
      <c r="I67" s="5" t="s">
        <v>567</v>
      </c>
      <c r="J67" s="3" t="s">
        <v>523</v>
      </c>
      <c r="K67" s="3" t="s">
        <v>525</v>
      </c>
      <c r="L67" s="5" t="s">
        <v>76</v>
      </c>
      <c r="M67" s="4" t="s">
        <v>628</v>
      </c>
    </row>
    <row r="68" spans="1:13">
      <c r="A68" s="3">
        <v>67</v>
      </c>
      <c r="B68" s="4" t="s">
        <v>519</v>
      </c>
      <c r="C68" s="4">
        <v>90</v>
      </c>
      <c r="D68" s="3" t="s">
        <v>109</v>
      </c>
      <c r="E68" s="3" t="s">
        <v>25</v>
      </c>
      <c r="F68" s="3" t="s">
        <v>94</v>
      </c>
      <c r="G68" s="3" t="s">
        <v>110</v>
      </c>
      <c r="H68" s="3" t="s">
        <v>111</v>
      </c>
      <c r="I68" s="5" t="s">
        <v>112</v>
      </c>
      <c r="J68" s="3" t="s">
        <v>523</v>
      </c>
      <c r="K68" s="3" t="s">
        <v>525</v>
      </c>
      <c r="L68" s="5" t="s">
        <v>113</v>
      </c>
      <c r="M68" s="3"/>
    </row>
    <row r="69" spans="1:13">
      <c r="A69" s="3">
        <v>68</v>
      </c>
      <c r="B69" s="4" t="s">
        <v>519</v>
      </c>
      <c r="C69" s="4">
        <v>30</v>
      </c>
      <c r="D69" s="3" t="s">
        <v>114</v>
      </c>
      <c r="E69" s="3" t="s">
        <v>25</v>
      </c>
      <c r="F69" s="3" t="s">
        <v>21</v>
      </c>
      <c r="G69" s="3" t="s">
        <v>115</v>
      </c>
      <c r="H69" s="3" t="s">
        <v>111</v>
      </c>
      <c r="I69" s="5" t="s">
        <v>112</v>
      </c>
      <c r="J69" s="3" t="s">
        <v>523</v>
      </c>
      <c r="K69" s="3" t="s">
        <v>525</v>
      </c>
      <c r="L69" s="5" t="s">
        <v>113</v>
      </c>
      <c r="M69" s="3"/>
    </row>
    <row r="70" spans="1:13">
      <c r="A70" s="3">
        <v>69</v>
      </c>
      <c r="B70" s="4" t="s">
        <v>519</v>
      </c>
      <c r="C70" s="4">
        <v>60</v>
      </c>
      <c r="D70" s="3" t="s">
        <v>142</v>
      </c>
      <c r="E70" s="3" t="s">
        <v>25</v>
      </c>
      <c r="F70" s="3" t="s">
        <v>17</v>
      </c>
      <c r="G70" s="3" t="s">
        <v>143</v>
      </c>
      <c r="H70" s="3" t="s">
        <v>144</v>
      </c>
      <c r="I70" s="5" t="s">
        <v>145</v>
      </c>
      <c r="J70" s="3" t="s">
        <v>523</v>
      </c>
      <c r="K70" s="3" t="s">
        <v>525</v>
      </c>
      <c r="L70" s="5" t="s">
        <v>113</v>
      </c>
      <c r="M70" s="3"/>
    </row>
    <row r="71" spans="1:13">
      <c r="A71" s="3">
        <v>70</v>
      </c>
      <c r="B71" s="4" t="s">
        <v>519</v>
      </c>
      <c r="C71" s="4">
        <v>30</v>
      </c>
      <c r="D71" s="3" t="s">
        <v>223</v>
      </c>
      <c r="E71" s="3" t="s">
        <v>25</v>
      </c>
      <c r="F71" s="3" t="s">
        <v>23</v>
      </c>
      <c r="G71" s="3" t="s">
        <v>224</v>
      </c>
      <c r="H71" s="3" t="s">
        <v>225</v>
      </c>
      <c r="I71" s="5" t="s">
        <v>226</v>
      </c>
      <c r="J71" s="3" t="s">
        <v>523</v>
      </c>
      <c r="K71" s="3" t="s">
        <v>525</v>
      </c>
      <c r="L71" s="5" t="s">
        <v>227</v>
      </c>
      <c r="M71" s="3"/>
    </row>
    <row r="72" spans="1:13">
      <c r="A72" s="3">
        <v>71</v>
      </c>
      <c r="B72" s="4" t="s">
        <v>519</v>
      </c>
      <c r="C72" s="4" t="s">
        <v>18</v>
      </c>
      <c r="D72" s="3" t="s">
        <v>407</v>
      </c>
      <c r="E72" s="3" t="s">
        <v>25</v>
      </c>
      <c r="F72" s="3" t="s">
        <v>32</v>
      </c>
      <c r="G72" s="3" t="s">
        <v>408</v>
      </c>
      <c r="H72" s="3" t="s">
        <v>406</v>
      </c>
      <c r="I72" s="5" t="s">
        <v>568</v>
      </c>
      <c r="J72" s="3" t="s">
        <v>523</v>
      </c>
      <c r="K72" s="3" t="s">
        <v>525</v>
      </c>
      <c r="L72" s="5" t="s">
        <v>409</v>
      </c>
      <c r="M72" s="4" t="s">
        <v>627</v>
      </c>
    </row>
    <row r="73" spans="1:13">
      <c r="A73" s="3">
        <v>72</v>
      </c>
      <c r="B73" s="4" t="s">
        <v>519</v>
      </c>
      <c r="C73" s="4">
        <v>30</v>
      </c>
      <c r="D73" s="3" t="s">
        <v>24</v>
      </c>
      <c r="E73" s="3" t="s">
        <v>25</v>
      </c>
      <c r="F73" s="3" t="s">
        <v>22</v>
      </c>
      <c r="G73" s="3" t="s">
        <v>26</v>
      </c>
      <c r="H73" s="3" t="s">
        <v>27</v>
      </c>
      <c r="I73" s="5" t="s">
        <v>28</v>
      </c>
      <c r="J73" s="3" t="s">
        <v>523</v>
      </c>
      <c r="K73" s="3" t="s">
        <v>526</v>
      </c>
      <c r="L73" s="5" t="s">
        <v>29</v>
      </c>
      <c r="M73" s="3"/>
    </row>
    <row r="74" spans="1:13">
      <c r="A74" s="3">
        <v>73</v>
      </c>
      <c r="B74" s="4" t="s">
        <v>519</v>
      </c>
      <c r="C74" s="4">
        <v>30</v>
      </c>
      <c r="D74" s="3" t="s">
        <v>30</v>
      </c>
      <c r="E74" s="3" t="s">
        <v>25</v>
      </c>
      <c r="F74" s="3" t="s">
        <v>22</v>
      </c>
      <c r="G74" s="3" t="s">
        <v>31</v>
      </c>
      <c r="H74" s="3" t="s">
        <v>27</v>
      </c>
      <c r="I74" s="5" t="s">
        <v>28</v>
      </c>
      <c r="J74" s="3" t="s">
        <v>523</v>
      </c>
      <c r="K74" s="3" t="s">
        <v>526</v>
      </c>
      <c r="L74" s="5" t="s">
        <v>29</v>
      </c>
      <c r="M74" s="3"/>
    </row>
    <row r="75" spans="1:13">
      <c r="A75" s="3">
        <v>74</v>
      </c>
      <c r="B75" s="4" t="s">
        <v>519</v>
      </c>
      <c r="C75" s="4">
        <v>60</v>
      </c>
      <c r="D75" s="3" t="s">
        <v>165</v>
      </c>
      <c r="E75" s="3" t="s">
        <v>25</v>
      </c>
      <c r="F75" s="3" t="s">
        <v>16</v>
      </c>
      <c r="G75" s="3" t="s">
        <v>166</v>
      </c>
      <c r="H75" s="3" t="s">
        <v>167</v>
      </c>
      <c r="I75" s="5" t="s">
        <v>168</v>
      </c>
      <c r="J75" s="3" t="s">
        <v>523</v>
      </c>
      <c r="K75" s="3" t="s">
        <v>526</v>
      </c>
      <c r="L75" s="5" t="s">
        <v>169</v>
      </c>
      <c r="M75" s="3"/>
    </row>
    <row r="76" spans="1:13">
      <c r="A76" s="3">
        <v>75</v>
      </c>
      <c r="B76" s="4" t="s">
        <v>519</v>
      </c>
      <c r="C76" s="4" t="s">
        <v>18</v>
      </c>
      <c r="D76" s="3" t="s">
        <v>494</v>
      </c>
      <c r="E76" s="3" t="s">
        <v>25</v>
      </c>
      <c r="F76" s="3" t="s">
        <v>17</v>
      </c>
      <c r="G76" s="3" t="s">
        <v>495</v>
      </c>
      <c r="H76" s="3" t="s">
        <v>492</v>
      </c>
      <c r="I76" s="5" t="s">
        <v>569</v>
      </c>
      <c r="J76" s="3" t="s">
        <v>523</v>
      </c>
      <c r="K76" s="3" t="s">
        <v>526</v>
      </c>
      <c r="L76" s="5" t="s">
        <v>496</v>
      </c>
      <c r="M76" s="4" t="s">
        <v>626</v>
      </c>
    </row>
    <row r="77" spans="1:13">
      <c r="A77" s="3">
        <v>76</v>
      </c>
      <c r="B77" s="4" t="s">
        <v>519</v>
      </c>
      <c r="C77" s="4">
        <v>30</v>
      </c>
      <c r="D77" s="3" t="s">
        <v>104</v>
      </c>
      <c r="E77" s="3" t="s">
        <v>25</v>
      </c>
      <c r="F77" s="3" t="s">
        <v>20</v>
      </c>
      <c r="G77" s="3" t="s">
        <v>105</v>
      </c>
      <c r="H77" s="3" t="s">
        <v>106</v>
      </c>
      <c r="I77" s="5" t="s">
        <v>107</v>
      </c>
      <c r="J77" s="3" t="s">
        <v>523</v>
      </c>
      <c r="K77" s="3" t="s">
        <v>527</v>
      </c>
      <c r="L77" s="5" t="s">
        <v>108</v>
      </c>
      <c r="M77" s="3"/>
    </row>
    <row r="78" spans="1:13">
      <c r="A78" s="3">
        <v>77</v>
      </c>
      <c r="B78" s="4" t="s">
        <v>519</v>
      </c>
      <c r="C78" s="4">
        <v>30</v>
      </c>
      <c r="D78" s="3" t="s">
        <v>151</v>
      </c>
      <c r="E78" s="3" t="s">
        <v>25</v>
      </c>
      <c r="F78" s="3" t="s">
        <v>19</v>
      </c>
      <c r="G78" s="3" t="s">
        <v>152</v>
      </c>
      <c r="H78" s="3" t="s">
        <v>153</v>
      </c>
      <c r="I78" s="5" t="s">
        <v>154</v>
      </c>
      <c r="J78" s="3" t="s">
        <v>523</v>
      </c>
      <c r="K78" s="3" t="s">
        <v>527</v>
      </c>
      <c r="L78" s="5" t="s">
        <v>155</v>
      </c>
      <c r="M78" s="3"/>
    </row>
    <row r="79" spans="1:13">
      <c r="A79" s="3">
        <v>78</v>
      </c>
      <c r="B79" s="4" t="s">
        <v>519</v>
      </c>
      <c r="C79" s="4">
        <v>30</v>
      </c>
      <c r="D79" s="3" t="s">
        <v>195</v>
      </c>
      <c r="E79" s="3" t="s">
        <v>25</v>
      </c>
      <c r="F79" s="3" t="s">
        <v>21</v>
      </c>
      <c r="G79" s="3" t="s">
        <v>196</v>
      </c>
      <c r="H79" s="3" t="s">
        <v>197</v>
      </c>
      <c r="I79" s="5" t="s">
        <v>570</v>
      </c>
      <c r="J79" s="3" t="s">
        <v>523</v>
      </c>
      <c r="K79" s="3" t="s">
        <v>527</v>
      </c>
      <c r="L79" s="5" t="s">
        <v>198</v>
      </c>
      <c r="M79" s="3"/>
    </row>
    <row r="80" spans="1:13">
      <c r="A80" s="3">
        <v>79</v>
      </c>
      <c r="B80" s="4" t="s">
        <v>519</v>
      </c>
      <c r="C80" s="4">
        <v>30</v>
      </c>
      <c r="D80" s="3" t="s">
        <v>199</v>
      </c>
      <c r="E80" s="3" t="s">
        <v>25</v>
      </c>
      <c r="F80" s="3" t="s">
        <v>11</v>
      </c>
      <c r="G80" s="3" t="s">
        <v>200</v>
      </c>
      <c r="H80" s="3" t="s">
        <v>197</v>
      </c>
      <c r="I80" s="5" t="s">
        <v>571</v>
      </c>
      <c r="J80" s="3" t="s">
        <v>523</v>
      </c>
      <c r="K80" s="3" t="s">
        <v>527</v>
      </c>
      <c r="L80" s="5" t="s">
        <v>201</v>
      </c>
      <c r="M80" s="3"/>
    </row>
    <row r="81" spans="1:13">
      <c r="A81" s="3">
        <v>80</v>
      </c>
      <c r="B81" s="4" t="s">
        <v>519</v>
      </c>
      <c r="C81" s="4" t="s">
        <v>18</v>
      </c>
      <c r="D81" s="3" t="s">
        <v>503</v>
      </c>
      <c r="E81" s="3" t="s">
        <v>10</v>
      </c>
      <c r="F81" s="3" t="s">
        <v>23</v>
      </c>
      <c r="G81" s="3" t="s">
        <v>504</v>
      </c>
      <c r="H81" s="3" t="s">
        <v>505</v>
      </c>
      <c r="I81" s="5" t="s">
        <v>610</v>
      </c>
      <c r="J81" s="3" t="s">
        <v>523</v>
      </c>
      <c r="K81" s="3" t="s">
        <v>528</v>
      </c>
      <c r="L81" s="5" t="s">
        <v>506</v>
      </c>
      <c r="M81" s="4" t="s">
        <v>626</v>
      </c>
    </row>
    <row r="82" spans="1:13">
      <c r="A82" s="3">
        <v>81</v>
      </c>
      <c r="B82" s="4" t="s">
        <v>519</v>
      </c>
      <c r="C82" s="4" t="s">
        <v>18</v>
      </c>
      <c r="D82" s="3" t="s">
        <v>507</v>
      </c>
      <c r="E82" s="3" t="s">
        <v>10</v>
      </c>
      <c r="F82" s="3" t="s">
        <v>508</v>
      </c>
      <c r="G82" s="3" t="s">
        <v>509</v>
      </c>
      <c r="H82" s="3" t="s">
        <v>505</v>
      </c>
      <c r="I82" s="5" t="s">
        <v>611</v>
      </c>
      <c r="J82" s="3" t="s">
        <v>523</v>
      </c>
      <c r="K82" s="3" t="s">
        <v>528</v>
      </c>
      <c r="L82" s="5" t="s">
        <v>506</v>
      </c>
      <c r="M82" s="4" t="s">
        <v>626</v>
      </c>
    </row>
    <row r="83" spans="1:13">
      <c r="A83" s="3">
        <v>82</v>
      </c>
      <c r="B83" s="4" t="s">
        <v>519</v>
      </c>
      <c r="C83" s="4" t="s">
        <v>18</v>
      </c>
      <c r="D83" s="3" t="s">
        <v>510</v>
      </c>
      <c r="E83" s="3" t="s">
        <v>10</v>
      </c>
      <c r="F83" s="3" t="s">
        <v>508</v>
      </c>
      <c r="G83" s="3" t="s">
        <v>511</v>
      </c>
      <c r="H83" s="3" t="s">
        <v>505</v>
      </c>
      <c r="I83" s="5" t="s">
        <v>612</v>
      </c>
      <c r="J83" s="3" t="s">
        <v>523</v>
      </c>
      <c r="K83" s="3" t="s">
        <v>528</v>
      </c>
      <c r="L83" s="5" t="s">
        <v>506</v>
      </c>
      <c r="M83" s="4" t="s">
        <v>626</v>
      </c>
    </row>
    <row r="84" spans="1:13">
      <c r="A84" s="3">
        <v>83</v>
      </c>
      <c r="B84" s="4" t="s">
        <v>519</v>
      </c>
      <c r="C84" s="4">
        <v>30</v>
      </c>
      <c r="D84" s="3" t="s">
        <v>121</v>
      </c>
      <c r="E84" s="3" t="s">
        <v>25</v>
      </c>
      <c r="F84" s="3" t="s">
        <v>16</v>
      </c>
      <c r="G84" s="3" t="s">
        <v>122</v>
      </c>
      <c r="H84" s="3" t="s">
        <v>123</v>
      </c>
      <c r="I84" s="5" t="s">
        <v>124</v>
      </c>
      <c r="J84" s="3" t="s">
        <v>523</v>
      </c>
      <c r="K84" s="3" t="s">
        <v>529</v>
      </c>
      <c r="L84" s="5" t="s">
        <v>125</v>
      </c>
      <c r="M84" s="3"/>
    </row>
    <row r="85" spans="1:13">
      <c r="A85" s="3">
        <v>84</v>
      </c>
      <c r="B85" s="4" t="s">
        <v>519</v>
      </c>
      <c r="C85" s="4" t="s">
        <v>18</v>
      </c>
      <c r="D85" s="3" t="s">
        <v>192</v>
      </c>
      <c r="E85" s="3" t="s">
        <v>25</v>
      </c>
      <c r="F85" s="3" t="s">
        <v>11</v>
      </c>
      <c r="G85" s="3" t="s">
        <v>193</v>
      </c>
      <c r="H85" s="3" t="s">
        <v>185</v>
      </c>
      <c r="I85" s="5" t="s">
        <v>572</v>
      </c>
      <c r="J85" s="3" t="s">
        <v>523</v>
      </c>
      <c r="K85" s="3" t="s">
        <v>529</v>
      </c>
      <c r="L85" s="5" t="s">
        <v>194</v>
      </c>
      <c r="M85" s="4" t="s">
        <v>626</v>
      </c>
    </row>
    <row r="86" spans="1:13">
      <c r="A86" s="3">
        <v>85</v>
      </c>
      <c r="B86" s="4" t="s">
        <v>519</v>
      </c>
      <c r="C86" s="4">
        <v>30</v>
      </c>
      <c r="D86" s="3" t="s">
        <v>202</v>
      </c>
      <c r="E86" s="3" t="s">
        <v>25</v>
      </c>
      <c r="F86" s="3" t="s">
        <v>120</v>
      </c>
      <c r="G86" s="3" t="s">
        <v>203</v>
      </c>
      <c r="H86" s="3" t="s">
        <v>204</v>
      </c>
      <c r="I86" s="5" t="s">
        <v>573</v>
      </c>
      <c r="J86" s="3" t="s">
        <v>523</v>
      </c>
      <c r="K86" s="3" t="s">
        <v>529</v>
      </c>
      <c r="L86" s="5" t="s">
        <v>205</v>
      </c>
      <c r="M86" s="3"/>
    </row>
    <row r="87" spans="1:13">
      <c r="A87" s="3">
        <v>86</v>
      </c>
      <c r="B87" s="4" t="s">
        <v>519</v>
      </c>
      <c r="C87" s="4">
        <v>30</v>
      </c>
      <c r="D87" s="3" t="s">
        <v>206</v>
      </c>
      <c r="E87" s="3" t="s">
        <v>25</v>
      </c>
      <c r="F87" s="3" t="s">
        <v>120</v>
      </c>
      <c r="G87" s="3" t="s">
        <v>207</v>
      </c>
      <c r="H87" s="3" t="s">
        <v>204</v>
      </c>
      <c r="I87" s="5" t="s">
        <v>574</v>
      </c>
      <c r="J87" s="3" t="s">
        <v>523</v>
      </c>
      <c r="K87" s="3" t="s">
        <v>529</v>
      </c>
      <c r="L87" s="5" t="s">
        <v>205</v>
      </c>
      <c r="M87" s="3"/>
    </row>
    <row r="88" spans="1:13">
      <c r="A88" s="3">
        <v>87</v>
      </c>
      <c r="B88" s="4" t="s">
        <v>519</v>
      </c>
      <c r="C88" s="4" t="s">
        <v>18</v>
      </c>
      <c r="D88" s="3" t="s">
        <v>300</v>
      </c>
      <c r="E88" s="3" t="s">
        <v>25</v>
      </c>
      <c r="F88" s="3" t="s">
        <v>17</v>
      </c>
      <c r="G88" s="3" t="s">
        <v>301</v>
      </c>
      <c r="H88" s="3" t="s">
        <v>272</v>
      </c>
      <c r="I88" s="5" t="s">
        <v>575</v>
      </c>
      <c r="J88" s="3" t="s">
        <v>523</v>
      </c>
      <c r="K88" s="3" t="s">
        <v>529</v>
      </c>
      <c r="L88" s="5" t="s">
        <v>302</v>
      </c>
      <c r="M88" s="4" t="s">
        <v>627</v>
      </c>
    </row>
    <row r="89" spans="1:13">
      <c r="A89" s="3">
        <v>88</v>
      </c>
      <c r="B89" s="4" t="s">
        <v>519</v>
      </c>
      <c r="C89" s="4" t="e">
        <v>#N/A</v>
      </c>
      <c r="D89" s="3" t="s">
        <v>303</v>
      </c>
      <c r="E89" s="3" t="s">
        <v>25</v>
      </c>
      <c r="F89" s="3" t="s">
        <v>304</v>
      </c>
      <c r="G89" s="3" t="s">
        <v>305</v>
      </c>
      <c r="H89" s="3" t="s">
        <v>272</v>
      </c>
      <c r="I89" s="5" t="s">
        <v>576</v>
      </c>
      <c r="J89" s="3" t="s">
        <v>523</v>
      </c>
      <c r="K89" s="3" t="s">
        <v>529</v>
      </c>
      <c r="L89" s="5" t="s">
        <v>302</v>
      </c>
      <c r="M89" s="4" t="s">
        <v>627</v>
      </c>
    </row>
    <row r="90" spans="1:13">
      <c r="A90" s="3">
        <v>89</v>
      </c>
      <c r="B90" s="4" t="s">
        <v>519</v>
      </c>
      <c r="C90" s="4">
        <v>60</v>
      </c>
      <c r="D90" s="3" t="s">
        <v>95</v>
      </c>
      <c r="E90" s="3" t="s">
        <v>10</v>
      </c>
      <c r="F90" s="3" t="s">
        <v>32</v>
      </c>
      <c r="G90" s="3" t="s">
        <v>96</v>
      </c>
      <c r="H90" s="3" t="s">
        <v>97</v>
      </c>
      <c r="I90" s="5" t="s">
        <v>98</v>
      </c>
      <c r="J90" s="3" t="s">
        <v>523</v>
      </c>
      <c r="K90" s="3" t="s">
        <v>530</v>
      </c>
      <c r="L90" s="5" t="s">
        <v>99</v>
      </c>
      <c r="M90" s="3"/>
    </row>
    <row r="91" spans="1:13">
      <c r="A91" s="3">
        <v>90</v>
      </c>
      <c r="B91" s="4" t="s">
        <v>518</v>
      </c>
      <c r="C91" s="4" t="s">
        <v>18</v>
      </c>
      <c r="D91" s="3" t="s">
        <v>249</v>
      </c>
      <c r="E91" s="3" t="s">
        <v>10</v>
      </c>
      <c r="F91" s="3" t="s">
        <v>55</v>
      </c>
      <c r="G91" s="3" t="s">
        <v>250</v>
      </c>
      <c r="H91" s="3" t="s">
        <v>251</v>
      </c>
      <c r="I91" s="6" t="s">
        <v>623</v>
      </c>
      <c r="J91" s="3" t="s">
        <v>523</v>
      </c>
      <c r="K91" s="3" t="s">
        <v>530</v>
      </c>
      <c r="L91" s="5" t="s">
        <v>252</v>
      </c>
      <c r="M91" s="3"/>
    </row>
    <row r="92" spans="1:13">
      <c r="A92" s="3">
        <v>91</v>
      </c>
      <c r="B92" s="4" t="s">
        <v>518</v>
      </c>
      <c r="C92" s="4">
        <v>90</v>
      </c>
      <c r="D92" s="3" t="s">
        <v>253</v>
      </c>
      <c r="E92" s="3" t="s">
        <v>10</v>
      </c>
      <c r="F92" s="3" t="s">
        <v>17</v>
      </c>
      <c r="G92" s="3" t="s">
        <v>254</v>
      </c>
      <c r="H92" s="3" t="s">
        <v>251</v>
      </c>
      <c r="I92" s="6" t="s">
        <v>624</v>
      </c>
      <c r="J92" s="3" t="s">
        <v>523</v>
      </c>
      <c r="K92" s="3" t="s">
        <v>530</v>
      </c>
      <c r="L92" s="5" t="s">
        <v>255</v>
      </c>
      <c r="M92" s="3"/>
    </row>
    <row r="93" spans="1:13">
      <c r="A93" s="3">
        <v>92</v>
      </c>
      <c r="B93" s="4" t="s">
        <v>518</v>
      </c>
      <c r="C93" s="4">
        <v>90</v>
      </c>
      <c r="D93" s="3" t="s">
        <v>256</v>
      </c>
      <c r="E93" s="3" t="s">
        <v>10</v>
      </c>
      <c r="F93" s="3" t="s">
        <v>17</v>
      </c>
      <c r="G93" s="3" t="s">
        <v>257</v>
      </c>
      <c r="H93" s="3" t="s">
        <v>251</v>
      </c>
      <c r="I93" s="6" t="s">
        <v>622</v>
      </c>
      <c r="J93" s="3" t="s">
        <v>523</v>
      </c>
      <c r="K93" s="3" t="s">
        <v>530</v>
      </c>
      <c r="L93" s="5" t="s">
        <v>258</v>
      </c>
      <c r="M93" s="3"/>
    </row>
    <row r="94" spans="1:13">
      <c r="A94" s="3">
        <v>93</v>
      </c>
      <c r="B94" s="4" t="s">
        <v>518</v>
      </c>
      <c r="C94" s="4" t="e">
        <v>#N/A</v>
      </c>
      <c r="D94" s="3" t="s">
        <v>259</v>
      </c>
      <c r="E94" s="3" t="s">
        <v>10</v>
      </c>
      <c r="F94" s="3" t="s">
        <v>17</v>
      </c>
      <c r="G94" s="3" t="s">
        <v>254</v>
      </c>
      <c r="H94" s="3" t="s">
        <v>251</v>
      </c>
      <c r="I94" s="5" t="s">
        <v>613</v>
      </c>
      <c r="J94" s="3" t="s">
        <v>523</v>
      </c>
      <c r="K94" s="3" t="s">
        <v>530</v>
      </c>
      <c r="L94" s="5" t="s">
        <v>260</v>
      </c>
      <c r="M94" s="3"/>
    </row>
    <row r="95" spans="1:13">
      <c r="A95" s="3">
        <v>94</v>
      </c>
      <c r="B95" s="4" t="s">
        <v>519</v>
      </c>
      <c r="C95" s="4" t="e">
        <v>#N/A</v>
      </c>
      <c r="D95" s="3" t="s">
        <v>353</v>
      </c>
      <c r="E95" s="3" t="s">
        <v>10</v>
      </c>
      <c r="F95" s="3" t="s">
        <v>16</v>
      </c>
      <c r="G95" s="3" t="s">
        <v>354</v>
      </c>
      <c r="H95" s="3" t="s">
        <v>355</v>
      </c>
      <c r="I95" s="5" t="s">
        <v>614</v>
      </c>
      <c r="J95" s="3" t="s">
        <v>523</v>
      </c>
      <c r="K95" s="3" t="s">
        <v>530</v>
      </c>
      <c r="L95" s="5" t="s">
        <v>356</v>
      </c>
      <c r="M95" s="4" t="s">
        <v>627</v>
      </c>
    </row>
    <row r="96" spans="1:13">
      <c r="A96" s="3">
        <v>95</v>
      </c>
      <c r="B96" s="4" t="s">
        <v>519</v>
      </c>
      <c r="C96" s="4" t="s">
        <v>18</v>
      </c>
      <c r="D96" s="3" t="s">
        <v>357</v>
      </c>
      <c r="E96" s="3" t="s">
        <v>10</v>
      </c>
      <c r="F96" s="3" t="s">
        <v>11</v>
      </c>
      <c r="G96" s="3" t="s">
        <v>358</v>
      </c>
      <c r="H96" s="3" t="s">
        <v>355</v>
      </c>
      <c r="I96" s="5" t="s">
        <v>615</v>
      </c>
      <c r="J96" s="3" t="s">
        <v>523</v>
      </c>
      <c r="K96" s="3" t="s">
        <v>530</v>
      </c>
      <c r="L96" s="5" t="s">
        <v>356</v>
      </c>
      <c r="M96" s="4" t="s">
        <v>627</v>
      </c>
    </row>
    <row r="97" spans="1:13">
      <c r="A97" s="3">
        <v>96</v>
      </c>
      <c r="B97" s="4" t="s">
        <v>519</v>
      </c>
      <c r="C97" s="4" t="s">
        <v>18</v>
      </c>
      <c r="D97" s="3" t="s">
        <v>359</v>
      </c>
      <c r="E97" s="3" t="s">
        <v>10</v>
      </c>
      <c r="F97" s="3" t="s">
        <v>17</v>
      </c>
      <c r="G97" s="3" t="s">
        <v>360</v>
      </c>
      <c r="H97" s="3" t="s">
        <v>355</v>
      </c>
      <c r="I97" s="5" t="s">
        <v>616</v>
      </c>
      <c r="J97" s="3" t="s">
        <v>523</v>
      </c>
      <c r="K97" s="3" t="s">
        <v>530</v>
      </c>
      <c r="L97" s="5" t="s">
        <v>356</v>
      </c>
      <c r="M97" s="4" t="s">
        <v>627</v>
      </c>
    </row>
    <row r="98" spans="1:13">
      <c r="A98" s="3">
        <v>97</v>
      </c>
      <c r="B98" s="4" t="s">
        <v>519</v>
      </c>
      <c r="C98" s="4" t="s">
        <v>18</v>
      </c>
      <c r="D98" s="3" t="s">
        <v>361</v>
      </c>
      <c r="E98" s="3" t="s">
        <v>10</v>
      </c>
      <c r="F98" s="3" t="s">
        <v>32</v>
      </c>
      <c r="G98" s="3" t="s">
        <v>362</v>
      </c>
      <c r="H98" s="3" t="s">
        <v>355</v>
      </c>
      <c r="I98" s="5" t="s">
        <v>617</v>
      </c>
      <c r="J98" s="3" t="s">
        <v>523</v>
      </c>
      <c r="K98" s="3" t="s">
        <v>530</v>
      </c>
      <c r="L98" s="5" t="s">
        <v>356</v>
      </c>
      <c r="M98" s="4" t="s">
        <v>627</v>
      </c>
    </row>
    <row r="99" spans="1:13">
      <c r="A99" s="3">
        <v>98</v>
      </c>
      <c r="B99" s="4" t="s">
        <v>519</v>
      </c>
      <c r="C99" s="4" t="e">
        <v>#N/A</v>
      </c>
      <c r="D99" s="3" t="s">
        <v>363</v>
      </c>
      <c r="E99" s="3" t="s">
        <v>10</v>
      </c>
      <c r="F99" s="3" t="s">
        <v>20</v>
      </c>
      <c r="G99" s="3" t="s">
        <v>364</v>
      </c>
      <c r="H99" s="3" t="s">
        <v>355</v>
      </c>
      <c r="I99" s="5" t="s">
        <v>618</v>
      </c>
      <c r="J99" s="3" t="s">
        <v>523</v>
      </c>
      <c r="K99" s="3" t="s">
        <v>530</v>
      </c>
      <c r="L99" s="5" t="s">
        <v>356</v>
      </c>
      <c r="M99" s="4" t="s">
        <v>627</v>
      </c>
    </row>
    <row r="100" spans="1:13">
      <c r="A100" s="3">
        <v>99</v>
      </c>
      <c r="B100" s="4" t="s">
        <v>519</v>
      </c>
      <c r="C100" s="4">
        <v>30</v>
      </c>
      <c r="D100" s="3" t="s">
        <v>485</v>
      </c>
      <c r="E100" s="3" t="s">
        <v>10</v>
      </c>
      <c r="F100" s="3" t="s">
        <v>19</v>
      </c>
      <c r="G100" s="3" t="s">
        <v>486</v>
      </c>
      <c r="H100" s="3" t="s">
        <v>487</v>
      </c>
      <c r="I100" s="5" t="s">
        <v>488</v>
      </c>
      <c r="J100" s="3" t="s">
        <v>523</v>
      </c>
      <c r="K100" s="3" t="s">
        <v>530</v>
      </c>
      <c r="L100" s="5" t="s">
        <v>489</v>
      </c>
      <c r="M100" s="4" t="s">
        <v>626</v>
      </c>
    </row>
    <row r="101" spans="1:13">
      <c r="A101" s="3">
        <v>100</v>
      </c>
      <c r="B101" s="4" t="s">
        <v>519</v>
      </c>
      <c r="C101" s="4" t="s">
        <v>18</v>
      </c>
      <c r="D101" s="3" t="s">
        <v>490</v>
      </c>
      <c r="E101" s="3" t="s">
        <v>10</v>
      </c>
      <c r="F101" s="3" t="s">
        <v>17</v>
      </c>
      <c r="G101" s="3" t="s">
        <v>491</v>
      </c>
      <c r="H101" s="3" t="s">
        <v>492</v>
      </c>
      <c r="I101" s="5" t="s">
        <v>619</v>
      </c>
      <c r="J101" s="3" t="s">
        <v>523</v>
      </c>
      <c r="K101" s="3" t="s">
        <v>530</v>
      </c>
      <c r="L101" s="5" t="s">
        <v>493</v>
      </c>
      <c r="M101" s="4" t="s">
        <v>626</v>
      </c>
    </row>
    <row r="102" spans="1:13">
      <c r="A102" s="3">
        <v>101</v>
      </c>
      <c r="B102" s="4" t="s">
        <v>519</v>
      </c>
      <c r="C102" s="4" t="s">
        <v>18</v>
      </c>
      <c r="D102" s="3" t="s">
        <v>82</v>
      </c>
      <c r="E102" s="3" t="s">
        <v>25</v>
      </c>
      <c r="F102" s="3" t="s">
        <v>44</v>
      </c>
      <c r="G102" s="3" t="s">
        <v>83</v>
      </c>
      <c r="H102" s="3" t="s">
        <v>84</v>
      </c>
      <c r="I102" s="5" t="s">
        <v>577</v>
      </c>
      <c r="J102" s="3" t="s">
        <v>523</v>
      </c>
      <c r="K102" s="3" t="s">
        <v>531</v>
      </c>
      <c r="L102" s="5" t="s">
        <v>85</v>
      </c>
      <c r="M102" s="4" t="s">
        <v>627</v>
      </c>
    </row>
    <row r="103" spans="1:13">
      <c r="A103" s="3">
        <v>102</v>
      </c>
      <c r="B103" s="4" t="s">
        <v>519</v>
      </c>
      <c r="C103" s="4" t="s">
        <v>18</v>
      </c>
      <c r="D103" s="3" t="s">
        <v>86</v>
      </c>
      <c r="E103" s="3" t="s">
        <v>25</v>
      </c>
      <c r="F103" s="3" t="s">
        <v>11</v>
      </c>
      <c r="G103" s="3" t="s">
        <v>87</v>
      </c>
      <c r="H103" s="3" t="s">
        <v>84</v>
      </c>
      <c r="I103" s="5" t="s">
        <v>578</v>
      </c>
      <c r="J103" s="3" t="s">
        <v>523</v>
      </c>
      <c r="K103" s="3" t="s">
        <v>531</v>
      </c>
      <c r="L103" s="5" t="s">
        <v>88</v>
      </c>
      <c r="M103" s="4" t="s">
        <v>627</v>
      </c>
    </row>
    <row r="104" spans="1:13">
      <c r="A104" s="3">
        <v>103</v>
      </c>
      <c r="B104" s="4" t="s">
        <v>519</v>
      </c>
      <c r="C104" s="4" t="s">
        <v>18</v>
      </c>
      <c r="D104" s="3" t="s">
        <v>89</v>
      </c>
      <c r="E104" s="3" t="s">
        <v>25</v>
      </c>
      <c r="F104" s="3" t="s">
        <v>16</v>
      </c>
      <c r="G104" s="3" t="s">
        <v>90</v>
      </c>
      <c r="H104" s="3" t="s">
        <v>84</v>
      </c>
      <c r="I104" s="5" t="s">
        <v>579</v>
      </c>
      <c r="J104" s="3" t="s">
        <v>523</v>
      </c>
      <c r="K104" s="3" t="s">
        <v>531</v>
      </c>
      <c r="L104" s="5" t="s">
        <v>91</v>
      </c>
      <c r="M104" s="4" t="s">
        <v>627</v>
      </c>
    </row>
    <row r="105" spans="1:13">
      <c r="A105" s="3">
        <v>104</v>
      </c>
      <c r="B105" s="4" t="s">
        <v>519</v>
      </c>
      <c r="C105" s="4" t="s">
        <v>18</v>
      </c>
      <c r="D105" s="3" t="s">
        <v>92</v>
      </c>
      <c r="E105" s="3" t="s">
        <v>25</v>
      </c>
      <c r="F105" s="3" t="s">
        <v>20</v>
      </c>
      <c r="G105" s="3" t="s">
        <v>93</v>
      </c>
      <c r="H105" s="3" t="s">
        <v>84</v>
      </c>
      <c r="I105" s="5" t="s">
        <v>580</v>
      </c>
      <c r="J105" s="3" t="s">
        <v>523</v>
      </c>
      <c r="K105" s="3" t="s">
        <v>531</v>
      </c>
      <c r="L105" s="5" t="s">
        <v>91</v>
      </c>
      <c r="M105" s="4" t="s">
        <v>627</v>
      </c>
    </row>
    <row r="106" spans="1:13">
      <c r="A106" s="3">
        <v>105</v>
      </c>
      <c r="B106" s="4" t="s">
        <v>519</v>
      </c>
      <c r="C106" s="4">
        <v>30</v>
      </c>
      <c r="D106" s="3" t="s">
        <v>116</v>
      </c>
      <c r="E106" s="3" t="s">
        <v>25</v>
      </c>
      <c r="F106" s="3" t="s">
        <v>17</v>
      </c>
      <c r="G106" s="3" t="s">
        <v>117</v>
      </c>
      <c r="H106" s="3" t="s">
        <v>118</v>
      </c>
      <c r="I106" s="5" t="s">
        <v>581</v>
      </c>
      <c r="J106" s="3" t="s">
        <v>523</v>
      </c>
      <c r="K106" s="3" t="s">
        <v>531</v>
      </c>
      <c r="L106" s="5" t="s">
        <v>119</v>
      </c>
      <c r="M106" s="3"/>
    </row>
    <row r="107" spans="1:13">
      <c r="A107" s="3">
        <v>106</v>
      </c>
      <c r="B107" s="4" t="s">
        <v>519</v>
      </c>
      <c r="C107" s="4">
        <v>30</v>
      </c>
      <c r="D107" s="3" t="s">
        <v>136</v>
      </c>
      <c r="E107" s="3" t="s">
        <v>25</v>
      </c>
      <c r="F107" s="3" t="s">
        <v>32</v>
      </c>
      <c r="G107" s="3" t="s">
        <v>54</v>
      </c>
      <c r="H107" s="3" t="s">
        <v>137</v>
      </c>
      <c r="I107" s="5" t="s">
        <v>582</v>
      </c>
      <c r="J107" s="3" t="s">
        <v>523</v>
      </c>
      <c r="K107" s="3" t="s">
        <v>531</v>
      </c>
      <c r="L107" s="5" t="s">
        <v>138</v>
      </c>
      <c r="M107" s="3"/>
    </row>
    <row r="108" spans="1:13">
      <c r="A108" s="3">
        <v>107</v>
      </c>
      <c r="B108" s="4" t="s">
        <v>519</v>
      </c>
      <c r="C108" s="4">
        <v>30</v>
      </c>
      <c r="D108" s="3" t="s">
        <v>139</v>
      </c>
      <c r="E108" s="3" t="s">
        <v>25</v>
      </c>
      <c r="F108" s="3" t="s">
        <v>32</v>
      </c>
      <c r="G108" s="3" t="s">
        <v>140</v>
      </c>
      <c r="H108" s="3" t="s">
        <v>137</v>
      </c>
      <c r="I108" s="5" t="s">
        <v>583</v>
      </c>
      <c r="J108" s="3" t="s">
        <v>523</v>
      </c>
      <c r="K108" s="3" t="s">
        <v>531</v>
      </c>
      <c r="L108" s="5" t="s">
        <v>141</v>
      </c>
      <c r="M108" s="3"/>
    </row>
    <row r="109" spans="1:13">
      <c r="A109" s="3">
        <v>108</v>
      </c>
      <c r="B109" s="4" t="s">
        <v>519</v>
      </c>
      <c r="C109" s="4">
        <v>60</v>
      </c>
      <c r="D109" s="3" t="s">
        <v>156</v>
      </c>
      <c r="E109" s="3" t="s">
        <v>25</v>
      </c>
      <c r="F109" s="3" t="s">
        <v>16</v>
      </c>
      <c r="G109" s="3" t="s">
        <v>157</v>
      </c>
      <c r="H109" s="3" t="s">
        <v>158</v>
      </c>
      <c r="I109" s="5" t="s">
        <v>159</v>
      </c>
      <c r="J109" s="3" t="s">
        <v>523</v>
      </c>
      <c r="K109" s="3" t="s">
        <v>531</v>
      </c>
      <c r="L109" s="5" t="s">
        <v>160</v>
      </c>
      <c r="M109" s="3"/>
    </row>
    <row r="110" spans="1:13">
      <c r="A110" s="3">
        <v>109</v>
      </c>
      <c r="B110" s="4" t="s">
        <v>519</v>
      </c>
      <c r="C110" s="4" t="s">
        <v>18</v>
      </c>
      <c r="D110" s="3" t="s">
        <v>208</v>
      </c>
      <c r="E110" s="3" t="s">
        <v>25</v>
      </c>
      <c r="F110" s="3" t="s">
        <v>44</v>
      </c>
      <c r="G110" s="3" t="s">
        <v>209</v>
      </c>
      <c r="H110" s="3" t="s">
        <v>210</v>
      </c>
      <c r="I110" s="5" t="s">
        <v>211</v>
      </c>
      <c r="J110" s="3" t="s">
        <v>523</v>
      </c>
      <c r="K110" s="3" t="s">
        <v>531</v>
      </c>
      <c r="L110" s="5" t="s">
        <v>212</v>
      </c>
      <c r="M110" s="4" t="s">
        <v>627</v>
      </c>
    </row>
    <row r="111" spans="1:13">
      <c r="A111" s="3">
        <v>110</v>
      </c>
      <c r="B111" s="4" t="s">
        <v>519</v>
      </c>
      <c r="C111" s="4" t="s">
        <v>18</v>
      </c>
      <c r="D111" s="3" t="s">
        <v>270</v>
      </c>
      <c r="E111" s="3" t="s">
        <v>25</v>
      </c>
      <c r="F111" s="3" t="s">
        <v>32</v>
      </c>
      <c r="G111" s="3" t="s">
        <v>271</v>
      </c>
      <c r="H111" s="3" t="s">
        <v>272</v>
      </c>
      <c r="I111" s="5" t="s">
        <v>584</v>
      </c>
      <c r="J111" s="3" t="s">
        <v>523</v>
      </c>
      <c r="K111" s="3" t="s">
        <v>531</v>
      </c>
      <c r="L111" s="5" t="s">
        <v>273</v>
      </c>
      <c r="M111" s="4" t="s">
        <v>627</v>
      </c>
    </row>
    <row r="112" spans="1:13">
      <c r="A112" s="3">
        <v>111</v>
      </c>
      <c r="B112" s="4" t="s">
        <v>519</v>
      </c>
      <c r="C112" s="4" t="e">
        <v>#N/A</v>
      </c>
      <c r="D112" s="3" t="s">
        <v>274</v>
      </c>
      <c r="E112" s="3" t="s">
        <v>25</v>
      </c>
      <c r="F112" s="3" t="s">
        <v>20</v>
      </c>
      <c r="G112" s="3" t="s">
        <v>275</v>
      </c>
      <c r="H112" s="3" t="s">
        <v>272</v>
      </c>
      <c r="I112" s="5" t="s">
        <v>585</v>
      </c>
      <c r="J112" s="3" t="s">
        <v>523</v>
      </c>
      <c r="K112" s="3" t="s">
        <v>531</v>
      </c>
      <c r="L112" s="5" t="s">
        <v>273</v>
      </c>
      <c r="M112" s="4" t="s">
        <v>627</v>
      </c>
    </row>
    <row r="113" spans="1:13">
      <c r="A113" s="3">
        <v>112</v>
      </c>
      <c r="B113" s="4" t="s">
        <v>519</v>
      </c>
      <c r="C113" s="4" t="s">
        <v>18</v>
      </c>
      <c r="D113" s="3" t="s">
        <v>276</v>
      </c>
      <c r="E113" s="3" t="s">
        <v>25</v>
      </c>
      <c r="F113" s="3" t="s">
        <v>32</v>
      </c>
      <c r="G113" s="3" t="s">
        <v>277</v>
      </c>
      <c r="H113" s="3" t="s">
        <v>272</v>
      </c>
      <c r="I113" s="5" t="s">
        <v>586</v>
      </c>
      <c r="J113" s="3" t="s">
        <v>523</v>
      </c>
      <c r="K113" s="3" t="s">
        <v>531</v>
      </c>
      <c r="L113" s="5" t="s">
        <v>278</v>
      </c>
      <c r="M113" s="4" t="s">
        <v>627</v>
      </c>
    </row>
    <row r="114" spans="1:13">
      <c r="A114" s="3">
        <v>113</v>
      </c>
      <c r="B114" s="4" t="s">
        <v>519</v>
      </c>
      <c r="C114" s="4" t="s">
        <v>18</v>
      </c>
      <c r="D114" s="3" t="s">
        <v>279</v>
      </c>
      <c r="E114" s="3" t="s">
        <v>25</v>
      </c>
      <c r="F114" s="3" t="s">
        <v>20</v>
      </c>
      <c r="G114" s="3" t="s">
        <v>280</v>
      </c>
      <c r="H114" s="3" t="s">
        <v>272</v>
      </c>
      <c r="I114" s="5" t="s">
        <v>587</v>
      </c>
      <c r="J114" s="3" t="s">
        <v>523</v>
      </c>
      <c r="K114" s="3" t="s">
        <v>531</v>
      </c>
      <c r="L114" s="5" t="s">
        <v>278</v>
      </c>
      <c r="M114" s="4" t="s">
        <v>627</v>
      </c>
    </row>
    <row r="115" spans="1:13">
      <c r="A115" s="3">
        <v>114</v>
      </c>
      <c r="B115" s="4" t="s">
        <v>519</v>
      </c>
      <c r="C115" s="4" t="s">
        <v>18</v>
      </c>
      <c r="D115" s="3" t="s">
        <v>281</v>
      </c>
      <c r="E115" s="3" t="s">
        <v>25</v>
      </c>
      <c r="F115" s="3" t="s">
        <v>20</v>
      </c>
      <c r="G115" s="3" t="s">
        <v>282</v>
      </c>
      <c r="H115" s="3" t="s">
        <v>272</v>
      </c>
      <c r="I115" s="5" t="s">
        <v>588</v>
      </c>
      <c r="J115" s="3" t="s">
        <v>523</v>
      </c>
      <c r="K115" s="3" t="s">
        <v>531</v>
      </c>
      <c r="L115" s="5" t="s">
        <v>283</v>
      </c>
      <c r="M115" s="4" t="s">
        <v>627</v>
      </c>
    </row>
    <row r="116" spans="1:13">
      <c r="A116" s="3">
        <v>115</v>
      </c>
      <c r="B116" s="4" t="s">
        <v>519</v>
      </c>
      <c r="C116" s="4" t="e">
        <v>#N/A</v>
      </c>
      <c r="D116" s="3" t="s">
        <v>284</v>
      </c>
      <c r="E116" s="3" t="s">
        <v>25</v>
      </c>
      <c r="F116" s="3" t="s">
        <v>17</v>
      </c>
      <c r="G116" s="3" t="s">
        <v>285</v>
      </c>
      <c r="H116" s="3" t="s">
        <v>272</v>
      </c>
      <c r="I116" s="5" t="s">
        <v>589</v>
      </c>
      <c r="J116" s="3" t="s">
        <v>523</v>
      </c>
      <c r="K116" s="3" t="s">
        <v>531</v>
      </c>
      <c r="L116" s="5" t="s">
        <v>286</v>
      </c>
      <c r="M116" s="4" t="s">
        <v>627</v>
      </c>
    </row>
    <row r="117" spans="1:13">
      <c r="A117" s="3">
        <v>116</v>
      </c>
      <c r="B117" s="4" t="s">
        <v>519</v>
      </c>
      <c r="C117" s="4" t="s">
        <v>18</v>
      </c>
      <c r="D117" s="3" t="s">
        <v>287</v>
      </c>
      <c r="E117" s="3" t="s">
        <v>25</v>
      </c>
      <c r="F117" s="3" t="s">
        <v>32</v>
      </c>
      <c r="G117" s="3" t="s">
        <v>288</v>
      </c>
      <c r="H117" s="3" t="s">
        <v>272</v>
      </c>
      <c r="I117" s="5" t="s">
        <v>590</v>
      </c>
      <c r="J117" s="3" t="s">
        <v>523</v>
      </c>
      <c r="K117" s="3" t="s">
        <v>531</v>
      </c>
      <c r="L117" s="5" t="s">
        <v>286</v>
      </c>
      <c r="M117" s="4" t="s">
        <v>627</v>
      </c>
    </row>
    <row r="118" spans="1:13">
      <c r="A118" s="3">
        <v>117</v>
      </c>
      <c r="B118" s="4" t="s">
        <v>519</v>
      </c>
      <c r="C118" s="4" t="s">
        <v>18</v>
      </c>
      <c r="D118" s="3" t="s">
        <v>289</v>
      </c>
      <c r="E118" s="3" t="s">
        <v>25</v>
      </c>
      <c r="F118" s="3" t="s">
        <v>32</v>
      </c>
      <c r="G118" s="3" t="s">
        <v>290</v>
      </c>
      <c r="H118" s="3" t="s">
        <v>272</v>
      </c>
      <c r="I118" s="5" t="s">
        <v>591</v>
      </c>
      <c r="J118" s="3" t="s">
        <v>523</v>
      </c>
      <c r="K118" s="3" t="s">
        <v>531</v>
      </c>
      <c r="L118" s="5" t="s">
        <v>291</v>
      </c>
      <c r="M118" s="4" t="s">
        <v>627</v>
      </c>
    </row>
    <row r="119" spans="1:13">
      <c r="A119" s="3">
        <v>118</v>
      </c>
      <c r="B119" s="4" t="s">
        <v>519</v>
      </c>
      <c r="C119" s="4" t="s">
        <v>18</v>
      </c>
      <c r="D119" s="3" t="s">
        <v>292</v>
      </c>
      <c r="E119" s="3" t="s">
        <v>25</v>
      </c>
      <c r="F119" s="3" t="s">
        <v>20</v>
      </c>
      <c r="G119" s="3" t="s">
        <v>293</v>
      </c>
      <c r="H119" s="3" t="s">
        <v>272</v>
      </c>
      <c r="I119" s="5" t="s">
        <v>592</v>
      </c>
      <c r="J119" s="3" t="s">
        <v>523</v>
      </c>
      <c r="K119" s="3" t="s">
        <v>531</v>
      </c>
      <c r="L119" s="5" t="s">
        <v>294</v>
      </c>
      <c r="M119" s="4" t="s">
        <v>627</v>
      </c>
    </row>
    <row r="120" spans="1:13">
      <c r="A120" s="3">
        <v>119</v>
      </c>
      <c r="B120" s="4" t="s">
        <v>519</v>
      </c>
      <c r="C120" s="4" t="s">
        <v>18</v>
      </c>
      <c r="D120" s="3" t="s">
        <v>295</v>
      </c>
      <c r="E120" s="3" t="s">
        <v>25</v>
      </c>
      <c r="F120" s="3" t="s">
        <v>32</v>
      </c>
      <c r="G120" s="3" t="s">
        <v>296</v>
      </c>
      <c r="H120" s="3" t="s">
        <v>272</v>
      </c>
      <c r="I120" s="5" t="s">
        <v>593</v>
      </c>
      <c r="J120" s="3" t="s">
        <v>523</v>
      </c>
      <c r="K120" s="3" t="s">
        <v>531</v>
      </c>
      <c r="L120" s="5" t="s">
        <v>297</v>
      </c>
      <c r="M120" s="4" t="s">
        <v>627</v>
      </c>
    </row>
    <row r="121" spans="1:13">
      <c r="A121" s="3">
        <v>120</v>
      </c>
      <c r="B121" s="4" t="s">
        <v>519</v>
      </c>
      <c r="C121" s="4" t="s">
        <v>18</v>
      </c>
      <c r="D121" s="3" t="s">
        <v>298</v>
      </c>
      <c r="E121" s="3" t="s">
        <v>25</v>
      </c>
      <c r="F121" s="3" t="s">
        <v>20</v>
      </c>
      <c r="G121" s="3" t="s">
        <v>299</v>
      </c>
      <c r="H121" s="3" t="s">
        <v>272</v>
      </c>
      <c r="I121" s="5" t="s">
        <v>594</v>
      </c>
      <c r="J121" s="3" t="s">
        <v>523</v>
      </c>
      <c r="K121" s="3" t="s">
        <v>531</v>
      </c>
      <c r="L121" s="5" t="s">
        <v>297</v>
      </c>
      <c r="M121" s="4" t="s">
        <v>627</v>
      </c>
    </row>
    <row r="122" spans="1:13">
      <c r="A122" s="3">
        <v>121</v>
      </c>
      <c r="B122" s="4" t="s">
        <v>519</v>
      </c>
      <c r="C122" s="4">
        <v>60</v>
      </c>
      <c r="D122" s="3" t="s">
        <v>326</v>
      </c>
      <c r="E122" s="3" t="s">
        <v>25</v>
      </c>
      <c r="F122" s="3" t="s">
        <v>17</v>
      </c>
      <c r="G122" s="3" t="s">
        <v>327</v>
      </c>
      <c r="H122" s="3" t="s">
        <v>328</v>
      </c>
      <c r="I122" s="5" t="s">
        <v>595</v>
      </c>
      <c r="J122" s="3" t="s">
        <v>523</v>
      </c>
      <c r="K122" s="3" t="s">
        <v>531</v>
      </c>
      <c r="L122" s="5" t="s">
        <v>329</v>
      </c>
      <c r="M122" s="3"/>
    </row>
    <row r="123" spans="1:13">
      <c r="A123" s="3">
        <v>122</v>
      </c>
      <c r="B123" s="4" t="s">
        <v>519</v>
      </c>
      <c r="C123" s="4" t="e">
        <v>#N/A</v>
      </c>
      <c r="D123" s="3" t="s">
        <v>401</v>
      </c>
      <c r="E123" s="3" t="s">
        <v>25</v>
      </c>
      <c r="F123" s="3" t="s">
        <v>16</v>
      </c>
      <c r="G123" s="3" t="s">
        <v>402</v>
      </c>
      <c r="H123" s="3" t="s">
        <v>367</v>
      </c>
      <c r="I123" s="5" t="s">
        <v>596</v>
      </c>
      <c r="J123" s="3" t="s">
        <v>523</v>
      </c>
      <c r="K123" s="3" t="s">
        <v>531</v>
      </c>
      <c r="L123" s="5" t="s">
        <v>403</v>
      </c>
      <c r="M123" s="4" t="s">
        <v>627</v>
      </c>
    </row>
    <row r="124" spans="1:13">
      <c r="A124" s="3">
        <v>123</v>
      </c>
      <c r="B124" s="4" t="s">
        <v>519</v>
      </c>
      <c r="C124" s="4" t="s">
        <v>18</v>
      </c>
      <c r="D124" s="3" t="s">
        <v>404</v>
      </c>
      <c r="E124" s="3" t="s">
        <v>25</v>
      </c>
      <c r="F124" s="3" t="s">
        <v>11</v>
      </c>
      <c r="G124" s="3" t="s">
        <v>405</v>
      </c>
      <c r="H124" s="3" t="s">
        <v>367</v>
      </c>
      <c r="I124" s="5" t="s">
        <v>597</v>
      </c>
      <c r="J124" s="3" t="s">
        <v>523</v>
      </c>
      <c r="K124" s="3" t="s">
        <v>531</v>
      </c>
      <c r="L124" s="5" t="s">
        <v>403</v>
      </c>
      <c r="M124" s="4" t="s">
        <v>627</v>
      </c>
    </row>
    <row r="125" spans="1:13">
      <c r="A125" s="3">
        <v>124</v>
      </c>
      <c r="B125" s="4" t="s">
        <v>519</v>
      </c>
      <c r="C125" s="4" t="s">
        <v>18</v>
      </c>
      <c r="D125" s="3" t="s">
        <v>497</v>
      </c>
      <c r="E125" s="3" t="s">
        <v>25</v>
      </c>
      <c r="F125" s="3" t="s">
        <v>17</v>
      </c>
      <c r="G125" s="3" t="s">
        <v>498</v>
      </c>
      <c r="H125" s="3" t="s">
        <v>492</v>
      </c>
      <c r="I125" s="5" t="s">
        <v>598</v>
      </c>
      <c r="J125" s="3" t="s">
        <v>523</v>
      </c>
      <c r="K125" s="3" t="s">
        <v>531</v>
      </c>
      <c r="L125" s="5" t="s">
        <v>499</v>
      </c>
      <c r="M125" s="4" t="s">
        <v>626</v>
      </c>
    </row>
    <row r="126" spans="1:13">
      <c r="A126" s="3">
        <v>125</v>
      </c>
      <c r="B126" s="4" t="s">
        <v>519</v>
      </c>
      <c r="C126" s="4" t="s">
        <v>18</v>
      </c>
      <c r="D126" s="3" t="s">
        <v>51</v>
      </c>
      <c r="E126" s="3" t="s">
        <v>25</v>
      </c>
      <c r="F126" s="3" t="s">
        <v>20</v>
      </c>
      <c r="G126" s="3" t="s">
        <v>52</v>
      </c>
      <c r="H126" s="3" t="s">
        <v>50</v>
      </c>
      <c r="I126" s="6" t="s">
        <v>625</v>
      </c>
      <c r="J126" s="3" t="s">
        <v>523</v>
      </c>
      <c r="K126" s="3" t="s">
        <v>532</v>
      </c>
      <c r="L126" s="5" t="s">
        <v>53</v>
      </c>
      <c r="M126" s="4" t="s">
        <v>627</v>
      </c>
    </row>
    <row r="127" spans="1:13">
      <c r="A127" s="3">
        <v>126</v>
      </c>
      <c r="B127" s="4" t="s">
        <v>519</v>
      </c>
      <c r="C127" s="4">
        <v>30</v>
      </c>
      <c r="D127" s="3" t="s">
        <v>233</v>
      </c>
      <c r="E127" s="3" t="s">
        <v>25</v>
      </c>
      <c r="F127" s="3" t="s">
        <v>16</v>
      </c>
      <c r="G127" s="3" t="s">
        <v>234</v>
      </c>
      <c r="H127" s="3" t="s">
        <v>235</v>
      </c>
      <c r="I127" s="5" t="s">
        <v>236</v>
      </c>
      <c r="J127" s="3" t="s">
        <v>523</v>
      </c>
      <c r="K127" s="3" t="s">
        <v>532</v>
      </c>
      <c r="L127" s="5" t="s">
        <v>237</v>
      </c>
      <c r="M127" s="3"/>
    </row>
    <row r="128" spans="1:13">
      <c r="A128" s="3">
        <v>127</v>
      </c>
      <c r="B128" s="4" t="s">
        <v>519</v>
      </c>
      <c r="C128" s="4" t="s">
        <v>18</v>
      </c>
      <c r="D128" s="3" t="s">
        <v>365</v>
      </c>
      <c r="E128" s="3" t="s">
        <v>25</v>
      </c>
      <c r="F128" s="3" t="s">
        <v>32</v>
      </c>
      <c r="G128" s="3" t="s">
        <v>366</v>
      </c>
      <c r="H128" s="3" t="s">
        <v>367</v>
      </c>
      <c r="I128" s="5" t="s">
        <v>599</v>
      </c>
      <c r="J128" s="3" t="s">
        <v>523</v>
      </c>
      <c r="K128" s="3" t="s">
        <v>532</v>
      </c>
      <c r="L128" s="5" t="s">
        <v>368</v>
      </c>
      <c r="M128" s="4" t="s">
        <v>627</v>
      </c>
    </row>
    <row r="129" spans="1:13">
      <c r="A129" s="3">
        <v>128</v>
      </c>
      <c r="B129" s="4" t="s">
        <v>519</v>
      </c>
      <c r="C129" s="4" t="s">
        <v>18</v>
      </c>
      <c r="D129" s="3" t="s">
        <v>369</v>
      </c>
      <c r="E129" s="3" t="s">
        <v>25</v>
      </c>
      <c r="F129" s="3" t="s">
        <v>19</v>
      </c>
      <c r="G129" s="3" t="s">
        <v>370</v>
      </c>
      <c r="H129" s="3" t="s">
        <v>367</v>
      </c>
      <c r="I129" s="5" t="s">
        <v>599</v>
      </c>
      <c r="J129" s="3" t="s">
        <v>523</v>
      </c>
      <c r="K129" s="3" t="s">
        <v>532</v>
      </c>
      <c r="L129" s="5" t="s">
        <v>368</v>
      </c>
      <c r="M129" s="4" t="s">
        <v>627</v>
      </c>
    </row>
    <row r="130" spans="1:13">
      <c r="A130" s="3">
        <v>129</v>
      </c>
      <c r="B130" s="4" t="s">
        <v>519</v>
      </c>
      <c r="C130" s="4" t="s">
        <v>18</v>
      </c>
      <c r="D130" s="3" t="s">
        <v>371</v>
      </c>
      <c r="E130" s="3" t="s">
        <v>25</v>
      </c>
      <c r="F130" s="3" t="s">
        <v>11</v>
      </c>
      <c r="G130" s="3" t="s">
        <v>372</v>
      </c>
      <c r="H130" s="3" t="s">
        <v>367</v>
      </c>
      <c r="I130" s="5" t="s">
        <v>600</v>
      </c>
      <c r="J130" s="3" t="s">
        <v>523</v>
      </c>
      <c r="K130" s="3" t="s">
        <v>532</v>
      </c>
      <c r="L130" s="5" t="s">
        <v>373</v>
      </c>
      <c r="M130" s="4" t="s">
        <v>627</v>
      </c>
    </row>
    <row r="131" spans="1:13">
      <c r="A131" s="3">
        <v>130</v>
      </c>
      <c r="B131" s="4" t="s">
        <v>519</v>
      </c>
      <c r="C131" s="4" t="e">
        <v>#N/A</v>
      </c>
      <c r="D131" s="3" t="s">
        <v>374</v>
      </c>
      <c r="E131" s="3" t="s">
        <v>25</v>
      </c>
      <c r="F131" s="3" t="s">
        <v>16</v>
      </c>
      <c r="G131" s="3" t="s">
        <v>375</v>
      </c>
      <c r="H131" s="3" t="s">
        <v>367</v>
      </c>
      <c r="I131" s="5" t="s">
        <v>601</v>
      </c>
      <c r="J131" s="3" t="s">
        <v>523</v>
      </c>
      <c r="K131" s="3" t="s">
        <v>532</v>
      </c>
      <c r="L131" s="5" t="s">
        <v>376</v>
      </c>
      <c r="M131" s="4" t="s">
        <v>627</v>
      </c>
    </row>
    <row r="132" spans="1:13">
      <c r="A132" s="3">
        <v>131</v>
      </c>
      <c r="B132" s="4" t="s">
        <v>519</v>
      </c>
      <c r="C132" s="4" t="s">
        <v>18</v>
      </c>
      <c r="D132" s="3" t="s">
        <v>377</v>
      </c>
      <c r="E132" s="3" t="s">
        <v>25</v>
      </c>
      <c r="F132" s="3" t="s">
        <v>19</v>
      </c>
      <c r="G132" s="3" t="s">
        <v>378</v>
      </c>
      <c r="H132" s="3" t="s">
        <v>367</v>
      </c>
      <c r="I132" s="5" t="s">
        <v>602</v>
      </c>
      <c r="J132" s="3" t="s">
        <v>523</v>
      </c>
      <c r="K132" s="3" t="s">
        <v>532</v>
      </c>
      <c r="L132" s="5" t="s">
        <v>379</v>
      </c>
      <c r="M132" s="4" t="s">
        <v>627</v>
      </c>
    </row>
    <row r="133" spans="1:13">
      <c r="A133" s="3">
        <v>132</v>
      </c>
      <c r="B133" s="4" t="s">
        <v>519</v>
      </c>
      <c r="C133" s="4" t="s">
        <v>18</v>
      </c>
      <c r="D133" s="3" t="s">
        <v>380</v>
      </c>
      <c r="E133" s="3" t="s">
        <v>25</v>
      </c>
      <c r="F133" s="3" t="s">
        <v>16</v>
      </c>
      <c r="G133" s="3" t="s">
        <v>381</v>
      </c>
      <c r="H133" s="3" t="s">
        <v>367</v>
      </c>
      <c r="I133" s="5" t="s">
        <v>603</v>
      </c>
      <c r="J133" s="3" t="s">
        <v>523</v>
      </c>
      <c r="K133" s="3" t="s">
        <v>532</v>
      </c>
      <c r="L133" s="5" t="s">
        <v>382</v>
      </c>
      <c r="M133" s="4" t="s">
        <v>627</v>
      </c>
    </row>
    <row r="134" spans="1:13">
      <c r="A134" s="3">
        <v>133</v>
      </c>
      <c r="B134" s="4" t="s">
        <v>519</v>
      </c>
      <c r="C134" s="4" t="s">
        <v>18</v>
      </c>
      <c r="D134" s="3" t="s">
        <v>383</v>
      </c>
      <c r="E134" s="3" t="s">
        <v>25</v>
      </c>
      <c r="F134" s="3" t="s">
        <v>32</v>
      </c>
      <c r="G134" s="3" t="s">
        <v>384</v>
      </c>
      <c r="H134" s="3" t="s">
        <v>367</v>
      </c>
      <c r="I134" s="5" t="s">
        <v>604</v>
      </c>
      <c r="J134" s="3" t="s">
        <v>523</v>
      </c>
      <c r="K134" s="3" t="s">
        <v>532</v>
      </c>
      <c r="L134" s="5" t="s">
        <v>385</v>
      </c>
      <c r="M134" s="4" t="s">
        <v>627</v>
      </c>
    </row>
    <row r="135" spans="1:13">
      <c r="A135" s="3">
        <v>134</v>
      </c>
      <c r="B135" s="4" t="s">
        <v>519</v>
      </c>
      <c r="C135" s="4" t="s">
        <v>18</v>
      </c>
      <c r="D135" s="3" t="s">
        <v>386</v>
      </c>
      <c r="E135" s="3" t="s">
        <v>25</v>
      </c>
      <c r="F135" s="3" t="s">
        <v>387</v>
      </c>
      <c r="G135" s="3" t="s">
        <v>388</v>
      </c>
      <c r="H135" s="3" t="s">
        <v>367</v>
      </c>
      <c r="I135" s="5" t="s">
        <v>605</v>
      </c>
      <c r="J135" s="3" t="s">
        <v>523</v>
      </c>
      <c r="K135" s="3" t="s">
        <v>532</v>
      </c>
      <c r="L135" s="5" t="s">
        <v>389</v>
      </c>
      <c r="M135" s="4" t="s">
        <v>627</v>
      </c>
    </row>
    <row r="136" spans="1:13">
      <c r="A136" s="3">
        <v>135</v>
      </c>
      <c r="B136" s="4" t="s">
        <v>519</v>
      </c>
      <c r="C136" s="4" t="s">
        <v>18</v>
      </c>
      <c r="D136" s="3" t="s">
        <v>390</v>
      </c>
      <c r="E136" s="3" t="s">
        <v>25</v>
      </c>
      <c r="F136" s="3" t="s">
        <v>16</v>
      </c>
      <c r="G136" s="3" t="s">
        <v>391</v>
      </c>
      <c r="H136" s="3" t="s">
        <v>367</v>
      </c>
      <c r="I136" s="5" t="s">
        <v>606</v>
      </c>
      <c r="J136" s="3" t="s">
        <v>523</v>
      </c>
      <c r="K136" s="3" t="s">
        <v>532</v>
      </c>
      <c r="L136" s="5" t="s">
        <v>392</v>
      </c>
      <c r="M136" s="4" t="s">
        <v>627</v>
      </c>
    </row>
    <row r="137" spans="1:13">
      <c r="A137" s="3">
        <v>136</v>
      </c>
      <c r="B137" s="4" t="s">
        <v>519</v>
      </c>
      <c r="C137" s="4" t="s">
        <v>18</v>
      </c>
      <c r="D137" s="3" t="s">
        <v>393</v>
      </c>
      <c r="E137" s="3" t="s">
        <v>25</v>
      </c>
      <c r="F137" s="3" t="s">
        <v>387</v>
      </c>
      <c r="G137" s="3" t="s">
        <v>394</v>
      </c>
      <c r="H137" s="3" t="s">
        <v>367</v>
      </c>
      <c r="I137" s="5" t="s">
        <v>607</v>
      </c>
      <c r="J137" s="3" t="s">
        <v>523</v>
      </c>
      <c r="K137" s="3" t="s">
        <v>532</v>
      </c>
      <c r="L137" s="5" t="s">
        <v>395</v>
      </c>
      <c r="M137" s="4" t="s">
        <v>627</v>
      </c>
    </row>
    <row r="138" spans="1:13">
      <c r="A138" s="3">
        <v>137</v>
      </c>
      <c r="B138" s="4" t="s">
        <v>519</v>
      </c>
      <c r="C138" s="4" t="s">
        <v>18</v>
      </c>
      <c r="D138" s="3" t="s">
        <v>396</v>
      </c>
      <c r="E138" s="3" t="s">
        <v>25</v>
      </c>
      <c r="F138" s="3" t="s">
        <v>387</v>
      </c>
      <c r="G138" s="3" t="s">
        <v>388</v>
      </c>
      <c r="H138" s="3" t="s">
        <v>367</v>
      </c>
      <c r="I138" s="5" t="s">
        <v>608</v>
      </c>
      <c r="J138" s="3" t="s">
        <v>523</v>
      </c>
      <c r="K138" s="3" t="s">
        <v>532</v>
      </c>
      <c r="L138" s="5" t="s">
        <v>397</v>
      </c>
      <c r="M138" s="4" t="s">
        <v>627</v>
      </c>
    </row>
    <row r="139" spans="1:13">
      <c r="A139" s="3">
        <v>138</v>
      </c>
      <c r="B139" s="4" t="s">
        <v>519</v>
      </c>
      <c r="C139" s="4" t="s">
        <v>18</v>
      </c>
      <c r="D139" s="3" t="s">
        <v>398</v>
      </c>
      <c r="E139" s="3" t="s">
        <v>25</v>
      </c>
      <c r="F139" s="3" t="s">
        <v>16</v>
      </c>
      <c r="G139" s="3" t="s">
        <v>399</v>
      </c>
      <c r="H139" s="3" t="s">
        <v>367</v>
      </c>
      <c r="I139" s="5" t="s">
        <v>609</v>
      </c>
      <c r="J139" s="3" t="s">
        <v>523</v>
      </c>
      <c r="K139" s="3" t="s">
        <v>532</v>
      </c>
      <c r="L139" s="5" t="s">
        <v>400</v>
      </c>
      <c r="M139" s="4" t="s">
        <v>627</v>
      </c>
    </row>
    <row r="141" spans="1:13">
      <c r="L141" s="1"/>
    </row>
  </sheetData>
  <sheetProtection formatCells="0" formatColumns="0" formatRows="0" insertColumns="0" insertRows="0" insertHyperlinks="0" deleteColumns="0" deleteRows="0" sort="0" autoFilter="0" pivotTables="0"/>
  <autoFilter ref="A1:M139" xr:uid="{00000000-0001-0000-0000-000000000000}">
    <sortState xmlns:xlrd2="http://schemas.microsoft.com/office/spreadsheetml/2017/richdata2" ref="A2:M139">
      <sortCondition ref="J1:J139"/>
    </sortState>
  </autoFilter>
  <phoneticPr fontId="2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6C42-5302-41F2-82B2-D1AAFEF420D5}">
  <dimension ref="A1:P12"/>
  <sheetViews>
    <sheetView tabSelected="1" workbookViewId="0">
      <selection activeCell="D15" sqref="D15"/>
    </sheetView>
  </sheetViews>
  <sheetFormatPr defaultRowHeight="14.4"/>
  <cols>
    <col min="1" max="1" width="13.88671875" style="7" bestFit="1" customWidth="1"/>
    <col min="2" max="2" width="9.5546875" style="7" customWidth="1"/>
    <col min="3" max="16384" width="8.88671875" style="7"/>
  </cols>
  <sheetData>
    <row r="1" spans="1:16">
      <c r="A1" s="7" t="s">
        <v>533</v>
      </c>
      <c r="B1" s="7" t="s">
        <v>637</v>
      </c>
      <c r="C1" s="7" t="s">
        <v>629</v>
      </c>
      <c r="D1" s="7" t="s">
        <v>630</v>
      </c>
      <c r="E1" s="7" t="s">
        <v>530</v>
      </c>
      <c r="F1" s="7" t="s">
        <v>528</v>
      </c>
      <c r="G1" s="7" t="s">
        <v>527</v>
      </c>
      <c r="H1" s="7" t="s">
        <v>525</v>
      </c>
      <c r="I1" s="7" t="s">
        <v>532</v>
      </c>
      <c r="J1" s="7" t="s">
        <v>524</v>
      </c>
      <c r="K1" s="7" t="s">
        <v>531</v>
      </c>
      <c r="L1" s="7" t="s">
        <v>529</v>
      </c>
      <c r="M1" s="7" t="s">
        <v>526</v>
      </c>
      <c r="N1" s="7" t="s">
        <v>631</v>
      </c>
      <c r="O1" s="7" t="s">
        <v>632</v>
      </c>
      <c r="P1" s="7" t="s">
        <v>633</v>
      </c>
    </row>
    <row r="2" spans="1:16">
      <c r="A2" s="7" t="s">
        <v>634</v>
      </c>
      <c r="B2" s="7">
        <f>SUM(C2:P2)</f>
        <v>138</v>
      </c>
      <c r="C2" s="7">
        <f>COUNTIF(總表!$K:$K,C1)</f>
        <v>16</v>
      </c>
      <c r="D2" s="7">
        <f>COUNTIF(總表!$K:$K,D1)</f>
        <v>3</v>
      </c>
      <c r="E2" s="7">
        <f>COUNTIF(總表!$K:$K,E1)</f>
        <v>12</v>
      </c>
      <c r="F2" s="7">
        <f>COUNTIF(總表!$K:$K,F1)</f>
        <v>3</v>
      </c>
      <c r="G2" s="7">
        <f>COUNTIF(總表!$K:$K,G1)</f>
        <v>4</v>
      </c>
      <c r="H2" s="7">
        <f>COUNTIF(總表!$K:$K,H1)</f>
        <v>10</v>
      </c>
      <c r="I2" s="7">
        <f>COUNTIF(總表!$K:$K,I1)</f>
        <v>14</v>
      </c>
      <c r="J2" s="7">
        <f>COUNTIF(總表!$K:$K,J1)</f>
        <v>42</v>
      </c>
      <c r="K2" s="7">
        <f>COUNTIF(總表!$K:$K,K1)</f>
        <v>24</v>
      </c>
      <c r="L2" s="7">
        <f>COUNTIF(總表!$K:$K,L1)</f>
        <v>6</v>
      </c>
      <c r="M2" s="7">
        <f>COUNTIF(總表!$K:$K,M1)</f>
        <v>4</v>
      </c>
      <c r="N2" s="7">
        <f>COUNTIF(總表!$K:$K,N1)</f>
        <v>0</v>
      </c>
      <c r="O2" s="7">
        <f>COUNTIF(總表!$K:$K,O1)</f>
        <v>0</v>
      </c>
      <c r="P2" s="7">
        <f>COUNTIF(總表!$K:$K,P1)</f>
        <v>0</v>
      </c>
    </row>
    <row r="3" spans="1:16">
      <c r="A3" s="7" t="s">
        <v>635</v>
      </c>
      <c r="B3" s="7">
        <f t="shared" ref="B3:B4" si="0">SUM(C3:P3)</f>
        <v>59</v>
      </c>
      <c r="C3" s="7">
        <f>COUNTIFS(總表!$K:$K,C1,總表!$F:$F,"*彩色*")</f>
        <v>15</v>
      </c>
      <c r="D3" s="7">
        <f>COUNTIFS(總表!$K:$K,D1,總表!$F:$F,"*彩色*")</f>
        <v>1</v>
      </c>
      <c r="E3" s="7">
        <f>COUNTIFS(總表!$K:$K,E1,總表!$F:$F,"*彩色*")</f>
        <v>3</v>
      </c>
      <c r="F3" s="7">
        <f>COUNTIFS(總表!$K:$K,F1,總表!$F:$F,"*彩色*")</f>
        <v>1</v>
      </c>
      <c r="G3" s="7">
        <f>COUNTIFS(總表!$K:$K,G1,總表!$F:$F,"*彩色*")</f>
        <v>2</v>
      </c>
      <c r="H3" s="7">
        <f>COUNTIFS(總表!$K:$K,H1,總表!$F:$F,"*彩色*")</f>
        <v>1</v>
      </c>
      <c r="I3" s="7">
        <f>COUNTIFS(總表!$K:$K,I1,總表!$F:$F,"*彩色*")</f>
        <v>8</v>
      </c>
      <c r="J3" s="7">
        <f>COUNTIFS(總表!$K:$K,J1,總表!$F:$F,"*彩色*")</f>
        <v>16</v>
      </c>
      <c r="K3" s="7">
        <f>COUNTIFS(總表!$K:$K,K1,總表!$F:$F,"*彩色*")</f>
        <v>5</v>
      </c>
      <c r="L3" s="7">
        <f>COUNTIFS(總表!$K:$K,L1,總表!$F:$F,"*彩色*")</f>
        <v>4</v>
      </c>
      <c r="M3" s="7">
        <f>COUNTIFS(總表!$K:$K,M1,總表!$F:$F,"*彩色*")</f>
        <v>3</v>
      </c>
      <c r="N3" s="7">
        <f>COUNTIFS(總表!$K:$K,N1,總表!$F:$F,"*彩色*")</f>
        <v>0</v>
      </c>
      <c r="O3" s="7">
        <f>COUNTIFS(總表!$K:$K,O1,總表!$F:$F,"*彩色*")</f>
        <v>0</v>
      </c>
      <c r="P3" s="7">
        <f>COUNTIFS(總表!$K:$K,P1,總表!$F:$F,"*彩色*")</f>
        <v>0</v>
      </c>
    </row>
    <row r="4" spans="1:16">
      <c r="A4" s="7" t="s">
        <v>636</v>
      </c>
      <c r="B4" s="7">
        <f t="shared" si="0"/>
        <v>79</v>
      </c>
      <c r="C4" s="7">
        <f>COUNTIFS(總表!$K:$K,C1,總表!$F:$F,"*黑白*")</f>
        <v>1</v>
      </c>
      <c r="D4" s="7">
        <f>COUNTIFS(總表!$K:$K,D1,總表!$F:$F,"*黑白*")</f>
        <v>2</v>
      </c>
      <c r="E4" s="7">
        <f>COUNTIFS(總表!$K:$K,E1,總表!$F:$F,"*黑白*")</f>
        <v>9</v>
      </c>
      <c r="F4" s="7">
        <f>COUNTIFS(總表!$K:$K,F1,總表!$F:$F,"*黑白*")</f>
        <v>2</v>
      </c>
      <c r="G4" s="7">
        <f>COUNTIFS(總表!$K:$K,G1,總表!$F:$F,"*黑白*")</f>
        <v>2</v>
      </c>
      <c r="H4" s="7">
        <f>COUNTIFS(總表!$K:$K,H1,總表!$F:$F,"*黑白*")</f>
        <v>9</v>
      </c>
      <c r="I4" s="7">
        <f>COUNTIFS(總表!$K:$K,I1,總表!$F:$F,"*黑白*")</f>
        <v>6</v>
      </c>
      <c r="J4" s="7">
        <f>COUNTIFS(總表!$K:$K,J1,總表!$F:$F,"*黑白*")</f>
        <v>26</v>
      </c>
      <c r="K4" s="7">
        <f>COUNTIFS(總表!$K:$K,K1,總表!$F:$F,"*黑白*")</f>
        <v>19</v>
      </c>
      <c r="L4" s="7">
        <f>COUNTIFS(總表!$K:$K,L1,總表!$F:$F,"*黑白*")</f>
        <v>2</v>
      </c>
      <c r="M4" s="7">
        <f>COUNTIFS(總表!$K:$K,M1,總表!$F:$F,"*黑白*")</f>
        <v>1</v>
      </c>
      <c r="N4" s="7">
        <f>COUNTIFS(總表!$K:$K,N1,總表!$F:$F,"*黑白*")</f>
        <v>0</v>
      </c>
      <c r="O4" s="7">
        <f>COUNTIFS(總表!$K:$K,O1,總表!$F:$F,"*黑白*")</f>
        <v>0</v>
      </c>
      <c r="P4" s="7">
        <f>COUNTIFS(總表!$K:$K,P1,總表!$F:$F,"*黑白*")</f>
        <v>0</v>
      </c>
    </row>
    <row r="6" spans="1:16">
      <c r="A6" s="7" t="s">
        <v>639</v>
      </c>
      <c r="B6" s="7" t="s">
        <v>637</v>
      </c>
      <c r="C6" s="7" t="s">
        <v>629</v>
      </c>
      <c r="D6" s="7" t="s">
        <v>630</v>
      </c>
      <c r="E6" s="7" t="s">
        <v>530</v>
      </c>
      <c r="F6" s="7" t="s">
        <v>528</v>
      </c>
      <c r="G6" s="7" t="s">
        <v>527</v>
      </c>
      <c r="H6" s="7" t="s">
        <v>525</v>
      </c>
      <c r="I6" s="7" t="s">
        <v>532</v>
      </c>
      <c r="J6" s="7" t="s">
        <v>524</v>
      </c>
      <c r="K6" s="7" t="s">
        <v>531</v>
      </c>
      <c r="L6" s="7" t="s">
        <v>529</v>
      </c>
      <c r="M6" s="7" t="s">
        <v>526</v>
      </c>
      <c r="N6" s="7" t="s">
        <v>631</v>
      </c>
      <c r="O6" s="7" t="s">
        <v>632</v>
      </c>
      <c r="P6" s="7" t="s">
        <v>633</v>
      </c>
    </row>
    <row r="7" spans="1:16">
      <c r="A7" s="7">
        <v>30</v>
      </c>
      <c r="B7" s="7">
        <f>SUM(C7:P7)</f>
        <v>24</v>
      </c>
      <c r="C7" s="7">
        <f>COUNTIFS(總表!$K:$K,C1,總表!$C:$C,"30")</f>
        <v>4</v>
      </c>
      <c r="D7" s="7">
        <f>COUNTIFS(總表!$K:$K,D1,總表!$C:$C,"30")</f>
        <v>1</v>
      </c>
      <c r="E7" s="7">
        <f>COUNTIFS(總表!$K:$K,E1,總表!$C:$C,"30")</f>
        <v>1</v>
      </c>
      <c r="F7" s="7">
        <f>COUNTIFS(總表!$K:$K,F1,總表!$C:$C,"30")</f>
        <v>0</v>
      </c>
      <c r="G7" s="7">
        <f>COUNTIFS(總表!$K:$K,G1,總表!$C:$C,"30")</f>
        <v>4</v>
      </c>
      <c r="H7" s="7">
        <f>COUNTIFS(總表!$K:$K,H1,總表!$C:$C,"30")</f>
        <v>2</v>
      </c>
      <c r="I7" s="7">
        <f>COUNTIFS(總表!$K:$K,I1,總表!$C:$C,"30")</f>
        <v>1</v>
      </c>
      <c r="J7" s="7">
        <f>COUNTIFS(總表!$K:$K,J1,總表!$C:$C,"30")</f>
        <v>3</v>
      </c>
      <c r="K7" s="7">
        <f>COUNTIFS(總表!$K:$K,K1,總表!$C:$C,"30")</f>
        <v>3</v>
      </c>
      <c r="L7" s="7">
        <f>COUNTIFS(總表!$K:$K,L1,總表!$C:$C,"30")</f>
        <v>3</v>
      </c>
      <c r="M7" s="7">
        <f>COUNTIFS(總表!$K:$K,M1,總表!$C:$C,"30")</f>
        <v>2</v>
      </c>
      <c r="N7" s="7">
        <f>COUNTIFS(總表!$K:$K,N1,總表!$C:$C,"30")</f>
        <v>0</v>
      </c>
      <c r="O7" s="7">
        <f>COUNTIFS(總表!$K:$K,O1,總表!$C:$C,"30")</f>
        <v>0</v>
      </c>
      <c r="P7" s="7">
        <f>COUNTIFS(總表!$K:$K,P1,總表!$C:$C,"30")</f>
        <v>0</v>
      </c>
    </row>
    <row r="8" spans="1:16">
      <c r="A8" s="7">
        <v>60</v>
      </c>
      <c r="B8" s="7">
        <f t="shared" ref="B8:B11" si="1">SUM(C8:P8)</f>
        <v>20</v>
      </c>
      <c r="C8" s="7">
        <f>COUNTIFS(總表!$K:$K,C1,總表!$C:$C,"60")</f>
        <v>9</v>
      </c>
      <c r="D8" s="7">
        <f>COUNTIFS(總表!$K:$K,D1,總表!$C:$C,"60")</f>
        <v>2</v>
      </c>
      <c r="E8" s="7">
        <f>COUNTIFS(總表!$K:$K,E1,總表!$C:$C,"60")</f>
        <v>1</v>
      </c>
      <c r="F8" s="7">
        <f>COUNTIFS(總表!$K:$K,F1,總表!$C:$C,"60")</f>
        <v>0</v>
      </c>
      <c r="G8" s="7">
        <f>COUNTIFS(總表!$K:$K,G1,總表!$C:$C,"60")</f>
        <v>0</v>
      </c>
      <c r="H8" s="7">
        <f>COUNTIFS(總表!$K:$K,H1,總表!$C:$C,"60")</f>
        <v>1</v>
      </c>
      <c r="I8" s="7">
        <f>COUNTIFS(總表!$K:$K,I1,總表!$C:$C,"60")</f>
        <v>0</v>
      </c>
      <c r="J8" s="7">
        <f>COUNTIFS(總表!$K:$K,J1,總表!$C:$C,"60")</f>
        <v>4</v>
      </c>
      <c r="K8" s="7">
        <f>COUNTIFS(總表!$K:$K,K1,總表!$C:$C,"60")</f>
        <v>2</v>
      </c>
      <c r="L8" s="7">
        <f>COUNTIFS(總表!$K:$K,L1,總表!$C:$C,"60")</f>
        <v>0</v>
      </c>
      <c r="M8" s="7">
        <f>COUNTIFS(總表!$K:$K,M1,總表!$C:$C,"60")</f>
        <v>1</v>
      </c>
      <c r="N8" s="7">
        <f>COUNTIFS(總表!$K:$K,N1,總表!$C:$C,"60")</f>
        <v>0</v>
      </c>
      <c r="O8" s="7">
        <f>COUNTIFS(總表!$K:$K,O1,總表!$C:$C,"60")</f>
        <v>0</v>
      </c>
      <c r="P8" s="7">
        <f>COUNTIFS(總表!$K:$K,P1,總表!$C:$C,"60")</f>
        <v>0</v>
      </c>
    </row>
    <row r="9" spans="1:16">
      <c r="A9" s="7">
        <v>90</v>
      </c>
      <c r="B9" s="7">
        <f t="shared" si="1"/>
        <v>7</v>
      </c>
      <c r="C9" s="7">
        <f>COUNTIFS(總表!$K:$K,C1,總表!$C:$C,"90")</f>
        <v>3</v>
      </c>
      <c r="D9" s="7">
        <f>COUNTIFS(總表!$K:$K,D1,總表!$C:$C,"90")</f>
        <v>0</v>
      </c>
      <c r="E9" s="7">
        <f>COUNTIFS(總表!$K:$K,E1,總表!$C:$C,"90")</f>
        <v>2</v>
      </c>
      <c r="F9" s="7">
        <f>COUNTIFS(總表!$K:$K,F1,總表!$C:$C,"90")</f>
        <v>0</v>
      </c>
      <c r="G9" s="7">
        <f>COUNTIFS(總表!$K:$K,G1,總表!$C:$C,"90")</f>
        <v>0</v>
      </c>
      <c r="H9" s="7">
        <f>COUNTIFS(總表!$K:$K,H1,總表!$C:$C,"90")</f>
        <v>1</v>
      </c>
      <c r="I9" s="7">
        <f>COUNTIFS(總表!$K:$K,I1,總表!$C:$C,"90")</f>
        <v>0</v>
      </c>
      <c r="J9" s="7">
        <f>COUNTIFS(總表!$K:$K,J1,總表!$C:$C,"90")</f>
        <v>1</v>
      </c>
      <c r="K9" s="7">
        <f>COUNTIFS(總表!$K:$K,K1,總表!$C:$C,"90")</f>
        <v>0</v>
      </c>
      <c r="L9" s="7">
        <f>COUNTIFS(總表!$K:$K,L1,總表!$C:$C,"90")</f>
        <v>0</v>
      </c>
      <c r="M9" s="7">
        <f>COUNTIFS(總表!$K:$K,M1,總表!$C:$C,"90")</f>
        <v>0</v>
      </c>
      <c r="N9" s="7">
        <f>COUNTIFS(總表!$K:$K,N1,總表!$C:$C,"90")</f>
        <v>0</v>
      </c>
      <c r="O9" s="7">
        <f>COUNTIFS(總表!$K:$K,O1,總表!$C:$C,"90")</f>
        <v>0</v>
      </c>
      <c r="P9" s="7">
        <f>COUNTIFS(總表!$K:$K,P1,總表!$C:$C,"90")</f>
        <v>0</v>
      </c>
    </row>
    <row r="10" spans="1:16">
      <c r="A10" s="7" t="s">
        <v>640</v>
      </c>
      <c r="B10" s="7">
        <f t="shared" si="1"/>
        <v>77</v>
      </c>
      <c r="C10" s="7">
        <f>COUNTIFS(總表!$K:$K,C1,總表!$C:$C,"合約規定")</f>
        <v>0</v>
      </c>
      <c r="D10" s="7">
        <f>COUNTIFS(總表!$K:$K,D1,總表!$C:$C,"合約規定")</f>
        <v>0</v>
      </c>
      <c r="E10" s="7">
        <f>COUNTIFS(總表!$K:$K,E1,總表!$C:$C,"合約規定")</f>
        <v>5</v>
      </c>
      <c r="F10" s="7">
        <f>COUNTIFS(總表!$K:$K,F1,總表!$C:$C,"合約規定")</f>
        <v>3</v>
      </c>
      <c r="G10" s="7">
        <f>COUNTIFS(總表!$K:$K,G1,總表!$C:$C,"合約規定")</f>
        <v>0</v>
      </c>
      <c r="H10" s="7">
        <f>COUNTIFS(總表!$K:$K,H1,總表!$C:$C,"合約規定")</f>
        <v>5</v>
      </c>
      <c r="I10" s="7">
        <f>COUNTIFS(總表!$K:$K,I1,總表!$C:$C,"合約規定")</f>
        <v>12</v>
      </c>
      <c r="J10" s="7">
        <f>COUNTIFS(總表!$K:$K,J1,總表!$C:$C,"合約規定")</f>
        <v>33</v>
      </c>
      <c r="K10" s="7">
        <f>COUNTIFS(總表!$K:$K,K1,總表!$C:$C,"合約規定")</f>
        <v>16</v>
      </c>
      <c r="L10" s="7">
        <f>COUNTIFS(總表!$K:$K,L1,總表!$C:$C,"合約規定")</f>
        <v>2</v>
      </c>
      <c r="M10" s="7">
        <f>COUNTIFS(總表!$K:$K,M1,總表!$C:$C,"合約規定")</f>
        <v>1</v>
      </c>
      <c r="N10" s="7">
        <f>COUNTIFS(總表!$K:$K,N1,總表!$C:$C,"合約規定")</f>
        <v>0</v>
      </c>
      <c r="O10" s="7">
        <f>COUNTIFS(總表!$K:$K,O1,總表!$C:$C,"合約規定")</f>
        <v>0</v>
      </c>
      <c r="P10" s="7">
        <f>COUNTIFS(總表!$K:$K,P1,總表!$C:$C,"合約規定")</f>
        <v>0</v>
      </c>
    </row>
    <row r="11" spans="1:16">
      <c r="A11" s="7" t="e">
        <v>#N/A</v>
      </c>
      <c r="B11" s="7">
        <f t="shared" si="1"/>
        <v>10</v>
      </c>
      <c r="C11" s="7">
        <f>COUNTIFS(總表!$K:$K,C1,總表!$C:$C,"#N/A")</f>
        <v>0</v>
      </c>
      <c r="D11" s="7">
        <f>COUNTIFS(總表!$K:$K,D1,總表!$C:$C,"#N/A")</f>
        <v>0</v>
      </c>
      <c r="E11" s="7">
        <f>COUNTIFS(總表!$K:$K,E1,總表!$C:$C,"#N/A")</f>
        <v>3</v>
      </c>
      <c r="F11" s="7">
        <f>COUNTIFS(總表!$K:$K,F1,總表!$C:$C,"#N/A")</f>
        <v>0</v>
      </c>
      <c r="G11" s="7">
        <f>COUNTIFS(總表!$K:$K,G1,總表!$C:$C,"#N/A")</f>
        <v>0</v>
      </c>
      <c r="H11" s="7">
        <f>COUNTIFS(總表!$K:$K,H1,總表!$C:$C,"#N/A")</f>
        <v>1</v>
      </c>
      <c r="I11" s="7">
        <f>COUNTIFS(總表!$K:$K,I1,總表!$C:$C,"#N/A")</f>
        <v>1</v>
      </c>
      <c r="J11" s="7">
        <f>COUNTIFS(總表!$K:$K,J1,總表!$C:$C,"#N/A")</f>
        <v>1</v>
      </c>
      <c r="K11" s="7">
        <f>COUNTIFS(總表!$K:$K,K1,總表!$C:$C,"#N/A")</f>
        <v>3</v>
      </c>
      <c r="L11" s="7">
        <f>COUNTIFS(總表!$K:$K,L1,總表!$C:$C,"#N/A")</f>
        <v>1</v>
      </c>
      <c r="M11" s="7">
        <f>COUNTIFS(總表!$K:$K,M1,總表!$C:$C,"#N/A")</f>
        <v>0</v>
      </c>
      <c r="N11" s="7">
        <f>COUNTIFS(總表!$K:$K,N1,總表!$C:$C,"#N/A")</f>
        <v>0</v>
      </c>
      <c r="O11" s="7">
        <f>COUNTIFS(總表!$K:$K,O1,總表!$C:$C,"#N/A")</f>
        <v>0</v>
      </c>
      <c r="P11" s="7">
        <f>COUNTIFS(總表!$K:$K,P1,總表!$C:$C,"#N/A")</f>
        <v>0</v>
      </c>
    </row>
    <row r="12" spans="1:16">
      <c r="A12" s="7" t="s">
        <v>641</v>
      </c>
      <c r="B12" s="7">
        <f>SUM(B7:B11)</f>
        <v>138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2</vt:i4>
      </vt:variant>
    </vt:vector>
  </HeadingPairs>
  <TitlesOfParts>
    <vt:vector size="4" baseType="lpstr">
      <vt:lpstr>總表</vt:lpstr>
      <vt:lpstr>概況</vt:lpstr>
      <vt:lpstr>總表!Print_Area</vt:lpstr>
      <vt:lpstr>總表!Print_Titles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Service_Report</dc:title>
  <dc:subject>202509_Maintainance_Cycle_Report</dc:subject>
  <dc:creator>Jerry Lin</dc:creator>
  <cp:keywords/>
  <dc:description/>
  <cp:lastModifiedBy>. Diyn</cp:lastModifiedBy>
  <dcterms:created xsi:type="dcterms:W3CDTF">2025-10-07T06:06:52Z</dcterms:created>
  <dcterms:modified xsi:type="dcterms:W3CDTF">2025-11-04T09:33:30Z</dcterms:modified>
  <cp:category/>
</cp:coreProperties>
</file>