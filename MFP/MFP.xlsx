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91A57A1-6FF4-42E4-8BB5-C8D072B7754C}"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8" l="1"/>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C13" i="3"/>
  <c r="F13" i="3" s="1"/>
  <c r="B13" i="3"/>
  <c r="E12" i="3"/>
  <c r="D12" i="3"/>
  <c r="B12" i="3"/>
  <c r="C12" i="3" s="1"/>
  <c r="F12" i="3" s="1"/>
  <c r="E11" i="3"/>
  <c r="D11" i="3"/>
  <c r="B11" i="3"/>
  <c r="C11" i="3" s="1"/>
  <c r="F11" i="3" s="1"/>
  <c r="E8" i="3"/>
  <c r="B17" i="3" s="1"/>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B8" i="2" s="1"/>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G8" i="3" l="1"/>
  <c r="H8" i="3" s="1"/>
  <c r="E17" i="3"/>
  <c r="D17" i="3"/>
  <c r="G13" i="3"/>
  <c r="H13" i="3" s="1"/>
  <c r="D15" i="3"/>
  <c r="G11" i="3"/>
  <c r="H11" i="3" s="1"/>
  <c r="D16" i="3"/>
  <c r="G12" i="3"/>
  <c r="H12" i="3" s="1"/>
  <c r="B11" i="5"/>
  <c r="E16" i="3"/>
  <c r="G7" i="3"/>
  <c r="H7" i="3" s="1"/>
  <c r="F16" i="3" s="1"/>
  <c r="G6" i="3"/>
  <c r="H6" i="3" s="1"/>
  <c r="B15" i="3"/>
  <c r="B16" i="3"/>
  <c r="I16" i="3" s="1"/>
  <c r="J16" i="3" s="1"/>
  <c r="K16" i="3" s="1"/>
  <c r="B7" i="2"/>
  <c r="B12" i="2" s="1"/>
  <c r="I17" i="3" l="1"/>
  <c r="J17" i="3" s="1"/>
  <c r="K17" i="3" s="1"/>
  <c r="F15" i="3"/>
  <c r="I15" i="3"/>
  <c r="J15" i="3" s="1"/>
  <c r="K15" i="3" s="1"/>
  <c r="F17" i="3"/>
</calcChain>
</file>

<file path=xl/sharedStrings.xml><?xml version="1.0" encoding="utf-8"?>
<sst xmlns="http://schemas.openxmlformats.org/spreadsheetml/2006/main" count="59866" uniqueCount="10308">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</sst>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5" width="8.88671875" style="53" customWidth="1"/>
    <col min="3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3" width="8.88671875" style="7" customWidth="1"/>
    <col min="4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1" width="8.88671875" style="9" customWidth="1"/>
    <col min="5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194</v>
      </c>
      <c r="C11" s="12">
        <f>B11/12</f>
        <v>16.166666666666668</v>
      </c>
      <c r="D11" s="9">
        <f>COUNTIFS(IM!S:S,A11,IM!B:B,"維修")</f>
        <v>191</v>
      </c>
      <c r="E11" s="12">
        <f>D11/12</f>
        <v>15.916666666666666</v>
      </c>
      <c r="F11" s="9">
        <f>C11+E11</f>
        <v>32.083333333333336</v>
      </c>
      <c r="G11" s="9">
        <f>ROUND(F11/20,2)</f>
        <v>1.6</v>
      </c>
      <c r="H11" s="9">
        <f>ROUND((G11*15),2)</f>
        <v>24</v>
      </c>
      <c r="I11" s="12"/>
      <c r="J11" s="12"/>
      <c r="L11" s="12"/>
    </row>
    <row r="12" spans="1:16" ht="21.6" customHeight="1" x14ac:dyDescent="0.3">
      <c r="A12" s="9" t="s">
        <v>25</v>
      </c>
      <c r="B12" s="12">
        <f>COUNTIFS(MFP!E:E,A7,MFP!O:O,"維修")</f>
        <v>21</v>
      </c>
      <c r="C12" s="12">
        <f>B12/12</f>
        <v>1.75</v>
      </c>
      <c r="D12" s="9">
        <f>COUNTIFS(IM!S:S,A12,IM!B:B,"維修")</f>
        <v>331</v>
      </c>
      <c r="E12" s="12">
        <f>D12/12</f>
        <v>27.583333333333332</v>
      </c>
      <c r="F12" s="9">
        <f>C12+E12</f>
        <v>29.333333333333332</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1443.75</v>
      </c>
      <c r="E15" s="9">
        <f>ROUND(D3*F6,2)</f>
        <v>1081.7</v>
      </c>
      <c r="F15" s="9">
        <f>(H6*20)+(H11*20)+(60*20)</f>
        <v>3303</v>
      </c>
      <c r="G15" s="9">
        <f>1.5*E3</f>
        <v>360</v>
      </c>
      <c r="H15" s="9">
        <f>1.5*F3</f>
        <v>360</v>
      </c>
      <c r="I15" s="9">
        <f>ROUND(SUM(B15:H15),2)</f>
        <v>8311.85</v>
      </c>
      <c r="J15" s="9">
        <f>ROUND(I15/20,2)</f>
        <v>415.59</v>
      </c>
      <c r="K15" s="9">
        <f>ROUND(J15/60,2)</f>
        <v>6.93</v>
      </c>
      <c r="O15" s="9" t="s">
        <v>796</v>
      </c>
      <c r="P15" s="9">
        <v>15</v>
      </c>
    </row>
    <row r="16" spans="1:16" ht="21.6" customHeight="1" x14ac:dyDescent="0.3">
      <c r="A16" s="9" t="s">
        <v>25</v>
      </c>
      <c r="B16" s="9">
        <f>ROUND(A3*E7,2)</f>
        <v>135.85</v>
      </c>
      <c r="C16" s="9">
        <f>B3*E7</f>
        <v>407.55</v>
      </c>
      <c r="D16" s="9">
        <f>F12*C3</f>
        <v>1320</v>
      </c>
      <c r="E16" s="9">
        <f>ROUND(D3*F7,2)</f>
        <v>661.7</v>
      </c>
      <c r="F16" s="9">
        <f>(H7*20)+(H12*20)+(120*20)</f>
        <v>3834</v>
      </c>
      <c r="G16" s="9">
        <f>1.5*E3</f>
        <v>360</v>
      </c>
      <c r="H16" s="9">
        <f>1.5*F3</f>
        <v>360</v>
      </c>
      <c r="I16" s="9">
        <f>ROUND(SUM(B16:H16),2)</f>
        <v>7079.1</v>
      </c>
      <c r="J16" s="9">
        <f>ROUND(I16/20,2)</f>
        <v>353.96</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1" width="13.77734375" style="8" customWidth="1"/>
    <col min="2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8" width="13.77734375" style="1" customWidth="1"/>
    <col min="3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3" width="8.88671875" style="15" customWidth="1"/>
    <col min="4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5" width="8.88671875" style="15" customWidth="1"/>
    <col min="66"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836</v>
      </c>
      <c r="R1" s="14" t="s">
        <v>831</v>
      </c>
      <c r="S1" s="14" t="s">
        <v>832</v>
      </c>
      <c r="T1" s="14" t="s">
        <v>2512</v>
      </c>
      <c r="U1" s="14" t="s">
        <v>2513</v>
      </c>
      <c r="V1" s="14" t="s">
        <v>2514</v>
      </c>
      <c r="W1" s="14" t="s">
        <v>2515</v>
      </c>
      <c r="X1" s="19" t="s">
        <v>2516</v>
      </c>
      <c r="Y1" s="14" t="s">
        <v>2517</v>
      </c>
      <c r="Z1" s="14" t="s">
        <v>2518</v>
      </c>
      <c r="AA1" s="14" t="s">
        <v>2519</v>
      </c>
      <c r="AB1" s="14" t="s">
        <v>2520</v>
      </c>
      <c r="AC1" s="14" t="s">
        <v>2521</v>
      </c>
      <c r="AD1" s="14" t="s">
        <v>757</v>
      </c>
      <c r="AE1" s="14" t="s">
        <v>843</v>
      </c>
      <c r="AF1" s="14" t="s">
        <v>844</v>
      </c>
      <c r="AG1" s="14" t="s">
        <v>845</v>
      </c>
      <c r="AH1" s="14" t="s">
        <v>846</v>
      </c>
      <c r="AI1" s="14" t="s">
        <v>847</v>
      </c>
      <c r="AJ1" s="14" t="s">
        <v>848</v>
      </c>
      <c r="AK1" s="14" t="s">
        <v>850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2576</v>
      </c>
      <c r="H6" s="25" t="s">
        <v>1604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2576</v>
      </c>
      <c r="H7" s="25" t="s">
        <v>1604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1604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2599</v>
      </c>
      <c r="G22" s="25" t="s">
        <v>2600</v>
      </c>
      <c r="H22" s="25" t="s">
        <v>1604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1604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1604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3289</v>
      </c>
      <c r="H140" s="25" t="s">
        <v>1604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3330</v>
      </c>
      <c r="H141" s="25" t="s">
        <v>1604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3334</v>
      </c>
      <c r="H142" s="25" t="s">
        <v>1604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1604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1604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3484</v>
      </c>
      <c r="H175" s="25" t="s">
        <v>1604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1604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1604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3993</v>
      </c>
      <c r="H265" s="25" t="s">
        <v>1604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3999</v>
      </c>
      <c r="H267" s="25" t="s">
        <v>1604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1604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4074</v>
      </c>
      <c r="H279" s="25" t="s">
        <v>1604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4065</v>
      </c>
      <c r="H280" s="25" t="s">
        <v>1604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4156</v>
      </c>
      <c r="H298" s="25" t="s">
        <v>1604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4167</v>
      </c>
      <c r="H300" s="25" t="s">
        <v>1604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3817</v>
      </c>
      <c r="H301" s="25" t="s">
        <v>1604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1604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4181</v>
      </c>
      <c r="H303" s="25" t="s">
        <v>1604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1604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4192</v>
      </c>
      <c r="H305" s="25" t="s">
        <v>1604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3211</v>
      </c>
      <c r="H306" s="25" t="s">
        <v>1604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4198</v>
      </c>
      <c r="H307" s="25" t="s">
        <v>1604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4206</v>
      </c>
      <c r="H309" s="25" t="s">
        <v>1604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2599</v>
      </c>
      <c r="G389" s="25" t="s">
        <v>2600</v>
      </c>
      <c r="H389" s="25" t="s">
        <v>1604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1604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4206</v>
      </c>
      <c r="H473" s="25" t="s">
        <v>1604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3484</v>
      </c>
      <c r="H489" s="25" t="s">
        <v>1604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4156</v>
      </c>
      <c r="H491" s="25" t="s">
        <v>1604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3330</v>
      </c>
      <c r="H553" s="25" t="s">
        <v>1604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3334</v>
      </c>
      <c r="H554" s="25" t="s">
        <v>1604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4065</v>
      </c>
      <c r="H559" s="25" t="s">
        <v>1604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3999</v>
      </c>
      <c r="H611" s="25" t="s">
        <v>1604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3817</v>
      </c>
      <c r="H612" s="25" t="s">
        <v>1604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4167</v>
      </c>
      <c r="H615" s="25" t="s">
        <v>1604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3289</v>
      </c>
      <c r="H617" s="25" t="s">
        <v>1604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4181</v>
      </c>
      <c r="H618" s="25" t="s">
        <v>1604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4192</v>
      </c>
      <c r="H619" s="25" t="s">
        <v>1604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3211</v>
      </c>
      <c r="H642" s="25" t="s">
        <v>1604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4198</v>
      </c>
      <c r="H644" s="25" t="s">
        <v>1604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3993</v>
      </c>
      <c r="H656" s="25" t="s">
        <v>1604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1604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1604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1604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4074</v>
      </c>
      <c r="H768" s="25" t="s">
        <v>1604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1604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1604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3330</v>
      </c>
      <c r="H781" s="25" t="s">
        <v>1604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4065</v>
      </c>
      <c r="H786" s="25" t="s">
        <v>1604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1604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3330</v>
      </c>
      <c r="H826" s="25" t="s">
        <v>1604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1604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3211</v>
      </c>
      <c r="H961" s="25" t="s">
        <v>1604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2576</v>
      </c>
      <c r="H1038" s="25" t="s">
        <v>1604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4206</v>
      </c>
      <c r="H1044" s="25" t="s">
        <v>1604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2576</v>
      </c>
      <c r="H1045" s="25" t="s">
        <v>1604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2599</v>
      </c>
      <c r="G1092" s="25" t="s">
        <v>2600</v>
      </c>
      <c r="H1092" s="25" t="s">
        <v>1604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3334</v>
      </c>
      <c r="H1093" s="25" t="s">
        <v>1604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4065</v>
      </c>
      <c r="H1096" s="25" t="s">
        <v>1604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4074</v>
      </c>
      <c r="H1097" s="25" t="s">
        <v>1604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3993</v>
      </c>
      <c r="H1098" s="25" t="s">
        <v>1604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4192</v>
      </c>
      <c r="H1099" s="25" t="s">
        <v>1604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4181</v>
      </c>
      <c r="H1101" s="25" t="s">
        <v>1604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1604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1604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3999</v>
      </c>
      <c r="H1132" s="25" t="s">
        <v>1604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1604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1604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4156</v>
      </c>
      <c r="H1180" s="25" t="s">
        <v>1604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3484</v>
      </c>
      <c r="H1181" s="25" t="s">
        <v>1604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4167</v>
      </c>
      <c r="H1182" s="25" t="s">
        <v>1604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3289</v>
      </c>
      <c r="H1183" s="25" t="s">
        <v>1604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3817</v>
      </c>
      <c r="H1184" s="25" t="s">
        <v>1604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4198</v>
      </c>
      <c r="H1185" s="25" t="s">
        <v>1604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1604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1604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4198</v>
      </c>
      <c r="H1266" s="25" t="s">
        <v>1604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1604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1604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3211</v>
      </c>
      <c r="H1336" s="37" t="s">
        <v>1604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4074</v>
      </c>
      <c r="H1406" s="37" t="s">
        <v>1604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2599</v>
      </c>
      <c r="G1411" s="37" t="s">
        <v>2600</v>
      </c>
      <c r="H1411" s="37" t="s">
        <v>1604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3330</v>
      </c>
      <c r="H1412" s="37" t="s">
        <v>1604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3334</v>
      </c>
      <c r="H1414" s="37" t="s">
        <v>1604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4065</v>
      </c>
      <c r="H1418" s="37" t="s">
        <v>1604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3484</v>
      </c>
      <c r="H1473" s="37" t="s">
        <v>1604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4156</v>
      </c>
      <c r="H1474" s="37" t="s">
        <v>1604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3993</v>
      </c>
      <c r="H1521" s="37" t="s">
        <v>1604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3999</v>
      </c>
      <c r="H1522" s="37" t="s">
        <v>1604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4198</v>
      </c>
      <c r="H1523" s="37" t="s">
        <v>1604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3817</v>
      </c>
      <c r="H1524" s="37" t="s">
        <v>1604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4167</v>
      </c>
      <c r="H1525" s="37" t="s">
        <v>1604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4181</v>
      </c>
      <c r="H1526" s="37" t="s">
        <v>1604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4192</v>
      </c>
      <c r="H1529" s="37" t="s">
        <v>1604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3289</v>
      </c>
      <c r="H1532" s="37" t="s">
        <v>1604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1604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1604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1604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4206</v>
      </c>
      <c r="H1627" s="37" t="s">
        <v>1604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2576</v>
      </c>
      <c r="H1628" s="37" t="s">
        <v>1604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2576</v>
      </c>
      <c r="H1629" s="37" t="s">
        <v>1604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1604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1604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2576</v>
      </c>
      <c r="H1644" s="37" t="s">
        <v>1604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4181</v>
      </c>
      <c r="H1645" s="37" t="s">
        <v>1604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3334</v>
      </c>
      <c r="H1733" s="37" t="s">
        <v>1604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1604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1604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4167</v>
      </c>
      <c r="H1772" s="37" t="s">
        <v>1604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3330</v>
      </c>
      <c r="H1773" s="37" t="s">
        <v>1604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4065</v>
      </c>
      <c r="H1777" s="37" t="s">
        <v>1604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861</v>
      </c>
      <c r="AF1794" s="37"/>
      <c r="AG1794" s="37"/>
      <c r="AH1794" s="37"/>
      <c r="AI1794" s="37"/>
      <c r="AJ1794" s="37"/>
      <c r="AK1794" s="37" t="s">
        <v>861</v>
      </c>
      <c r="AL1794" s="41" t="e">
        <f t="shared" ref="AL1794:AL1850" si="56">DATEVALUE(TEXT(I1794, "yyyy/mm/dd"))</f>
        <v>#VALUE!</v>
      </c>
      <c r="AM1794" s="42">
        <f t="shared" ref="AM1794:AM1850" si="57">DATEVALUE(TEXT(X1794, "yyyy/mm/dd"))</f>
        <v>46043</v>
      </c>
    </row>
    <row r="1795" spans="1:39" ht="21.6" customHeight="1" x14ac:dyDescent="0.3">
      <c r="A1795" s="37">
        <v>167</v>
      </c>
      <c r="B1795" s="37" t="s">
        <v>860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1">
        <v>46049.708333333343</v>
      </c>
      <c r="Y1840" s="37" t="s">
        <v>10269</v>
      </c>
      <c r="Z1840" s="37">
        <v>1</v>
      </c>
      <c r="AA1840" s="37"/>
      <c r="AB1840" s="37" t="s">
        <v>2541</v>
      </c>
      <c r="AC1840" s="40" t="s">
        <v>10270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1">
        <v>46049.729166666657</v>
      </c>
      <c r="Y1841" s="37"/>
      <c r="Z1841" s="37">
        <v>0.5</v>
      </c>
      <c r="AA1841" s="37"/>
      <c r="AB1841" s="37" t="s">
        <v>2541</v>
      </c>
      <c r="AC1841" s="40" t="s">
        <v>10273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1">
        <v>46050.558333333327</v>
      </c>
      <c r="Y1842" s="37" t="s">
        <v>10279</v>
      </c>
      <c r="Z1842" s="37">
        <v>0.4</v>
      </c>
      <c r="AA1842" s="37"/>
      <c r="AB1842" s="37" t="s">
        <v>2541</v>
      </c>
      <c r="AC1842" s="40" t="s">
        <v>10280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1">
        <v>46050.458333333343</v>
      </c>
      <c r="Y1843" s="37"/>
      <c r="Z1843" s="37">
        <v>0.5</v>
      </c>
      <c r="AA1843" s="37"/>
      <c r="AB1843" s="37" t="s">
        <v>2541</v>
      </c>
      <c r="AC1843" s="40" t="s">
        <v>10283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1">
        <v>46050.479166666657</v>
      </c>
      <c r="Y1844" s="37"/>
      <c r="Z1844" s="37">
        <v>0.3</v>
      </c>
      <c r="AA1844" s="37"/>
      <c r="AB1844" s="37" t="s">
        <v>2541</v>
      </c>
      <c r="AC1844" s="40" t="s">
        <v>2611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1">
        <v>46050.486111111109</v>
      </c>
      <c r="Y1845" s="37"/>
      <c r="Z1845" s="37">
        <v>0.4</v>
      </c>
      <c r="AA1845" s="37"/>
      <c r="AB1845" s="37" t="s">
        <v>2541</v>
      </c>
      <c r="AC1845" s="40" t="s">
        <v>10291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1">
        <v>46050.511111111111</v>
      </c>
      <c r="Y1846" s="37"/>
      <c r="Z1846" s="37">
        <v>0.4</v>
      </c>
      <c r="AA1846" s="37"/>
      <c r="AB1846" s="37" t="s">
        <v>2541</v>
      </c>
      <c r="AC1846" s="40" t="s">
        <v>2611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1">
        <v>46051.463888888888</v>
      </c>
      <c r="Y1847" s="37"/>
      <c r="Z1847" s="37">
        <v>0.4</v>
      </c>
      <c r="AA1847" s="37"/>
      <c r="AB1847" s="37" t="s">
        <v>2541</v>
      </c>
      <c r="AC1847" s="40" t="s">
        <v>10299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1">
        <v>46051.484027777777</v>
      </c>
      <c r="Y1848" s="37"/>
      <c r="Z1848" s="37">
        <v>0.4</v>
      </c>
      <c r="AA1848" s="37"/>
      <c r="AB1848" s="37" t="s">
        <v>2541</v>
      </c>
      <c r="AC1848" s="40" t="s">
        <v>10302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1">
        <v>46051.506249999999</v>
      </c>
      <c r="Y1849" s="37"/>
      <c r="Z1849" s="37">
        <v>0.4</v>
      </c>
      <c r="AA1849" s="37"/>
      <c r="AB1849" s="37" t="s">
        <v>2541</v>
      </c>
      <c r="AC1849" s="40" t="s">
        <v>10305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1">
        <v>46051.5625</v>
      </c>
      <c r="Y1850" s="37"/>
      <c r="Z1850" s="37">
        <v>0.5</v>
      </c>
      <c r="AA1850" s="37"/>
      <c r="AB1850" s="37" t="s">
        <v>2541</v>
      </c>
      <c r="AC1850" s="40" t="s">
        <v>2611</v>
      </c>
      <c r="AD1850" s="37" t="s">
        <v>861</v>
      </c>
      <c r="AE1850" s="37"/>
      <c r="AF1850" s="37"/>
      <c r="AG1850" s="37"/>
      <c r="AH1850" s="37"/>
      <c r="AI1850" s="37"/>
      <c r="AJ1850" s="37" t="s">
        <v>861</v>
      </c>
      <c r="AK1850" s="37" t="s">
        <v>861</v>
      </c>
      <c r="AL1850" s="41" t="e">
        <f t="shared" si="56"/>
        <v>#VALUE!</v>
      </c>
      <c r="AM1850"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2026-01-29T06:00:02Z</dcterms:modified>
</cp:coreProperties>
</file>