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AD13D4F-5E8F-4A4F-907F-BC5DFB08BB24}"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7" i="9" l="1"/>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B2" i="7" s="1"/>
  <c r="F2" i="7"/>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P27" i="4"/>
  <c r="N21" i="4"/>
  <c r="G17" i="4"/>
  <c r="G16" i="4"/>
  <c r="G15" i="4"/>
  <c r="D13" i="4"/>
  <c r="E13" i="4" s="1"/>
  <c r="C13" i="4"/>
  <c r="B13" i="4"/>
  <c r="E12" i="4"/>
  <c r="D12" i="4"/>
  <c r="C12" i="4"/>
  <c r="F12" i="4" s="1"/>
  <c r="G12" i="4" s="1"/>
  <c r="H12" i="4" s="1"/>
  <c r="B12" i="4"/>
  <c r="E11" i="4"/>
  <c r="D11" i="4"/>
  <c r="B11" i="4"/>
  <c r="C11" i="4" s="1"/>
  <c r="F11" i="4" s="1"/>
  <c r="H8" i="4"/>
  <c r="I8" i="4" s="1"/>
  <c r="J8" i="4" s="1"/>
  <c r="G8" i="4"/>
  <c r="F8" i="4"/>
  <c r="C17" i="4" s="1"/>
  <c r="E8" i="4"/>
  <c r="B17" i="4" s="1"/>
  <c r="C8" i="4"/>
  <c r="G7" i="4"/>
  <c r="F7" i="4"/>
  <c r="C16" i="4" s="1"/>
  <c r="E7" i="4"/>
  <c r="B16" i="4" s="1"/>
  <c r="C7" i="4"/>
  <c r="H7" i="4" s="1"/>
  <c r="G6" i="4"/>
  <c r="F6" i="4"/>
  <c r="C15" i="4" s="1"/>
  <c r="E6" i="4"/>
  <c r="B15" i="4" s="1"/>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B8" i="1" s="1"/>
  <c r="I8" i="1"/>
  <c r="H8" i="1"/>
  <c r="G8" i="1"/>
  <c r="F8" i="1"/>
  <c r="E8" i="1"/>
  <c r="D8" i="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F13"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B11" i="5"/>
  <c r="E16" i="4"/>
  <c r="I7" i="4"/>
  <c r="J7" i="4" s="1"/>
  <c r="F16" i="4" s="1"/>
  <c r="G11" i="4"/>
  <c r="H11" i="4" s="1"/>
  <c r="D15" i="4"/>
  <c r="E15" i="4"/>
  <c r="I6" i="4"/>
  <c r="J6" i="4" s="1"/>
  <c r="F15" i="4" s="1"/>
  <c r="I15" i="4"/>
  <c r="J15" i="4" s="1"/>
  <c r="K15" i="4" s="1"/>
  <c r="B11" i="6"/>
  <c r="D16" i="4"/>
  <c r="B7" i="1"/>
  <c r="B12" i="1" s="1"/>
  <c r="E17" i="4"/>
  <c r="I16" i="4" l="1"/>
  <c r="J16" i="4" s="1"/>
  <c r="K16" i="4" s="1"/>
  <c r="F16" i="3"/>
  <c r="J15" i="3"/>
  <c r="O16" i="3"/>
  <c r="Q13" i="3"/>
  <c r="D17" i="3"/>
  <c r="Q8" i="3"/>
  <c r="F2" i="3" s="1"/>
  <c r="B18" i="3"/>
  <c r="Q10" i="3"/>
  <c r="J16" i="3"/>
  <c r="N15" i="3"/>
  <c r="D18" i="3"/>
  <c r="H17" i="3"/>
  <c r="B17" i="3"/>
  <c r="Q7" i="3"/>
  <c r="E2" i="3" s="1"/>
  <c r="Q11" i="3"/>
  <c r="N16" i="3"/>
  <c r="C17" i="3"/>
  <c r="H18" i="3"/>
  <c r="L17" i="3"/>
  <c r="C18" i="3"/>
  <c r="G17" i="3"/>
  <c r="L18" i="3"/>
  <c r="P17" i="3"/>
  <c r="G18" i="3"/>
  <c r="K17" i="3"/>
  <c r="P18" i="3"/>
  <c r="C15" i="3"/>
  <c r="G13" i="4"/>
  <c r="H13" i="4" s="1"/>
  <c r="F17" i="4" s="1"/>
  <c r="D17" i="4"/>
  <c r="K18" i="3"/>
  <c r="O17" i="3"/>
  <c r="C16" i="3"/>
  <c r="G15" i="3"/>
  <c r="O18" i="3"/>
  <c r="B15" i="3"/>
  <c r="Q5" i="3"/>
  <c r="G16" i="3"/>
  <c r="K15" i="3"/>
  <c r="B16" i="3"/>
  <c r="Q6" i="3"/>
  <c r="F15" i="3"/>
  <c r="K16" i="3"/>
  <c r="O15" i="3"/>
  <c r="Q12" i="3"/>
  <c r="I17" i="4" l="1"/>
  <c r="J17" i="4" s="1"/>
  <c r="K17" i="4" s="1"/>
  <c r="D2" i="3"/>
  <c r="Q16" i="3"/>
  <c r="Q17" i="3"/>
  <c r="C2" i="3"/>
  <c r="Q15" i="3"/>
  <c r="Q18" i="3"/>
</calcChain>
</file>

<file path=xl/sharedStrings.xml><?xml version="1.0" encoding="utf-8"?>
<sst xmlns="http://schemas.openxmlformats.org/spreadsheetml/2006/main" count="28137" uniqueCount="5911">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</sst>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9</c:v>
                </c:pt>
                <c:pt idx="5">
                  <c:v>3</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4B3-4484-A267-349EE14D05D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15</c:v>
                </c:pt>
                <c:pt idx="3">
                  <c:v>9</c:v>
                </c:pt>
                <c:pt idx="4">
                  <c:v>11</c:v>
                </c:pt>
                <c:pt idx="5">
                  <c:v>12</c:v>
                </c:pt>
                <c:pt idx="6">
                  <c:v>10</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B3-4484-A267-349EE14D05D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8</c:v>
                </c:pt>
                <c:pt idx="4">
                  <c:v>12</c:v>
                </c:pt>
                <c:pt idx="5">
                  <c:v>13</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4B3-4484-A267-349EE14D05D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11</c:v>
                </c:pt>
                <c:pt idx="7">
                  <c:v>11</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24B3-4484-A267-349EE14D05D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6" width="8.88671875" style="7" customWidth="1"/>
    <col min="10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8" width="8.88671875" style="27" customWidth="1"/>
    <col min="9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9" width="8.88671875" style="52" customWidth="1"/>
    <col min="47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26</v>
      </c>
      <c r="D2" s="54">
        <f ca="1">Q6+Q11</f>
        <v>94</v>
      </c>
      <c r="E2" s="54">
        <f ca="1">Q7+Q12</f>
        <v>76</v>
      </c>
      <c r="F2" s="54">
        <f ca="1">Q8+Q13</f>
        <v>82</v>
      </c>
      <c r="G2" s="55"/>
      <c r="S2" s="55">
        <f ca="1">TODAY()</f>
        <v>46199</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9</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6</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7</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8</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9</v>
      </c>
      <c r="G15" s="54">
        <f t="shared" ca="1" si="0"/>
        <v>3</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26</v>
      </c>
      <c r="S15" s="63" t="s">
        <v>7</v>
      </c>
      <c r="U15" s="54"/>
      <c r="V15" s="64"/>
    </row>
    <row r="16" spans="1:22" ht="14.4" customHeight="1">
      <c r="A16" s="66" t="s">
        <v>206</v>
      </c>
      <c r="B16" s="54">
        <f t="shared" ref="B16:P16" ca="1" si="1">B6+B11</f>
        <v>5</v>
      </c>
      <c r="C16" s="54">
        <f t="shared" ca="1" si="1"/>
        <v>14</v>
      </c>
      <c r="D16" s="54">
        <f t="shared" ca="1" si="1"/>
        <v>15</v>
      </c>
      <c r="E16" s="54">
        <f t="shared" ca="1" si="1"/>
        <v>9</v>
      </c>
      <c r="F16" s="54">
        <f t="shared" ca="1" si="1"/>
        <v>11</v>
      </c>
      <c r="G16" s="54">
        <f t="shared" ca="1" si="1"/>
        <v>12</v>
      </c>
      <c r="H16" s="54">
        <f t="shared" ca="1" si="1"/>
        <v>10</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94</v>
      </c>
      <c r="S16" s="63" t="s">
        <v>10</v>
      </c>
      <c r="U16" s="54"/>
      <c r="V16" s="64"/>
    </row>
    <row r="17" spans="1:22" ht="14.4" customHeight="1">
      <c r="A17" s="67" t="s">
        <v>52</v>
      </c>
      <c r="B17" s="54">
        <f t="shared" ref="B17:P17" ca="1" si="2">B7+B12</f>
        <v>0</v>
      </c>
      <c r="C17" s="54">
        <f t="shared" ca="1" si="2"/>
        <v>9</v>
      </c>
      <c r="D17" s="54">
        <f t="shared" ca="1" si="2"/>
        <v>7</v>
      </c>
      <c r="E17" s="54">
        <f t="shared" ca="1" si="2"/>
        <v>8</v>
      </c>
      <c r="F17" s="54">
        <f t="shared" ca="1" si="2"/>
        <v>12</v>
      </c>
      <c r="G17" s="54">
        <f t="shared" ca="1" si="2"/>
        <v>13</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76</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11</v>
      </c>
      <c r="I18" s="54">
        <f t="shared" ca="1" si="3"/>
        <v>11</v>
      </c>
      <c r="J18" s="54">
        <f t="shared" ca="1" si="3"/>
        <v>3</v>
      </c>
      <c r="K18" s="54">
        <f t="shared" ca="1" si="3"/>
        <v>4</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4" width="8.88671875" style="9" customWidth="1"/>
    <col min="11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74</v>
      </c>
      <c r="E11" s="10">
        <f ca="1">ROUND(D11/MONTH(TODAY()),2)</f>
        <v>12.33</v>
      </c>
      <c r="F11" s="9">
        <f ca="1">C11+E11</f>
        <v>17.5</v>
      </c>
      <c r="G11" s="9">
        <f ca="1">ROUND(F11/21,2)</f>
        <v>0.83</v>
      </c>
      <c r="H11" s="9">
        <f ca="1">ROUND((G11*15),2)</f>
        <v>12.45</v>
      </c>
      <c r="I11" s="10"/>
      <c r="J11" s="10"/>
      <c r="L11" s="10"/>
    </row>
    <row r="12" spans="1:16" ht="21.6" customHeight="1">
      <c r="A12" s="9" t="s">
        <v>52</v>
      </c>
      <c r="B12" s="10">
        <f>COUNTIFS(MFP!E:E,A7,MFP!O:O,"維修")</f>
        <v>1</v>
      </c>
      <c r="C12" s="10">
        <f ca="1">ROUND(B12/MONTH(TODAY()),2)</f>
        <v>0.17</v>
      </c>
      <c r="D12" s="9">
        <f>COUNTIFS(IM!S:S,A12,IM!B:B,"維修")</f>
        <v>85</v>
      </c>
      <c r="E12" s="10">
        <f ca="1">ROUND(D12/MONTH(TODAY()),2)</f>
        <v>14.17</v>
      </c>
      <c r="F12" s="9">
        <f ca="1">C12+E12</f>
        <v>14.34</v>
      </c>
      <c r="G12" s="9">
        <f ca="1">ROUND(F12/21,2)</f>
        <v>0.68</v>
      </c>
      <c r="H12" s="9">
        <f ca="1">ROUND((G12*15),2)</f>
        <v>10.199999999999999</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787.5</v>
      </c>
      <c r="E15" s="9">
        <f>ROUND(D3*H6,2)</f>
        <v>540.85</v>
      </c>
      <c r="F15" s="9">
        <f ca="1">(J6*20)+(H11*20)+(60*20)</f>
        <v>2994</v>
      </c>
      <c r="G15" s="9">
        <f>COUNTIFS(IM!S:S,A6,IM!AE:AE,"o")*$E$3</f>
        <v>4140</v>
      </c>
      <c r="H15" s="9">
        <v>240</v>
      </c>
      <c r="I15" s="9">
        <f ca="1">ROUND(SUM(B15:H15),2)</f>
        <v>9335.75</v>
      </c>
      <c r="J15" s="9">
        <f ca="1">ROUND(I15/20,2)</f>
        <v>466.79</v>
      </c>
      <c r="K15" s="9">
        <f ca="1">ROUND(J15/60,2)</f>
        <v>7.78</v>
      </c>
      <c r="O15" s="9" t="s">
        <v>825</v>
      </c>
      <c r="P15" s="9">
        <v>15</v>
      </c>
    </row>
    <row r="16" spans="1:16" ht="21.6" customHeight="1">
      <c r="A16" s="9" t="s">
        <v>52</v>
      </c>
      <c r="B16" s="9">
        <f ca="1">ROUND($A$3*E7,2)</f>
        <v>12.5</v>
      </c>
      <c r="C16" s="9">
        <f ca="1">ROUND($B$3*F7,2)</f>
        <v>237.45</v>
      </c>
      <c r="D16" s="9">
        <f ca="1">F12*C3</f>
        <v>645.29999999999995</v>
      </c>
      <c r="E16" s="9">
        <f>ROUND(D3*H7,2)</f>
        <v>300.85000000000002</v>
      </c>
      <c r="F16" s="9">
        <f ca="1">(J7*20)+(H12*20)+(120*20)</f>
        <v>3465</v>
      </c>
      <c r="G16" s="9">
        <f>COUNTIFS(IM!S:S,A7,IM!AE:AE,"o")*$E$3</f>
        <v>4140</v>
      </c>
      <c r="H16" s="9">
        <v>240</v>
      </c>
      <c r="I16" s="9">
        <f ca="1">ROUND(SUM(B16:H16),2)</f>
        <v>9041.1</v>
      </c>
      <c r="J16" s="9">
        <f ca="1">ROUND(I16/20,2)</f>
        <v>452.06</v>
      </c>
      <c r="K16" s="9">
        <f ca="1">ROUND(J16/60,2)</f>
        <v>7.53</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4" width="13.77734375" style="8" customWidth="1"/>
    <col min="8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1" width="13.77734375" style="1" customWidth="1"/>
    <col min="10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6" width="8.88671875" style="13" customWidth="1"/>
    <col min="10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5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8" width="8.88671875" style="13" customWidth="1"/>
    <col min="129"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2">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2">
        <v>46198.583333333343</v>
      </c>
      <c r="Y834" s="17"/>
      <c r="Z834" s="17">
        <v>3</v>
      </c>
      <c r="AA834" s="17"/>
      <c r="AB834" s="17" t="s">
        <v>1813</v>
      </c>
      <c r="AC834" s="20" t="s">
        <v>4088</v>
      </c>
      <c r="AD834" s="17"/>
      <c r="AE834" s="17" t="s">
        <v>881</v>
      </c>
      <c r="AF834" s="17"/>
      <c r="AG834" s="17"/>
      <c r="AH834" s="17"/>
      <c r="AI834" s="17"/>
      <c r="AJ834" s="17"/>
      <c r="AK834" s="17" t="s">
        <v>881</v>
      </c>
      <c r="AL834" t="e">
        <f t="shared" ref="AL834:AL857" si="26">DATEVALUE(TEXT(I834, "yyyy/mm/dd"))</f>
        <v>#VALUE!</v>
      </c>
      <c r="AM834">
        <f t="shared" ref="AM834:AM857" si="27">DATEVALUE(TEXT(X834, "yyyy/mm/dd"))</f>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2">
        <v>46198.618055555547</v>
      </c>
      <c r="Y835" s="17"/>
      <c r="Z835" s="17">
        <v>0.5</v>
      </c>
      <c r="AA835" s="17"/>
      <c r="AB835" s="17" t="s">
        <v>1813</v>
      </c>
      <c r="AC835" s="20" t="s">
        <v>3664</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2">
        <v>46198.583333333343</v>
      </c>
      <c r="Y836" s="17"/>
      <c r="Z836" s="17">
        <v>3</v>
      </c>
      <c r="AA836" s="17"/>
      <c r="AB836" s="17" t="s">
        <v>1813</v>
      </c>
      <c r="AC836" s="20" t="s">
        <v>5812</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2">
        <v>46198.684027777781</v>
      </c>
      <c r="Y837" s="17"/>
      <c r="Z837" s="17">
        <v>0.3</v>
      </c>
      <c r="AA837" s="17"/>
      <c r="AB837" s="17" t="s">
        <v>1813</v>
      </c>
      <c r="AC837" s="20" t="s">
        <v>3664</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2">
        <v>46198.625</v>
      </c>
      <c r="Y838" s="17"/>
      <c r="Z838" s="17">
        <v>1</v>
      </c>
      <c r="AA838" s="17"/>
      <c r="AB838" s="17" t="s">
        <v>1813</v>
      </c>
      <c r="AC838" s="20" t="s">
        <v>3664</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5822</v>
      </c>
      <c r="E839" s="17" t="s">
        <v>1797</v>
      </c>
      <c r="F839" s="17">
        <v>4528</v>
      </c>
      <c r="G839" s="17" t="s">
        <v>2166</v>
      </c>
      <c r="H839" s="17" t="s">
        <v>1799</v>
      </c>
      <c r="I839" s="17" t="s">
        <v>5823</v>
      </c>
      <c r="J839" s="17" t="s">
        <v>1877</v>
      </c>
      <c r="K839" s="17" t="s">
        <v>1802</v>
      </c>
      <c r="L839" s="17" t="s">
        <v>2019</v>
      </c>
      <c r="M839" s="18" t="s">
        <v>2020</v>
      </c>
      <c r="N839" s="17">
        <v>2405</v>
      </c>
      <c r="O839" s="18" t="s">
        <v>2021</v>
      </c>
      <c r="P839" s="19" t="s">
        <v>5824</v>
      </c>
      <c r="Q839" s="17" t="s">
        <v>2167</v>
      </c>
      <c r="R839" s="17" t="s">
        <v>1808</v>
      </c>
      <c r="S839" s="17" t="s">
        <v>52</v>
      </c>
      <c r="T839" s="17">
        <v>1</v>
      </c>
      <c r="U839" s="17" t="s">
        <v>1809</v>
      </c>
      <c r="V839" s="17" t="s">
        <v>5825</v>
      </c>
      <c r="W839" s="17" t="s">
        <v>5826</v>
      </c>
      <c r="X839" s="72">
        <v>46199.522916666669</v>
      </c>
      <c r="Y839" s="17" t="s">
        <v>5827</v>
      </c>
      <c r="Z839" s="17">
        <v>2.1</v>
      </c>
      <c r="AA839" s="17"/>
      <c r="AB839" s="17" t="s">
        <v>1813</v>
      </c>
      <c r="AC839" s="20" t="s">
        <v>5828</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5829</v>
      </c>
      <c r="E840" s="17" t="s">
        <v>1816</v>
      </c>
      <c r="F840" s="17">
        <v>2540</v>
      </c>
      <c r="G840" s="17" t="s">
        <v>2132</v>
      </c>
      <c r="H840" s="17" t="s">
        <v>1860</v>
      </c>
      <c r="I840" s="17" t="s">
        <v>5830</v>
      </c>
      <c r="J840" s="17" t="s">
        <v>1877</v>
      </c>
      <c r="K840" s="17" t="s">
        <v>1802</v>
      </c>
      <c r="L840" s="17" t="s">
        <v>1862</v>
      </c>
      <c r="M840" s="18" t="s">
        <v>1863</v>
      </c>
      <c r="N840" s="17">
        <v>5801</v>
      </c>
      <c r="O840" s="18" t="s">
        <v>1864</v>
      </c>
      <c r="P840" s="19" t="s">
        <v>5831</v>
      </c>
      <c r="Q840" s="17" t="s">
        <v>2135</v>
      </c>
      <c r="R840" s="17" t="s">
        <v>1808</v>
      </c>
      <c r="S840" s="17" t="s">
        <v>52</v>
      </c>
      <c r="T840" s="17">
        <v>1</v>
      </c>
      <c r="U840" s="17" t="s">
        <v>1809</v>
      </c>
      <c r="V840" s="17" t="s">
        <v>5832</v>
      </c>
      <c r="W840" s="17" t="s">
        <v>5833</v>
      </c>
      <c r="X840" s="72">
        <v>46199.571527777778</v>
      </c>
      <c r="Y840" s="17" t="s">
        <v>5834</v>
      </c>
      <c r="Z840" s="17">
        <v>0.5</v>
      </c>
      <c r="AA840" s="17"/>
      <c r="AB840" s="17" t="s">
        <v>1813</v>
      </c>
      <c r="AC840" s="20" t="s">
        <v>5835</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5836</v>
      </c>
      <c r="H841" s="17" t="s">
        <v>1894</v>
      </c>
      <c r="I841" s="17"/>
      <c r="J841" s="17"/>
      <c r="K841" s="17"/>
      <c r="L841" s="17"/>
      <c r="M841" s="18"/>
      <c r="N841" s="17"/>
      <c r="O841" s="18"/>
      <c r="P841" s="19"/>
      <c r="Q841" s="17" t="s">
        <v>5837</v>
      </c>
      <c r="R841" s="17" t="s">
        <v>1808</v>
      </c>
      <c r="S841" s="17" t="s">
        <v>206</v>
      </c>
      <c r="T841" s="17">
        <v>1</v>
      </c>
      <c r="U841" s="17" t="s">
        <v>1809</v>
      </c>
      <c r="V841" s="17" t="s">
        <v>5838</v>
      </c>
      <c r="W841" s="17" t="s">
        <v>5839</v>
      </c>
      <c r="X841" s="72">
        <v>46199.444444444453</v>
      </c>
      <c r="Y841" s="17"/>
      <c r="Z841" s="17">
        <v>0.5</v>
      </c>
      <c r="AA841" s="17"/>
      <c r="AB841" s="17" t="s">
        <v>1813</v>
      </c>
      <c r="AC841" s="20" t="s">
        <v>3664</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5840</v>
      </c>
      <c r="E842" s="17" t="s">
        <v>1816</v>
      </c>
      <c r="F842" s="17">
        <v>2535</v>
      </c>
      <c r="G842" s="17" t="s">
        <v>5836</v>
      </c>
      <c r="H842" s="17" t="s">
        <v>1894</v>
      </c>
      <c r="I842" s="17" t="s">
        <v>5841</v>
      </c>
      <c r="J842" s="17" t="s">
        <v>1877</v>
      </c>
      <c r="K842" s="17" t="s">
        <v>1802</v>
      </c>
      <c r="L842" s="17" t="s">
        <v>1999</v>
      </c>
      <c r="M842" s="18" t="s">
        <v>2000</v>
      </c>
      <c r="N842" s="17" t="s">
        <v>2001</v>
      </c>
      <c r="O842" s="18" t="s">
        <v>2002</v>
      </c>
      <c r="P842" s="19" t="s">
        <v>5842</v>
      </c>
      <c r="Q842" s="17" t="s">
        <v>5837</v>
      </c>
      <c r="R842" s="17" t="s">
        <v>1808</v>
      </c>
      <c r="S842" s="17" t="s">
        <v>206</v>
      </c>
      <c r="T842" s="17">
        <v>1</v>
      </c>
      <c r="U842" s="17" t="s">
        <v>1809</v>
      </c>
      <c r="V842" s="17" t="s">
        <v>5843</v>
      </c>
      <c r="W842" s="17" t="s">
        <v>5844</v>
      </c>
      <c r="X842" s="72">
        <v>46199.555555555547</v>
      </c>
      <c r="Y842" s="17" t="s">
        <v>5845</v>
      </c>
      <c r="Z842" s="17">
        <v>0.3</v>
      </c>
      <c r="AA842" s="17"/>
      <c r="AB842" s="17" t="s">
        <v>1813</v>
      </c>
      <c r="AC842" s="20" t="s">
        <v>5846</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5847</v>
      </c>
      <c r="E843" s="17" t="s">
        <v>1816</v>
      </c>
      <c r="F843" s="17">
        <v>2535</v>
      </c>
      <c r="G843" s="17" t="s">
        <v>5836</v>
      </c>
      <c r="H843" s="17" t="s">
        <v>1894</v>
      </c>
      <c r="I843" s="17" t="s">
        <v>5848</v>
      </c>
      <c r="J843" s="17" t="s">
        <v>1877</v>
      </c>
      <c r="K843" s="17" t="s">
        <v>1802</v>
      </c>
      <c r="L843" s="17" t="s">
        <v>1999</v>
      </c>
      <c r="M843" s="18" t="s">
        <v>2000</v>
      </c>
      <c r="N843" s="17" t="s">
        <v>2001</v>
      </c>
      <c r="O843" s="18" t="s">
        <v>2002</v>
      </c>
      <c r="P843" s="19" t="s">
        <v>5849</v>
      </c>
      <c r="Q843" s="17" t="s">
        <v>5837</v>
      </c>
      <c r="R843" s="17" t="s">
        <v>1808</v>
      </c>
      <c r="S843" s="17" t="s">
        <v>206</v>
      </c>
      <c r="T843" s="17">
        <v>1</v>
      </c>
      <c r="U843" s="17" t="s">
        <v>1809</v>
      </c>
      <c r="V843" s="17" t="s">
        <v>5850</v>
      </c>
      <c r="W843" s="17" t="s">
        <v>5851</v>
      </c>
      <c r="X843" s="72">
        <v>46199.569444444453</v>
      </c>
      <c r="Y843" s="17" t="s">
        <v>5845</v>
      </c>
      <c r="Z843" s="17">
        <v>0.3</v>
      </c>
      <c r="AA843" s="17"/>
      <c r="AB843" s="17" t="s">
        <v>1813</v>
      </c>
      <c r="AC843" s="20" t="s">
        <v>5846</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5852</v>
      </c>
      <c r="E844" s="17" t="s">
        <v>1816</v>
      </c>
      <c r="F844" s="17">
        <v>2535</v>
      </c>
      <c r="G844" s="17" t="s">
        <v>5836</v>
      </c>
      <c r="H844" s="17" t="s">
        <v>1894</v>
      </c>
      <c r="I844" s="17" t="s">
        <v>5853</v>
      </c>
      <c r="J844" s="17" t="s">
        <v>1877</v>
      </c>
      <c r="K844" s="17" t="s">
        <v>1802</v>
      </c>
      <c r="L844" s="17" t="s">
        <v>1999</v>
      </c>
      <c r="M844" s="18" t="s">
        <v>2000</v>
      </c>
      <c r="N844" s="17" t="s">
        <v>2001</v>
      </c>
      <c r="O844" s="18" t="s">
        <v>2002</v>
      </c>
      <c r="P844" s="19" t="s">
        <v>5854</v>
      </c>
      <c r="Q844" s="17" t="s">
        <v>5837</v>
      </c>
      <c r="R844" s="17" t="s">
        <v>1808</v>
      </c>
      <c r="S844" s="17" t="s">
        <v>206</v>
      </c>
      <c r="T844" s="17">
        <v>1</v>
      </c>
      <c r="U844" s="17" t="s">
        <v>1809</v>
      </c>
      <c r="V844" s="17" t="s">
        <v>5855</v>
      </c>
      <c r="W844" s="17" t="s">
        <v>5856</v>
      </c>
      <c r="X844" s="72">
        <v>46199.583333333343</v>
      </c>
      <c r="Y844" s="17" t="s">
        <v>5845</v>
      </c>
      <c r="Z844" s="17">
        <v>0.3</v>
      </c>
      <c r="AA844" s="17"/>
      <c r="AB844" s="17" t="s">
        <v>1813</v>
      </c>
      <c r="AC844" s="20" t="s">
        <v>5846</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5857</v>
      </c>
      <c r="G845" s="17" t="s">
        <v>5858</v>
      </c>
      <c r="H845" s="17" t="s">
        <v>1831</v>
      </c>
      <c r="I845" s="17"/>
      <c r="J845" s="17"/>
      <c r="K845" s="17"/>
      <c r="L845" s="17"/>
      <c r="M845" s="18"/>
      <c r="N845" s="17"/>
      <c r="O845" s="18"/>
      <c r="P845" s="19"/>
      <c r="Q845" s="17" t="s">
        <v>5859</v>
      </c>
      <c r="R845" s="17" t="s">
        <v>1808</v>
      </c>
      <c r="S845" s="17" t="s">
        <v>206</v>
      </c>
      <c r="T845" s="17">
        <v>1</v>
      </c>
      <c r="U845" s="17" t="s">
        <v>1809</v>
      </c>
      <c r="V845" s="17" t="s">
        <v>5860</v>
      </c>
      <c r="W845" s="17" t="s">
        <v>5861</v>
      </c>
      <c r="X845" s="72">
        <v>46199.458333333343</v>
      </c>
      <c r="Y845" s="17"/>
      <c r="Z845" s="17">
        <v>0.3</v>
      </c>
      <c r="AA845" s="17"/>
      <c r="AB845" s="17" t="s">
        <v>1813</v>
      </c>
      <c r="AC845" s="20" t="s">
        <v>3795</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5862</v>
      </c>
      <c r="H846" s="17" t="s">
        <v>2080</v>
      </c>
      <c r="I846" s="17"/>
      <c r="J846" s="17"/>
      <c r="K846" s="17"/>
      <c r="L846" s="17"/>
      <c r="M846" s="18"/>
      <c r="N846" s="17"/>
      <c r="O846" s="18"/>
      <c r="P846" s="19"/>
      <c r="Q846" s="17" t="s">
        <v>5863</v>
      </c>
      <c r="R846" s="17" t="s">
        <v>1808</v>
      </c>
      <c r="S846" s="17" t="s">
        <v>195</v>
      </c>
      <c r="T846" s="17">
        <v>1</v>
      </c>
      <c r="U846" s="17" t="s">
        <v>1809</v>
      </c>
      <c r="V846" s="17" t="s">
        <v>5864</v>
      </c>
      <c r="W846" s="17" t="s">
        <v>5865</v>
      </c>
      <c r="X846" s="72">
        <v>46199.540277777778</v>
      </c>
      <c r="Y846" s="17"/>
      <c r="Z846" s="17">
        <v>0.4</v>
      </c>
      <c r="AA846" s="17"/>
      <c r="AB846" s="17" t="s">
        <v>1813</v>
      </c>
      <c r="AC846" s="20" t="s">
        <v>3664</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5866</v>
      </c>
      <c r="G847" s="17" t="s">
        <v>5867</v>
      </c>
      <c r="H847" s="17" t="s">
        <v>2080</v>
      </c>
      <c r="I847" s="17"/>
      <c r="J847" s="17"/>
      <c r="K847" s="17"/>
      <c r="L847" s="17"/>
      <c r="M847" s="18"/>
      <c r="N847" s="17"/>
      <c r="O847" s="18"/>
      <c r="P847" s="19"/>
      <c r="Q847" s="17" t="s">
        <v>5868</v>
      </c>
      <c r="R847" s="17" t="s">
        <v>1808</v>
      </c>
      <c r="S847" s="17" t="s">
        <v>195</v>
      </c>
      <c r="T847" s="17">
        <v>1</v>
      </c>
      <c r="U847" s="17" t="s">
        <v>1809</v>
      </c>
      <c r="V847" s="17" t="s">
        <v>5869</v>
      </c>
      <c r="W847" s="17" t="s">
        <v>5844</v>
      </c>
      <c r="X847" s="72">
        <v>46199.554166666669</v>
      </c>
      <c r="Y847" s="17"/>
      <c r="Z847" s="17">
        <v>0.3</v>
      </c>
      <c r="AA847" s="17"/>
      <c r="AB847" s="17" t="s">
        <v>1813</v>
      </c>
      <c r="AC847" s="20" t="s">
        <v>3664</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5870</v>
      </c>
      <c r="H848" s="17" t="s">
        <v>2080</v>
      </c>
      <c r="I848" s="17"/>
      <c r="J848" s="17"/>
      <c r="K848" s="17"/>
      <c r="L848" s="17"/>
      <c r="M848" s="18"/>
      <c r="N848" s="17"/>
      <c r="O848" s="18"/>
      <c r="P848" s="19"/>
      <c r="Q848" s="17" t="s">
        <v>5871</v>
      </c>
      <c r="R848" s="17" t="s">
        <v>1808</v>
      </c>
      <c r="S848" s="17" t="s">
        <v>195</v>
      </c>
      <c r="T848" s="17">
        <v>1</v>
      </c>
      <c r="U848" s="17" t="s">
        <v>1809</v>
      </c>
      <c r="V848" s="17" t="s">
        <v>5872</v>
      </c>
      <c r="W848" s="17" t="s">
        <v>5873</v>
      </c>
      <c r="X848" s="72">
        <v>46199.568055555559</v>
      </c>
      <c r="Y848" s="17"/>
      <c r="Z848" s="17">
        <v>0.3</v>
      </c>
      <c r="AA848" s="17"/>
      <c r="AB848" s="17" t="s">
        <v>1813</v>
      </c>
      <c r="AC848" s="20" t="s">
        <v>3664</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5874</v>
      </c>
      <c r="H849" s="17" t="s">
        <v>2080</v>
      </c>
      <c r="I849" s="17"/>
      <c r="J849" s="17"/>
      <c r="K849" s="17"/>
      <c r="L849" s="17"/>
      <c r="M849" s="18"/>
      <c r="N849" s="17"/>
      <c r="O849" s="18"/>
      <c r="P849" s="19"/>
      <c r="Q849" s="17" t="s">
        <v>5875</v>
      </c>
      <c r="R849" s="17" t="s">
        <v>1808</v>
      </c>
      <c r="S849" s="17" t="s">
        <v>195</v>
      </c>
      <c r="T849" s="17">
        <v>1</v>
      </c>
      <c r="U849" s="17" t="s">
        <v>1809</v>
      </c>
      <c r="V849" s="17" t="s">
        <v>5876</v>
      </c>
      <c r="W849" s="17" t="s">
        <v>5856</v>
      </c>
      <c r="X849" s="72">
        <v>46199.578472222223</v>
      </c>
      <c r="Y849" s="17"/>
      <c r="Z849" s="17">
        <v>0.2</v>
      </c>
      <c r="AA849" s="17"/>
      <c r="AB849" s="17" t="s">
        <v>1813</v>
      </c>
      <c r="AC849" s="20" t="s">
        <v>3664</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5877</v>
      </c>
      <c r="E850" s="17" t="s">
        <v>1816</v>
      </c>
      <c r="F850" s="17">
        <v>2535</v>
      </c>
      <c r="G850" s="17" t="s">
        <v>5836</v>
      </c>
      <c r="H850" s="17" t="s">
        <v>1894</v>
      </c>
      <c r="I850" s="17" t="s">
        <v>5878</v>
      </c>
      <c r="J850" s="17" t="s">
        <v>1877</v>
      </c>
      <c r="K850" s="17" t="s">
        <v>1833</v>
      </c>
      <c r="L850" s="17" t="s">
        <v>1999</v>
      </c>
      <c r="M850" s="18" t="s">
        <v>2000</v>
      </c>
      <c r="N850" s="17" t="s">
        <v>2001</v>
      </c>
      <c r="O850" s="18" t="s">
        <v>2002</v>
      </c>
      <c r="P850" s="19" t="s">
        <v>5842</v>
      </c>
      <c r="Q850" s="17" t="s">
        <v>5837</v>
      </c>
      <c r="R850" s="17" t="s">
        <v>1808</v>
      </c>
      <c r="S850" s="17" t="s">
        <v>206</v>
      </c>
      <c r="T850" s="17">
        <v>1</v>
      </c>
      <c r="U850" s="17" t="s">
        <v>1809</v>
      </c>
      <c r="V850" s="17" t="s">
        <v>5879</v>
      </c>
      <c r="W850" s="17" t="s">
        <v>5880</v>
      </c>
      <c r="X850" s="72">
        <v>46199.586805555547</v>
      </c>
      <c r="Y850" s="17" t="s">
        <v>5881</v>
      </c>
      <c r="Z850" s="17">
        <v>0.1</v>
      </c>
      <c r="AA850" s="17"/>
      <c r="AB850" s="17" t="s">
        <v>1956</v>
      </c>
      <c r="AC850" s="20" t="s">
        <v>2068</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5882</v>
      </c>
      <c r="E851" s="17" t="s">
        <v>1816</v>
      </c>
      <c r="F851" s="17">
        <v>2535</v>
      </c>
      <c r="G851" s="17" t="s">
        <v>5836</v>
      </c>
      <c r="H851" s="17" t="s">
        <v>1894</v>
      </c>
      <c r="I851" s="17" t="s">
        <v>5883</v>
      </c>
      <c r="J851" s="17" t="s">
        <v>1877</v>
      </c>
      <c r="K851" s="17" t="s">
        <v>1833</v>
      </c>
      <c r="L851" s="17" t="s">
        <v>1999</v>
      </c>
      <c r="M851" s="18" t="s">
        <v>2000</v>
      </c>
      <c r="N851" s="17" t="s">
        <v>2001</v>
      </c>
      <c r="O851" s="18" t="s">
        <v>2002</v>
      </c>
      <c r="P851" s="19" t="s">
        <v>5849</v>
      </c>
      <c r="Q851" s="17" t="s">
        <v>5837</v>
      </c>
      <c r="R851" s="17" t="s">
        <v>1808</v>
      </c>
      <c r="S851" s="17" t="s">
        <v>206</v>
      </c>
      <c r="T851" s="17">
        <v>1</v>
      </c>
      <c r="U851" s="17" t="s">
        <v>1809</v>
      </c>
      <c r="V851" s="17" t="s">
        <v>5884</v>
      </c>
      <c r="W851" s="17" t="s">
        <v>5885</v>
      </c>
      <c r="X851" s="72">
        <v>46199.590277777781</v>
      </c>
      <c r="Y851" s="17" t="s">
        <v>5886</v>
      </c>
      <c r="Z851" s="17">
        <v>0.1</v>
      </c>
      <c r="AA851" s="17"/>
      <c r="AB851" s="17" t="s">
        <v>1956</v>
      </c>
      <c r="AC851" s="20" t="s">
        <v>2068</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5887</v>
      </c>
      <c r="E852" s="17" t="s">
        <v>1816</v>
      </c>
      <c r="F852" s="17">
        <v>2535</v>
      </c>
      <c r="G852" s="17" t="s">
        <v>5836</v>
      </c>
      <c r="H852" s="17" t="s">
        <v>1894</v>
      </c>
      <c r="I852" s="17" t="s">
        <v>5888</v>
      </c>
      <c r="J852" s="17" t="s">
        <v>1877</v>
      </c>
      <c r="K852" s="17" t="s">
        <v>1833</v>
      </c>
      <c r="L852" s="17" t="s">
        <v>1999</v>
      </c>
      <c r="M852" s="18" t="s">
        <v>2000</v>
      </c>
      <c r="N852" s="17" t="s">
        <v>2001</v>
      </c>
      <c r="O852" s="18" t="s">
        <v>2002</v>
      </c>
      <c r="P852" s="19" t="s">
        <v>5854</v>
      </c>
      <c r="Q852" s="17" t="s">
        <v>5837</v>
      </c>
      <c r="R852" s="17" t="s">
        <v>1808</v>
      </c>
      <c r="S852" s="17" t="s">
        <v>206</v>
      </c>
      <c r="T852" s="17">
        <v>1</v>
      </c>
      <c r="U852" s="17" t="s">
        <v>1809</v>
      </c>
      <c r="V852" s="17" t="s">
        <v>5889</v>
      </c>
      <c r="W852" s="17" t="s">
        <v>5890</v>
      </c>
      <c r="X852" s="72">
        <v>46199.59375</v>
      </c>
      <c r="Y852" s="17" t="s">
        <v>5891</v>
      </c>
      <c r="Z852" s="17">
        <v>0.1</v>
      </c>
      <c r="AA852" s="17"/>
      <c r="AB852" s="17" t="s">
        <v>1956</v>
      </c>
      <c r="AC852" s="20" t="s">
        <v>2068</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3382</v>
      </c>
      <c r="G853" s="17" t="s">
        <v>3383</v>
      </c>
      <c r="H853" s="17" t="s">
        <v>2080</v>
      </c>
      <c r="I853" s="17"/>
      <c r="J853" s="17"/>
      <c r="K853" s="17"/>
      <c r="L853" s="17"/>
      <c r="M853" s="18"/>
      <c r="N853" s="17"/>
      <c r="O853" s="18"/>
      <c r="P853" s="19"/>
      <c r="Q853" s="17" t="s">
        <v>3386</v>
      </c>
      <c r="R853" s="17" t="s">
        <v>1808</v>
      </c>
      <c r="S853" s="17" t="s">
        <v>195</v>
      </c>
      <c r="T853" s="17">
        <v>1</v>
      </c>
      <c r="U853" s="17" t="s">
        <v>1809</v>
      </c>
      <c r="V853" s="17" t="s">
        <v>5892</v>
      </c>
      <c r="W853" s="17" t="s">
        <v>5893</v>
      </c>
      <c r="X853" s="72">
        <v>46199.591666666667</v>
      </c>
      <c r="Y853" s="17"/>
      <c r="Z853" s="17">
        <v>0.3</v>
      </c>
      <c r="AA853" s="17"/>
      <c r="AB853" s="17" t="s">
        <v>1813</v>
      </c>
      <c r="AC853" s="20" t="s">
        <v>3664</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5894</v>
      </c>
      <c r="H854" s="17" t="s">
        <v>1848</v>
      </c>
      <c r="I854" s="17"/>
      <c r="J854" s="17"/>
      <c r="K854" s="17"/>
      <c r="L854" s="17"/>
      <c r="M854" s="18"/>
      <c r="N854" s="17"/>
      <c r="O854" s="18"/>
      <c r="P854" s="19"/>
      <c r="Q854" s="17" t="s">
        <v>5895</v>
      </c>
      <c r="R854" s="17" t="s">
        <v>1808</v>
      </c>
      <c r="S854" s="17" t="s">
        <v>566</v>
      </c>
      <c r="T854" s="17">
        <v>1</v>
      </c>
      <c r="U854" s="17" t="s">
        <v>1809</v>
      </c>
      <c r="V854" s="17" t="s">
        <v>5896</v>
      </c>
      <c r="W854" s="17" t="s">
        <v>5897</v>
      </c>
      <c r="X854" s="72">
        <v>46199.620138888888</v>
      </c>
      <c r="Y854" s="17"/>
      <c r="Z854" s="17">
        <v>0.4</v>
      </c>
      <c r="AA854" s="17"/>
      <c r="AB854" s="17" t="s">
        <v>1813</v>
      </c>
      <c r="AC854" s="20" t="s">
        <v>3664</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2556</v>
      </c>
      <c r="H855" s="17" t="s">
        <v>1848</v>
      </c>
      <c r="I855" s="17"/>
      <c r="J855" s="17"/>
      <c r="K855" s="17"/>
      <c r="L855" s="17"/>
      <c r="M855" s="18"/>
      <c r="N855" s="17"/>
      <c r="O855" s="18"/>
      <c r="P855" s="19"/>
      <c r="Q855" s="17" t="s">
        <v>2560</v>
      </c>
      <c r="R855" s="17" t="s">
        <v>1808</v>
      </c>
      <c r="S855" s="17" t="s">
        <v>566</v>
      </c>
      <c r="T855" s="17">
        <v>1</v>
      </c>
      <c r="U855" s="17" t="s">
        <v>1809</v>
      </c>
      <c r="V855" s="17" t="s">
        <v>5898</v>
      </c>
      <c r="W855" s="17" t="s">
        <v>5899</v>
      </c>
      <c r="X855" s="72">
        <v>46199.638888888891</v>
      </c>
      <c r="Y855" s="17"/>
      <c r="Z855" s="17">
        <v>0.4</v>
      </c>
      <c r="AA855" s="17"/>
      <c r="AB855" s="17" t="s">
        <v>1813</v>
      </c>
      <c r="AC855" s="20" t="s">
        <v>3664</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2497</v>
      </c>
      <c r="H856" s="17" t="s">
        <v>1848</v>
      </c>
      <c r="I856" s="17"/>
      <c r="J856" s="17"/>
      <c r="K856" s="17"/>
      <c r="L856" s="17"/>
      <c r="M856" s="18"/>
      <c r="N856" s="17"/>
      <c r="O856" s="18"/>
      <c r="P856" s="19"/>
      <c r="Q856" s="17" t="s">
        <v>2500</v>
      </c>
      <c r="R856" s="17" t="s">
        <v>1808</v>
      </c>
      <c r="S856" s="17" t="s">
        <v>566</v>
      </c>
      <c r="T856" s="17">
        <v>1</v>
      </c>
      <c r="U856" s="17" t="s">
        <v>1809</v>
      </c>
      <c r="V856" s="17" t="s">
        <v>5900</v>
      </c>
      <c r="W856" s="17" t="s">
        <v>5901</v>
      </c>
      <c r="X856" s="73">
        <v>46199.654861111107</v>
      </c>
      <c r="Y856" s="17"/>
      <c r="Z856" s="17">
        <v>0.3</v>
      </c>
      <c r="AA856" s="17"/>
      <c r="AB856" s="17" t="s">
        <v>1813</v>
      </c>
      <c r="AC856" s="20" t="s">
        <v>3664</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5902</v>
      </c>
      <c r="G857" s="17" t="s">
        <v>5903</v>
      </c>
      <c r="H857" s="17" t="s">
        <v>1848</v>
      </c>
      <c r="I857" s="17"/>
      <c r="J857" s="17"/>
      <c r="K857" s="17"/>
      <c r="L857" s="17"/>
      <c r="M857" s="18"/>
      <c r="N857" s="17"/>
      <c r="O857" s="18"/>
      <c r="P857" s="19"/>
      <c r="Q857" s="17" t="s">
        <v>5904</v>
      </c>
      <c r="R857" s="17" t="s">
        <v>1808</v>
      </c>
      <c r="S857" s="17" t="s">
        <v>566</v>
      </c>
      <c r="T857" s="17">
        <v>1</v>
      </c>
      <c r="U857" s="17" t="s">
        <v>1809</v>
      </c>
      <c r="V857" s="17" t="s">
        <v>5905</v>
      </c>
      <c r="W857" s="17" t="s">
        <v>5906</v>
      </c>
      <c r="X857" s="73">
        <v>46199.67083333333</v>
      </c>
      <c r="Y857" s="17"/>
      <c r="Z857" s="17">
        <v>0.3</v>
      </c>
      <c r="AA857" s="17"/>
      <c r="AB857" s="17" t="s">
        <v>1813</v>
      </c>
      <c r="AC857" s="20" t="s">
        <v>3664</v>
      </c>
      <c r="AD857" s="17" t="s">
        <v>881</v>
      </c>
      <c r="AE857" s="17"/>
      <c r="AF857" s="17"/>
      <c r="AG857" s="17"/>
      <c r="AH857" s="17"/>
      <c r="AI857" s="17"/>
      <c r="AJ857" s="17" t="s">
        <v>881</v>
      </c>
      <c r="AK857" s="17" t="s">
        <v>881</v>
      </c>
      <c r="AL857" t="e">
        <f t="shared" si="26"/>
        <v>#VALUE!</v>
      </c>
      <c r="AM857">
        <f t="shared" si="27"/>
        <v>46199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5907</v>
      </c>
    </row>
    <row r="2" spans="1:10" ht="31.2" customHeight="1">
      <c r="A2" s="33" t="s">
        <v>5907</v>
      </c>
      <c r="B2" s="34" t="s">
        <v>5908</v>
      </c>
      <c r="C2" s="34" t="s">
        <v>5909</v>
      </c>
      <c r="D2" s="34" t="s">
        <v>1015</v>
      </c>
      <c r="E2" s="34" t="s">
        <v>5910</v>
      </c>
      <c r="F2" s="34" t="s">
        <v>5909</v>
      </c>
      <c r="I2" s="26" t="s">
        <v>38</v>
      </c>
      <c r="J2" s="34" t="s">
        <v>5908</v>
      </c>
    </row>
    <row r="3" spans="1:10" ht="15.6" customHeight="1">
      <c r="I3" s="26" t="s">
        <v>846</v>
      </c>
      <c r="J3" s="34" t="s">
        <v>5909</v>
      </c>
    </row>
    <row r="4" spans="1:10" ht="31.2" customHeight="1">
      <c r="I4" s="26" t="s">
        <v>33</v>
      </c>
      <c r="J4" s="34" t="s">
        <v>1015</v>
      </c>
    </row>
    <row r="5" spans="1:10" ht="31.2" customHeight="1">
      <c r="I5" s="26" t="s">
        <v>32</v>
      </c>
      <c r="J5" s="34" t="s">
        <v>5910</v>
      </c>
    </row>
    <row r="6" spans="1:10" ht="31.2" customHeight="1">
      <c r="I6" s="26" t="s">
        <v>847</v>
      </c>
      <c r="J6" s="34" t="s">
        <v>5909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2026-06-26T09:42:05Z</dcterms:modified>
</cp:coreProperties>
</file>