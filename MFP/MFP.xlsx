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C9AF43D-6322-4665-807F-AF0488508575}"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4" i="8" l="1"/>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E12" i="3"/>
  <c r="D12" i="3"/>
  <c r="B12" i="3"/>
  <c r="C12" i="3" s="1"/>
  <c r="F12" i="3" s="1"/>
  <c r="D11" i="3"/>
  <c r="E11" i="3" s="1"/>
  <c r="C11" i="3"/>
  <c r="F11" i="3" s="1"/>
  <c r="B11" i="3"/>
  <c r="G8" i="3"/>
  <c r="H8" i="3" s="1"/>
  <c r="F8" i="3"/>
  <c r="E17" i="3" s="1"/>
  <c r="E8" i="3"/>
  <c r="C8" i="3"/>
  <c r="E7" i="3"/>
  <c r="C16" i="3" s="1"/>
  <c r="C7" i="3"/>
  <c r="F7" i="3" s="1"/>
  <c r="E6" i="3"/>
  <c r="F6" i="3" s="1"/>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B8" i="2" s="1"/>
  <c r="I8" i="2"/>
  <c r="H8" i="2"/>
  <c r="G8" i="2"/>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3" l="1"/>
  <c r="G13" i="3"/>
  <c r="H13" i="3" s="1"/>
  <c r="F17" i="3" s="1"/>
  <c r="B11" i="6"/>
  <c r="E15" i="3"/>
  <c r="G6" i="3"/>
  <c r="H6" i="3" s="1"/>
  <c r="E16" i="3"/>
  <c r="G7" i="3"/>
  <c r="H7" i="3" s="1"/>
  <c r="F16" i="3" s="1"/>
  <c r="D15" i="3"/>
  <c r="G11" i="3"/>
  <c r="H11" i="3" s="1"/>
  <c r="D16" i="3"/>
  <c r="G12" i="3"/>
  <c r="H12" i="3" s="1"/>
  <c r="B15" i="3"/>
  <c r="C15" i="3"/>
  <c r="B16" i="3"/>
  <c r="B7" i="2"/>
  <c r="B12" i="2" s="1"/>
  <c r="I17" i="3" l="1"/>
  <c r="J17" i="3" s="1"/>
  <c r="K17" i="3" s="1"/>
  <c r="F15" i="3"/>
  <c r="I16" i="3"/>
  <c r="J16" i="3" s="1"/>
  <c r="K16" i="3" s="1"/>
  <c r="I15" i="3"/>
  <c r="J15" i="3" s="1"/>
  <c r="K15" i="3" s="1"/>
</calcChain>
</file>

<file path=xl/sharedStrings.xml><?xml version="1.0" encoding="utf-8"?>
<sst xmlns="http://schemas.openxmlformats.org/spreadsheetml/2006/main" count="60000" uniqueCount="10325">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</sst>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7" width="8.88671875" style="53" customWidth="1"/>
    <col min="38"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5" width="8.88671875" style="7" customWidth="1"/>
    <col min="46"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3" width="8.88671875" style="9" customWidth="1"/>
    <col min="54"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195</v>
      </c>
      <c r="C11" s="12">
        <f>B11/12</f>
        <v>16.25</v>
      </c>
      <c r="D11" s="9">
        <f>COUNTIFS(IM!S:S,A11,IM!B:B,"維修")</f>
        <v>191</v>
      </c>
      <c r="E11" s="12">
        <f>D11/12</f>
        <v>15.916666666666666</v>
      </c>
      <c r="F11" s="9">
        <f>C11+E11</f>
        <v>32.166666666666664</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1447.5</v>
      </c>
      <c r="E15" s="9">
        <f>ROUND(D3*F6,2)</f>
        <v>1081.7</v>
      </c>
      <c r="F15" s="9">
        <f>(H6*20)+(H11*20)+(60*20)</f>
        <v>3306</v>
      </c>
      <c r="G15" s="9">
        <f>1.5*E3</f>
        <v>360</v>
      </c>
      <c r="H15" s="9">
        <f>1.5*F3</f>
        <v>360</v>
      </c>
      <c r="I15" s="9">
        <f>ROUND(SUM(B15:H15),2)</f>
        <v>8318.6</v>
      </c>
      <c r="J15" s="9">
        <f>ROUND(I15/20,2)</f>
        <v>415.93</v>
      </c>
      <c r="K15" s="9">
        <f>ROUND(J15/60,2)</f>
        <v>6.93</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3" width="13.77734375" style="8" customWidth="1"/>
    <col min="2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0" width="13.77734375" style="1" customWidth="1"/>
    <col min="41"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5" width="8.88671875" style="15" customWidth="1"/>
    <col min="46"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7" width="8.88671875" style="15" customWidth="1"/>
    <col min="68"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836</v>
      </c>
      <c r="R1" s="14" t="s">
        <v>831</v>
      </c>
      <c r="S1" s="14" t="s">
        <v>832</v>
      </c>
      <c r="T1" s="14" t="s">
        <v>2513</v>
      </c>
      <c r="U1" s="14" t="s">
        <v>2514</v>
      </c>
      <c r="V1" s="14" t="s">
        <v>2515</v>
      </c>
      <c r="W1" s="14" t="s">
        <v>2516</v>
      </c>
      <c r="X1" s="19" t="s">
        <v>2517</v>
      </c>
      <c r="Y1" s="14" t="s">
        <v>2518</v>
      </c>
      <c r="Z1" s="14" t="s">
        <v>2519</v>
      </c>
      <c r="AA1" s="14" t="s">
        <v>2520</v>
      </c>
      <c r="AB1" s="14" t="s">
        <v>2521</v>
      </c>
      <c r="AC1" s="14" t="s">
        <v>2522</v>
      </c>
      <c r="AD1" s="14" t="s">
        <v>757</v>
      </c>
      <c r="AE1" s="14" t="s">
        <v>843</v>
      </c>
      <c r="AF1" s="14" t="s">
        <v>844</v>
      </c>
      <c r="AG1" s="14" t="s">
        <v>845</v>
      </c>
      <c r="AH1" s="14" t="s">
        <v>846</v>
      </c>
      <c r="AI1" s="14" t="s">
        <v>847</v>
      </c>
      <c r="AJ1" s="14" t="s">
        <v>848</v>
      </c>
      <c r="AK1" s="14" t="s">
        <v>850</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2577</v>
      </c>
      <c r="H6" s="25" t="s">
        <v>1604</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2577</v>
      </c>
      <c r="H7" s="25" t="s">
        <v>1604</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1604</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2600</v>
      </c>
      <c r="G22" s="25" t="s">
        <v>2601</v>
      </c>
      <c r="H22" s="25" t="s">
        <v>1604</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1604</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1604</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3290</v>
      </c>
      <c r="H140" s="25" t="s">
        <v>1604</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3331</v>
      </c>
      <c r="H141" s="25" t="s">
        <v>1604</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3335</v>
      </c>
      <c r="H142" s="25" t="s">
        <v>1604</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1604</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1604</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3485</v>
      </c>
      <c r="H175" s="25" t="s">
        <v>1604</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1604</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1604</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3994</v>
      </c>
      <c r="H265" s="25" t="s">
        <v>1604</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4000</v>
      </c>
      <c r="H267" s="25" t="s">
        <v>1604</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1604</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4075</v>
      </c>
      <c r="H279" s="25" t="s">
        <v>1604</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4066</v>
      </c>
      <c r="H280" s="25" t="s">
        <v>1604</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4157</v>
      </c>
      <c r="H298" s="25" t="s">
        <v>1604</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4168</v>
      </c>
      <c r="H300" s="25" t="s">
        <v>1604</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3818</v>
      </c>
      <c r="H301" s="25" t="s">
        <v>1604</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1604</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4182</v>
      </c>
      <c r="H303" s="25" t="s">
        <v>1604</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1604</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4193</v>
      </c>
      <c r="H305" s="25" t="s">
        <v>1604</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3212</v>
      </c>
      <c r="H306" s="25" t="s">
        <v>1604</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4199</v>
      </c>
      <c r="H307" s="25" t="s">
        <v>1604</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4207</v>
      </c>
      <c r="H309" s="25" t="s">
        <v>1604</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2600</v>
      </c>
      <c r="G389" s="25" t="s">
        <v>2601</v>
      </c>
      <c r="H389" s="25" t="s">
        <v>1604</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1604</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4207</v>
      </c>
      <c r="H473" s="25" t="s">
        <v>1604</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3485</v>
      </c>
      <c r="H489" s="25" t="s">
        <v>1604</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4157</v>
      </c>
      <c r="H491" s="25" t="s">
        <v>1604</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3331</v>
      </c>
      <c r="H553" s="25" t="s">
        <v>1604</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3335</v>
      </c>
      <c r="H554" s="25" t="s">
        <v>1604</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4066</v>
      </c>
      <c r="H559" s="25" t="s">
        <v>1604</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4000</v>
      </c>
      <c r="H611" s="25" t="s">
        <v>1604</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3818</v>
      </c>
      <c r="H612" s="25" t="s">
        <v>1604</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4168</v>
      </c>
      <c r="H615" s="25" t="s">
        <v>1604</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3290</v>
      </c>
      <c r="H617" s="25" t="s">
        <v>1604</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4182</v>
      </c>
      <c r="H618" s="25" t="s">
        <v>1604</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4193</v>
      </c>
      <c r="H619" s="25" t="s">
        <v>1604</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3212</v>
      </c>
      <c r="H642" s="25" t="s">
        <v>1604</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4199</v>
      </c>
      <c r="H644" s="25" t="s">
        <v>1604</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3994</v>
      </c>
      <c r="H656" s="25" t="s">
        <v>1604</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1604</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1604</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1604</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4075</v>
      </c>
      <c r="H768" s="25" t="s">
        <v>1604</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1604</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1604</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3331</v>
      </c>
      <c r="H781" s="25" t="s">
        <v>1604</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4066</v>
      </c>
      <c r="H786" s="25" t="s">
        <v>1604</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1604</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3331</v>
      </c>
      <c r="H826" s="25" t="s">
        <v>1604</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1604</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3212</v>
      </c>
      <c r="H961" s="25" t="s">
        <v>1604</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2577</v>
      </c>
      <c r="H1038" s="25" t="s">
        <v>1604</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4207</v>
      </c>
      <c r="H1044" s="25" t="s">
        <v>1604</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2577</v>
      </c>
      <c r="H1045" s="25" t="s">
        <v>1604</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2600</v>
      </c>
      <c r="G1092" s="25" t="s">
        <v>2601</v>
      </c>
      <c r="H1092" s="25" t="s">
        <v>1604</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3335</v>
      </c>
      <c r="H1093" s="25" t="s">
        <v>1604</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4066</v>
      </c>
      <c r="H1096" s="25" t="s">
        <v>1604</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4075</v>
      </c>
      <c r="H1097" s="25" t="s">
        <v>1604</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3994</v>
      </c>
      <c r="H1098" s="25" t="s">
        <v>1604</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4193</v>
      </c>
      <c r="H1099" s="25" t="s">
        <v>1604</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4182</v>
      </c>
      <c r="H1101" s="25" t="s">
        <v>1604</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1604</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1604</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4000</v>
      </c>
      <c r="H1132" s="25" t="s">
        <v>1604</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1604</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1604</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4157</v>
      </c>
      <c r="H1180" s="25" t="s">
        <v>1604</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3485</v>
      </c>
      <c r="H1181" s="25" t="s">
        <v>1604</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4168</v>
      </c>
      <c r="H1182" s="25" t="s">
        <v>1604</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3290</v>
      </c>
      <c r="H1183" s="25" t="s">
        <v>1604</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3818</v>
      </c>
      <c r="H1184" s="25" t="s">
        <v>1604</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4199</v>
      </c>
      <c r="H1185" s="25" t="s">
        <v>1604</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1604</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1604</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4199</v>
      </c>
      <c r="H1266" s="25" t="s">
        <v>1604</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1604</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1604</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3212</v>
      </c>
      <c r="H1336" s="37" t="s">
        <v>1604</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4075</v>
      </c>
      <c r="H1406" s="37" t="s">
        <v>1604</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2600</v>
      </c>
      <c r="G1411" s="37" t="s">
        <v>2601</v>
      </c>
      <c r="H1411" s="37" t="s">
        <v>1604</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3331</v>
      </c>
      <c r="H1412" s="37" t="s">
        <v>1604</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3335</v>
      </c>
      <c r="H1414" s="37" t="s">
        <v>1604</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4066</v>
      </c>
      <c r="H1418" s="37" t="s">
        <v>1604</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3485</v>
      </c>
      <c r="H1473" s="37" t="s">
        <v>1604</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4157</v>
      </c>
      <c r="H1474" s="37" t="s">
        <v>1604</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3994</v>
      </c>
      <c r="H1521" s="37" t="s">
        <v>1604</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4000</v>
      </c>
      <c r="H1522" s="37" t="s">
        <v>1604</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4199</v>
      </c>
      <c r="H1523" s="37" t="s">
        <v>1604</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3818</v>
      </c>
      <c r="H1524" s="37" t="s">
        <v>1604</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4168</v>
      </c>
      <c r="H1525" s="37" t="s">
        <v>1604</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4182</v>
      </c>
      <c r="H1526" s="37" t="s">
        <v>1604</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4193</v>
      </c>
      <c r="H1529" s="37" t="s">
        <v>1604</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3290</v>
      </c>
      <c r="H1532" s="37" t="s">
        <v>1604</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1604</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1604</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1604</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4207</v>
      </c>
      <c r="H1627" s="37" t="s">
        <v>1604</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2577</v>
      </c>
      <c r="H1628" s="37" t="s">
        <v>1604</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2577</v>
      </c>
      <c r="H1629" s="37" t="s">
        <v>1604</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1604</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1604</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2577</v>
      </c>
      <c r="H1644" s="37" t="s">
        <v>1604</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4182</v>
      </c>
      <c r="H1645" s="37" t="s">
        <v>1604</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3335</v>
      </c>
      <c r="H1733" s="37" t="s">
        <v>1604</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1604</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1604</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4168</v>
      </c>
      <c r="H1772" s="37" t="s">
        <v>1604</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3331</v>
      </c>
      <c r="H1773" s="37" t="s">
        <v>1604</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4066</v>
      </c>
      <c r="H1777" s="37" t="s">
        <v>1604</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861</v>
      </c>
      <c r="AF1794" s="37"/>
      <c r="AG1794" s="37"/>
      <c r="AH1794" s="37"/>
      <c r="AI1794" s="37"/>
      <c r="AJ1794" s="37"/>
      <c r="AK1794" s="37" t="s">
        <v>861</v>
      </c>
      <c r="AL1794" s="41" t="e">
        <f t="shared" ref="AL1794:AL1854" si="56">DATEVALUE(TEXT(I1794, "yyyy/mm/dd"))</f>
        <v>#VALUE!</v>
      </c>
      <c r="AM1794" s="42">
        <f t="shared" ref="AM1794:AM1854" si="57">DATEVALUE(TEXT(X1794, "yyyy/mm/dd"))</f>
        <v>46043</v>
      </c>
    </row>
    <row r="1795" spans="1:39" ht="21.6" customHeight="1" x14ac:dyDescent="0.3">
      <c r="A1795" s="37">
        <v>167</v>
      </c>
      <c r="B1795" s="37" t="s">
        <v>860</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0">
        <v>46051.663194444453</v>
      </c>
      <c r="Y1851" s="37" t="s">
        <v>10314</v>
      </c>
      <c r="Z1851" s="37">
        <v>0.5</v>
      </c>
      <c r="AA1851" s="37"/>
      <c r="AB1851" s="37" t="s">
        <v>2542</v>
      </c>
      <c r="AC1851" s="40" t="s">
        <v>10315</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0">
        <v>46051.583333333343</v>
      </c>
      <c r="Y1852" s="37"/>
      <c r="Z1852" s="37">
        <v>0.5</v>
      </c>
      <c r="AA1852" s="37"/>
      <c r="AB1852" s="37" t="s">
        <v>2542</v>
      </c>
      <c r="AC1852" s="40" t="s">
        <v>10318</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0">
        <v>46051.666666666657</v>
      </c>
      <c r="Y1853" s="37"/>
      <c r="Z1853" s="37">
        <v>0.3</v>
      </c>
      <c r="AA1853" s="37"/>
      <c r="AB1853" s="37" t="s">
        <v>2542</v>
      </c>
      <c r="AC1853" s="40" t="s">
        <v>10321</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0">
        <v>46051.6875</v>
      </c>
      <c r="Y1854" s="37"/>
      <c r="Z1854" s="37">
        <v>0.3</v>
      </c>
      <c r="AA1854" s="37"/>
      <c r="AB1854" s="37" t="s">
        <v>2542</v>
      </c>
      <c r="AC1854" s="40" t="s">
        <v>10324</v>
      </c>
      <c r="AD1854" s="37" t="s">
        <v>861</v>
      </c>
      <c r="AE1854" s="37"/>
      <c r="AF1854" s="37"/>
      <c r="AG1854" s="37"/>
      <c r="AH1854" s="37"/>
      <c r="AI1854" s="37"/>
      <c r="AJ1854" s="37" t="s">
        <v>861</v>
      </c>
      <c r="AK1854" s="37" t="s">
        <v>861</v>
      </c>
      <c r="AL1854" s="41" t="e">
        <f t="shared" si="56"/>
        <v>#VALUE!</v>
      </c>
      <c r="AM1854"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2026-01-29T11:38:16Z</dcterms:modified>
</cp:coreProperties>
</file>