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1ABD956-F7B5-49A1-8B30-55E49873CA02}"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04" i="10" l="1"/>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B8" i="8" s="1"/>
  <c r="E8" i="8"/>
  <c r="D8" i="8"/>
  <c r="C8" i="8"/>
  <c r="R7" i="8"/>
  <c r="Q7" i="8"/>
  <c r="P7" i="8"/>
  <c r="O7" i="8"/>
  <c r="N7" i="8"/>
  <c r="M7" i="8"/>
  <c r="L7" i="8"/>
  <c r="K7" i="8"/>
  <c r="J7" i="8"/>
  <c r="I7" i="8"/>
  <c r="H7" i="8"/>
  <c r="G7" i="8"/>
  <c r="F7" i="8"/>
  <c r="E7" i="8"/>
  <c r="D7" i="8"/>
  <c r="C7" i="8"/>
  <c r="B7" i="8" s="1"/>
  <c r="R4" i="8"/>
  <c r="Q4" i="8"/>
  <c r="P4" i="8"/>
  <c r="O4" i="8"/>
  <c r="N4" i="8"/>
  <c r="M4" i="8"/>
  <c r="L4" i="8"/>
  <c r="K4" i="8"/>
  <c r="J4" i="8"/>
  <c r="I4" i="8"/>
  <c r="H4" i="8"/>
  <c r="B4" i="8" s="1"/>
  <c r="G4" i="8"/>
  <c r="F4" i="8"/>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B3" i="6" s="1"/>
  <c r="F3" i="6"/>
  <c r="E3" i="6"/>
  <c r="D3" i="6"/>
  <c r="C3" i="6"/>
  <c r="R2" i="6"/>
  <c r="Q2" i="6"/>
  <c r="P2" i="6"/>
  <c r="O2" i="6"/>
  <c r="N2" i="6"/>
  <c r="M2" i="6"/>
  <c r="L2" i="6"/>
  <c r="K2" i="6"/>
  <c r="J2" i="6"/>
  <c r="I2" i="6"/>
  <c r="H2" i="6"/>
  <c r="B2" i="6" s="1"/>
  <c r="D7" i="5" s="1"/>
  <c r="G2" i="6"/>
  <c r="F2" i="6"/>
  <c r="E2" i="6"/>
  <c r="D2" i="6"/>
  <c r="G7" i="5" s="1"/>
  <c r="C2" i="6"/>
  <c r="P27" i="5"/>
  <c r="N21" i="5"/>
  <c r="G17" i="5"/>
  <c r="G16" i="5"/>
  <c r="G15" i="5"/>
  <c r="E13" i="5"/>
  <c r="D13" i="5"/>
  <c r="B13" i="5"/>
  <c r="C13" i="5" s="1"/>
  <c r="E12" i="5"/>
  <c r="D12" i="5"/>
  <c r="B12" i="5"/>
  <c r="C12" i="5" s="1"/>
  <c r="F12" i="5" s="1"/>
  <c r="E11" i="5"/>
  <c r="D11" i="5"/>
  <c r="C11" i="5"/>
  <c r="F11" i="5" s="1"/>
  <c r="B11" i="5"/>
  <c r="G8" i="5"/>
  <c r="F8" i="5"/>
  <c r="H8" i="5" s="1"/>
  <c r="E8" i="5"/>
  <c r="B17" i="5" s="1"/>
  <c r="D8" i="5"/>
  <c r="C8" i="5"/>
  <c r="F7" i="5"/>
  <c r="H7" i="5" s="1"/>
  <c r="E7" i="5"/>
  <c r="B16" i="5" s="1"/>
  <c r="C7" i="5"/>
  <c r="G6" i="5"/>
  <c r="F6" i="5"/>
  <c r="C15" i="5" s="1"/>
  <c r="E6" i="5"/>
  <c r="B15" i="5" s="1"/>
  <c r="C6" i="5"/>
  <c r="S2" i="4"/>
  <c r="A2" i="4" s="1"/>
  <c r="B2" i="4"/>
  <c r="Q12" i="2"/>
  <c r="T11" i="2"/>
  <c r="S11" i="2"/>
  <c r="R11" i="2"/>
  <c r="Q11" i="2"/>
  <c r="P11" i="2"/>
  <c r="O11" i="2"/>
  <c r="N11" i="2"/>
  <c r="M11" i="2"/>
  <c r="L11" i="2"/>
  <c r="K11" i="2"/>
  <c r="J11" i="2"/>
  <c r="I11" i="2"/>
  <c r="I12" i="2" s="1"/>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O12" i="2" s="1"/>
  <c r="N9" i="2"/>
  <c r="M9" i="2"/>
  <c r="L9" i="2"/>
  <c r="K9" i="2"/>
  <c r="J9" i="2"/>
  <c r="I9" i="2"/>
  <c r="H9" i="2"/>
  <c r="G9" i="2"/>
  <c r="G12" i="2" s="1"/>
  <c r="F9" i="2"/>
  <c r="E9" i="2"/>
  <c r="D9" i="2"/>
  <c r="C9" i="2"/>
  <c r="T8" i="2"/>
  <c r="S8" i="2"/>
  <c r="S12" i="2" s="1"/>
  <c r="R8" i="2"/>
  <c r="R12" i="2" s="1"/>
  <c r="Q8" i="2"/>
  <c r="P8" i="2"/>
  <c r="O8" i="2"/>
  <c r="N8" i="2"/>
  <c r="M8" i="2"/>
  <c r="L8" i="2"/>
  <c r="K8" i="2"/>
  <c r="K12" i="2" s="1"/>
  <c r="J8" i="2"/>
  <c r="B8" i="2" s="1"/>
  <c r="I8" i="2"/>
  <c r="H8" i="2"/>
  <c r="G8" i="2"/>
  <c r="F8" i="2"/>
  <c r="E8" i="2"/>
  <c r="D8" i="2"/>
  <c r="C8" i="2"/>
  <c r="C12" i="2" s="1"/>
  <c r="T7" i="2"/>
  <c r="T12" i="2" s="1"/>
  <c r="S7" i="2"/>
  <c r="R7" i="2"/>
  <c r="Q7" i="2"/>
  <c r="P7" i="2"/>
  <c r="P12" i="2" s="1"/>
  <c r="O7" i="2"/>
  <c r="N7" i="2"/>
  <c r="N12" i="2" s="1"/>
  <c r="M7" i="2"/>
  <c r="M12" i="2" s="1"/>
  <c r="L7" i="2"/>
  <c r="L12" i="2" s="1"/>
  <c r="K7" i="2"/>
  <c r="J7" i="2"/>
  <c r="I7" i="2"/>
  <c r="H7" i="2"/>
  <c r="H12" i="2" s="1"/>
  <c r="G7" i="2"/>
  <c r="F7" i="2"/>
  <c r="F12" i="2" s="1"/>
  <c r="E7" i="2"/>
  <c r="B7"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F13" i="5" l="1"/>
  <c r="B11" i="8"/>
  <c r="D17" i="5"/>
  <c r="G13" i="5"/>
  <c r="H13" i="5" s="1"/>
  <c r="D15" i="5"/>
  <c r="G11" i="5"/>
  <c r="H11" i="5" s="1"/>
  <c r="I7" i="5"/>
  <c r="J7" i="5" s="1"/>
  <c r="F16" i="5" s="1"/>
  <c r="E16" i="5"/>
  <c r="G12" i="5"/>
  <c r="H12" i="5" s="1"/>
  <c r="D16" i="5"/>
  <c r="P12" i="4" a="1"/>
  <c r="P12" i="4" s="1"/>
  <c r="L12" i="4" a="1"/>
  <c r="L12" i="4" s="1"/>
  <c r="H12" i="4" a="1"/>
  <c r="H12" i="4" s="1"/>
  <c r="D12" i="4" a="1"/>
  <c r="D12" i="4" s="1"/>
  <c r="B7" i="4" a="1"/>
  <c r="B7" i="4" s="1"/>
  <c r="E5" i="4" a="1"/>
  <c r="E5" i="4" s="1"/>
  <c r="I6" i="4" a="1"/>
  <c r="I6"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L7" i="4" a="1"/>
  <c r="L7" i="4" s="1"/>
  <c r="L17" i="4" s="1"/>
  <c r="D7" i="4" a="1"/>
  <c r="D7" i="4" s="1"/>
  <c r="D17" i="4" s="1"/>
  <c r="K5" i="4" a="1"/>
  <c r="K5" i="4" s="1"/>
  <c r="C5" i="4" a="1"/>
  <c r="C5" i="4" s="1"/>
  <c r="N12" i="4" a="1"/>
  <c r="N12" i="4" s="1"/>
  <c r="J12" i="4" a="1"/>
  <c r="J12" i="4" s="1"/>
  <c r="F12" i="4" a="1"/>
  <c r="F12" i="4" s="1"/>
  <c r="B12" i="4" a="1"/>
  <c r="B12" i="4" s="1"/>
  <c r="M10" i="4" a="1"/>
  <c r="M10" i="4" s="1"/>
  <c r="I10" i="4" a="1"/>
  <c r="I10" i="4" s="1"/>
  <c r="E10" i="4" a="1"/>
  <c r="E10" i="4" s="1"/>
  <c r="P7" i="4" a="1"/>
  <c r="P7" i="4" s="1"/>
  <c r="P17" i="4" s="1"/>
  <c r="H7" i="4" a="1"/>
  <c r="H7" i="4" s="1"/>
  <c r="H17" i="4" s="1"/>
  <c r="O5" i="4" a="1"/>
  <c r="O5" i="4" s="1"/>
  <c r="G5" i="4" a="1"/>
  <c r="G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N7" i="4" a="1"/>
  <c r="N7" i="4" s="1"/>
  <c r="F7" i="4" a="1"/>
  <c r="F7" i="4" s="1"/>
  <c r="F17" i="4" s="1"/>
  <c r="I5" i="4" a="1"/>
  <c r="I5" i="4" s="1"/>
  <c r="I15" i="4" s="1"/>
  <c r="M6" i="4" a="1"/>
  <c r="M6" i="4" s="1"/>
  <c r="M1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G10" i="4" a="1"/>
  <c r="G10" i="4" s="1"/>
  <c r="C10" i="4" a="1"/>
  <c r="C10" i="4" s="1"/>
  <c r="J7" i="4" a="1"/>
  <c r="J7" i="4" s="1"/>
  <c r="J17" i="4" s="1"/>
  <c r="M5" i="4" a="1"/>
  <c r="M5" i="4" s="1"/>
  <c r="M15" i="4" s="1"/>
  <c r="B8" i="4" a="1"/>
  <c r="B8" i="4" s="1"/>
  <c r="I8" i="5"/>
  <c r="J8" i="5" s="1"/>
  <c r="F17" i="5" s="1"/>
  <c r="E17" i="5"/>
  <c r="B9" i="2"/>
  <c r="B12" i="2" s="1"/>
  <c r="C16" i="5"/>
  <c r="I16" i="5" s="1"/>
  <c r="J16" i="5" s="1"/>
  <c r="K16" i="5" s="1"/>
  <c r="L16" i="5" s="1"/>
  <c r="J12" i="2"/>
  <c r="E12" i="2"/>
  <c r="C17" i="5"/>
  <c r="H6" i="5"/>
  <c r="I17" i="5" l="1"/>
  <c r="J17" i="5" s="1"/>
  <c r="K17" i="5" s="1"/>
  <c r="L17" i="5" s="1"/>
  <c r="I6" i="5"/>
  <c r="J6" i="5" s="1"/>
  <c r="F15" i="5" s="1"/>
  <c r="E15" i="5"/>
  <c r="C15" i="4"/>
  <c r="E18" i="4"/>
  <c r="I17" i="4"/>
  <c r="Q7" i="4"/>
  <c r="E2" i="4" s="1"/>
  <c r="B17" i="4"/>
  <c r="Q13" i="4"/>
  <c r="K15" i="4"/>
  <c r="I18" i="4"/>
  <c r="M17" i="4"/>
  <c r="M18" i="4"/>
  <c r="Q10" i="4"/>
  <c r="E16" i="4"/>
  <c r="Q11" i="4"/>
  <c r="D15" i="4"/>
  <c r="F18" i="4"/>
  <c r="Q12" i="4"/>
  <c r="D16" i="4"/>
  <c r="H15" i="4"/>
  <c r="J18" i="4"/>
  <c r="Q6" i="4"/>
  <c r="B16" i="4"/>
  <c r="G15" i="4"/>
  <c r="H16" i="4"/>
  <c r="L15" i="4"/>
  <c r="N18" i="4"/>
  <c r="Q8" i="4"/>
  <c r="B18" i="4"/>
  <c r="Q18" i="4" s="1"/>
  <c r="N17" i="4"/>
  <c r="O15" i="4"/>
  <c r="L16" i="4"/>
  <c r="P15" i="4"/>
  <c r="I16" i="4"/>
  <c r="Q5" i="4"/>
  <c r="C2" i="4" s="1"/>
  <c r="B15" i="4"/>
  <c r="P16" i="4"/>
  <c r="E17" i="4"/>
  <c r="E15" i="4"/>
  <c r="I15" i="5" l="1"/>
  <c r="J15" i="5" s="1"/>
  <c r="K15" i="5" s="1"/>
  <c r="L15" i="5" s="1"/>
  <c r="Q17" i="4"/>
  <c r="D2" i="4"/>
  <c r="F2" i="4"/>
  <c r="Q16" i="4"/>
  <c r="Q15" i="4"/>
</calcChain>
</file>

<file path=xl/sharedStrings.xml><?xml version="1.0" encoding="utf-8"?>
<sst xmlns="http://schemas.openxmlformats.org/spreadsheetml/2006/main" count="35813" uniqueCount="7041">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</sst>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491-4875-9913-C64DACF6FB9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491-4875-9913-C64DACF6FB9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3</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491-4875-9913-C64DACF6FB9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491-4875-9913-C64DACF6FB9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5" width="12.6640625" style="88" customWidth="1"/>
    <col min="3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6" width="8.88671875" style="7" customWidth="1"/>
    <col min="13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8" width="8.88671875" style="27" customWidth="1"/>
    <col min="12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9" width="8.88671875" style="51" customWidth="1"/>
    <col min="50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20</v>
      </c>
      <c r="F2" s="53">
        <f ca="1">Q8+Q13</f>
        <v>24</v>
      </c>
      <c r="G2" s="54"/>
      <c r="S2" s="54">
        <f ca="1">TODAY()</f>
        <v>46241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3</v>
      </c>
      <c r="J17" s="53">
        <f t="shared" ca="1" si="2"/>
        <v>0</v>
      </c>
      <c r="K17" s="53">
        <f t="shared" ca="1" si="2"/>
        <v>2</v>
      </c>
      <c r="L17" s="53">
        <f t="shared" ca="1" si="2"/>
        <v>0</v>
      </c>
      <c r="M17" s="53">
        <f t="shared" ca="1" si="2"/>
        <v>0</v>
      </c>
      <c r="N17" s="53">
        <f t="shared" ca="1" si="2"/>
        <v>0</v>
      </c>
      <c r="O17" s="53">
        <f t="shared" ca="1" si="2"/>
        <v>0</v>
      </c>
      <c r="P17" s="53">
        <f t="shared" ca="1" si="2"/>
        <v>0</v>
      </c>
      <c r="Q17" s="53">
        <f ca="1">SUM(B17:P17)</f>
        <v>20</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3</v>
      </c>
      <c r="K18" s="53">
        <f t="shared" ca="1" si="3"/>
        <v>0</v>
      </c>
      <c r="L18" s="53">
        <f t="shared" ca="1" si="3"/>
        <v>0</v>
      </c>
      <c r="M18" s="53">
        <f t="shared" ca="1" si="3"/>
        <v>0</v>
      </c>
      <c r="N18" s="53">
        <f t="shared" ca="1" si="3"/>
        <v>0</v>
      </c>
      <c r="O18" s="53">
        <f t="shared" ca="1" si="3"/>
        <v>0</v>
      </c>
      <c r="P18" s="53">
        <f t="shared" ca="1" si="3"/>
        <v>0</v>
      </c>
      <c r="Q18" s="53">
        <f ca="1">SUM(B18:P18)</f>
        <v>24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4" width="8.88671875" style="9" customWidth="1"/>
    <col min="14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118</v>
      </c>
      <c r="E12" s="10">
        <f ca="1">ROUND(D12/MONTH(TODAY()),2)</f>
        <v>14.75</v>
      </c>
      <c r="F12" s="9">
        <f ca="1">C12+E12</f>
        <v>14.88</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157</v>
      </c>
      <c r="E13" s="10">
        <f ca="1">ROUND(D13/MONTH(TODAY()),2)</f>
        <v>19.63</v>
      </c>
      <c r="F13" s="9">
        <f ca="1">C13+E13</f>
        <v>20.13</v>
      </c>
      <c r="G13" s="9">
        <f ca="1">ROUND(F13/21,2)</f>
        <v>0.96</v>
      </c>
      <c r="H13" s="9">
        <f ca="1">ROUND((G13*15),2)</f>
        <v>14.4</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669.6</v>
      </c>
      <c r="E16" s="9">
        <f ca="1">ROUND(D3*H7,2)</f>
        <v>252.75</v>
      </c>
      <c r="F16" s="9">
        <f ca="1">(J7*20)+(H12*20)+(60*20)</f>
        <v>2136</v>
      </c>
      <c r="G16" s="9">
        <f>COUNTIFS(IM!S:S,A7,IM!AE:AE,"o")*$E$3</f>
        <v>5940</v>
      </c>
      <c r="I16" s="9">
        <f ca="1">ROUND(SUM(B16:H16),2)</f>
        <v>9247.75</v>
      </c>
      <c r="J16" s="9">
        <f ca="1">ROUND(I16/20,2)</f>
        <v>462.39</v>
      </c>
      <c r="K16" s="9">
        <f ca="1">ROUND(J16/60,2)</f>
        <v>7.71</v>
      </c>
      <c r="L16" s="9">
        <f ca="1">8-K16</f>
        <v>0.29000000000000004</v>
      </c>
      <c r="O16" s="9" t="s">
        <v>1093</v>
      </c>
      <c r="P16" s="9">
        <v>60</v>
      </c>
    </row>
    <row r="17" spans="1:16" ht="21.6" customHeight="1">
      <c r="A17" s="32" t="s">
        <v>543</v>
      </c>
      <c r="B17" s="9">
        <f ca="1">ROUND($A$3*E8,2)</f>
        <v>35.65</v>
      </c>
      <c r="C17" s="9">
        <f ca="1">ROUND($B$3*F8,2)</f>
        <v>558.75</v>
      </c>
      <c r="D17" s="9">
        <f ca="1">F13*C3</f>
        <v>905.84999999999991</v>
      </c>
      <c r="E17" s="9">
        <f ca="1">ROUND(D3*H8,2)</f>
        <v>398.55</v>
      </c>
      <c r="F17" s="9">
        <f ca="1">(J8*20)+(H13*20)+(30*20)</f>
        <v>2028</v>
      </c>
      <c r="G17" s="9">
        <f>COUNTIFS(IM!S:S,A8,IM!AE:AE,"o")*$E$3</f>
        <v>4320</v>
      </c>
      <c r="I17" s="9">
        <f ca="1">ROUND(SUM(B17:H17),2)</f>
        <v>8246.7999999999993</v>
      </c>
      <c r="J17" s="9">
        <f ca="1">ROUND(I17/20,2)</f>
        <v>412.34</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4" width="13.77734375" style="8" customWidth="1"/>
    <col min="11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1" width="13.77734375" style="1" customWidth="1"/>
    <col min="13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6" width="8.88671875" style="13" customWidth="1"/>
    <col min="13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0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8" width="8.88671875" style="13" customWidth="1"/>
    <col min="159"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104" si="34">DATEVALUE(TEXT(I1090, "yyyy/mm/dd"))</f>
        <v>46239</v>
      </c>
      <c r="AM1090">
        <f t="shared" ref="AM1090:AM1104"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2">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2">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7010</v>
      </c>
      <c r="E1100" s="17" t="s">
        <v>2036</v>
      </c>
      <c r="F1100" s="17" t="s">
        <v>3275</v>
      </c>
      <c r="G1100" s="17" t="s">
        <v>3276</v>
      </c>
      <c r="H1100" s="17" t="s">
        <v>2095</v>
      </c>
      <c r="I1100" s="17" t="s">
        <v>7011</v>
      </c>
      <c r="J1100" s="17" t="s">
        <v>2021</v>
      </c>
      <c r="K1100" s="17" t="s">
        <v>2022</v>
      </c>
      <c r="L1100" s="17" t="s">
        <v>4421</v>
      </c>
      <c r="M1100" s="18" t="s">
        <v>4422</v>
      </c>
      <c r="N1100" s="17" t="s">
        <v>6649</v>
      </c>
      <c r="O1100" s="18" t="s">
        <v>6650</v>
      </c>
      <c r="P1100" s="19" t="s">
        <v>7012</v>
      </c>
      <c r="Q1100" s="17" t="s">
        <v>3277</v>
      </c>
      <c r="R1100" s="17" t="s">
        <v>2028</v>
      </c>
      <c r="S1100" s="17" t="s">
        <v>543</v>
      </c>
      <c r="T1100" s="17">
        <v>1</v>
      </c>
      <c r="U1100" s="17" t="s">
        <v>2029</v>
      </c>
      <c r="V1100" s="17" t="s">
        <v>7013</v>
      </c>
      <c r="W1100" s="17" t="s">
        <v>7014</v>
      </c>
      <c r="X1100" s="93">
        <v>46240.691666666673</v>
      </c>
      <c r="Y1100" s="17" t="s">
        <v>7015</v>
      </c>
      <c r="Z1100" s="17">
        <v>0.4</v>
      </c>
      <c r="AA1100" s="17"/>
      <c r="AB1100" s="17" t="s">
        <v>2033</v>
      </c>
      <c r="AC1100" s="20" t="s">
        <v>7016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7017</v>
      </c>
      <c r="E1101" s="17" t="s">
        <v>2036</v>
      </c>
      <c r="F1101" s="17">
        <v>4825</v>
      </c>
      <c r="G1101" s="17" t="s">
        <v>2267</v>
      </c>
      <c r="H1101" s="17" t="s">
        <v>2250</v>
      </c>
      <c r="I1101" s="17" t="s">
        <v>7018</v>
      </c>
      <c r="J1101" s="17" t="s">
        <v>2021</v>
      </c>
      <c r="K1101" s="17" t="s">
        <v>2022</v>
      </c>
      <c r="L1101" s="17" t="s">
        <v>2209</v>
      </c>
      <c r="M1101" s="18" t="s">
        <v>2210</v>
      </c>
      <c r="N1101" s="17">
        <v>6003</v>
      </c>
      <c r="O1101" s="18" t="s">
        <v>2161</v>
      </c>
      <c r="P1101" s="19" t="s">
        <v>7019</v>
      </c>
      <c r="Q1101" s="17" t="s">
        <v>2268</v>
      </c>
      <c r="R1101" s="17" t="s">
        <v>2028</v>
      </c>
      <c r="S1101" s="17" t="s">
        <v>20</v>
      </c>
      <c r="T1101" s="17">
        <v>1</v>
      </c>
      <c r="U1101" s="17" t="s">
        <v>2029</v>
      </c>
      <c r="V1101" s="17" t="s">
        <v>7020</v>
      </c>
      <c r="W1101" s="17" t="s">
        <v>7021</v>
      </c>
      <c r="X1101" s="93">
        <v>46240.666666666657</v>
      </c>
      <c r="Y1101" s="17" t="s">
        <v>7022</v>
      </c>
      <c r="Z1101" s="17">
        <v>0.3</v>
      </c>
      <c r="AA1101" s="17"/>
      <c r="AB1101" s="17" t="s">
        <v>2033</v>
      </c>
      <c r="AC1101" s="20" t="s">
        <v>7023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2267</v>
      </c>
      <c r="H1102" s="17" t="s">
        <v>2250</v>
      </c>
      <c r="I1102" s="17"/>
      <c r="J1102" s="17"/>
      <c r="K1102" s="17"/>
      <c r="L1102" s="17"/>
      <c r="M1102" s="18"/>
      <c r="N1102" s="17"/>
      <c r="O1102" s="18"/>
      <c r="P1102" s="19"/>
      <c r="Q1102" s="17" t="s">
        <v>2268</v>
      </c>
      <c r="R1102" s="17" t="s">
        <v>2028</v>
      </c>
      <c r="S1102" s="17" t="s">
        <v>20</v>
      </c>
      <c r="T1102" s="17">
        <v>1</v>
      </c>
      <c r="U1102" s="17" t="s">
        <v>2029</v>
      </c>
      <c r="V1102" s="17" t="s">
        <v>7024</v>
      </c>
      <c r="W1102" s="17" t="s">
        <v>7025</v>
      </c>
      <c r="X1102" s="93">
        <v>46240.680555555547</v>
      </c>
      <c r="Y1102" s="17"/>
      <c r="Z1102" s="17">
        <v>0.3</v>
      </c>
      <c r="AA1102" s="17"/>
      <c r="AB1102" s="17" t="s">
        <v>2033</v>
      </c>
      <c r="AC1102" s="20" t="s">
        <v>6279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7026</v>
      </c>
      <c r="E1103" s="17" t="s">
        <v>2036</v>
      </c>
      <c r="F1103" s="17">
        <v>4739</v>
      </c>
      <c r="G1103" s="17" t="s">
        <v>2895</v>
      </c>
      <c r="H1103" s="17" t="s">
        <v>2121</v>
      </c>
      <c r="I1103" s="17" t="s">
        <v>7027</v>
      </c>
      <c r="J1103" s="17" t="s">
        <v>2021</v>
      </c>
      <c r="K1103" s="17" t="s">
        <v>2053</v>
      </c>
      <c r="L1103" s="17" t="s">
        <v>2023</v>
      </c>
      <c r="M1103" s="18" t="s">
        <v>2024</v>
      </c>
      <c r="N1103" s="17">
        <v>2301</v>
      </c>
      <c r="O1103" s="18" t="s">
        <v>3778</v>
      </c>
      <c r="P1103" s="19" t="s">
        <v>7028</v>
      </c>
      <c r="Q1103" s="17" t="s">
        <v>2896</v>
      </c>
      <c r="R1103" s="17" t="s">
        <v>2028</v>
      </c>
      <c r="S1103" s="17" t="s">
        <v>20</v>
      </c>
      <c r="T1103" s="17">
        <v>1</v>
      </c>
      <c r="U1103" s="17" t="s">
        <v>2029</v>
      </c>
      <c r="V1103" s="17" t="s">
        <v>7029</v>
      </c>
      <c r="W1103" s="17" t="s">
        <v>7030</v>
      </c>
      <c r="X1103" s="93">
        <v>46240.854166666657</v>
      </c>
      <c r="Y1103" s="17" t="s">
        <v>7031</v>
      </c>
      <c r="Z1103" s="17">
        <v>3</v>
      </c>
      <c r="AA1103" s="17"/>
      <c r="AB1103" s="17" t="s">
        <v>2033</v>
      </c>
      <c r="AC1103" s="20" t="s">
        <v>7032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7033</v>
      </c>
      <c r="E1104" s="17" t="s">
        <v>2017</v>
      </c>
      <c r="F1104" s="17">
        <v>4739</v>
      </c>
      <c r="G1104" s="17" t="s">
        <v>2895</v>
      </c>
      <c r="H1104" s="17" t="s">
        <v>2121</v>
      </c>
      <c r="I1104" s="17" t="s">
        <v>7034</v>
      </c>
      <c r="J1104" s="17" t="s">
        <v>2021</v>
      </c>
      <c r="K1104" s="17" t="s">
        <v>2053</v>
      </c>
      <c r="L1104" s="17" t="s">
        <v>2023</v>
      </c>
      <c r="M1104" s="18" t="s">
        <v>2024</v>
      </c>
      <c r="N1104" s="17">
        <v>2301</v>
      </c>
      <c r="O1104" s="18" t="s">
        <v>3778</v>
      </c>
      <c r="P1104" s="19" t="s">
        <v>7035</v>
      </c>
      <c r="Q1104" s="17" t="s">
        <v>2896</v>
      </c>
      <c r="R1104" s="17" t="s">
        <v>2028</v>
      </c>
      <c r="S1104" s="17" t="s">
        <v>20</v>
      </c>
      <c r="T1104" s="17">
        <v>1</v>
      </c>
      <c r="U1104" s="17" t="s">
        <v>2029</v>
      </c>
      <c r="V1104" s="17" t="s">
        <v>7036</v>
      </c>
      <c r="W1104" s="17" t="s">
        <v>7030</v>
      </c>
      <c r="X1104" s="93">
        <v>46240.854166666657</v>
      </c>
      <c r="Y1104" s="17" t="s">
        <v>7037</v>
      </c>
      <c r="Z1104" s="17">
        <v>3</v>
      </c>
      <c r="AA1104" s="17"/>
      <c r="AB1104" s="17" t="s">
        <v>2033</v>
      </c>
      <c r="AC1104" s="20" t="s">
        <v>7038</v>
      </c>
      <c r="AD1104" s="17"/>
      <c r="AE1104" s="17"/>
      <c r="AF1104" s="17"/>
      <c r="AG1104" s="17"/>
      <c r="AH1104" s="17"/>
      <c r="AI1104" s="17"/>
      <c r="AJ1104" s="17"/>
      <c r="AK1104" s="17" t="s">
        <v>1148</v>
      </c>
      <c r="AL1104">
        <f t="shared" si="34"/>
        <v>46240</v>
      </c>
      <c r="AM1104">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7039</v>
      </c>
    </row>
    <row r="2" spans="1:10" ht="31.2" customHeight="1">
      <c r="A2" s="33" t="s">
        <v>7039</v>
      </c>
      <c r="B2" s="34" t="s">
        <v>1</v>
      </c>
      <c r="C2" s="34" t="s">
        <v>7040</v>
      </c>
      <c r="D2" s="34" t="s">
        <v>2</v>
      </c>
      <c r="E2" s="34" t="s">
        <v>0</v>
      </c>
      <c r="F2" s="34" t="s">
        <v>7040</v>
      </c>
      <c r="I2" s="26" t="s">
        <v>798</v>
      </c>
      <c r="J2" s="34" t="s">
        <v>1</v>
      </c>
    </row>
    <row r="3" spans="1:10" ht="15.6" customHeight="1">
      <c r="I3" s="26" t="s">
        <v>1113</v>
      </c>
      <c r="J3" s="34" t="s">
        <v>7040</v>
      </c>
    </row>
    <row r="4" spans="1:10" ht="31.2" customHeight="1">
      <c r="I4" s="26" t="s">
        <v>793</v>
      </c>
      <c r="J4" s="34" t="s">
        <v>2</v>
      </c>
    </row>
    <row r="5" spans="1:10" ht="31.2" customHeight="1">
      <c r="I5" s="26" t="s">
        <v>792</v>
      </c>
      <c r="J5" s="34" t="s">
        <v>0</v>
      </c>
    </row>
    <row r="6" spans="1:10" ht="31.2" customHeight="1">
      <c r="I6" s="26" t="s">
        <v>1114</v>
      </c>
      <c r="J6" s="34" t="s">
        <v>7040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2026-08-07T08:17:45Z</dcterms:modified>
</cp:coreProperties>
</file>