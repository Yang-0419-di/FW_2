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1288A8C-15E6-4214-A66D-F00293B1E2DB}"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3" i="8" l="1"/>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H16" i="3"/>
  <c r="G16" i="3"/>
  <c r="H15" i="3"/>
  <c r="G15" i="3"/>
  <c r="D13" i="3"/>
  <c r="E13" i="3" s="1"/>
  <c r="B13" i="3"/>
  <c r="C13" i="3" s="1"/>
  <c r="F13" i="3" s="1"/>
  <c r="E12" i="3"/>
  <c r="D12" i="3"/>
  <c r="B12" i="3"/>
  <c r="C12" i="3" s="1"/>
  <c r="F12" i="3" s="1"/>
  <c r="D11" i="3"/>
  <c r="E11" i="3" s="1"/>
  <c r="B11" i="3"/>
  <c r="C11" i="3" s="1"/>
  <c r="E8" i="3"/>
  <c r="B17" i="3" s="1"/>
  <c r="C8" i="3"/>
  <c r="F8" i="3" s="1"/>
  <c r="E7" i="3"/>
  <c r="C16" i="3" s="1"/>
  <c r="C7" i="3"/>
  <c r="F7" i="3" s="1"/>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3" l="1"/>
  <c r="G12" i="3"/>
  <c r="H12" i="3" s="1"/>
  <c r="G7" i="3"/>
  <c r="H7" i="3" s="1"/>
  <c r="E16" i="3"/>
  <c r="D17" i="3"/>
  <c r="G13" i="3"/>
  <c r="H13" i="3" s="1"/>
  <c r="G8" i="3"/>
  <c r="H8" i="3" s="1"/>
  <c r="F17" i="3" s="1"/>
  <c r="E17" i="3"/>
  <c r="I17" i="3" s="1"/>
  <c r="J17" i="3" s="1"/>
  <c r="K17" i="3" s="1"/>
  <c r="F11" i="3"/>
  <c r="F6" i="3"/>
  <c r="B15" i="3"/>
  <c r="B7" i="2"/>
  <c r="B12" i="2" s="1"/>
  <c r="B16" i="3"/>
  <c r="F16" i="3" l="1"/>
  <c r="I16" i="3" s="1"/>
  <c r="J16" i="3" s="1"/>
  <c r="K16" i="3" s="1"/>
  <c r="E15" i="3"/>
  <c r="G6" i="3"/>
  <c r="H6" i="3" s="1"/>
  <c r="D15" i="3"/>
  <c r="G11" i="3"/>
  <c r="H11" i="3" s="1"/>
  <c r="F15" i="3" l="1"/>
  <c r="I15" i="3" s="1"/>
  <c r="J15" i="3" s="1"/>
  <c r="K15" i="3" s="1"/>
</calcChain>
</file>

<file path=xl/sharedStrings.xml><?xml version="1.0" encoding="utf-8"?>
<sst xmlns="http://schemas.openxmlformats.org/spreadsheetml/2006/main" count="59125" uniqueCount="10184">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</sst>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2" width="8.88671875" style="53" customWidth="1"/>
    <col min="3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0" width="8.88671875" style="7" customWidth="1"/>
    <col min="4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8" width="8.88671875" style="9" customWidth="1"/>
    <col min="4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190</v>
      </c>
      <c r="E11" s="12">
        <f>D11/12</f>
        <v>15.833333333333334</v>
      </c>
      <c r="F11" s="9">
        <f>C11+E11</f>
        <v>31.5</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1417.5</v>
      </c>
      <c r="E15" s="9">
        <f>ROUND(D3*F6,2)</f>
        <v>1081.7</v>
      </c>
      <c r="F15" s="9">
        <f>(H6*20)+(H11*20)+(60*20)</f>
        <v>3297</v>
      </c>
      <c r="G15" s="9">
        <f>1.5*E3</f>
        <v>360</v>
      </c>
      <c r="H15" s="9">
        <f>1.5*F3</f>
        <v>360</v>
      </c>
      <c r="I15" s="9">
        <f>ROUND(SUM(B15:H15),2)</f>
        <v>8279.6</v>
      </c>
      <c r="J15" s="9">
        <f>ROUND(I15/20,2)</f>
        <v>413.98</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8" width="13.77734375" style="8" customWidth="1"/>
    <col min="1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5" width="13.77734375" style="1" customWidth="1"/>
    <col min="3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0" width="8.88671875" style="15" customWidth="1"/>
    <col min="4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2" width="8.88671875" style="15" customWidth="1"/>
    <col min="63"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3" si="56">DATEVALUE(TEXT(I1794, "yyyy/mm/dd"))</f>
        <v>#VALUE!</v>
      </c>
      <c r="AM1794" s="42">
        <f t="shared" ref="AM1794:AM1833"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1">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1">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1">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1">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1">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1">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1">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2026-01-26T10:29:21Z</dcterms:modified>
</cp:coreProperties>
</file>