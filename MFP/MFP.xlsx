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5E9DA64-1A14-4274-ABEE-B021BCB7E53C}"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MFP!$A$1:$AB$504</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625" i="9" l="1"/>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s="1"/>
  <c r="R9" i="6"/>
  <c r="Q9" i="6"/>
  <c r="P9" i="6"/>
  <c r="O9" i="6"/>
  <c r="N9" i="6"/>
  <c r="M9" i="6"/>
  <c r="L9" i="6"/>
  <c r="K9" i="6"/>
  <c r="J9" i="6"/>
  <c r="I9" i="6"/>
  <c r="H9" i="6"/>
  <c r="G9" i="6"/>
  <c r="B9" i="6" s="1"/>
  <c r="F9" i="6"/>
  <c r="E9" i="6"/>
  <c r="D9" i="6"/>
  <c r="C9" i="6"/>
  <c r="R8" i="6"/>
  <c r="Q8" i="6"/>
  <c r="P8" i="6"/>
  <c r="O8" i="6"/>
  <c r="N8" i="6"/>
  <c r="M8" i="6"/>
  <c r="L8" i="6"/>
  <c r="K8" i="6"/>
  <c r="J8" i="6"/>
  <c r="I8" i="6"/>
  <c r="H8" i="6"/>
  <c r="B8" i="6" s="1"/>
  <c r="G8" i="6"/>
  <c r="F8" i="6"/>
  <c r="E8" i="6"/>
  <c r="D8" i="6"/>
  <c r="C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C2" i="6"/>
  <c r="R9" i="5"/>
  <c r="Q9" i="5"/>
  <c r="P9" i="5"/>
  <c r="O9" i="5"/>
  <c r="N9" i="5"/>
  <c r="M9" i="5"/>
  <c r="L9" i="5"/>
  <c r="K9" i="5"/>
  <c r="J9" i="5"/>
  <c r="I9" i="5"/>
  <c r="H9" i="5"/>
  <c r="G9" i="5"/>
  <c r="F9" i="5"/>
  <c r="B9" i="5" s="1"/>
  <c r="E9" i="5"/>
  <c r="D9" i="5"/>
  <c r="C9" i="5"/>
  <c r="R8" i="5"/>
  <c r="Q8" i="5"/>
  <c r="P8" i="5"/>
  <c r="O8" i="5"/>
  <c r="N8" i="5"/>
  <c r="M8" i="5"/>
  <c r="L8" i="5"/>
  <c r="K8" i="5"/>
  <c r="J8" i="5"/>
  <c r="I8" i="5"/>
  <c r="H8" i="5"/>
  <c r="G8" i="5"/>
  <c r="F8" i="5"/>
  <c r="E8" i="5"/>
  <c r="D8" i="5"/>
  <c r="C8" i="5"/>
  <c r="B8" i="5"/>
  <c r="R7" i="5"/>
  <c r="Q7" i="5"/>
  <c r="P7" i="5"/>
  <c r="O7" i="5"/>
  <c r="N7" i="5"/>
  <c r="M7" i="5"/>
  <c r="L7" i="5"/>
  <c r="K7" i="5"/>
  <c r="J7" i="5"/>
  <c r="I7" i="5"/>
  <c r="H7" i="5"/>
  <c r="G7" i="5"/>
  <c r="F7" i="5"/>
  <c r="E7" i="5"/>
  <c r="D7" i="5"/>
  <c r="C7" i="5"/>
  <c r="B7"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E7" i="4" s="1"/>
  <c r="C2" i="5"/>
  <c r="B2" i="5" s="1"/>
  <c r="P27" i="4"/>
  <c r="N21" i="4"/>
  <c r="G17" i="4"/>
  <c r="G16" i="4"/>
  <c r="G15" i="4"/>
  <c r="C15" i="4"/>
  <c r="B15" i="4"/>
  <c r="E13" i="4"/>
  <c r="D13" i="4"/>
  <c r="B13" i="4"/>
  <c r="C13" i="4" s="1"/>
  <c r="F13" i="4" s="1"/>
  <c r="D12" i="4"/>
  <c r="E12" i="4" s="1"/>
  <c r="B12" i="4"/>
  <c r="C12" i="4" s="1"/>
  <c r="F12" i="4" s="1"/>
  <c r="E11" i="4"/>
  <c r="F11" i="4" s="1"/>
  <c r="D11" i="4"/>
  <c r="C11" i="4"/>
  <c r="B11" i="4"/>
  <c r="E8" i="4"/>
  <c r="C17" i="4" s="1"/>
  <c r="C8" i="4"/>
  <c r="F8" i="4" s="1"/>
  <c r="C7" i="4"/>
  <c r="F6" i="4"/>
  <c r="G6" i="4" s="1"/>
  <c r="H6" i="4" s="1"/>
  <c r="E6" i="4"/>
  <c r="C6" i="4"/>
  <c r="S2" i="3"/>
  <c r="A2" i="3" s="1"/>
  <c r="B2" i="3"/>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B9" i="1" s="1"/>
  <c r="F9" i="1"/>
  <c r="E9" i="1"/>
  <c r="D9" i="1"/>
  <c r="C9" i="1"/>
  <c r="T8" i="1"/>
  <c r="S8" i="1"/>
  <c r="S12" i="1" s="1"/>
  <c r="R8" i="1"/>
  <c r="Q8" i="1"/>
  <c r="P8" i="1"/>
  <c r="O8" i="1"/>
  <c r="N8" i="1"/>
  <c r="M8" i="1"/>
  <c r="L8" i="1"/>
  <c r="K8" i="1"/>
  <c r="J8" i="1"/>
  <c r="I8" i="1"/>
  <c r="H8" i="1"/>
  <c r="G8" i="1"/>
  <c r="F8" i="1"/>
  <c r="E8" i="1"/>
  <c r="D8" i="1"/>
  <c r="B8" i="1" s="1"/>
  <c r="C8" i="1"/>
  <c r="T7" i="1"/>
  <c r="T12" i="1" s="1"/>
  <c r="S7" i="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B4" i="1" s="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B16" i="4" l="1"/>
  <c r="C16" i="4"/>
  <c r="B11" i="6"/>
  <c r="B11" i="7"/>
  <c r="G13" i="4"/>
  <c r="H13" i="4" s="1"/>
  <c r="D17" i="4"/>
  <c r="G11" i="4"/>
  <c r="H11" i="4" s="1"/>
  <c r="F15" i="4" s="1"/>
  <c r="D15" i="4"/>
  <c r="G12" i="4"/>
  <c r="H12" i="4" s="1"/>
  <c r="D16" i="4"/>
  <c r="F7" i="4"/>
  <c r="B11" i="5"/>
  <c r="G8" i="4"/>
  <c r="H8" i="4" s="1"/>
  <c r="F17" i="4" s="1"/>
  <c r="E17" i="4"/>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B17" i="4"/>
  <c r="I17" i="4" s="1"/>
  <c r="J17" i="4" s="1"/>
  <c r="K17" i="4" s="1"/>
  <c r="E15" i="4"/>
  <c r="I15" i="4" s="1"/>
  <c r="J15" i="4" s="1"/>
  <c r="K15" i="4" s="1"/>
  <c r="B7" i="1"/>
  <c r="B12" i="1" s="1"/>
  <c r="Q7" i="3" l="1"/>
  <c r="B17" i="3"/>
  <c r="D18" i="3"/>
  <c r="H17" i="3"/>
  <c r="M18" i="3"/>
  <c r="Q10" i="3"/>
  <c r="Q8" i="3"/>
  <c r="F2" i="3" s="1"/>
  <c r="B18" i="3"/>
  <c r="Q18" i="3" s="1"/>
  <c r="O16" i="3"/>
  <c r="H18" i="3"/>
  <c r="L17" i="3"/>
  <c r="Q11" i="3"/>
  <c r="D15" i="3"/>
  <c r="L18" i="3"/>
  <c r="P17" i="3"/>
  <c r="D16" i="3"/>
  <c r="H15" i="3"/>
  <c r="P18" i="3"/>
  <c r="C15" i="3"/>
  <c r="H16" i="3"/>
  <c r="L15" i="3"/>
  <c r="E16" i="4"/>
  <c r="I16" i="4" s="1"/>
  <c r="J16" i="4" s="1"/>
  <c r="K16" i="4" s="1"/>
  <c r="G7" i="4"/>
  <c r="H7" i="4" s="1"/>
  <c r="F16" i="4" s="1"/>
  <c r="C16" i="3"/>
  <c r="G15" i="3"/>
  <c r="L16" i="3"/>
  <c r="P15" i="3"/>
  <c r="B15" i="3"/>
  <c r="Q5" i="3"/>
  <c r="C2" i="3" s="1"/>
  <c r="G16" i="3"/>
  <c r="K15" i="3"/>
  <c r="P16" i="3"/>
  <c r="E17" i="3"/>
  <c r="Q6" i="3"/>
  <c r="B16" i="3"/>
  <c r="K16" i="3"/>
  <c r="O15" i="3"/>
  <c r="Q12" i="3"/>
  <c r="E18" i="3"/>
  <c r="I17" i="3"/>
  <c r="Q13" i="3"/>
  <c r="D17" i="3"/>
  <c r="I18" i="3"/>
  <c r="M17" i="3"/>
  <c r="Q16" i="3" l="1"/>
  <c r="Q15" i="3"/>
  <c r="D2" i="3"/>
  <c r="Q17" i="3"/>
  <c r="E2" i="3"/>
</calcChain>
</file>

<file path=xl/sharedStrings.xml><?xml version="1.0" encoding="utf-8"?>
<sst xmlns="http://schemas.openxmlformats.org/spreadsheetml/2006/main" count="22237" uniqueCount="4807">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</sst>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2</c:v>
                </c:pt>
                <c:pt idx="5">
                  <c:v>0</c:v>
                </c:pt>
                <c:pt idx="6">
                  <c:v>4</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7A0-4A0A-B95A-620F19CE3EF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11</c:v>
                </c:pt>
                <c:pt idx="2">
                  <c:v>7</c:v>
                </c:pt>
                <c:pt idx="3">
                  <c:v>12</c:v>
                </c:pt>
                <c:pt idx="4">
                  <c:v>1</c:v>
                </c:pt>
                <c:pt idx="5">
                  <c:v>11</c:v>
                </c:pt>
                <c:pt idx="6">
                  <c:v>8</c:v>
                </c:pt>
                <c:pt idx="7">
                  <c:v>9</c:v>
                </c:pt>
                <c:pt idx="8">
                  <c:v>6</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97A0-4A0A-B95A-620F19CE3EF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6</c:v>
                </c:pt>
                <c:pt idx="4">
                  <c:v>4</c:v>
                </c:pt>
                <c:pt idx="5">
                  <c:v>4</c:v>
                </c:pt>
                <c:pt idx="6">
                  <c:v>7</c:v>
                </c:pt>
                <c:pt idx="7">
                  <c:v>12</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97A0-4A0A-B95A-620F19CE3EF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10</c:v>
                </c:pt>
                <c:pt idx="2">
                  <c:v>17</c:v>
                </c:pt>
                <c:pt idx="3">
                  <c:v>10</c:v>
                </c:pt>
                <c:pt idx="4">
                  <c:v>4</c:v>
                </c:pt>
                <c:pt idx="5">
                  <c:v>10</c:v>
                </c:pt>
                <c:pt idx="6">
                  <c:v>13</c:v>
                </c:pt>
                <c:pt idx="7">
                  <c:v>10</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97A0-4A0A-B95A-620F19CE3EF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79" width="8.88671875" style="7" customWidth="1"/>
    <col min="80"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71" width="8.88671875" style="27" customWidth="1"/>
    <col min="72"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42" width="8.88671875" style="53" customWidth="1"/>
    <col min="443"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46143</v>
      </c>
      <c r="B2" s="54">
        <f ca="1">EOMONTH(S2, 0)</f>
        <v>46173</v>
      </c>
      <c r="C2" s="55">
        <f ca="1">Q5+Q10</f>
        <v>15</v>
      </c>
      <c r="D2" s="55">
        <f ca="1">Q6+Q11</f>
        <v>70</v>
      </c>
      <c r="E2" s="55">
        <f ca="1">Q7+Q12</f>
        <v>46</v>
      </c>
      <c r="F2" s="55">
        <f ca="1">Q8+Q13</f>
        <v>76</v>
      </c>
      <c r="G2" s="56"/>
      <c r="S2" s="56">
        <f ca="1">TODAY()</f>
        <v>46162</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1</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2</v>
      </c>
      <c r="G5" s="55">
        <f t="array" aca="1" ref="G5" ca="1">SUMPRODUCT(
  --(IM!$S$2:$S$8522=$A$5),
  --(MOD(IM!$W$2:$W$8522,1)&gt;=TIME(L1,0,0)),
  --(MOD(IM!$W$2:$W$8522,1)&lt;TIME(M1,0,0)),
  --(INT(IM!$W$2:$W$8522)&gt;=$A$2),
  --(INT(IM!$W$2:$W$8522)&lt;=$B$2)
)</f>
        <v>0</v>
      </c>
      <c r="H5" s="55">
        <f t="array" aca="1" ref="H5" ca="1">SUMPRODUCT(
  --(IM!$S$2:$S$8522=$A$5),
  --(MOD(IM!$W$2:$W$8522,1)&gt;=TIME(M1,0,0)),
  --(MOD(IM!$W$2:$W$8522,1)&lt;TIME(N1,0,0)),
  --(INT(IM!$W$2:$W$8522)&gt;=$A$2),
  --(INT(IM!$W$2:$W$8522)&lt;=$B$2)
)</f>
        <v>4</v>
      </c>
      <c r="I5" s="55">
        <f t="array" aca="1" ref="I5" ca="1">SUMPRODUCT(
  --(IM!$S$2:$S$8522=$A$5),
  --(MOD(IM!$W$2:$W$8522,1)&gt;=TIME(N1,0,0)),
  --(MOD(IM!$W$2:$W$8522,1)&lt;TIME(O1,0,0)),
  --(INT(IM!$W$2:$W$8522)&gt;=$A$2),
  --(INT(IM!$W$2:$W$8522)&lt;=$B$2)
)</f>
        <v>4</v>
      </c>
      <c r="J5" s="55">
        <f t="array" aca="1" ref="J5" ca="1">SUMPRODUCT(
  --(IM!$S$2:$S$8522=$A$5),
  --(MOD(IM!$W$2:$W$8522,1)&gt;=TIME(O1,0,0)),
  --(MOD(IM!$W$2:$W$8522,1)&lt;TIME(P1,0,0)),
  --(INT(IM!$W$2:$W$8522)&gt;=$A$2),
  --(INT(IM!$W$2:$W$8522)&lt;=$B$2)
)</f>
        <v>2</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15</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5</v>
      </c>
      <c r="D6" s="55">
        <f t="array" aca="1" ref="D6" ca="1">SUMPRODUCT(
  --(IM!$S$2:$S$8522=$A$6),
  --(MOD(IM!$W$2:$W$8522,1)&gt;=TIME(I1,0,0)),
  --(MOD(IM!$W$2:$W$8522,1)&lt;TIME(J1,0,0)),
  --(INT(IM!$W$2:$W$8522)&gt;=$A$2),
  --(INT(IM!$W$2:$W$8522)&lt;=$B$2)
)</f>
        <v>4</v>
      </c>
      <c r="E6" s="55">
        <f t="array" aca="1" ref="E6" ca="1">SUMPRODUCT(
  --(IM!$S$2:$S$8522=$A$6),
  --(MOD(IM!$W$2:$W$8522,1)&gt;=TIME(J1,0,0)),
  --(MOD(IM!$W$2:$W$8522,1)&lt;TIME(K1,0,0)),
  --(INT(IM!$W$2:$W$8522)&gt;=$A$2),
  --(INT(IM!$W$2:$W$8522)&lt;=$B$2)
)</f>
        <v>8</v>
      </c>
      <c r="F6" s="55">
        <f t="array" aca="1" ref="F6" ca="1">SUMPRODUCT(
  --(IM!$S$2:$S$8522=$A$6),
  --(MOD(IM!$W$2:$W$8522,1)&gt;=TIME(K1,0,0)),
  --(MOD(IM!$W$2:$W$8522,1)&lt;TIME(L1,0,0)),
  --(INT(IM!$W$2:$W$8522)&gt;=$A$2),
  --(INT(IM!$W$2:$W$8522)&lt;=$B$2)
)</f>
        <v>1</v>
      </c>
      <c r="G6" s="55">
        <f t="array" aca="1" ref="G6" ca="1">SUMPRODUCT(
  --(IM!$S$2:$S$8522=$A$6),
  --(MOD(IM!$W$2:$W$8522,1)&gt;=TIME(L1,0,0)),
  --(MOD(IM!$W$2:$W$8522,1)&lt;TIME(M1,0,0)),
  --(INT(IM!$W$2:$W$8522)&gt;=$A$2),
  --(INT(IM!$W$2:$W$8522)&lt;=$B$2)
)</f>
        <v>2</v>
      </c>
      <c r="H6" s="55">
        <f t="array" aca="1" ref="H6" ca="1">SUMPRODUCT(
  --(IM!$S$2:$S$8522=$A$6),
  --(MOD(IM!$W$2:$W$8522,1)&gt;=TIME(M1,0,0)),
  --(MOD(IM!$W$2:$W$8522,1)&lt;TIME(N1,0,0)),
  --(INT(IM!$W$2:$W$8522)&gt;=$A$2),
  --(INT(IM!$W$2:$W$8522)&lt;=$B$2)
)</f>
        <v>2</v>
      </c>
      <c r="I6" s="55">
        <f t="array" aca="1" ref="I6" ca="1">SUMPRODUCT(
  --(IM!$S$2:$S$8522=$A$6),
  --(MOD(IM!$W$2:$W$8522,1)&gt;=TIME(N1,0,0)),
  --(MOD(IM!$W$2:$W$8522,1)&lt;TIME(O1,0,0)),
  --(INT(IM!$W$2:$W$8522)&gt;=$A$2),
  --(INT(IM!$W$2:$W$8522)&lt;=$B$2)
)</f>
        <v>3</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25</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3</v>
      </c>
      <c r="D7" s="55">
        <f t="array" aca="1" ref="D7" ca="1">SUMPRODUCT(
  --(IM!$S$2:$S$8522=$A$7),
  --(MOD(IM!$W$2:$W$8522,1)&gt;=TIME(I1,0,0)),
  --(MOD(IM!$W$2:$W$8522,1)&lt;TIME(J1,0,0)),
  --(INT(IM!$W$2:$W$8522)&gt;=$A$2),
  --(INT(IM!$W$2:$W$8522)&lt;=$B$2)
)</f>
        <v>1</v>
      </c>
      <c r="E7" s="55">
        <f t="array" aca="1" ref="E7" ca="1">SUMPRODUCT(
  --(IM!$S$2:$S$8522=$A$7),
  --(MOD(IM!$W$2:$W$8522,1)&gt;=TIME(J1,0,0)),
  --(MOD(IM!$W$2:$W$8522,1)&lt;TIME(K1,0,0)),
  --(INT(IM!$W$2:$W$8522)&gt;=$A$2),
  --(INT(IM!$W$2:$W$8522)&lt;=$B$2)
)</f>
        <v>5</v>
      </c>
      <c r="F7" s="55">
        <f t="array" aca="1" ref="F7" ca="1">SUMPRODUCT(
  --(IM!$S$2:$S$8522=$A$7),
  --(MOD(IM!$W$2:$W$8522,1)&gt;=TIME(K1,0,0)),
  --(MOD(IM!$W$2:$W$8522,1)&lt;TIME(L1,0,0)),
  --(INT(IM!$W$2:$W$8522)&gt;=$A$2),
  --(INT(IM!$W$2:$W$8522)&lt;=$B$2)
)</f>
        <v>4</v>
      </c>
      <c r="G7" s="55">
        <f t="array" aca="1" ref="G7" ca="1">SUMPRODUCT(
  --(IM!$S$2:$S$8522=$A$7),
  --(MOD(IM!$W$2:$W$8522,1)&gt;=TIME(L1,0,0)),
  --(MOD(IM!$W$2:$W$8522,1)&lt;TIME(M1,0,0)),
  --(INT(IM!$W$2:$W$8522)&gt;=$A$2),
  --(INT(IM!$W$2:$W$8522)&lt;=$B$2)
)</f>
        <v>3</v>
      </c>
      <c r="H7" s="55">
        <f t="array" aca="1" ref="H7" ca="1">SUMPRODUCT(
  --(IM!$S$2:$S$8522=$A$7),
  --(MOD(IM!$W$2:$W$8522,1)&gt;=TIME(M1,0,0)),
  --(MOD(IM!$W$2:$W$8522,1)&lt;TIME(N1,0,0)),
  --(INT(IM!$W$2:$W$8522)&gt;=$A$2),
  --(INT(IM!$W$2:$W$8522)&lt;=$B$2)
)</f>
        <v>6</v>
      </c>
      <c r="I7" s="55">
        <f t="array" aca="1" ref="I7" ca="1">SUMPRODUCT(
  --(IM!$S$2:$S$8522=$A$7),
  --(MOD(IM!$W$2:$W$8522,1)&gt;=TIME(N1,0,0)),
  --(MOD(IM!$W$2:$W$8522,1)&lt;TIME(O1,0,0)),
  --(INT(IM!$W$2:$W$8522)&gt;=$A$2),
  --(INT(IM!$W$2:$W$8522)&lt;=$B$2)
)</f>
        <v>5</v>
      </c>
      <c r="J7" s="55">
        <f t="array" aca="1" ref="J7" ca="1">SUMPRODUCT(
  --(IM!$S$2:$S$8522=$A$7),
  --(MOD(IM!$W$2:$W$8522,1)&gt;=TIME(O1,0,0)),
  --(MOD(IM!$W$2:$W$8522,1)&lt;TIME(P1,0,0)),
  --(INT(IM!$W$2:$W$8522)&gt;=$A$2),
  --(INT(IM!$W$2:$W$8522)&lt;=$B$2)
)</f>
        <v>3</v>
      </c>
      <c r="K7" s="55">
        <f t="array" aca="1" ref="K7" ca="1">SUMPRODUCT(
  --(IM!$S$2:$S$8522=$A$7),
  --(MOD(IM!$W$2:$W$8522,1)&gt;=TIME(P1,0,0)),
  --(MOD(IM!$W$2:$W$8522,1)&lt;TIME(Q1,0,0)),
  --(INT(IM!$W$2:$W$8522)&gt;=$A$2),
  --(INT(IM!$W$2:$W$8522)&lt;=$B$2)
)</f>
        <v>1</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31</v>
      </c>
      <c r="S7" s="64" t="s">
        <v>4</v>
      </c>
      <c r="U7" s="55"/>
      <c r="V7" s="65"/>
    </row>
    <row r="8" spans="1:22" ht="14.4" customHeight="1">
      <c r="A8" s="55" t="s">
        <v>566</v>
      </c>
      <c r="B8" s="55">
        <f t="array" aca="1" ref="B8" ca="1">SUMPRODUCT(
  --(IM!$S$2:$S$8522=$A$8),
  --(MOD(IM!$W$2:$W$8522,1)&gt;=TIME(G1,0,0)),
  --(MOD(IM!$W$2:$W$8522,1)&lt;TIME(H1,0,0)),
  --(INT(IM!$W$2:$W$8522)&gt;=$A$2),
  --(INT(IM!$W$2:$W$8522)&lt;=$B$2)
)</f>
        <v>0</v>
      </c>
      <c r="C8" s="55">
        <f t="array" aca="1" ref="C8" ca="1">SUMPRODUCT(
  --(IM!$S$2:$S$8522=$A$8),
  --(MOD(IM!$W$2:$W$8522,1)&gt;=TIME(H1,0,0)),
  --(MOD(IM!$W$2:$W$8522,1)&lt;TIME(I1,0,0)),
  --(INT(IM!$W$2:$W$8522)&gt;=$A$2),
  --(INT(IM!$W$2:$W$8522)&lt;=$B$2)
)</f>
        <v>2</v>
      </c>
      <c r="D8" s="55">
        <f t="array" aca="1" ref="D8" ca="1">SUMPRODUCT(
  --(IM!$S$2:$S$8522=$A$8),
  --(MOD(IM!$W$2:$W$8522,1)&gt;=TIME(I1,0,0)),
  --(MOD(IM!$W$2:$W$8522,1)&lt;TIME(J1,0,0)),
  --(INT(IM!$W$2:$W$8522)&gt;=$A$2),
  --(INT(IM!$W$2:$W$8522)&lt;=$B$2)
)</f>
        <v>7</v>
      </c>
      <c r="E8" s="55">
        <f t="array" aca="1" ref="E8" ca="1">SUMPRODUCT(
  --(IM!$S$2:$S$8522=$A$8),
  --(MOD(IM!$W$2:$W$8522,1)&gt;=TIME(J1,0,0)),
  --(MOD(IM!$W$2:$W$8522,1)&lt;TIME(K1,0,0)),
  --(INT(IM!$W$2:$W$8522)&gt;=$A$2),
  --(INT(IM!$W$2:$W$8522)&lt;=$B$2)
)</f>
        <v>5</v>
      </c>
      <c r="F8" s="55">
        <f t="array" aca="1" ref="F8" ca="1">SUMPRODUCT(
  --(IM!$S$2:$S$8522=$A$8),
  --(MOD(IM!$W$2:$W$8522,1)&gt;=TIME(K1,0,0)),
  --(MOD(IM!$W$2:$W$8522,1)&lt;TIME(L1,0,0)),
  --(INT(IM!$W$2:$W$8522)&gt;=$A$2),
  --(INT(IM!$W$2:$W$8522)&lt;=$B$2)
)</f>
        <v>4</v>
      </c>
      <c r="G8" s="55">
        <f t="array" aca="1" ref="G8" ca="1">SUMPRODUCT(
  --(IM!$S$2:$S$8522=$A$8),
  --(MOD(IM!$W$2:$W$8522,1)&gt;=TIME(L1,0,0)),
  --(MOD(IM!$W$2:$W$8522,1)&lt;TIME(M1,0,0)),
  --(INT(IM!$W$2:$W$8522)&gt;=$A$2),
  --(INT(IM!$W$2:$W$8522)&lt;=$B$2)
)</f>
        <v>6</v>
      </c>
      <c r="H8" s="55">
        <f t="array" aca="1" ref="H8" ca="1">SUMPRODUCT(
  --(IM!$S$2:$S$8522=$A$8),
  --(MOD(IM!$W$2:$W$8522,1)&gt;=TIME(M1,0,0)),
  --(MOD(IM!$W$2:$W$8522,1)&lt;TIME(N1,0,0)),
  --(INT(IM!$W$2:$W$8522)&gt;=$A$2),
  --(INT(IM!$W$2:$W$8522)&lt;=$B$2)
)</f>
        <v>7</v>
      </c>
      <c r="I8" s="55">
        <f t="array" aca="1" ref="I8" ca="1">SUMPRODUCT(
  --(IM!$S$2:$S$8522=$A$8),
  --(MOD(IM!$W$2:$W$8522,1)&gt;=TIME(N1,0,0)),
  --(MOD(IM!$W$2:$W$8522,1)&lt;TIME(O1,0,0)),
  --(INT(IM!$W$2:$W$8522)&gt;=$A$2),
  --(INT(IM!$W$2:$W$8522)&lt;=$B$2)
)</f>
        <v>4</v>
      </c>
      <c r="J8" s="55">
        <f t="array" aca="1" ref="J8" ca="1">SUMPRODUCT(
  --(IM!$S$2:$S$8522=$A$8),
  --(MOD(IM!$W$2:$W$8522,1)&gt;=TIME(O1,0,0)),
  --(MOD(IM!$W$2:$W$8522,1)&lt;TIME(P1,0,0)),
  --(INT(IM!$W$2:$W$8522)&gt;=$A$2),
  --(INT(IM!$W$2:$W$8522)&lt;=$B$2)
)</f>
        <v>0</v>
      </c>
      <c r="K8" s="55">
        <f t="array" aca="1" ref="K8" ca="1">SUMPRODUCT(
  --(IM!$S$2:$S$8522=$A$8),
  --(MOD(IM!$W$2:$W$8522,1)&gt;=TIME(P1,0,0)),
  --(MOD(IM!$W$2:$W$8522,1)&lt;TIME(Q1,0,0)),
  --(INT(IM!$W$2:$W$8522)&gt;=$A$2),
  --(INT(IM!$W$2:$W$8522)&lt;=$B$2)
)</f>
        <v>1</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36</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0</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0</v>
      </c>
      <c r="S10" s="64" t="s">
        <v>8</v>
      </c>
      <c r="U10" s="55"/>
      <c r="V10" s="65"/>
    </row>
    <row r="11" spans="1:22" ht="14.4" customHeight="1">
      <c r="A11" s="55" t="s">
        <v>206</v>
      </c>
      <c r="B11" s="55">
        <f t="array" aca="1" ref="B11" ca="1">SUMPRODUCT(
  --(MFP!$E$2:$E$10000=$A$11),
  --(MOD(MFP!$G$2:$G$10000,1)&gt;=TIME(G1,0,0)),
  --(MOD(MFP!$G$2:$G$10000,1)&lt;TIME(H1,0,0)),
  --(INT(MFP!$F$2:$F$10000)&gt;=$A$2),
  --(INT(MFP!$F$2:$F$10000)&lt;=$B$2)
)</f>
        <v>3</v>
      </c>
      <c r="C11" s="55">
        <f t="array" aca="1" ref="C11" ca="1">SUMPRODUCT(
  --(MFP!$E$2:$E$10000=$A$11),
  --(MOD(MFP!$G$2:$G$10000,1)&gt;=TIME(H1,0,0)),
  --(MOD(MFP!$G$2:$G$10000,1)&lt;TIME(I1,0,0)),
  --(INT(MFP!$F$2:$F$10000)&gt;=$A$2),
  --(INT(MFP!$F$2:$F$10000)&lt;=$B$2)
)</f>
        <v>6</v>
      </c>
      <c r="D11" s="55">
        <f t="array" aca="1" ref="D11" ca="1">SUMPRODUCT(
  --(MFP!$E$2:$E$10000=$A$11),
  --(MOD(MFP!$G$2:$G$10000,1)&gt;=TIME(I1,0,0)),
  --(MOD(MFP!$G$2:$G$10000,1)&lt;TIME(J1,0,0)),
  --(INT(MFP!$F$2:$F$10000)&gt;=$A$2),
  --(INT(MFP!$F$2:$F$10000)&lt;=$B$2)
)</f>
        <v>3</v>
      </c>
      <c r="E11" s="55">
        <f t="array" aca="1" ref="E11" ca="1">SUMPRODUCT(
  --(MFP!$E$2:$E$10000=$A$11),
  --(MOD(MFP!$G$2:$G$10000,1)&gt;=TIME(J1,0,0)),
  --(MOD(MFP!$G$2:$G$10000,1)&lt;TIME(K1,0,0)),
  --(INT(MFP!$F$2:$F$10000)&gt;=$A$2),
  --(INT(MFP!$F$2:$F$10000)&lt;=$B$2)
)</f>
        <v>4</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9</v>
      </c>
      <c r="H11" s="55">
        <f t="array" aca="1" ref="H11" ca="1">SUMPRODUCT(
  --(MFP!$E$2:$E$10000=$A$11),
  --(MOD(MFP!$G$2:$G$10000,1)&gt;=TIME(M1,0,0)),
  --(MOD(MFP!$G$2:$G$10000,1)&lt;TIME(N1,0,0)),
  --(INT(MFP!$F$2:$F$10000)&gt;=$A$2),
  --(INT(MFP!$F$2:$F$10000)&lt;=$B$2)
)</f>
        <v>6</v>
      </c>
      <c r="I11" s="55">
        <f t="array" aca="1" ref="I11" ca="1">SUMPRODUCT(
  --(MFP!$E$2:$E$10000=$A$11),
  --(MOD(MFP!$G$2:$G$10000,1)&gt;=TIME(N1,0,0)),
  --(MOD(MFP!$G$2:$G$10000,1)&lt;TIME(O1,0,0)),
  --(INT(MFP!$F$2:$F$10000)&gt;=$A$2),
  --(INT(MFP!$F$2:$F$10000)&lt;=$B$2)
)</f>
        <v>6</v>
      </c>
      <c r="J11" s="55">
        <f t="array" aca="1" ref="J11" ca="1">SUMPRODUCT(
  --(MFP!$E$2:$E$10000=$A$11),
  --(MOD(MFP!$G$2:$G$10000,1)&gt;=TIME(O1,0,0)),
  --(MOD(MFP!$G$2:$G$10000,1)&lt;TIME(P1,0,0)),
  --(INT(MFP!$F$2:$F$10000)&gt;=$A$2),
  --(INT(MFP!$F$2:$F$10000)&lt;=$B$2)
)</f>
        <v>6</v>
      </c>
      <c r="K11" s="55">
        <f t="array" aca="1" ref="K11" ca="1">SUMPRODUCT(
  --(MFP!$E$2:$E$10000=$A$11),
  --(MOD(MFP!$G$2:$G$10000,1)&gt;=TIME(P1,0,0)),
  --(MOD(MFP!$G$2:$G$10000,1)&lt;TIME(Q1,0,0)),
  --(INT(MFP!$F$2:$F$10000)&gt;=$A$2),
  --(INT(MFP!$F$2:$F$10000)&lt;=$B$2)
)</f>
        <v>2</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45</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1</v>
      </c>
      <c r="D12" s="55">
        <f t="array" aca="1" ref="D12" ca="1">SUMPRODUCT(
  --(MFP!$E$2:$E$10000 = $A$12),
  --(IFERROR(VALUE(MID(MFP!$G$2:$G$10000,1,5)),0) &gt;= TIME(I1,0,0)),
  --(IFERROR(VALUE(MID(MFP!$G$2:$G$10000,1,5)),0) &lt; TIME(J1,0,0)),
  --(TEXT(LEFT(MFP!$F$2:$F$10000,10),"yyyy-mm-dd") &gt;= TEXT($A$2,"yyyy-mm-dd")),
  --(TEXT(LEFT(MFP!$F$2:$F$10000,10),"yyyy-mm-dd") &lt;= TEXT($B$2,"yyyy-mm-dd"))
)</f>
        <v>3</v>
      </c>
      <c r="E12" s="55">
        <f t="array" aca="1" ref="E12" ca="1">SUMPRODUCT(
  --(MFP!$E$2:$E$10000 = $A$12),
  --(IFERROR(VALUE(MID(MFP!$G$2:$G$10000,1,5)),0) &gt;= TIME(J1,0,0)),
  --(IFERROR(VALUE(MID(MFP!$G$2:$G$10000,1,5)),0) &lt; TIME(K1,0,0)),
  --(TEXT(LEFT(MFP!$F$2:$F$10000,10),"yyyy-mm-dd") &gt;= TEXT($A$2,"yyyy-mm-dd")),
  --(TEXT(LEFT(MFP!$F$2:$F$10000,10),"yyyy-mm-dd") &lt;= TEXT($B$2,"yyyy-mm-dd"))
)</f>
        <v>1</v>
      </c>
      <c r="F12" s="55">
        <f t="array" aca="1" ref="F12" ca="1">SUMPRODUCT(
  --(MFP!$E$2:$E$10000 = $A$12),
  --(IFERROR(VALUE(MID(MFP!$G$2:$G$10000,1,5)),0) &gt;= TIME(K1,0,0)),
  --(IFERROR(VALUE(MID(MFP!$G$2:$G$10000,1,5)),0) &lt; TIME(L1,0,0)),
  --(TEXT(LEFT(MFP!$F$2:$F$10000,10),"yyyy-mm-dd") &gt;= TEXT($A$2,"yyyy-mm-dd")),
  --(TEXT(LEFT(MFP!$F$2:$F$10000,10),"yyyy-mm-dd") &lt;= TEXT($B$2,"yyyy-mm-dd"))
)</f>
        <v>0</v>
      </c>
      <c r="G12" s="55">
        <f t="array" aca="1" ref="G12" ca="1">SUMPRODUCT(
  --(MFP!$E$2:$E$10000 = $A$12),
  --(IFERROR(VALUE(MID(MFP!$G$2:$G$10000,1,5)),0) &gt;= TIME(L1,0,0)),
  --(IFERROR(VALUE(MID(MFP!$G$2:$G$10000,1,5)),0) &lt; TIME(M1,0,0)),
  --(TEXT(LEFT(MFP!$F$2:$F$10000,10),"yyyy-mm-dd") &gt;= TEXT($A$2,"yyyy-mm-dd")),
  --(TEXT(LEFT(MFP!$F$2:$F$10000,10),"yyyy-mm-dd") &lt;= TEXT($B$2,"yyyy-mm-dd"))
)</f>
        <v>1</v>
      </c>
      <c r="H12" s="55">
        <f t="array" aca="1" ref="H12" ca="1">SUMPRODUCT(
  --(MFP!$E$2:$E$10000 = $A$12),
  --(IFERROR(VALUE(MID(MFP!$G$2:$G$10000,1,5)),0) &gt;= TIME(M1,0,0)),
  --(IFERROR(VALUE(MID(MFP!$G$2:$G$10000,1,5)),0) &lt; TIME(N1,0,0)),
  --(TEXT(LEFT(MFP!$F$2:$F$10000,10),"yyyy-mm-dd") &gt;= TEXT($A$2,"yyyy-mm-dd")),
  --(TEXT(LEFT(MFP!$F$2:$F$10000,10),"yyyy-mm-dd") &lt;= TEXT($B$2,"yyyy-mm-dd"))
)</f>
        <v>1</v>
      </c>
      <c r="I12" s="55">
        <f t="array" aca="1" ref="I12" ca="1">SUMPRODUCT(
  --(MFP!$E$2:$E$10000 = $A$12),
  --(IFERROR(VALUE(MID(MFP!$G$2:$G$10000,1,5)),0) &gt;= TIME(N1,0,0)),
  --(IFERROR(VALUE(MID(MFP!$G$2:$G$10000,1,5)),0) &lt; TIME(O1,0,0)),
  --(TEXT(LEFT(MFP!$F$2:$F$10000,10),"yyyy-mm-dd") &gt;= TEXT($A$2,"yyyy-mm-dd")),
  --(TEXT(LEFT(MFP!$F$2:$F$10000,10),"yyyy-mm-dd") &lt;= TEXT($B$2,"yyyy-mm-dd"))
)</f>
        <v>7</v>
      </c>
      <c r="J12" s="55">
        <f t="array" aca="1" ref="J12" ca="1">SUMPRODUCT(
  --(MFP!$E$2:$E$10000 = $A$12),
  --(IFERROR(VALUE(MID(MFP!$G$2:$G$10000,1,5)),0) &gt;= TIME(O1,0,0)),
  --(IFERROR(VALUE(MID(MFP!$G$2:$G$10000,1,5)),0) &lt; TIME(P1,0,0)),
  --(TEXT(LEFT(MFP!$F$2:$F$10000,10),"yyyy-mm-dd") &gt;= TEXT($A$2,"yyyy-mm-dd")),
  --(TEXT(LEFT(MFP!$F$2:$F$10000,10),"yyyy-mm-dd") &lt;= TEXT($B$2,"yyyy-mm-dd"))
)</f>
        <v>1</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15</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8</v>
      </c>
      <c r="D13" s="55">
        <f t="array" aca="1" ref="D13" ca="1">SUMPRODUCT(
  --(MFP!$E$2:$E$10000 = $A$13),
  --(IFERROR(VALUE(MID(MFP!$G$2:$G$10000,1,5)),0) &gt;= TIME(I1,0,0)),
  --(IFERROR(VALUE(MID(MFP!$G$2:$G$10000,1,5)),0) &lt; TIME(J1,0,0)),
  --(TEXT(LEFT(MFP!$F$2:$F$10000,10),"yyyy-mm-dd") &gt;= TEXT($A$2,"yyyy-mm-dd")),
  --(TEXT(LEFT(MFP!$F$2:$F$10000,10),"yyyy-mm-dd") &lt;= TEXT($B$2,"yyyy-mm-dd"))
)</f>
        <v>10</v>
      </c>
      <c r="E13" s="55">
        <f t="array" aca="1" ref="E13" ca="1">SUMPRODUCT(
  --(MFP!$E$2:$E$10000 = $A$13),
  --(IFERROR(VALUE(MID(MFP!$G$2:$G$10000,1,5)),0) &gt;= TIME(J1,0,0)),
  --(IFERROR(VALUE(MID(MFP!$G$2:$G$10000,1,5)),0) &lt; TIME(K1,0,0)),
  --(TEXT(LEFT(MFP!$F$2:$F$10000,10),"yyyy-mm-dd") &gt;= TEXT($A$2,"yyyy-mm-dd")),
  --(TEXT(LEFT(MFP!$F$2:$F$10000,10),"yyyy-mm-dd") &lt;= TEXT($B$2,"yyyy-mm-dd"))
)</f>
        <v>5</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4</v>
      </c>
      <c r="H13" s="55">
        <f t="array" aca="1" ref="H13" ca="1">SUMPRODUCT(
  --(MFP!$E$2:$E$10000 = $A$13),
  --(IFERROR(VALUE(MID(MFP!$G$2:$G$10000,1,5)),0) &gt;= TIME(M1,0,0)),
  --(IFERROR(VALUE(MID(MFP!$G$2:$G$10000,1,5)),0) &lt; TIME(N1,0,0)),
  --(TEXT(LEFT(MFP!$F$2:$F$10000,10),"yyyy-mm-dd") &gt;= TEXT($A$2,"yyyy-mm-dd")),
  --(TEXT(LEFT(MFP!$F$2:$F$10000,10),"yyyy-mm-dd") &lt;= TEXT($B$2,"yyyy-mm-dd"))
)</f>
        <v>6</v>
      </c>
      <c r="I13" s="55">
        <f t="array" aca="1" ref="I13" ca="1">SUMPRODUCT(
  --(MFP!$E$2:$E$10000 = $A$13),
  --(IFERROR(VALUE(MID(MFP!$G$2:$G$10000,1,5)),0) &gt;= TIME(N1,0,0)),
  --(IFERROR(VALUE(MID(MFP!$G$2:$G$10000,1,5)),0) &lt; TIME(O1,0,0)),
  --(TEXT(LEFT(MFP!$F$2:$F$10000,10),"yyyy-mm-dd") &gt;= TEXT($A$2,"yyyy-mm-dd")),
  --(TEXT(LEFT(MFP!$F$2:$F$10000,10),"yyyy-mm-dd") &lt;= TEXT($B$2,"yyyy-mm-dd"))
)</f>
        <v>6</v>
      </c>
      <c r="J13" s="55">
        <f t="array" aca="1" ref="J13" ca="1">SUMPRODUCT(
  --(MFP!$E$2:$E$10000 = $A$13),
  --(IFERROR(VALUE(MID(MFP!$G$2:$G$10000,1,5)),0) &gt;= TIME(O1,0,0)),
  --(IFERROR(VALUE(MID(MFP!$G$2:$G$10000,1,5)),0) &lt; TIME(P1,0,0)),
  --(TEXT(LEFT(MFP!$F$2:$F$10000,10),"yyyy-mm-dd") &gt;= TEXT($A$2,"yyyy-mm-dd")),
  --(TEXT(LEFT(MFP!$F$2:$F$10000,10),"yyyy-mm-dd") &lt;= TEXT($B$2,"yyyy-mm-dd"))
)</f>
        <v>1</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40</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1</v>
      </c>
      <c r="E15" s="55">
        <f t="shared" ca="1" si="0"/>
        <v>2</v>
      </c>
      <c r="F15" s="55">
        <f t="shared" ca="1" si="0"/>
        <v>2</v>
      </c>
      <c r="G15" s="55">
        <f t="shared" ca="1" si="0"/>
        <v>0</v>
      </c>
      <c r="H15" s="55">
        <f t="shared" ca="1" si="0"/>
        <v>4</v>
      </c>
      <c r="I15" s="55">
        <f t="shared" ca="1" si="0"/>
        <v>4</v>
      </c>
      <c r="J15" s="55">
        <f t="shared" ca="1" si="0"/>
        <v>2</v>
      </c>
      <c r="K15" s="55">
        <f t="shared" ca="1" si="0"/>
        <v>0</v>
      </c>
      <c r="L15" s="55">
        <f t="shared" ca="1" si="0"/>
        <v>0</v>
      </c>
      <c r="M15" s="55">
        <f t="shared" ca="1" si="0"/>
        <v>0</v>
      </c>
      <c r="N15" s="55">
        <f t="shared" ca="1" si="0"/>
        <v>0</v>
      </c>
      <c r="O15" s="55">
        <f t="shared" ca="1" si="0"/>
        <v>0</v>
      </c>
      <c r="P15" s="55">
        <f t="shared" ca="1" si="0"/>
        <v>0</v>
      </c>
      <c r="Q15" s="55">
        <f ca="1">SUM(B15:P15)</f>
        <v>15</v>
      </c>
      <c r="S15" s="64" t="s">
        <v>7</v>
      </c>
      <c r="U15" s="55"/>
      <c r="V15" s="65"/>
    </row>
    <row r="16" spans="1:22" ht="14.4" customHeight="1">
      <c r="A16" s="67" t="s">
        <v>206</v>
      </c>
      <c r="B16" s="55">
        <f t="shared" ref="B16:P16" ca="1" si="1">B6+B11</f>
        <v>3</v>
      </c>
      <c r="C16" s="55">
        <f t="shared" ca="1" si="1"/>
        <v>11</v>
      </c>
      <c r="D16" s="55">
        <f t="shared" ca="1" si="1"/>
        <v>7</v>
      </c>
      <c r="E16" s="55">
        <f t="shared" ca="1" si="1"/>
        <v>12</v>
      </c>
      <c r="F16" s="55">
        <f t="shared" ca="1" si="1"/>
        <v>1</v>
      </c>
      <c r="G16" s="55">
        <f t="shared" ca="1" si="1"/>
        <v>11</v>
      </c>
      <c r="H16" s="55">
        <f t="shared" ca="1" si="1"/>
        <v>8</v>
      </c>
      <c r="I16" s="55">
        <f t="shared" ca="1" si="1"/>
        <v>9</v>
      </c>
      <c r="J16" s="55">
        <f t="shared" ca="1" si="1"/>
        <v>6</v>
      </c>
      <c r="K16" s="55">
        <f t="shared" ca="1" si="1"/>
        <v>2</v>
      </c>
      <c r="L16" s="55">
        <f t="shared" ca="1" si="1"/>
        <v>0</v>
      </c>
      <c r="M16" s="55">
        <f t="shared" ca="1" si="1"/>
        <v>0</v>
      </c>
      <c r="N16" s="55">
        <f t="shared" ca="1" si="1"/>
        <v>0</v>
      </c>
      <c r="O16" s="55">
        <f t="shared" ca="1" si="1"/>
        <v>0</v>
      </c>
      <c r="P16" s="55">
        <f t="shared" ca="1" si="1"/>
        <v>0</v>
      </c>
      <c r="Q16" s="55">
        <f ca="1">SUM(B16:P16)</f>
        <v>70</v>
      </c>
      <c r="S16" s="64" t="s">
        <v>10</v>
      </c>
      <c r="U16" s="55"/>
      <c r="V16" s="65"/>
    </row>
    <row r="17" spans="1:22" ht="14.4" customHeight="1">
      <c r="A17" s="68" t="s">
        <v>52</v>
      </c>
      <c r="B17" s="55">
        <f t="shared" ref="B17:P17" ca="1" si="2">B7+B12</f>
        <v>0</v>
      </c>
      <c r="C17" s="55">
        <f t="shared" ca="1" si="2"/>
        <v>4</v>
      </c>
      <c r="D17" s="55">
        <f t="shared" ca="1" si="2"/>
        <v>4</v>
      </c>
      <c r="E17" s="55">
        <f t="shared" ca="1" si="2"/>
        <v>6</v>
      </c>
      <c r="F17" s="55">
        <f t="shared" ca="1" si="2"/>
        <v>4</v>
      </c>
      <c r="G17" s="55">
        <f t="shared" ca="1" si="2"/>
        <v>4</v>
      </c>
      <c r="H17" s="55">
        <f t="shared" ca="1" si="2"/>
        <v>7</v>
      </c>
      <c r="I17" s="55">
        <f t="shared" ca="1" si="2"/>
        <v>12</v>
      </c>
      <c r="J17" s="55">
        <f t="shared" ca="1" si="2"/>
        <v>4</v>
      </c>
      <c r="K17" s="55">
        <f t="shared" ca="1" si="2"/>
        <v>1</v>
      </c>
      <c r="L17" s="55">
        <f t="shared" ca="1" si="2"/>
        <v>0</v>
      </c>
      <c r="M17" s="55">
        <f t="shared" ca="1" si="2"/>
        <v>0</v>
      </c>
      <c r="N17" s="55">
        <f t="shared" ca="1" si="2"/>
        <v>0</v>
      </c>
      <c r="O17" s="55">
        <f t="shared" ca="1" si="2"/>
        <v>0</v>
      </c>
      <c r="P17" s="55">
        <f t="shared" ca="1" si="2"/>
        <v>0</v>
      </c>
      <c r="Q17" s="55">
        <f ca="1">SUM(B17:P17)</f>
        <v>46</v>
      </c>
      <c r="S17" s="64" t="s">
        <v>6</v>
      </c>
      <c r="U17" s="55"/>
      <c r="V17" s="65"/>
    </row>
    <row r="18" spans="1:22" ht="14.4" customHeight="1">
      <c r="A18" s="69" t="s">
        <v>566</v>
      </c>
      <c r="B18" s="55">
        <f t="shared" ref="B18:P18" ca="1" si="3">B8+B13</f>
        <v>0</v>
      </c>
      <c r="C18" s="55">
        <f t="shared" ca="1" si="3"/>
        <v>10</v>
      </c>
      <c r="D18" s="55">
        <f t="shared" ca="1" si="3"/>
        <v>17</v>
      </c>
      <c r="E18" s="55">
        <f t="shared" ca="1" si="3"/>
        <v>10</v>
      </c>
      <c r="F18" s="55">
        <f t="shared" ca="1" si="3"/>
        <v>4</v>
      </c>
      <c r="G18" s="55">
        <f t="shared" ca="1" si="3"/>
        <v>10</v>
      </c>
      <c r="H18" s="55">
        <f t="shared" ca="1" si="3"/>
        <v>13</v>
      </c>
      <c r="I18" s="55">
        <f t="shared" ca="1" si="3"/>
        <v>10</v>
      </c>
      <c r="J18" s="55">
        <f t="shared" ca="1" si="3"/>
        <v>1</v>
      </c>
      <c r="K18" s="55">
        <f t="shared" ca="1" si="3"/>
        <v>1</v>
      </c>
      <c r="L18" s="55">
        <f t="shared" ca="1" si="3"/>
        <v>0</v>
      </c>
      <c r="M18" s="55">
        <f t="shared" ca="1" si="3"/>
        <v>0</v>
      </c>
      <c r="N18" s="55">
        <f t="shared" ca="1" si="3"/>
        <v>0</v>
      </c>
      <c r="O18" s="55">
        <f t="shared" ca="1" si="3"/>
        <v>0</v>
      </c>
      <c r="P18" s="55">
        <f t="shared" ca="1" si="3"/>
        <v>0</v>
      </c>
      <c r="Q18" s="55">
        <f ca="1">SUM(B18:P18)</f>
        <v>76</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4" workbookViewId="0">
      <selection activeCell="B15" sqref="B15"/>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87" width="8.88671875" style="9" customWidth="1"/>
    <col min="88"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ROUND(F6/21,2)</f>
        <v>5.15</v>
      </c>
      <c r="H6" s="9">
        <f>(G6*15)</f>
        <v>77.25</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ROUND(F7/21,2)</f>
        <v>2.87</v>
      </c>
      <c r="H7" s="9">
        <f>(G7*15)</f>
        <v>43.050000000000004</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ROUND(F8/21,2)</f>
        <v>2.83</v>
      </c>
      <c r="H8" s="9">
        <f>(G8*15)</f>
        <v>42.45</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 ca="1">ROUND(B11/MONTH(TODAY()),2)</f>
        <v>6.2</v>
      </c>
      <c r="D11" s="9">
        <f>COUNTIFS(IM!S:S,A11,IM!B:B,"維修")</f>
        <v>52</v>
      </c>
      <c r="E11" s="10">
        <f ca="1">ROUND(D11/MONTH(TODAY()),2)</f>
        <v>10.4</v>
      </c>
      <c r="F11" s="9">
        <f ca="1">C11+E11</f>
        <v>16.600000000000001</v>
      </c>
      <c r="G11" s="9">
        <f ca="1">ROUND(F11/21,2)</f>
        <v>0.79</v>
      </c>
      <c r="H11" s="9">
        <f ca="1">ROUND((G11*15),2)</f>
        <v>11.85</v>
      </c>
      <c r="I11" s="10"/>
      <c r="J11" s="10"/>
      <c r="L11" s="10"/>
    </row>
    <row r="12" spans="1:16" ht="21.6" customHeight="1">
      <c r="A12" s="9" t="s">
        <v>52</v>
      </c>
      <c r="B12" s="10">
        <f>COUNTIFS(MFP!E:E,A7,MFP!O:O,"維修")</f>
        <v>1</v>
      </c>
      <c r="C12" s="10">
        <f ca="1">ROUND(B12/MONTH(TODAY()),2)</f>
        <v>0.2</v>
      </c>
      <c r="D12" s="9">
        <f>COUNTIFS(IM!S:S,A12,IM!B:B,"維修")</f>
        <v>61</v>
      </c>
      <c r="E12" s="10">
        <f ca="1">ROUND(D12/MONTH(TODAY()),2)</f>
        <v>12.2</v>
      </c>
      <c r="F12" s="9">
        <f ca="1">C12+E12</f>
        <v>12.399999999999999</v>
      </c>
      <c r="G12" s="9">
        <f ca="1">ROUND(F12/21,2)</f>
        <v>0.59</v>
      </c>
      <c r="H12" s="9">
        <f ca="1">ROUND((G12*15),2)</f>
        <v>8.85</v>
      </c>
      <c r="I12" s="10"/>
      <c r="J12" s="10"/>
      <c r="L12" s="10"/>
    </row>
    <row r="13" spans="1:16" ht="21.6" customHeight="1">
      <c r="A13" s="32" t="s">
        <v>566</v>
      </c>
      <c r="B13" s="10">
        <f>COUNTIFS(MFP!E:E,A8,MFP!O:O,"維修")</f>
        <v>4</v>
      </c>
      <c r="C13" s="10">
        <f ca="1">ROUND(B13/MONTH(TODAY()),2)</f>
        <v>0.8</v>
      </c>
      <c r="D13" s="9">
        <f>COUNTIFS(IM!S:S,A13,IM!B:B,"維修")</f>
        <v>100</v>
      </c>
      <c r="E13" s="10">
        <f ca="1">ROUND(D13/MONTH(TODAY()),2)</f>
        <v>20</v>
      </c>
      <c r="F13" s="9">
        <f ca="1">C13+E13</f>
        <v>20.8</v>
      </c>
      <c r="G13" s="9">
        <f ca="1">ROUND(F13/21,2)</f>
        <v>0.99</v>
      </c>
      <c r="H13" s="9">
        <f ca="1">ROUND((G13*15),2)</f>
        <v>14.85</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 ca="1">F11*C3</f>
        <v>747.00000000000011</v>
      </c>
      <c r="E15" s="9">
        <f>ROUND(D3*F6,2)</f>
        <v>1081.7</v>
      </c>
      <c r="F15" s="9">
        <f ca="1">(H6*20)+(H11*20)+(60*20)</f>
        <v>2982</v>
      </c>
      <c r="G15" s="9">
        <f>COUNTIFS(IM!S:S,A6,IM!AE:AE,"o")*$E$3</f>
        <v>3420</v>
      </c>
      <c r="H15" s="9">
        <v>240</v>
      </c>
      <c r="I15" s="9">
        <f ca="1">ROUND(SUM(B15:H15),2)</f>
        <v>10234.1</v>
      </c>
      <c r="J15" s="9">
        <f ca="1">ROUND(I15/20,2)</f>
        <v>511.71</v>
      </c>
      <c r="K15" s="9">
        <f ca="1">ROUND(J15/60,2)</f>
        <v>8.5299999999999994</v>
      </c>
      <c r="O15" s="9" t="s">
        <v>821</v>
      </c>
      <c r="P15" s="9">
        <v>15</v>
      </c>
    </row>
    <row r="16" spans="1:16" ht="21.6" customHeight="1">
      <c r="A16" s="9" t="s">
        <v>52</v>
      </c>
      <c r="B16" s="9">
        <f>ROUND(A3*E7,2)</f>
        <v>135.85</v>
      </c>
      <c r="C16" s="9">
        <f>ROUND(B3*E7,2)</f>
        <v>407.55</v>
      </c>
      <c r="D16" s="9">
        <f ca="1">F12*C3</f>
        <v>557.99999999999989</v>
      </c>
      <c r="E16" s="9">
        <f>ROUND(D3*F7,2)</f>
        <v>601.70000000000005</v>
      </c>
      <c r="F16" s="9">
        <f ca="1">(H7*20)+(H12*20)+(120*20)</f>
        <v>3438</v>
      </c>
      <c r="G16" s="9">
        <f>COUNTIFS(IM!S:S,A7,IM!AE:AE,"o")*$E$3</f>
        <v>2340</v>
      </c>
      <c r="H16" s="9">
        <v>240</v>
      </c>
      <c r="I16" s="9">
        <f ca="1">ROUND(SUM(B16:H16),2)</f>
        <v>7721.1</v>
      </c>
      <c r="J16" s="9">
        <f ca="1">ROUND(I16/20,2)</f>
        <v>386.06</v>
      </c>
      <c r="K16" s="9">
        <f ca="1">ROUND(J16/60,2)</f>
        <v>6.43</v>
      </c>
      <c r="O16" s="9" t="s">
        <v>822</v>
      </c>
      <c r="P16" s="9">
        <v>60</v>
      </c>
    </row>
    <row r="17" spans="1:16" ht="21.6" customHeight="1">
      <c r="A17" s="32" t="s">
        <v>566</v>
      </c>
      <c r="B17" s="9">
        <f>ROUND(A3*E8,2)</f>
        <v>117.5</v>
      </c>
      <c r="C17" s="9">
        <f>ROUND(B3*E8,2)</f>
        <v>352.5</v>
      </c>
      <c r="D17" s="9">
        <f ca="1">F13*C3</f>
        <v>936</v>
      </c>
      <c r="E17" s="9">
        <f>ROUND(D3*F8,2)</f>
        <v>595</v>
      </c>
      <c r="F17" s="9">
        <f ca="1">(H8*20)+(H13*20)+(60*20)</f>
        <v>2346</v>
      </c>
      <c r="G17" s="9">
        <f>COUNTIFS(IM!S:S,A8,IM!AE:AE,"o")*$E$3</f>
        <v>2160</v>
      </c>
      <c r="H17" s="9">
        <v>240</v>
      </c>
      <c r="I17" s="9">
        <f ca="1">ROUND(SUM(B17:H17),2)</f>
        <v>6747</v>
      </c>
      <c r="J17" s="9">
        <f ca="1">ROUND(I17/20,2)</f>
        <v>337.35</v>
      </c>
      <c r="K17" s="9">
        <f ca="1">ROUND(J17/60,2)</f>
        <v>5.62</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57" width="13.77734375" style="8" customWidth="1"/>
    <col min="58"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74" width="13.77734375" style="1" customWidth="1"/>
    <col min="75"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548"/>
  <sheetViews>
    <sheetView topLeftCell="H125" workbookViewId="0">
      <selection activeCell="AB29" sqref="AB29:AB244"/>
    </sheetView>
  </sheetViews>
  <sheetFormatPr defaultRowHeight="16.2"/>
  <cols>
    <col min="1" max="1" width="8.88671875" style="13" customWidth="1"/>
    <col min="2" max="2" width="13" style="14" bestFit="1" customWidth="1"/>
    <col min="3" max="5" width="8.88671875" style="13" customWidth="1"/>
    <col min="6" max="7" width="13" style="14" bestFit="1" customWidth="1"/>
    <col min="8" max="79" width="8.88671875" style="13" customWidth="1"/>
    <col min="80"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hidden="1"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hidden="1"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hidden="1"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hidden="1"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hidden="1"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hidden="1"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hidden="1"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hidden="1"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hidden="1"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hidden="1"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hidden="1"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hidden="1"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hidden="1"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hidden="1"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hidden="1"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hidden="1"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hidden="1"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hidden="1"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hidden="1"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hidden="1"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hidden="1"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hidden="1"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hidden="1"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hidden="1"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hidden="1"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hidden="1"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hidden="1"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hidden="1"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hidden="1"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hidden="1"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hidden="1"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hidden="1"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hidden="1"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hidden="1"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hidden="1"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hidden="1"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hidden="1"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hidden="1"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hidden="1"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hidden="1"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hidden="1"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hidden="1"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hidden="1"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hidden="1"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hidden="1"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hidden="1"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hidden="1"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hidden="1"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hidden="1"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hidden="1"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hidden="1"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hidden="1"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hidden="1"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hidden="1"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hidden="1"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hidden="1"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hidden="1"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hidden="1"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hidden="1"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hidden="1"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hidden="1"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hidden="1"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hidden="1"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hidden="1"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hidden="1"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hidden="1"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hidden="1"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hidden="1"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hidden="1"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hidden="1"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hidden="1"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hidden="1"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hidden="1"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hidden="1"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hidden="1"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hidden="1"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hidden="1"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hidden="1"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hidden="1"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hidden="1"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hidden="1"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hidden="1"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hidden="1"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hidden="1"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hidden="1"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hidden="1"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hidden="1"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hidden="1"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hidden="1"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hidden="1"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hidden="1"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hidden="1"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hidden="1"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hidden="1"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hidden="1"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hidden="1"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hidden="1"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hidden="1"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hidden="1"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hidden="1"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hidden="1"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hidden="1"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hidden="1"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hidden="1"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hidden="1"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hidden="1"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hidden="1"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hidden="1"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hidden="1"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hidden="1"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hidden="1"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hidden="1"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hidden="1"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hidden="1"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hidden="1"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hidden="1"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hidden="1"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hidden="1"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hidden="1"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hidden="1"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hidden="1"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hidden="1"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hidden="1"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hidden="1"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hidden="1"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hidden="1"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hidden="1"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hidden="1"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hidden="1"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hidden="1"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hidden="1"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hidden="1"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hidden="1"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hidden="1"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hidden="1"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hidden="1"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hidden="1"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hidden="1"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hidden="1"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hidden="1"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hidden="1"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hidden="1"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hidden="1"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hidden="1"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hidden="1"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hidden="1"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hidden="1"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hidden="1"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hidden="1"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hidden="1"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hidden="1"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hidden="1"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hidden="1"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hidden="1"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hidden="1"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hidden="1"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hidden="1"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hidden="1"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hidden="1"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hidden="1"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hidden="1"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hidden="1"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hidden="1"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hidden="1"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hidden="1"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hidden="1"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hidden="1"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hidden="1"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hidden="1"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hidden="1"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hidden="1"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hidden="1"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hidden="1"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hidden="1"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hidden="1"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hidden="1"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hidden="1"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hidden="1"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hidden="1"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hidden="1"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hidden="1"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hidden="1"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hidden="1"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hidden="1"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hidden="1"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hidden="1"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hidden="1"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hidden="1"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hidden="1"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hidden="1"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hidden="1"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hidden="1"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hidden="1"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hidden="1"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hidden="1"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hidden="1"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hidden="1"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hidden="1"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hidden="1"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hidden="1"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hidden="1"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hidden="1"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hidden="1"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hidden="1"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hidden="1"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hidden="1"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hidden="1"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hidden="1"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hidden="1"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hidden="1"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hidden="1"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hidden="1"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hidden="1"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hidden="1"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hidden="1"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hidden="1"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hidden="1"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hidden="1"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hidden="1"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hidden="1"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hidden="1"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hidden="1"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hidden="1"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hidden="1"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hidden="1"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hidden="1"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hidden="1"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hidden="1"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hidden="1"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hidden="1"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hidden="1"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hidden="1"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hidden="1"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hidden="1"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hidden="1"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hidden="1"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hidden="1"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hidden="1"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hidden="1"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hidden="1"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hidden="1"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hidden="1"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hidden="1"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hidden="1"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hidden="1"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hidden="1"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hidden="1"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hidden="1"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hidden="1"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hidden="1"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hidden="1"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hidden="1"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hidden="1"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hidden="1"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hidden="1"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hidden="1"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hidden="1"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hidden="1"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hidden="1"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hidden="1"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hidden="1"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hidden="1"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hidden="1"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hidden="1"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hidden="1"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hidden="1"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hidden="1"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hidden="1"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hidden="1"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hidden="1"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hidden="1"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hidden="1"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hidden="1"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hidden="1"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hidden="1"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hidden="1"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hidden="1"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hidden="1"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hidden="1"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hidden="1"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hidden="1"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hidden="1"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hidden="1"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hidden="1"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hidden="1"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hidden="1"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hidden="1"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hidden="1"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hidden="1"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hidden="1"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hidden="1"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hidden="1"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hidden="1"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hidden="1"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hidden="1"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hidden="1"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hidden="1"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hidden="1"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hidden="1"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hidden="1"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hidden="1"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hidden="1"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hidden="1"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hidden="1"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hidden="1"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hidden="1"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hidden="1"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hidden="1"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hidden="1"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hidden="1"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hidden="1"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hidden="1"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hidden="1"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hidden="1"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hidden="1"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hidden="1"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hidden="1"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hidden="1"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hidden="1"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hidden="1"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hidden="1"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hidden="1"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hidden="1"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hidden="1"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hidden="1"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hidden="1"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hidden="1"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hidden="1"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hidden="1"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hidden="1"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hidden="1"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hidden="1"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hidden="1"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hidden="1"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hidden="1"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hidden="1"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hidden="1"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hidden="1"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hidden="1"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hidden="1"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hidden="1"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hidden="1"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hidden="1"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row r="448" spans="1:28" ht="21.6" hidden="1" customHeight="1">
      <c r="A448" s="23">
        <v>2</v>
      </c>
      <c r="B448" s="23">
        <v>2026050352</v>
      </c>
      <c r="C448" s="23">
        <v>1</v>
      </c>
      <c r="D448" s="23" t="s">
        <v>868</v>
      </c>
      <c r="E448" s="23" t="s">
        <v>566</v>
      </c>
      <c r="F448" s="23" t="s">
        <v>1615</v>
      </c>
      <c r="G448" s="23" t="s">
        <v>1437</v>
      </c>
      <c r="H448" s="23" t="s">
        <v>1616</v>
      </c>
      <c r="I448" s="23" t="s">
        <v>725</v>
      </c>
      <c r="J448" s="23" t="s">
        <v>81</v>
      </c>
      <c r="K448" s="23" t="s">
        <v>873</v>
      </c>
      <c r="L448" s="24" t="s">
        <v>887</v>
      </c>
      <c r="M448" s="24" t="s">
        <v>888</v>
      </c>
      <c r="N448" s="24" t="s">
        <v>889</v>
      </c>
      <c r="O448" s="23" t="s">
        <v>876</v>
      </c>
      <c r="P448" s="23"/>
      <c r="Q448" s="23">
        <v>4364</v>
      </c>
      <c r="R448" s="23">
        <v>18277</v>
      </c>
      <c r="S448" s="23" t="s">
        <v>877</v>
      </c>
      <c r="T448" s="23"/>
      <c r="U448" s="23"/>
      <c r="V448" s="23"/>
      <c r="W448" s="23"/>
      <c r="X448" s="23"/>
      <c r="Y448" s="23"/>
      <c r="Z448" s="24" t="s">
        <v>878</v>
      </c>
      <c r="AA448" s="23" t="s">
        <v>877</v>
      </c>
      <c r="AB448" s="23">
        <v>1</v>
      </c>
    </row>
    <row r="449" spans="1:28" ht="21.6" hidden="1" customHeight="1">
      <c r="A449" s="23">
        <v>4</v>
      </c>
      <c r="B449" s="23">
        <v>2026050242</v>
      </c>
      <c r="C449" s="23">
        <v>1</v>
      </c>
      <c r="D449" s="23" t="s">
        <v>868</v>
      </c>
      <c r="E449" s="23" t="s">
        <v>566</v>
      </c>
      <c r="F449" s="23" t="s">
        <v>1615</v>
      </c>
      <c r="G449" s="23" t="s">
        <v>1387</v>
      </c>
      <c r="H449" s="23" t="s">
        <v>1593</v>
      </c>
      <c r="I449" s="23" t="s">
        <v>612</v>
      </c>
      <c r="J449" s="23" t="s">
        <v>81</v>
      </c>
      <c r="K449" s="23" t="s">
        <v>873</v>
      </c>
      <c r="L449" s="24" t="s">
        <v>887</v>
      </c>
      <c r="M449" s="24" t="s">
        <v>898</v>
      </c>
      <c r="N449" s="24" t="s">
        <v>899</v>
      </c>
      <c r="O449" s="23" t="s">
        <v>876</v>
      </c>
      <c r="P449" s="23"/>
      <c r="Q449" s="23">
        <v>2382</v>
      </c>
      <c r="R449" s="23">
        <v>1569</v>
      </c>
      <c r="S449" s="23" t="s">
        <v>877</v>
      </c>
      <c r="T449" s="23"/>
      <c r="U449" s="23"/>
      <c r="V449" s="23"/>
      <c r="W449" s="23"/>
      <c r="X449" s="23"/>
      <c r="Y449" s="23"/>
      <c r="Z449" s="24" t="s">
        <v>1617</v>
      </c>
      <c r="AA449" s="23" t="s">
        <v>877</v>
      </c>
      <c r="AB449" s="23">
        <v>1</v>
      </c>
    </row>
    <row r="450" spans="1:28" ht="21.6" hidden="1" customHeight="1">
      <c r="A450" s="23">
        <v>11</v>
      </c>
      <c r="B450" s="23">
        <v>2026050243</v>
      </c>
      <c r="C450" s="23">
        <v>1</v>
      </c>
      <c r="D450" s="23" t="s">
        <v>868</v>
      </c>
      <c r="E450" s="23" t="s">
        <v>206</v>
      </c>
      <c r="F450" s="23" t="s">
        <v>1615</v>
      </c>
      <c r="G450" s="23" t="s">
        <v>940</v>
      </c>
      <c r="H450" s="23" t="s">
        <v>1015</v>
      </c>
      <c r="I450" s="23" t="s">
        <v>359</v>
      </c>
      <c r="J450" s="23" t="s">
        <v>81</v>
      </c>
      <c r="K450" s="23" t="s">
        <v>873</v>
      </c>
      <c r="L450" s="24" t="s">
        <v>887</v>
      </c>
      <c r="M450" s="24" t="s">
        <v>1016</v>
      </c>
      <c r="N450" s="24" t="s">
        <v>1010</v>
      </c>
      <c r="O450" s="23" t="s">
        <v>876</v>
      </c>
      <c r="P450" s="23"/>
      <c r="Q450" s="23">
        <v>412</v>
      </c>
      <c r="R450" s="23">
        <v>3842</v>
      </c>
      <c r="S450" s="23" t="s">
        <v>877</v>
      </c>
      <c r="T450" s="23"/>
      <c r="U450" s="23"/>
      <c r="V450" s="23"/>
      <c r="W450" s="23"/>
      <c r="X450" s="23"/>
      <c r="Y450" s="23"/>
      <c r="Z450" s="24" t="s">
        <v>1011</v>
      </c>
      <c r="AA450" s="23" t="s">
        <v>877</v>
      </c>
      <c r="AB450" s="23">
        <v>1</v>
      </c>
    </row>
    <row r="451" spans="1:28" ht="21.6" hidden="1" customHeight="1">
      <c r="A451" s="23">
        <v>13</v>
      </c>
      <c r="B451" s="23">
        <v>2026050317</v>
      </c>
      <c r="C451" s="23">
        <v>1</v>
      </c>
      <c r="D451" s="23" t="s">
        <v>868</v>
      </c>
      <c r="E451" s="23" t="s">
        <v>206</v>
      </c>
      <c r="F451" s="23" t="s">
        <v>1615</v>
      </c>
      <c r="G451" s="23" t="s">
        <v>972</v>
      </c>
      <c r="H451" s="23" t="s">
        <v>1040</v>
      </c>
      <c r="I451" s="23" t="s">
        <v>503</v>
      </c>
      <c r="J451" s="23" t="s">
        <v>53</v>
      </c>
      <c r="K451" s="23" t="s">
        <v>873</v>
      </c>
      <c r="L451" s="24" t="s">
        <v>991</v>
      </c>
      <c r="M451" s="24" t="s">
        <v>1072</v>
      </c>
      <c r="N451" s="24" t="s">
        <v>1073</v>
      </c>
      <c r="O451" s="23" t="s">
        <v>876</v>
      </c>
      <c r="P451" s="23"/>
      <c r="Q451" s="23"/>
      <c r="R451" s="23">
        <v>56405</v>
      </c>
      <c r="S451" s="23" t="s">
        <v>877</v>
      </c>
      <c r="T451" s="23"/>
      <c r="U451" s="23"/>
      <c r="V451" s="23"/>
      <c r="W451" s="23"/>
      <c r="X451" s="23"/>
      <c r="Y451" s="23"/>
      <c r="Z451" s="24" t="s">
        <v>1011</v>
      </c>
      <c r="AA451" s="23" t="s">
        <v>877</v>
      </c>
      <c r="AB451" s="23">
        <v>1</v>
      </c>
    </row>
    <row r="452" spans="1:28" ht="21.6" hidden="1" customHeight="1">
      <c r="A452" s="23">
        <v>15</v>
      </c>
      <c r="B452" s="23">
        <v>2026050271</v>
      </c>
      <c r="C452" s="23">
        <v>1</v>
      </c>
      <c r="D452" s="23" t="s">
        <v>868</v>
      </c>
      <c r="E452" s="23" t="s">
        <v>206</v>
      </c>
      <c r="F452" s="23" t="s">
        <v>1615</v>
      </c>
      <c r="G452" s="23" t="s">
        <v>960</v>
      </c>
      <c r="H452" s="23" t="s">
        <v>972</v>
      </c>
      <c r="I452" s="23" t="s">
        <v>403</v>
      </c>
      <c r="J452" s="23" t="s">
        <v>53</v>
      </c>
      <c r="K452" s="23" t="s">
        <v>873</v>
      </c>
      <c r="L452" s="24" t="s">
        <v>991</v>
      </c>
      <c r="M452" s="24" t="s">
        <v>1074</v>
      </c>
      <c r="N452" s="24" t="s">
        <v>1075</v>
      </c>
      <c r="O452" s="23" t="s">
        <v>876</v>
      </c>
      <c r="P452" s="23"/>
      <c r="Q452" s="23"/>
      <c r="R452" s="23">
        <v>89002</v>
      </c>
      <c r="S452" s="23" t="s">
        <v>877</v>
      </c>
      <c r="T452" s="23"/>
      <c r="U452" s="23"/>
      <c r="V452" s="23"/>
      <c r="W452" s="23"/>
      <c r="X452" s="23"/>
      <c r="Y452" s="23"/>
      <c r="Z452" s="24" t="s">
        <v>1011</v>
      </c>
      <c r="AA452" s="23" t="s">
        <v>877</v>
      </c>
      <c r="AB452" s="23">
        <v>1</v>
      </c>
    </row>
    <row r="453" spans="1:28" ht="21.6" hidden="1" customHeight="1">
      <c r="A453" s="23">
        <v>17</v>
      </c>
      <c r="B453" s="23">
        <v>2026050269</v>
      </c>
      <c r="C453" s="23">
        <v>1</v>
      </c>
      <c r="D453" s="23" t="s">
        <v>868</v>
      </c>
      <c r="E453" s="23" t="s">
        <v>206</v>
      </c>
      <c r="F453" s="23" t="s">
        <v>1615</v>
      </c>
      <c r="G453" s="23" t="s">
        <v>885</v>
      </c>
      <c r="H453" s="23" t="s">
        <v>960</v>
      </c>
      <c r="I453" s="23" t="s">
        <v>349</v>
      </c>
      <c r="J453" s="23" t="s">
        <v>60</v>
      </c>
      <c r="K453" s="23" t="s">
        <v>873</v>
      </c>
      <c r="L453" s="24" t="s">
        <v>991</v>
      </c>
      <c r="M453" s="24" t="s">
        <v>1076</v>
      </c>
      <c r="N453" s="24" t="s">
        <v>1010</v>
      </c>
      <c r="O453" s="23" t="s">
        <v>876</v>
      </c>
      <c r="P453" s="23"/>
      <c r="Q453" s="23"/>
      <c r="R453" s="23">
        <v>7588</v>
      </c>
      <c r="S453" s="23" t="s">
        <v>877</v>
      </c>
      <c r="T453" s="23"/>
      <c r="U453" s="23"/>
      <c r="V453" s="23"/>
      <c r="W453" s="23"/>
      <c r="X453" s="23"/>
      <c r="Y453" s="23"/>
      <c r="Z453" s="24" t="s">
        <v>1011</v>
      </c>
      <c r="AA453" s="23" t="s">
        <v>877</v>
      </c>
      <c r="AB453" s="23">
        <v>1</v>
      </c>
    </row>
    <row r="454" spans="1:28" ht="21.6" hidden="1" customHeight="1">
      <c r="A454" s="23">
        <v>23</v>
      </c>
      <c r="B454" s="23">
        <v>2026050477</v>
      </c>
      <c r="C454" s="23">
        <v>1</v>
      </c>
      <c r="D454" s="23" t="s">
        <v>868</v>
      </c>
      <c r="E454" s="23" t="s">
        <v>206</v>
      </c>
      <c r="F454" s="23" t="s">
        <v>1618</v>
      </c>
      <c r="G454" s="23" t="s">
        <v>870</v>
      </c>
      <c r="H454" s="23" t="s">
        <v>930</v>
      </c>
      <c r="I454" s="23" t="s">
        <v>314</v>
      </c>
      <c r="J454" s="23" t="s">
        <v>75</v>
      </c>
      <c r="K454" s="23" t="s">
        <v>873</v>
      </c>
      <c r="L454" s="24" t="s">
        <v>1135</v>
      </c>
      <c r="M454" s="24" t="s">
        <v>1136</v>
      </c>
      <c r="N454" s="24" t="s">
        <v>1010</v>
      </c>
      <c r="O454" s="23" t="s">
        <v>876</v>
      </c>
      <c r="P454" s="23"/>
      <c r="Q454" s="23">
        <v>32010</v>
      </c>
      <c r="R454" s="23">
        <v>59997</v>
      </c>
      <c r="S454" s="23" t="s">
        <v>877</v>
      </c>
      <c r="T454" s="23"/>
      <c r="U454" s="23"/>
      <c r="V454" s="23"/>
      <c r="W454" s="23"/>
      <c r="X454" s="23"/>
      <c r="Y454" s="23"/>
      <c r="Z454" s="24" t="s">
        <v>1011</v>
      </c>
      <c r="AA454" s="23"/>
      <c r="AB454" s="23"/>
    </row>
    <row r="455" spans="1:28" ht="21.6" hidden="1" customHeight="1">
      <c r="A455" s="23">
        <v>1</v>
      </c>
      <c r="B455" s="23">
        <v>2026050738</v>
      </c>
      <c r="C455" s="23">
        <v>1</v>
      </c>
      <c r="D455" s="23" t="s">
        <v>868</v>
      </c>
      <c r="E455" s="23" t="s">
        <v>566</v>
      </c>
      <c r="F455" s="23" t="s">
        <v>1619</v>
      </c>
      <c r="G455" s="23" t="s">
        <v>912</v>
      </c>
      <c r="H455" s="23" t="s">
        <v>1620</v>
      </c>
      <c r="I455" s="23" t="s">
        <v>739</v>
      </c>
      <c r="J455" s="23" t="s">
        <v>81</v>
      </c>
      <c r="K455" s="23" t="s">
        <v>873</v>
      </c>
      <c r="L455" s="24" t="s">
        <v>1311</v>
      </c>
      <c r="M455" s="24" t="s">
        <v>1312</v>
      </c>
      <c r="N455" s="24"/>
      <c r="O455" s="23" t="s">
        <v>876</v>
      </c>
      <c r="P455" s="23"/>
      <c r="Q455" s="23">
        <v>1369</v>
      </c>
      <c r="R455" s="23">
        <v>18511</v>
      </c>
      <c r="S455" s="23" t="s">
        <v>877</v>
      </c>
      <c r="T455" s="23"/>
      <c r="U455" s="23"/>
      <c r="V455" s="23"/>
      <c r="W455" s="23"/>
      <c r="X455" s="23"/>
      <c r="Y455" s="23"/>
      <c r="Z455" s="24" t="s">
        <v>878</v>
      </c>
      <c r="AA455" s="23" t="s">
        <v>877</v>
      </c>
      <c r="AB455" s="23">
        <v>1</v>
      </c>
    </row>
    <row r="456" spans="1:28" ht="21.6" hidden="1" customHeight="1">
      <c r="A456" s="23">
        <v>6</v>
      </c>
      <c r="B456" s="23">
        <v>2026050787</v>
      </c>
      <c r="C456" s="23">
        <v>1</v>
      </c>
      <c r="D456" s="23" t="s">
        <v>868</v>
      </c>
      <c r="E456" s="23" t="s">
        <v>566</v>
      </c>
      <c r="F456" s="23" t="s">
        <v>1619</v>
      </c>
      <c r="G456" s="23" t="s">
        <v>1490</v>
      </c>
      <c r="H456" s="23" t="s">
        <v>972</v>
      </c>
      <c r="I456" s="23" t="s">
        <v>728</v>
      </c>
      <c r="J456" s="23" t="s">
        <v>53</v>
      </c>
      <c r="K456" s="23" t="s">
        <v>873</v>
      </c>
      <c r="L456" s="24" t="s">
        <v>1203</v>
      </c>
      <c r="M456" s="24" t="s">
        <v>1204</v>
      </c>
      <c r="N456" s="24"/>
      <c r="O456" s="23" t="s">
        <v>876</v>
      </c>
      <c r="P456" s="23"/>
      <c r="Q456" s="23"/>
      <c r="R456" s="23">
        <v>50993</v>
      </c>
      <c r="S456" s="23" t="s">
        <v>877</v>
      </c>
      <c r="T456" s="23"/>
      <c r="U456" s="23"/>
      <c r="V456" s="23"/>
      <c r="W456" s="23"/>
      <c r="X456" s="23"/>
      <c r="Y456" s="23"/>
      <c r="Z456" s="24" t="s">
        <v>878</v>
      </c>
      <c r="AA456" s="23"/>
      <c r="AB456" s="23"/>
    </row>
    <row r="457" spans="1:28" ht="21.6" hidden="1" customHeight="1">
      <c r="A457" s="23">
        <v>13</v>
      </c>
      <c r="B457" s="23">
        <v>2026050850</v>
      </c>
      <c r="C457" s="23">
        <v>1</v>
      </c>
      <c r="D457" s="23" t="s">
        <v>868</v>
      </c>
      <c r="E457" s="23" t="s">
        <v>566</v>
      </c>
      <c r="F457" s="23" t="s">
        <v>1619</v>
      </c>
      <c r="G457" s="23" t="s">
        <v>1621</v>
      </c>
      <c r="H457" s="23" t="s">
        <v>1109</v>
      </c>
      <c r="I457" s="23" t="s">
        <v>669</v>
      </c>
      <c r="J457" s="23" t="s">
        <v>963</v>
      </c>
      <c r="K457" s="23" t="s">
        <v>873</v>
      </c>
      <c r="L457" s="24" t="s">
        <v>1169</v>
      </c>
      <c r="M457" s="24" t="s">
        <v>1170</v>
      </c>
      <c r="N457" s="24"/>
      <c r="O457" s="23" t="s">
        <v>876</v>
      </c>
      <c r="P457" s="23"/>
      <c r="Q457" s="23"/>
      <c r="R457" s="23">
        <v>244195</v>
      </c>
      <c r="S457" s="23" t="s">
        <v>877</v>
      </c>
      <c r="T457" s="23"/>
      <c r="U457" s="23"/>
      <c r="V457" s="23"/>
      <c r="W457" s="23"/>
      <c r="X457" s="23"/>
      <c r="Y457" s="23"/>
      <c r="Z457" s="24" t="s">
        <v>1622</v>
      </c>
      <c r="AA457" s="23" t="s">
        <v>877</v>
      </c>
      <c r="AB457" s="23">
        <v>1</v>
      </c>
    </row>
    <row r="458" spans="1:28" ht="21.6" hidden="1" customHeight="1">
      <c r="A458" s="23">
        <v>14</v>
      </c>
      <c r="B458" s="23">
        <v>2026050788</v>
      </c>
      <c r="C458" s="23">
        <v>1</v>
      </c>
      <c r="D458" s="23" t="s">
        <v>868</v>
      </c>
      <c r="E458" s="23" t="s">
        <v>566</v>
      </c>
      <c r="F458" s="23" t="s">
        <v>1619</v>
      </c>
      <c r="G458" s="23" t="s">
        <v>972</v>
      </c>
      <c r="H458" s="23" t="s">
        <v>1623</v>
      </c>
      <c r="I458" s="23" t="s">
        <v>733</v>
      </c>
      <c r="J458" s="23" t="s">
        <v>143</v>
      </c>
      <c r="K458" s="23" t="s">
        <v>873</v>
      </c>
      <c r="L458" s="24" t="s">
        <v>1203</v>
      </c>
      <c r="M458" s="24" t="s">
        <v>1204</v>
      </c>
      <c r="N458" s="24"/>
      <c r="O458" s="23" t="s">
        <v>876</v>
      </c>
      <c r="P458" s="23"/>
      <c r="Q458" s="23">
        <v>28637</v>
      </c>
      <c r="R458" s="23">
        <v>724156</v>
      </c>
      <c r="S458" s="23" t="s">
        <v>877</v>
      </c>
      <c r="T458" s="23"/>
      <c r="U458" s="23"/>
      <c r="V458" s="23"/>
      <c r="W458" s="23"/>
      <c r="X458" s="23"/>
      <c r="Y458" s="23"/>
      <c r="Z458" s="24" t="s">
        <v>878</v>
      </c>
      <c r="AA458" s="23"/>
      <c r="AB458" s="23"/>
    </row>
    <row r="459" spans="1:28" ht="21.6" hidden="1" customHeight="1">
      <c r="A459" s="23">
        <v>30</v>
      </c>
      <c r="B459" s="23">
        <v>2026050752</v>
      </c>
      <c r="C459" s="23">
        <v>1</v>
      </c>
      <c r="D459" s="23" t="s">
        <v>868</v>
      </c>
      <c r="E459" s="23" t="s">
        <v>206</v>
      </c>
      <c r="F459" s="23" t="s">
        <v>1619</v>
      </c>
      <c r="G459" s="23" t="s">
        <v>1047</v>
      </c>
      <c r="H459" s="23" t="s">
        <v>1115</v>
      </c>
      <c r="I459" s="23" t="s">
        <v>383</v>
      </c>
      <c r="J459" s="23" t="s">
        <v>87</v>
      </c>
      <c r="K459" s="23" t="s">
        <v>873</v>
      </c>
      <c r="L459" s="24" t="s">
        <v>964</v>
      </c>
      <c r="M459" s="24" t="s">
        <v>1498</v>
      </c>
      <c r="N459" s="24" t="s">
        <v>1499</v>
      </c>
      <c r="O459" s="23" t="s">
        <v>876</v>
      </c>
      <c r="P459" s="23"/>
      <c r="Q459" s="23"/>
      <c r="R459" s="23">
        <v>121696</v>
      </c>
      <c r="S459" s="23" t="s">
        <v>877</v>
      </c>
      <c r="T459" s="23"/>
      <c r="U459" s="23"/>
      <c r="V459" s="23"/>
      <c r="W459" s="23"/>
      <c r="X459" s="23"/>
      <c r="Y459" s="23"/>
      <c r="Z459" s="24" t="s">
        <v>1011</v>
      </c>
      <c r="AA459" s="23"/>
      <c r="AB459" s="23"/>
    </row>
    <row r="460" spans="1:28" ht="21.6" hidden="1" customHeight="1">
      <c r="A460" s="23">
        <v>32</v>
      </c>
      <c r="B460" s="23">
        <v>2026050828</v>
      </c>
      <c r="C460" s="23">
        <v>1</v>
      </c>
      <c r="D460" s="23" t="s">
        <v>868</v>
      </c>
      <c r="E460" s="23" t="s">
        <v>206</v>
      </c>
      <c r="F460" s="23" t="s">
        <v>1619</v>
      </c>
      <c r="G460" s="23" t="s">
        <v>969</v>
      </c>
      <c r="H460" s="23" t="s">
        <v>1012</v>
      </c>
      <c r="I460" s="23" t="s">
        <v>412</v>
      </c>
      <c r="J460" s="23" t="s">
        <v>75</v>
      </c>
      <c r="K460" s="23" t="s">
        <v>873</v>
      </c>
      <c r="L460" s="24" t="s">
        <v>1248</v>
      </c>
      <c r="M460" s="24" t="s">
        <v>1249</v>
      </c>
      <c r="N460" s="24" t="s">
        <v>1075</v>
      </c>
      <c r="O460" s="23" t="s">
        <v>876</v>
      </c>
      <c r="P460" s="23"/>
      <c r="Q460" s="23">
        <v>9169</v>
      </c>
      <c r="R460" s="23">
        <v>96101</v>
      </c>
      <c r="S460" s="23" t="s">
        <v>877</v>
      </c>
      <c r="T460" s="23"/>
      <c r="U460" s="23"/>
      <c r="V460" s="23"/>
      <c r="W460" s="23"/>
      <c r="X460" s="23" t="s">
        <v>877</v>
      </c>
      <c r="Y460" s="23" t="s">
        <v>877</v>
      </c>
      <c r="Z460" s="24" t="s">
        <v>1624</v>
      </c>
      <c r="AA460" s="23" t="s">
        <v>877</v>
      </c>
      <c r="AB460" s="23">
        <v>1</v>
      </c>
    </row>
    <row r="461" spans="1:28" ht="21.6" hidden="1" customHeight="1">
      <c r="A461" s="23">
        <v>33</v>
      </c>
      <c r="B461" s="23">
        <v>2026050829</v>
      </c>
      <c r="C461" s="23">
        <v>1</v>
      </c>
      <c r="D461" s="23" t="s">
        <v>868</v>
      </c>
      <c r="E461" s="23" t="s">
        <v>206</v>
      </c>
      <c r="F461" s="23" t="s">
        <v>1619</v>
      </c>
      <c r="G461" s="23" t="s">
        <v>972</v>
      </c>
      <c r="H461" s="23" t="s">
        <v>969</v>
      </c>
      <c r="I461" s="23" t="s">
        <v>417</v>
      </c>
      <c r="J461" s="23" t="s">
        <v>75</v>
      </c>
      <c r="K461" s="23" t="s">
        <v>873</v>
      </c>
      <c r="L461" s="24" t="s">
        <v>1248</v>
      </c>
      <c r="M461" s="24" t="s">
        <v>1249</v>
      </c>
      <c r="N461" s="24" t="s">
        <v>1075</v>
      </c>
      <c r="O461" s="23" t="s">
        <v>876</v>
      </c>
      <c r="P461" s="23"/>
      <c r="Q461" s="23">
        <v>13811</v>
      </c>
      <c r="R461" s="23">
        <v>164266</v>
      </c>
      <c r="S461" s="23" t="s">
        <v>877</v>
      </c>
      <c r="T461" s="23"/>
      <c r="U461" s="23"/>
      <c r="V461" s="23"/>
      <c r="W461" s="23"/>
      <c r="X461" s="23"/>
      <c r="Y461" s="23" t="s">
        <v>877</v>
      </c>
      <c r="Z461" s="24" t="s">
        <v>1011</v>
      </c>
      <c r="AA461" s="23" t="s">
        <v>877</v>
      </c>
      <c r="AB461" s="23">
        <v>1</v>
      </c>
    </row>
    <row r="462" spans="1:28" ht="21.6" hidden="1" customHeight="1">
      <c r="A462" s="23">
        <v>37</v>
      </c>
      <c r="B462" s="23">
        <v>2026050774</v>
      </c>
      <c r="C462" s="23">
        <v>1</v>
      </c>
      <c r="D462" s="23" t="s">
        <v>868</v>
      </c>
      <c r="E462" s="23" t="s">
        <v>206</v>
      </c>
      <c r="F462" s="23" t="s">
        <v>1619</v>
      </c>
      <c r="G462" s="23" t="s">
        <v>885</v>
      </c>
      <c r="H462" s="23" t="s">
        <v>960</v>
      </c>
      <c r="I462" s="23" t="s">
        <v>1270</v>
      </c>
      <c r="J462" s="23" t="s">
        <v>963</v>
      </c>
      <c r="K462" s="23" t="s">
        <v>873</v>
      </c>
      <c r="L462" s="24" t="s">
        <v>964</v>
      </c>
      <c r="M462" s="24" t="s">
        <v>1271</v>
      </c>
      <c r="N462" s="24" t="s">
        <v>1272</v>
      </c>
      <c r="O462" s="23" t="s">
        <v>876</v>
      </c>
      <c r="P462" s="23"/>
      <c r="Q462" s="23"/>
      <c r="R462" s="23">
        <v>18522</v>
      </c>
      <c r="S462" s="23" t="s">
        <v>877</v>
      </c>
      <c r="T462" s="23"/>
      <c r="U462" s="23"/>
      <c r="V462" s="23"/>
      <c r="W462" s="23"/>
      <c r="X462" s="23"/>
      <c r="Y462" s="23"/>
      <c r="Z462" s="24" t="s">
        <v>1011</v>
      </c>
      <c r="AA462" s="23"/>
      <c r="AB462" s="23"/>
    </row>
    <row r="463" spans="1:28" ht="21.6" hidden="1" customHeight="1">
      <c r="A463" s="23">
        <v>39</v>
      </c>
      <c r="B463" s="23">
        <v>2026050746</v>
      </c>
      <c r="C463" s="23">
        <v>1</v>
      </c>
      <c r="D463" s="23" t="s">
        <v>868</v>
      </c>
      <c r="E463" s="23" t="s">
        <v>206</v>
      </c>
      <c r="F463" s="23" t="s">
        <v>1619</v>
      </c>
      <c r="G463" s="23" t="s">
        <v>1023</v>
      </c>
      <c r="H463" s="23" t="s">
        <v>870</v>
      </c>
      <c r="I463" s="23" t="s">
        <v>1033</v>
      </c>
      <c r="J463" s="23" t="s">
        <v>963</v>
      </c>
      <c r="K463" s="23" t="s">
        <v>873</v>
      </c>
      <c r="L463" s="24" t="s">
        <v>964</v>
      </c>
      <c r="M463" s="24" t="s">
        <v>1034</v>
      </c>
      <c r="N463" s="24" t="s">
        <v>1035</v>
      </c>
      <c r="O463" s="23" t="s">
        <v>876</v>
      </c>
      <c r="P463" s="23"/>
      <c r="Q463" s="23"/>
      <c r="R463" s="23">
        <v>81875</v>
      </c>
      <c r="S463" s="23" t="s">
        <v>877</v>
      </c>
      <c r="T463" s="23"/>
      <c r="U463" s="23"/>
      <c r="V463" s="23"/>
      <c r="W463" s="23"/>
      <c r="X463" s="23"/>
      <c r="Y463" s="23"/>
      <c r="Z463" s="24" t="s">
        <v>1011</v>
      </c>
      <c r="AA463" s="23"/>
      <c r="AB463" s="23"/>
    </row>
    <row r="464" spans="1:28" ht="21.6" hidden="1" customHeight="1">
      <c r="A464" s="23">
        <v>42</v>
      </c>
      <c r="B464" s="23">
        <v>2026050750</v>
      </c>
      <c r="C464" s="23">
        <v>1</v>
      </c>
      <c r="D464" s="23" t="s">
        <v>868</v>
      </c>
      <c r="E464" s="23" t="s">
        <v>206</v>
      </c>
      <c r="F464" s="23" t="s">
        <v>1619</v>
      </c>
      <c r="G464" s="23" t="s">
        <v>930</v>
      </c>
      <c r="H464" s="23" t="s">
        <v>1047</v>
      </c>
      <c r="I464" s="23" t="s">
        <v>1036</v>
      </c>
      <c r="J464" s="23" t="s">
        <v>963</v>
      </c>
      <c r="K464" s="23" t="s">
        <v>873</v>
      </c>
      <c r="L464" s="24" t="s">
        <v>964</v>
      </c>
      <c r="M464" s="24" t="s">
        <v>1037</v>
      </c>
      <c r="N464" s="24" t="s">
        <v>1038</v>
      </c>
      <c r="O464" s="23" t="s">
        <v>876</v>
      </c>
      <c r="P464" s="23"/>
      <c r="Q464" s="23"/>
      <c r="R464" s="23">
        <v>184650</v>
      </c>
      <c r="S464" s="23" t="s">
        <v>877</v>
      </c>
      <c r="T464" s="23"/>
      <c r="U464" s="23"/>
      <c r="V464" s="23"/>
      <c r="W464" s="23"/>
      <c r="X464" s="23"/>
      <c r="Y464" s="23"/>
      <c r="Z464" s="24" t="s">
        <v>1011</v>
      </c>
      <c r="AA464" s="23"/>
      <c r="AB464" s="23"/>
    </row>
    <row r="465" spans="1:28" ht="21.6" hidden="1" customHeight="1">
      <c r="A465" s="23">
        <v>45</v>
      </c>
      <c r="B465" s="23">
        <v>2026050748</v>
      </c>
      <c r="C465" s="23">
        <v>1</v>
      </c>
      <c r="D465" s="23" t="s">
        <v>868</v>
      </c>
      <c r="E465" s="23" t="s">
        <v>206</v>
      </c>
      <c r="F465" s="23" t="s">
        <v>1619</v>
      </c>
      <c r="G465" s="23" t="s">
        <v>870</v>
      </c>
      <c r="H465" s="23" t="s">
        <v>930</v>
      </c>
      <c r="I465" s="23" t="s">
        <v>1193</v>
      </c>
      <c r="J465" s="23" t="s">
        <v>963</v>
      </c>
      <c r="K465" s="23" t="s">
        <v>873</v>
      </c>
      <c r="L465" s="24" t="s">
        <v>964</v>
      </c>
      <c r="M465" s="24" t="s">
        <v>1194</v>
      </c>
      <c r="N465" s="24" t="s">
        <v>1195</v>
      </c>
      <c r="O465" s="23" t="s">
        <v>876</v>
      </c>
      <c r="P465" s="23"/>
      <c r="Q465" s="23"/>
      <c r="R465" s="23">
        <v>136370</v>
      </c>
      <c r="S465" s="23" t="s">
        <v>877</v>
      </c>
      <c r="T465" s="23"/>
      <c r="U465" s="23"/>
      <c r="V465" s="23"/>
      <c r="W465" s="23"/>
      <c r="X465" s="23"/>
      <c r="Y465" s="23"/>
      <c r="Z465" s="24" t="s">
        <v>1011</v>
      </c>
      <c r="AA465" s="23"/>
      <c r="AB465" s="23"/>
    </row>
    <row r="466" spans="1:28" ht="21.6" hidden="1" customHeight="1">
      <c r="A466" s="23">
        <v>1</v>
      </c>
      <c r="B466" s="23">
        <v>2026051150</v>
      </c>
      <c r="C466" s="23">
        <v>1</v>
      </c>
      <c r="D466" s="23" t="s">
        <v>868</v>
      </c>
      <c r="E466" s="23" t="s">
        <v>566</v>
      </c>
      <c r="F466" s="23" t="s">
        <v>1625</v>
      </c>
      <c r="G466" s="23" t="s">
        <v>1309</v>
      </c>
      <c r="H466" s="23" t="s">
        <v>937</v>
      </c>
      <c r="I466" s="23" t="s">
        <v>700</v>
      </c>
      <c r="J466" s="23" t="s">
        <v>127</v>
      </c>
      <c r="K466" s="23" t="s">
        <v>873</v>
      </c>
      <c r="L466" s="24" t="s">
        <v>977</v>
      </c>
      <c r="M466" s="24" t="s">
        <v>1094</v>
      </c>
      <c r="N466" s="24"/>
      <c r="O466" s="23" t="s">
        <v>876</v>
      </c>
      <c r="P466" s="23">
        <v>6018</v>
      </c>
      <c r="Q466" s="23">
        <v>11832</v>
      </c>
      <c r="R466" s="23">
        <v>36903</v>
      </c>
      <c r="S466" s="23" t="s">
        <v>877</v>
      </c>
      <c r="T466" s="23"/>
      <c r="U466" s="23"/>
      <c r="V466" s="23"/>
      <c r="W466" s="23"/>
      <c r="X466" s="23"/>
      <c r="Y466" s="23"/>
      <c r="Z466" s="24" t="s">
        <v>1337</v>
      </c>
      <c r="AA466" s="23" t="s">
        <v>877</v>
      </c>
      <c r="AB466" s="23">
        <v>1</v>
      </c>
    </row>
    <row r="467" spans="1:28" ht="21.6" hidden="1" customHeight="1">
      <c r="A467" s="23">
        <v>3</v>
      </c>
      <c r="B467" s="23">
        <v>2026051206</v>
      </c>
      <c r="C467" s="23">
        <v>1</v>
      </c>
      <c r="D467" s="23" t="s">
        <v>868</v>
      </c>
      <c r="E467" s="23" t="s">
        <v>566</v>
      </c>
      <c r="F467" s="23" t="s">
        <v>1625</v>
      </c>
      <c r="G467" s="23" t="s">
        <v>1047</v>
      </c>
      <c r="H467" s="23" t="s">
        <v>1209</v>
      </c>
      <c r="I467" s="23" t="s">
        <v>686</v>
      </c>
      <c r="J467" s="23" t="s">
        <v>127</v>
      </c>
      <c r="K467" s="23" t="s">
        <v>873</v>
      </c>
      <c r="L467" s="24" t="s">
        <v>1258</v>
      </c>
      <c r="M467" s="24" t="s">
        <v>1259</v>
      </c>
      <c r="N467" s="24"/>
      <c r="O467" s="23" t="s">
        <v>876</v>
      </c>
      <c r="P467" s="23">
        <v>205</v>
      </c>
      <c r="Q467" s="23">
        <v>10376</v>
      </c>
      <c r="R467" s="23">
        <v>59408</v>
      </c>
      <c r="S467" s="23" t="s">
        <v>877</v>
      </c>
      <c r="T467" s="23"/>
      <c r="U467" s="23"/>
      <c r="V467" s="23"/>
      <c r="W467" s="23"/>
      <c r="X467" s="23"/>
      <c r="Y467" s="23"/>
      <c r="Z467" s="24" t="s">
        <v>1337</v>
      </c>
      <c r="AA467" s="23" t="s">
        <v>877</v>
      </c>
      <c r="AB467" s="23">
        <v>1</v>
      </c>
    </row>
    <row r="468" spans="1:28" ht="21.6" hidden="1" customHeight="1">
      <c r="A468" s="23">
        <v>11</v>
      </c>
      <c r="B468" s="23">
        <v>2026050916</v>
      </c>
      <c r="C468" s="23">
        <v>1</v>
      </c>
      <c r="D468" s="23" t="s">
        <v>868</v>
      </c>
      <c r="E468" s="23" t="s">
        <v>566</v>
      </c>
      <c r="F468" s="23" t="s">
        <v>1626</v>
      </c>
      <c r="G468" s="23" t="s">
        <v>1627</v>
      </c>
      <c r="H468" s="23" t="s">
        <v>1628</v>
      </c>
      <c r="I468" s="23" t="s">
        <v>709</v>
      </c>
      <c r="J468" s="23" t="s">
        <v>53</v>
      </c>
      <c r="K468" s="23" t="s">
        <v>873</v>
      </c>
      <c r="L468" s="24" t="s">
        <v>1205</v>
      </c>
      <c r="M468" s="24" t="s">
        <v>1305</v>
      </c>
      <c r="N468" s="24" t="s">
        <v>1306</v>
      </c>
      <c r="O468" s="23" t="s">
        <v>876</v>
      </c>
      <c r="P468" s="23"/>
      <c r="Q468" s="23"/>
      <c r="R468" s="23">
        <v>292355</v>
      </c>
      <c r="S468" s="23" t="s">
        <v>877</v>
      </c>
      <c r="T468" s="23"/>
      <c r="U468" s="23"/>
      <c r="V468" s="23"/>
      <c r="W468" s="23"/>
      <c r="X468" s="23"/>
      <c r="Y468" s="23"/>
      <c r="Z468" s="24" t="s">
        <v>1629</v>
      </c>
      <c r="AA468" s="23" t="s">
        <v>877</v>
      </c>
      <c r="AB468" s="23">
        <v>1</v>
      </c>
    </row>
    <row r="469" spans="1:28" ht="21.6" hidden="1" customHeight="1">
      <c r="A469" s="23">
        <v>16</v>
      </c>
      <c r="B469" s="23">
        <v>2026051310</v>
      </c>
      <c r="C469" s="23">
        <v>1</v>
      </c>
      <c r="D469" s="23" t="s">
        <v>868</v>
      </c>
      <c r="E469" s="23" t="s">
        <v>566</v>
      </c>
      <c r="F469" s="23" t="s">
        <v>1625</v>
      </c>
      <c r="G469" s="23" t="s">
        <v>1630</v>
      </c>
      <c r="H469" s="23" t="s">
        <v>1631</v>
      </c>
      <c r="I469" s="23" t="s">
        <v>1153</v>
      </c>
      <c r="J469" s="23" t="s">
        <v>60</v>
      </c>
      <c r="K469" s="23" t="s">
        <v>873</v>
      </c>
      <c r="L469" s="24" t="s">
        <v>927</v>
      </c>
      <c r="M469" s="24" t="s">
        <v>1154</v>
      </c>
      <c r="N469" s="24" t="s">
        <v>906</v>
      </c>
      <c r="O469" s="23" t="s">
        <v>876</v>
      </c>
      <c r="P469" s="23"/>
      <c r="Q469" s="23"/>
      <c r="R469" s="23">
        <v>154723</v>
      </c>
      <c r="S469" s="23" t="s">
        <v>877</v>
      </c>
      <c r="T469" s="23"/>
      <c r="U469" s="23"/>
      <c r="V469" s="23"/>
      <c r="W469" s="23"/>
      <c r="X469" s="23"/>
      <c r="Y469" s="23"/>
      <c r="Z469" s="24" t="s">
        <v>878</v>
      </c>
      <c r="AA469" s="23" t="s">
        <v>877</v>
      </c>
      <c r="AB469" s="23">
        <v>1</v>
      </c>
    </row>
    <row r="470" spans="1:28" ht="21.6" hidden="1" customHeight="1">
      <c r="A470" s="23">
        <v>19</v>
      </c>
      <c r="B470" s="23">
        <v>2026050913</v>
      </c>
      <c r="C470" s="23">
        <v>1</v>
      </c>
      <c r="D470" s="23" t="s">
        <v>868</v>
      </c>
      <c r="E470" s="23" t="s">
        <v>566</v>
      </c>
      <c r="F470" s="23" t="s">
        <v>1626</v>
      </c>
      <c r="G470" s="23" t="s">
        <v>1632</v>
      </c>
      <c r="H470" s="23" t="s">
        <v>936</v>
      </c>
      <c r="I470" s="23" t="s">
        <v>704</v>
      </c>
      <c r="J470" s="23" t="s">
        <v>60</v>
      </c>
      <c r="K470" s="23" t="s">
        <v>873</v>
      </c>
      <c r="L470" s="24" t="s">
        <v>1205</v>
      </c>
      <c r="M470" s="24" t="s">
        <v>1206</v>
      </c>
      <c r="N470" s="24" t="s">
        <v>1207</v>
      </c>
      <c r="O470" s="23" t="s">
        <v>876</v>
      </c>
      <c r="P470" s="23"/>
      <c r="Q470" s="23"/>
      <c r="R470" s="23">
        <v>35325</v>
      </c>
      <c r="S470" s="23" t="s">
        <v>877</v>
      </c>
      <c r="T470" s="23"/>
      <c r="U470" s="23"/>
      <c r="V470" s="23"/>
      <c r="W470" s="23"/>
      <c r="X470" s="23"/>
      <c r="Y470" s="23"/>
      <c r="Z470" s="24" t="s">
        <v>878</v>
      </c>
      <c r="AA470" s="23" t="s">
        <v>877</v>
      </c>
      <c r="AB470" s="23">
        <v>1</v>
      </c>
    </row>
    <row r="471" spans="1:28" ht="21.6" hidden="1" customHeight="1">
      <c r="A471" s="23">
        <v>44</v>
      </c>
      <c r="B471" s="23">
        <v>2026051288</v>
      </c>
      <c r="C471" s="23">
        <v>1</v>
      </c>
      <c r="D471" s="23" t="s">
        <v>868</v>
      </c>
      <c r="E471" s="23" t="s">
        <v>566</v>
      </c>
      <c r="F471" s="23" t="s">
        <v>1625</v>
      </c>
      <c r="G471" s="23" t="s">
        <v>1529</v>
      </c>
      <c r="H471" s="23" t="s">
        <v>1633</v>
      </c>
      <c r="I471" s="23" t="s">
        <v>1179</v>
      </c>
      <c r="J471" s="23" t="s">
        <v>1180</v>
      </c>
      <c r="K471" s="23" t="s">
        <v>873</v>
      </c>
      <c r="L471" s="24" t="s">
        <v>1142</v>
      </c>
      <c r="M471" s="24" t="s">
        <v>1181</v>
      </c>
      <c r="N471" s="24" t="s">
        <v>1182</v>
      </c>
      <c r="O471" s="23" t="s">
        <v>876</v>
      </c>
      <c r="P471" s="23"/>
      <c r="Q471" s="23"/>
      <c r="R471" s="23">
        <v>2632</v>
      </c>
      <c r="S471" s="23" t="s">
        <v>877</v>
      </c>
      <c r="T471" s="23"/>
      <c r="U471" s="23"/>
      <c r="V471" s="23"/>
      <c r="W471" s="23"/>
      <c r="X471" s="23"/>
      <c r="Y471" s="23"/>
      <c r="Z471" s="24" t="s">
        <v>878</v>
      </c>
      <c r="AA471" s="23" t="s">
        <v>877</v>
      </c>
      <c r="AB471" s="23">
        <v>1</v>
      </c>
    </row>
    <row r="472" spans="1:28" ht="21.6" hidden="1" customHeight="1">
      <c r="A472" s="23">
        <v>45</v>
      </c>
      <c r="B472" s="23">
        <v>2026051346</v>
      </c>
      <c r="C472" s="23">
        <v>1</v>
      </c>
      <c r="D472" s="23" t="s">
        <v>868</v>
      </c>
      <c r="E472" s="23" t="s">
        <v>52</v>
      </c>
      <c r="F472" s="23" t="s">
        <v>1634</v>
      </c>
      <c r="G472" s="23" t="s">
        <v>930</v>
      </c>
      <c r="H472" s="23" t="s">
        <v>1635</v>
      </c>
      <c r="I472" s="23" t="s">
        <v>137</v>
      </c>
      <c r="J472" s="23" t="s">
        <v>81</v>
      </c>
      <c r="K472" s="23" t="s">
        <v>873</v>
      </c>
      <c r="L472" s="24" t="s">
        <v>977</v>
      </c>
      <c r="M472" s="24" t="s">
        <v>978</v>
      </c>
      <c r="N472" s="24" t="s">
        <v>979</v>
      </c>
      <c r="O472" s="23" t="s">
        <v>876</v>
      </c>
      <c r="P472" s="23">
        <v>7811</v>
      </c>
      <c r="Q472" s="23">
        <v>17110</v>
      </c>
      <c r="R472" s="23">
        <v>24866</v>
      </c>
      <c r="S472" s="23" t="s">
        <v>877</v>
      </c>
      <c r="T472" s="23"/>
      <c r="U472" s="23"/>
      <c r="V472" s="23"/>
      <c r="W472" s="23"/>
      <c r="X472" s="23"/>
      <c r="Y472" s="23"/>
      <c r="Z472" s="24" t="s">
        <v>980</v>
      </c>
      <c r="AA472" s="23" t="s">
        <v>877</v>
      </c>
      <c r="AB472" s="23">
        <v>1</v>
      </c>
    </row>
    <row r="473" spans="1:28" ht="21.6" hidden="1" customHeight="1">
      <c r="A473" s="23">
        <v>47</v>
      </c>
      <c r="B473" s="23">
        <v>2026051081</v>
      </c>
      <c r="C473" s="23">
        <v>1</v>
      </c>
      <c r="D473" s="23" t="s">
        <v>868</v>
      </c>
      <c r="E473" s="23" t="s">
        <v>52</v>
      </c>
      <c r="F473" s="23" t="s">
        <v>1626</v>
      </c>
      <c r="G473" s="23" t="s">
        <v>1436</v>
      </c>
      <c r="H473" s="23" t="s">
        <v>916</v>
      </c>
      <c r="I473" s="23" t="s">
        <v>104</v>
      </c>
      <c r="J473" s="23" t="s">
        <v>81</v>
      </c>
      <c r="K473" s="23" t="s">
        <v>873</v>
      </c>
      <c r="L473" s="24" t="s">
        <v>982</v>
      </c>
      <c r="M473" s="24" t="s">
        <v>983</v>
      </c>
      <c r="N473" s="24" t="s">
        <v>984</v>
      </c>
      <c r="O473" s="23" t="s">
        <v>876</v>
      </c>
      <c r="P473" s="23"/>
      <c r="Q473" s="23">
        <v>2203</v>
      </c>
      <c r="R473" s="23">
        <v>118059</v>
      </c>
      <c r="S473" s="23" t="s">
        <v>877</v>
      </c>
      <c r="T473" s="23"/>
      <c r="U473" s="23"/>
      <c r="V473" s="23"/>
      <c r="W473" s="23"/>
      <c r="X473" s="23"/>
      <c r="Y473" s="23"/>
      <c r="Z473" s="24" t="s">
        <v>980</v>
      </c>
      <c r="AA473" s="23"/>
      <c r="AB473" s="23"/>
    </row>
    <row r="474" spans="1:28" ht="21.6" hidden="1" customHeight="1">
      <c r="A474" s="23">
        <v>49</v>
      </c>
      <c r="B474" s="23">
        <v>2026051097</v>
      </c>
      <c r="C474" s="23">
        <v>1</v>
      </c>
      <c r="D474" s="23" t="s">
        <v>868</v>
      </c>
      <c r="E474" s="23" t="s">
        <v>52</v>
      </c>
      <c r="F474" s="23" t="s">
        <v>1626</v>
      </c>
      <c r="G474" s="23" t="s">
        <v>1636</v>
      </c>
      <c r="H474" s="23" t="s">
        <v>1637</v>
      </c>
      <c r="I474" s="23" t="s">
        <v>1227</v>
      </c>
      <c r="J474" s="23" t="s">
        <v>81</v>
      </c>
      <c r="K474" s="23" t="s">
        <v>873</v>
      </c>
      <c r="L474" s="24" t="s">
        <v>1228</v>
      </c>
      <c r="M474" s="24" t="s">
        <v>1229</v>
      </c>
      <c r="N474" s="24"/>
      <c r="O474" s="23" t="s">
        <v>876</v>
      </c>
      <c r="P474" s="23"/>
      <c r="Q474" s="23">
        <v>443</v>
      </c>
      <c r="R474" s="23">
        <v>18579</v>
      </c>
      <c r="S474" s="23" t="s">
        <v>877</v>
      </c>
      <c r="T474" s="23"/>
      <c r="U474" s="23"/>
      <c r="V474" s="23"/>
      <c r="W474" s="23"/>
      <c r="X474" s="23"/>
      <c r="Y474" s="23"/>
      <c r="Z474" s="24" t="s">
        <v>980</v>
      </c>
      <c r="AA474" s="23" t="s">
        <v>877</v>
      </c>
      <c r="AB474" s="23">
        <v>1</v>
      </c>
    </row>
    <row r="475" spans="1:28" ht="21.6" hidden="1" customHeight="1">
      <c r="A475" s="23">
        <v>51</v>
      </c>
      <c r="B475" s="23">
        <v>2026051054</v>
      </c>
      <c r="C475" s="23">
        <v>1</v>
      </c>
      <c r="D475" s="23" t="s">
        <v>868</v>
      </c>
      <c r="E475" s="23" t="s">
        <v>52</v>
      </c>
      <c r="F475" s="23" t="s">
        <v>1626</v>
      </c>
      <c r="G475" s="23" t="s">
        <v>1638</v>
      </c>
      <c r="H475" s="23" t="s">
        <v>1639</v>
      </c>
      <c r="I475" s="23" t="s">
        <v>51</v>
      </c>
      <c r="J475" s="23" t="s">
        <v>53</v>
      </c>
      <c r="K475" s="23" t="s">
        <v>873</v>
      </c>
      <c r="L475" s="24" t="s">
        <v>62</v>
      </c>
      <c r="M475" s="24" t="s">
        <v>1427</v>
      </c>
      <c r="N475" s="24" t="s">
        <v>1428</v>
      </c>
      <c r="O475" s="23" t="s">
        <v>876</v>
      </c>
      <c r="P475" s="23"/>
      <c r="Q475" s="23"/>
      <c r="R475" s="23">
        <v>309533</v>
      </c>
      <c r="S475" s="23" t="s">
        <v>877</v>
      </c>
      <c r="T475" s="23"/>
      <c r="U475" s="23"/>
      <c r="V475" s="23"/>
      <c r="W475" s="23"/>
      <c r="X475" s="23"/>
      <c r="Y475" s="23"/>
      <c r="Z475" s="24" t="s">
        <v>980</v>
      </c>
      <c r="AA475" s="23"/>
      <c r="AB475" s="23"/>
    </row>
    <row r="476" spans="1:28" ht="21.6" hidden="1" customHeight="1">
      <c r="A476" s="23">
        <v>54</v>
      </c>
      <c r="B476" s="23">
        <v>2026051009</v>
      </c>
      <c r="C476" s="23">
        <v>1</v>
      </c>
      <c r="D476" s="23" t="s">
        <v>868</v>
      </c>
      <c r="E476" s="23" t="s">
        <v>52</v>
      </c>
      <c r="F476" s="23" t="s">
        <v>1626</v>
      </c>
      <c r="G476" s="23" t="s">
        <v>897</v>
      </c>
      <c r="H476" s="23" t="s">
        <v>1640</v>
      </c>
      <c r="I476" s="23" t="s">
        <v>180</v>
      </c>
      <c r="J476" s="23" t="s">
        <v>53</v>
      </c>
      <c r="K476" s="23" t="s">
        <v>873</v>
      </c>
      <c r="L476" s="24" t="s">
        <v>991</v>
      </c>
      <c r="M476" s="24" t="s">
        <v>992</v>
      </c>
      <c r="N476" s="24" t="s">
        <v>993</v>
      </c>
      <c r="O476" s="23" t="s">
        <v>876</v>
      </c>
      <c r="P476" s="23"/>
      <c r="Q476" s="23"/>
      <c r="R476" s="23">
        <v>28748</v>
      </c>
      <c r="S476" s="23" t="s">
        <v>877</v>
      </c>
      <c r="T476" s="23"/>
      <c r="U476" s="23"/>
      <c r="V476" s="23"/>
      <c r="W476" s="23"/>
      <c r="X476" s="23"/>
      <c r="Y476" s="23"/>
      <c r="Z476" s="24" t="s">
        <v>980</v>
      </c>
      <c r="AA476" s="23" t="s">
        <v>877</v>
      </c>
      <c r="AB476" s="23"/>
    </row>
    <row r="477" spans="1:28" ht="21.6" hidden="1" customHeight="1">
      <c r="A477" s="23">
        <v>56</v>
      </c>
      <c r="B477" s="23">
        <v>2026051052</v>
      </c>
      <c r="C477" s="23">
        <v>1</v>
      </c>
      <c r="D477" s="23" t="s">
        <v>868</v>
      </c>
      <c r="E477" s="23" t="s">
        <v>52</v>
      </c>
      <c r="F477" s="23" t="s">
        <v>1626</v>
      </c>
      <c r="G477" s="23" t="s">
        <v>972</v>
      </c>
      <c r="H477" s="23" t="s">
        <v>1040</v>
      </c>
      <c r="I477" s="23" t="s">
        <v>59</v>
      </c>
      <c r="J477" s="23" t="s">
        <v>60</v>
      </c>
      <c r="K477" s="23" t="s">
        <v>873</v>
      </c>
      <c r="L477" s="24" t="s">
        <v>62</v>
      </c>
      <c r="M477" s="24" t="s">
        <v>1427</v>
      </c>
      <c r="N477" s="24" t="s">
        <v>1428</v>
      </c>
      <c r="O477" s="23" t="s">
        <v>876</v>
      </c>
      <c r="P477" s="23"/>
      <c r="Q477" s="23"/>
      <c r="R477" s="23">
        <v>104482</v>
      </c>
      <c r="S477" s="23" t="s">
        <v>877</v>
      </c>
      <c r="T477" s="23"/>
      <c r="U477" s="23"/>
      <c r="V477" s="23"/>
      <c r="W477" s="23"/>
      <c r="X477" s="23"/>
      <c r="Y477" s="23"/>
      <c r="Z477" s="24" t="s">
        <v>980</v>
      </c>
      <c r="AA477" s="23"/>
      <c r="AB477" s="23"/>
    </row>
    <row r="478" spans="1:28" ht="21.6" hidden="1" customHeight="1">
      <c r="A478" s="23">
        <v>58</v>
      </c>
      <c r="B478" s="23">
        <v>2026050994</v>
      </c>
      <c r="C478" s="23">
        <v>1</v>
      </c>
      <c r="D478" s="23" t="s">
        <v>868</v>
      </c>
      <c r="E478" s="23" t="s">
        <v>52</v>
      </c>
      <c r="F478" s="23" t="s">
        <v>1626</v>
      </c>
      <c r="G478" s="23" t="s">
        <v>1047</v>
      </c>
      <c r="H478" s="23" t="s">
        <v>1134</v>
      </c>
      <c r="I478" s="23" t="s">
        <v>184</v>
      </c>
      <c r="J478" s="23" t="s">
        <v>70</v>
      </c>
      <c r="K478" s="23" t="s">
        <v>873</v>
      </c>
      <c r="L478" s="24" t="s">
        <v>1000</v>
      </c>
      <c r="M478" s="24" t="s">
        <v>1001</v>
      </c>
      <c r="N478" s="24" t="s">
        <v>993</v>
      </c>
      <c r="O478" s="23" t="s">
        <v>876</v>
      </c>
      <c r="P478" s="23"/>
      <c r="Q478" s="23">
        <v>2975</v>
      </c>
      <c r="R478" s="23">
        <v>376505</v>
      </c>
      <c r="S478" s="23" t="s">
        <v>877</v>
      </c>
      <c r="T478" s="23"/>
      <c r="U478" s="23"/>
      <c r="V478" s="23"/>
      <c r="W478" s="23"/>
      <c r="X478" s="23"/>
      <c r="Y478" s="23"/>
      <c r="Z478" s="24" t="s">
        <v>980</v>
      </c>
      <c r="AA478" s="23" t="s">
        <v>877</v>
      </c>
      <c r="AB478" s="23">
        <v>1</v>
      </c>
    </row>
    <row r="479" spans="1:28" ht="21.6" hidden="1" customHeight="1">
      <c r="A479" s="23">
        <v>60</v>
      </c>
      <c r="B479" s="23">
        <v>2026051483</v>
      </c>
      <c r="C479" s="23">
        <v>1</v>
      </c>
      <c r="D479" s="23" t="s">
        <v>868</v>
      </c>
      <c r="E479" s="23" t="s">
        <v>52</v>
      </c>
      <c r="F479" s="23" t="s">
        <v>1634</v>
      </c>
      <c r="G479" s="23" t="s">
        <v>960</v>
      </c>
      <c r="H479" s="23" t="s">
        <v>972</v>
      </c>
      <c r="I479" s="23" t="s">
        <v>74</v>
      </c>
      <c r="J479" s="23" t="s">
        <v>75</v>
      </c>
      <c r="K479" s="23" t="s">
        <v>873</v>
      </c>
      <c r="L479" s="24" t="s">
        <v>927</v>
      </c>
      <c r="M479" s="24" t="s">
        <v>1288</v>
      </c>
      <c r="N479" s="24" t="s">
        <v>1289</v>
      </c>
      <c r="O479" s="23" t="s">
        <v>876</v>
      </c>
      <c r="P479" s="23"/>
      <c r="Q479" s="23">
        <v>5413</v>
      </c>
      <c r="R479" s="23">
        <v>32453</v>
      </c>
      <c r="S479" s="23" t="s">
        <v>877</v>
      </c>
      <c r="T479" s="23"/>
      <c r="U479" s="23"/>
      <c r="V479" s="23"/>
      <c r="W479" s="23"/>
      <c r="X479" s="23"/>
      <c r="Y479" s="23"/>
      <c r="Z479" s="24" t="s">
        <v>980</v>
      </c>
      <c r="AA479" s="23"/>
      <c r="AB479" s="23"/>
    </row>
    <row r="480" spans="1:28" ht="21.6" hidden="1" customHeight="1">
      <c r="A480" s="23">
        <v>62</v>
      </c>
      <c r="B480" s="23">
        <v>2026051083</v>
      </c>
      <c r="C480" s="23">
        <v>1</v>
      </c>
      <c r="D480" s="23" t="s">
        <v>868</v>
      </c>
      <c r="E480" s="23" t="s">
        <v>52</v>
      </c>
      <c r="F480" s="23" t="s">
        <v>1626</v>
      </c>
      <c r="G480" s="23" t="s">
        <v>1641</v>
      </c>
      <c r="H480" s="23" t="s">
        <v>1642</v>
      </c>
      <c r="I480" s="23" t="s">
        <v>97</v>
      </c>
      <c r="J480" s="23" t="s">
        <v>1041</v>
      </c>
      <c r="K480" s="23" t="s">
        <v>873</v>
      </c>
      <c r="L480" s="24" t="s">
        <v>982</v>
      </c>
      <c r="M480" s="24" t="s">
        <v>1548</v>
      </c>
      <c r="N480" s="24" t="s">
        <v>1549</v>
      </c>
      <c r="O480" s="23" t="s">
        <v>876</v>
      </c>
      <c r="P480" s="23"/>
      <c r="Q480" s="23"/>
      <c r="R480" s="23">
        <v>197590</v>
      </c>
      <c r="S480" s="23" t="s">
        <v>877</v>
      </c>
      <c r="T480" s="23"/>
      <c r="U480" s="23"/>
      <c r="V480" s="23"/>
      <c r="W480" s="23"/>
      <c r="X480" s="23"/>
      <c r="Y480" s="23"/>
      <c r="Z480" s="24" t="s">
        <v>980</v>
      </c>
      <c r="AA480" s="23"/>
      <c r="AB480" s="23"/>
    </row>
    <row r="481" spans="1:28" ht="21.6" hidden="1" customHeight="1">
      <c r="A481" s="23">
        <v>64</v>
      </c>
      <c r="B481" s="23">
        <v>2026051360</v>
      </c>
      <c r="C481" s="23">
        <v>1</v>
      </c>
      <c r="D481" s="23" t="s">
        <v>868</v>
      </c>
      <c r="E481" s="23" t="s">
        <v>52</v>
      </c>
      <c r="F481" s="23" t="s">
        <v>1634</v>
      </c>
      <c r="G481" s="23" t="s">
        <v>1115</v>
      </c>
      <c r="H481" s="23" t="s">
        <v>1134</v>
      </c>
      <c r="I481" s="23" t="s">
        <v>142</v>
      </c>
      <c r="J481" s="23" t="s">
        <v>143</v>
      </c>
      <c r="K481" s="23" t="s">
        <v>873</v>
      </c>
      <c r="L481" s="24" t="s">
        <v>1237</v>
      </c>
      <c r="M481" s="24" t="s">
        <v>1238</v>
      </c>
      <c r="N481" s="24" t="s">
        <v>1239</v>
      </c>
      <c r="O481" s="23" t="s">
        <v>876</v>
      </c>
      <c r="P481" s="23"/>
      <c r="Q481" s="23">
        <v>3418</v>
      </c>
      <c r="R481" s="23">
        <v>219463</v>
      </c>
      <c r="S481" s="23" t="s">
        <v>877</v>
      </c>
      <c r="T481" s="23"/>
      <c r="U481" s="23"/>
      <c r="V481" s="23"/>
      <c r="W481" s="23"/>
      <c r="X481" s="23"/>
      <c r="Y481" s="23"/>
      <c r="Z481" s="24" t="s">
        <v>980</v>
      </c>
      <c r="AA481" s="23"/>
      <c r="AB481" s="23"/>
    </row>
    <row r="482" spans="1:28" ht="21.6" hidden="1" customHeight="1">
      <c r="A482" s="23">
        <v>66</v>
      </c>
      <c r="B482" s="23">
        <v>2026051358</v>
      </c>
      <c r="C482" s="23">
        <v>1</v>
      </c>
      <c r="D482" s="23" t="s">
        <v>868</v>
      </c>
      <c r="E482" s="23" t="s">
        <v>52</v>
      </c>
      <c r="F482" s="23" t="s">
        <v>1634</v>
      </c>
      <c r="G482" s="23" t="s">
        <v>1047</v>
      </c>
      <c r="H482" s="23" t="s">
        <v>1115</v>
      </c>
      <c r="I482" s="23" t="s">
        <v>148</v>
      </c>
      <c r="J482" s="23" t="s">
        <v>143</v>
      </c>
      <c r="K482" s="23" t="s">
        <v>873</v>
      </c>
      <c r="L482" s="24" t="s">
        <v>1237</v>
      </c>
      <c r="M482" s="24" t="s">
        <v>1238</v>
      </c>
      <c r="N482" s="24" t="s">
        <v>1551</v>
      </c>
      <c r="O482" s="23" t="s">
        <v>876</v>
      </c>
      <c r="P482" s="23"/>
      <c r="Q482" s="23">
        <v>9726</v>
      </c>
      <c r="R482" s="23">
        <v>308938</v>
      </c>
      <c r="S482" s="23" t="s">
        <v>877</v>
      </c>
      <c r="T482" s="23"/>
      <c r="U482" s="23"/>
      <c r="V482" s="23"/>
      <c r="W482" s="23"/>
      <c r="X482" s="23"/>
      <c r="Y482" s="23"/>
      <c r="Z482" s="24" t="s">
        <v>980</v>
      </c>
      <c r="AA482" s="23"/>
      <c r="AB482" s="23"/>
    </row>
    <row r="483" spans="1:28" ht="21.6" hidden="1" customHeight="1">
      <c r="A483" s="23">
        <v>77</v>
      </c>
      <c r="B483" s="23">
        <v>2026051260</v>
      </c>
      <c r="C483" s="23">
        <v>1</v>
      </c>
      <c r="D483" s="23" t="s">
        <v>868</v>
      </c>
      <c r="E483" s="23" t="s">
        <v>206</v>
      </c>
      <c r="F483" s="23" t="s">
        <v>1625</v>
      </c>
      <c r="G483" s="23" t="s">
        <v>885</v>
      </c>
      <c r="H483" s="23" t="s">
        <v>960</v>
      </c>
      <c r="I483" s="23" t="s">
        <v>484</v>
      </c>
      <c r="J483" s="23" t="s">
        <v>127</v>
      </c>
      <c r="K483" s="23" t="s">
        <v>873</v>
      </c>
      <c r="L483" s="24" t="s">
        <v>1002</v>
      </c>
      <c r="M483" s="24" t="s">
        <v>1003</v>
      </c>
      <c r="N483" s="24"/>
      <c r="O483" s="23" t="s">
        <v>876</v>
      </c>
      <c r="P483" s="23"/>
      <c r="Q483" s="23">
        <v>2500</v>
      </c>
      <c r="R483" s="23">
        <v>50000</v>
      </c>
      <c r="S483" s="23" t="s">
        <v>877</v>
      </c>
      <c r="T483" s="23"/>
      <c r="U483" s="23"/>
      <c r="V483" s="23"/>
      <c r="W483" s="23"/>
      <c r="X483" s="23"/>
      <c r="Y483" s="23"/>
      <c r="Z483" s="24" t="s">
        <v>1011</v>
      </c>
      <c r="AA483" s="23"/>
      <c r="AB483" s="23"/>
    </row>
    <row r="484" spans="1:28" ht="21.6" hidden="1" customHeight="1">
      <c r="A484" s="23">
        <v>80</v>
      </c>
      <c r="B484" s="23">
        <v>2026051330</v>
      </c>
      <c r="C484" s="23">
        <v>1</v>
      </c>
      <c r="D484" s="23" t="s">
        <v>868</v>
      </c>
      <c r="E484" s="23" t="s">
        <v>206</v>
      </c>
      <c r="F484" s="23" t="s">
        <v>1634</v>
      </c>
      <c r="G484" s="23" t="s">
        <v>1023</v>
      </c>
      <c r="H484" s="23" t="s">
        <v>870</v>
      </c>
      <c r="I484" s="23" t="s">
        <v>326</v>
      </c>
      <c r="J484" s="23" t="s">
        <v>81</v>
      </c>
      <c r="K484" s="23" t="s">
        <v>873</v>
      </c>
      <c r="L484" s="24" t="s">
        <v>977</v>
      </c>
      <c r="M484" s="24" t="s">
        <v>1005</v>
      </c>
      <c r="N484" s="24" t="s">
        <v>1006</v>
      </c>
      <c r="O484" s="23" t="s">
        <v>876</v>
      </c>
      <c r="P484" s="23">
        <v>2262</v>
      </c>
      <c r="Q484" s="23">
        <v>3111</v>
      </c>
      <c r="R484" s="23">
        <v>11208</v>
      </c>
      <c r="S484" s="23" t="s">
        <v>877</v>
      </c>
      <c r="T484" s="23"/>
      <c r="U484" s="23"/>
      <c r="V484" s="23"/>
      <c r="W484" s="23"/>
      <c r="X484" s="23"/>
      <c r="Y484" s="23"/>
      <c r="Z484" s="24" t="s">
        <v>1011</v>
      </c>
      <c r="AA484" s="23" t="s">
        <v>877</v>
      </c>
      <c r="AB484" s="23"/>
    </row>
    <row r="485" spans="1:28" ht="21.6" hidden="1" customHeight="1">
      <c r="A485" s="23">
        <v>85</v>
      </c>
      <c r="B485" s="23">
        <v>2026051289</v>
      </c>
      <c r="C485" s="23">
        <v>1</v>
      </c>
      <c r="D485" s="23" t="s">
        <v>868</v>
      </c>
      <c r="E485" s="23" t="s">
        <v>206</v>
      </c>
      <c r="F485" s="23" t="s">
        <v>1625</v>
      </c>
      <c r="G485" s="23" t="s">
        <v>972</v>
      </c>
      <c r="H485" s="23" t="s">
        <v>1040</v>
      </c>
      <c r="I485" s="23" t="s">
        <v>428</v>
      </c>
      <c r="J485" s="23" t="s">
        <v>81</v>
      </c>
      <c r="K485" s="23" t="s">
        <v>873</v>
      </c>
      <c r="L485" s="24" t="s">
        <v>1273</v>
      </c>
      <c r="M485" s="24" t="s">
        <v>1406</v>
      </c>
      <c r="N485" s="24" t="s">
        <v>1407</v>
      </c>
      <c r="O485" s="23" t="s">
        <v>876</v>
      </c>
      <c r="P485" s="23"/>
      <c r="Q485" s="23">
        <v>10983</v>
      </c>
      <c r="R485" s="23">
        <v>7085</v>
      </c>
      <c r="S485" s="23" t="s">
        <v>877</v>
      </c>
      <c r="T485" s="23"/>
      <c r="U485" s="23"/>
      <c r="V485" s="23"/>
      <c r="W485" s="23"/>
      <c r="X485" s="23"/>
      <c r="Y485" s="23"/>
      <c r="Z485" s="24" t="s">
        <v>1011</v>
      </c>
      <c r="AA485" s="23"/>
      <c r="AB485" s="23"/>
    </row>
    <row r="486" spans="1:28" ht="21.6" hidden="1" customHeight="1">
      <c r="A486" s="23">
        <v>88</v>
      </c>
      <c r="B486" s="23">
        <v>2026051535</v>
      </c>
      <c r="C486" s="23">
        <v>1</v>
      </c>
      <c r="D486" s="23" t="s">
        <v>868</v>
      </c>
      <c r="E486" s="23" t="s">
        <v>206</v>
      </c>
      <c r="F486" s="23" t="s">
        <v>1634</v>
      </c>
      <c r="G486" s="23" t="s">
        <v>1643</v>
      </c>
      <c r="H486" s="23" t="s">
        <v>926</v>
      </c>
      <c r="I486" s="23" t="s">
        <v>132</v>
      </c>
      <c r="J486" s="23" t="s">
        <v>53</v>
      </c>
      <c r="K486" s="23" t="s">
        <v>873</v>
      </c>
      <c r="L486" s="24" t="s">
        <v>1069</v>
      </c>
      <c r="M486" s="24" t="s">
        <v>1070</v>
      </c>
      <c r="N486" s="24" t="s">
        <v>1071</v>
      </c>
      <c r="O486" s="23" t="s">
        <v>876</v>
      </c>
      <c r="P486" s="23"/>
      <c r="Q486" s="23"/>
      <c r="R486" s="23">
        <v>2410</v>
      </c>
      <c r="S486" s="23" t="s">
        <v>877</v>
      </c>
      <c r="T486" s="23"/>
      <c r="U486" s="23"/>
      <c r="V486" s="23"/>
      <c r="W486" s="23"/>
      <c r="X486" s="23"/>
      <c r="Y486" s="23"/>
      <c r="Z486" s="24" t="s">
        <v>878</v>
      </c>
      <c r="AA486" s="23" t="s">
        <v>877</v>
      </c>
      <c r="AB486" s="23">
        <v>1</v>
      </c>
    </row>
    <row r="487" spans="1:28" ht="21.6" hidden="1" customHeight="1">
      <c r="A487" s="23">
        <v>90</v>
      </c>
      <c r="B487" s="23">
        <v>2026051477</v>
      </c>
      <c r="C487" s="23">
        <v>1</v>
      </c>
      <c r="D487" s="23" t="s">
        <v>868</v>
      </c>
      <c r="E487" s="23" t="s">
        <v>206</v>
      </c>
      <c r="F487" s="23" t="s">
        <v>1634</v>
      </c>
      <c r="G487" s="23" t="s">
        <v>885</v>
      </c>
      <c r="H487" s="23" t="s">
        <v>960</v>
      </c>
      <c r="I487" s="23" t="s">
        <v>435</v>
      </c>
      <c r="J487" s="23" t="s">
        <v>53</v>
      </c>
      <c r="K487" s="23" t="s">
        <v>873</v>
      </c>
      <c r="L487" s="24" t="s">
        <v>1266</v>
      </c>
      <c r="M487" s="24" t="s">
        <v>1267</v>
      </c>
      <c r="N487" s="24" t="s">
        <v>1073</v>
      </c>
      <c r="O487" s="23" t="s">
        <v>876</v>
      </c>
      <c r="P487" s="23"/>
      <c r="Q487" s="23"/>
      <c r="R487" s="23">
        <v>295599</v>
      </c>
      <c r="S487" s="23" t="s">
        <v>877</v>
      </c>
      <c r="T487" s="23"/>
      <c r="U487" s="23"/>
      <c r="V487" s="23"/>
      <c r="W487" s="23"/>
      <c r="X487" s="23"/>
      <c r="Y487" s="23"/>
      <c r="Z487" s="24" t="s">
        <v>1011</v>
      </c>
      <c r="AA487" s="23"/>
      <c r="AB487" s="23"/>
    </row>
    <row r="488" spans="1:28" ht="21.6" hidden="1" customHeight="1">
      <c r="A488" s="23">
        <v>98</v>
      </c>
      <c r="B488" s="23">
        <v>2026050920</v>
      </c>
      <c r="C488" s="23">
        <v>1</v>
      </c>
      <c r="D488" s="23" t="s">
        <v>868</v>
      </c>
      <c r="E488" s="23" t="s">
        <v>206</v>
      </c>
      <c r="F488" s="23" t="s">
        <v>1626</v>
      </c>
      <c r="G488" s="23" t="s">
        <v>870</v>
      </c>
      <c r="H488" s="23" t="s">
        <v>930</v>
      </c>
      <c r="I488" s="23" t="s">
        <v>489</v>
      </c>
      <c r="J488" s="23" t="s">
        <v>60</v>
      </c>
      <c r="K488" s="23" t="s">
        <v>873</v>
      </c>
      <c r="L488" s="24" t="s">
        <v>1017</v>
      </c>
      <c r="M488" s="24" t="s">
        <v>1018</v>
      </c>
      <c r="N488" s="24" t="s">
        <v>1019</v>
      </c>
      <c r="O488" s="23" t="s">
        <v>876</v>
      </c>
      <c r="P488" s="23"/>
      <c r="Q488" s="23"/>
      <c r="R488" s="23">
        <v>190590</v>
      </c>
      <c r="S488" s="23" t="s">
        <v>877</v>
      </c>
      <c r="T488" s="23"/>
      <c r="U488" s="23"/>
      <c r="V488" s="23"/>
      <c r="W488" s="23"/>
      <c r="X488" s="23"/>
      <c r="Y488" s="23"/>
      <c r="Z488" s="24" t="s">
        <v>1644</v>
      </c>
      <c r="AA488" s="23" t="s">
        <v>877</v>
      </c>
      <c r="AB488" s="23">
        <v>1</v>
      </c>
    </row>
    <row r="489" spans="1:28" ht="21.6" hidden="1" customHeight="1">
      <c r="A489" s="23">
        <v>101</v>
      </c>
      <c r="B489" s="23">
        <v>2026050918</v>
      </c>
      <c r="C489" s="23">
        <v>1</v>
      </c>
      <c r="D489" s="23" t="s">
        <v>868</v>
      </c>
      <c r="E489" s="23" t="s">
        <v>206</v>
      </c>
      <c r="F489" s="23" t="s">
        <v>1626</v>
      </c>
      <c r="G489" s="23" t="s">
        <v>1023</v>
      </c>
      <c r="H489" s="23" t="s">
        <v>870</v>
      </c>
      <c r="I489" s="23" t="s">
        <v>494</v>
      </c>
      <c r="J489" s="23" t="s">
        <v>60</v>
      </c>
      <c r="K489" s="23" t="s">
        <v>873</v>
      </c>
      <c r="L489" s="24" t="s">
        <v>1017</v>
      </c>
      <c r="M489" s="24" t="s">
        <v>1021</v>
      </c>
      <c r="N489" s="24" t="s">
        <v>1022</v>
      </c>
      <c r="O489" s="23" t="s">
        <v>876</v>
      </c>
      <c r="P489" s="23"/>
      <c r="Q489" s="23"/>
      <c r="R489" s="23">
        <v>196816</v>
      </c>
      <c r="S489" s="23" t="s">
        <v>877</v>
      </c>
      <c r="T489" s="23"/>
      <c r="U489" s="23"/>
      <c r="V489" s="23"/>
      <c r="W489" s="23"/>
      <c r="X489" s="23"/>
      <c r="Y489" s="23"/>
      <c r="Z489" s="24" t="s">
        <v>1011</v>
      </c>
      <c r="AA489" s="23" t="s">
        <v>877</v>
      </c>
      <c r="AB489" s="23"/>
    </row>
    <row r="490" spans="1:28" ht="21.6" hidden="1" customHeight="1">
      <c r="A490" s="23">
        <v>105</v>
      </c>
      <c r="B490" s="23">
        <v>2026051531</v>
      </c>
      <c r="C490" s="23">
        <v>1</v>
      </c>
      <c r="D490" s="23" t="s">
        <v>868</v>
      </c>
      <c r="E490" s="23" t="s">
        <v>206</v>
      </c>
      <c r="F490" s="23" t="s">
        <v>1634</v>
      </c>
      <c r="G490" s="23" t="s">
        <v>922</v>
      </c>
      <c r="H490" s="23" t="s">
        <v>1068</v>
      </c>
      <c r="I490" s="23" t="s">
        <v>462</v>
      </c>
      <c r="J490" s="23" t="s">
        <v>60</v>
      </c>
      <c r="K490" s="23" t="s">
        <v>873</v>
      </c>
      <c r="L490" s="24" t="s">
        <v>1069</v>
      </c>
      <c r="M490" s="24" t="s">
        <v>1077</v>
      </c>
      <c r="N490" s="24" t="s">
        <v>1078</v>
      </c>
      <c r="O490" s="23" t="s">
        <v>876</v>
      </c>
      <c r="P490" s="23"/>
      <c r="Q490" s="23"/>
      <c r="R490" s="23">
        <v>33920</v>
      </c>
      <c r="S490" s="23" t="s">
        <v>877</v>
      </c>
      <c r="T490" s="23"/>
      <c r="U490" s="23"/>
      <c r="V490" s="23"/>
      <c r="W490" s="23"/>
      <c r="X490" s="23"/>
      <c r="Y490" s="23"/>
      <c r="Z490" s="24" t="s">
        <v>878</v>
      </c>
      <c r="AA490" s="23" t="s">
        <v>877</v>
      </c>
      <c r="AB490" s="23">
        <v>1</v>
      </c>
    </row>
    <row r="491" spans="1:28" ht="21.6" hidden="1" customHeight="1">
      <c r="A491" s="23">
        <v>107</v>
      </c>
      <c r="B491" s="23">
        <v>2026051527</v>
      </c>
      <c r="C491" s="23">
        <v>1</v>
      </c>
      <c r="D491" s="23" t="s">
        <v>868</v>
      </c>
      <c r="E491" s="23" t="s">
        <v>206</v>
      </c>
      <c r="F491" s="23" t="s">
        <v>1634</v>
      </c>
      <c r="G491" s="23" t="s">
        <v>1012</v>
      </c>
      <c r="H491" s="23" t="s">
        <v>1109</v>
      </c>
      <c r="I491" s="23" t="s">
        <v>451</v>
      </c>
      <c r="J491" s="23" t="s">
        <v>60</v>
      </c>
      <c r="K491" s="23" t="s">
        <v>873</v>
      </c>
      <c r="L491" s="24" t="s">
        <v>1069</v>
      </c>
      <c r="M491" s="24" t="s">
        <v>1079</v>
      </c>
      <c r="N491" s="24" t="s">
        <v>1080</v>
      </c>
      <c r="O491" s="23" t="s">
        <v>876</v>
      </c>
      <c r="P491" s="23"/>
      <c r="Q491" s="23"/>
      <c r="R491" s="23">
        <v>39904</v>
      </c>
      <c r="S491" s="23" t="s">
        <v>877</v>
      </c>
      <c r="T491" s="23"/>
      <c r="U491" s="23"/>
      <c r="V491" s="23"/>
      <c r="W491" s="23"/>
      <c r="X491" s="23"/>
      <c r="Y491" s="23"/>
      <c r="Z491" s="24" t="s">
        <v>878</v>
      </c>
      <c r="AA491" s="23" t="s">
        <v>877</v>
      </c>
      <c r="AB491" s="23">
        <v>1</v>
      </c>
    </row>
    <row r="492" spans="1:28" ht="21.6" hidden="1" customHeight="1">
      <c r="A492" s="23">
        <v>111</v>
      </c>
      <c r="B492" s="23">
        <v>2026051525</v>
      </c>
      <c r="C492" s="23">
        <v>1</v>
      </c>
      <c r="D492" s="23" t="s">
        <v>868</v>
      </c>
      <c r="E492" s="23" t="s">
        <v>206</v>
      </c>
      <c r="F492" s="23" t="s">
        <v>1634</v>
      </c>
      <c r="G492" s="23" t="s">
        <v>1437</v>
      </c>
      <c r="H492" s="23" t="s">
        <v>1012</v>
      </c>
      <c r="I492" s="23" t="s">
        <v>444</v>
      </c>
      <c r="J492" s="23" t="s">
        <v>60</v>
      </c>
      <c r="K492" s="23" t="s">
        <v>873</v>
      </c>
      <c r="L492" s="24" t="s">
        <v>1069</v>
      </c>
      <c r="M492" s="24" t="s">
        <v>1083</v>
      </c>
      <c r="N492" s="24" t="s">
        <v>1084</v>
      </c>
      <c r="O492" s="23" t="s">
        <v>876</v>
      </c>
      <c r="P492" s="23"/>
      <c r="Q492" s="23"/>
      <c r="R492" s="23">
        <v>30924</v>
      </c>
      <c r="S492" s="23" t="s">
        <v>877</v>
      </c>
      <c r="T492" s="23"/>
      <c r="U492" s="23"/>
      <c r="V492" s="23"/>
      <c r="W492" s="23"/>
      <c r="X492" s="23"/>
      <c r="Y492" s="23"/>
      <c r="Z492" s="24" t="s">
        <v>878</v>
      </c>
      <c r="AA492" s="23" t="s">
        <v>877</v>
      </c>
      <c r="AB492" s="23"/>
    </row>
    <row r="493" spans="1:28" ht="21.6" hidden="1" customHeight="1">
      <c r="A493" s="23">
        <v>112</v>
      </c>
      <c r="B493" s="23">
        <v>2026051523</v>
      </c>
      <c r="C493" s="23">
        <v>1</v>
      </c>
      <c r="D493" s="23" t="s">
        <v>868</v>
      </c>
      <c r="E493" s="23" t="s">
        <v>206</v>
      </c>
      <c r="F493" s="23" t="s">
        <v>1634</v>
      </c>
      <c r="G493" s="23" t="s">
        <v>1218</v>
      </c>
      <c r="H493" s="23" t="s">
        <v>1437</v>
      </c>
      <c r="I493" s="23" t="s">
        <v>440</v>
      </c>
      <c r="J493" s="23" t="s">
        <v>60</v>
      </c>
      <c r="K493" s="23" t="s">
        <v>873</v>
      </c>
      <c r="L493" s="24" t="s">
        <v>1069</v>
      </c>
      <c r="M493" s="24" t="s">
        <v>1085</v>
      </c>
      <c r="N493" s="24" t="s">
        <v>1086</v>
      </c>
      <c r="O493" s="23" t="s">
        <v>876</v>
      </c>
      <c r="P493" s="23"/>
      <c r="Q493" s="23"/>
      <c r="R493" s="23">
        <v>15706</v>
      </c>
      <c r="S493" s="23" t="s">
        <v>877</v>
      </c>
      <c r="T493" s="23"/>
      <c r="U493" s="23"/>
      <c r="V493" s="23"/>
      <c r="W493" s="23"/>
      <c r="X493" s="23"/>
      <c r="Y493" s="23"/>
      <c r="Z493" s="24" t="s">
        <v>878</v>
      </c>
      <c r="AA493" s="23" t="s">
        <v>877</v>
      </c>
      <c r="AB493" s="23">
        <v>1</v>
      </c>
    </row>
    <row r="494" spans="1:28" ht="21.6" hidden="1" customHeight="1">
      <c r="A494" s="23">
        <v>117</v>
      </c>
      <c r="B494" s="23">
        <v>2026051291</v>
      </c>
      <c r="C494" s="23">
        <v>1</v>
      </c>
      <c r="D494" s="23" t="s">
        <v>868</v>
      </c>
      <c r="E494" s="23" t="s">
        <v>206</v>
      </c>
      <c r="F494" s="23" t="s">
        <v>1625</v>
      </c>
      <c r="G494" s="23" t="s">
        <v>1040</v>
      </c>
      <c r="H494" s="23" t="s">
        <v>969</v>
      </c>
      <c r="I494" s="23" t="s">
        <v>419</v>
      </c>
      <c r="J494" s="23" t="s">
        <v>87</v>
      </c>
      <c r="K494" s="23" t="s">
        <v>873</v>
      </c>
      <c r="L494" s="24" t="s">
        <v>1273</v>
      </c>
      <c r="M494" s="24" t="s">
        <v>1555</v>
      </c>
      <c r="N494" s="24" t="s">
        <v>1275</v>
      </c>
      <c r="O494" s="23" t="s">
        <v>876</v>
      </c>
      <c r="P494" s="23"/>
      <c r="Q494" s="23"/>
      <c r="R494" s="23">
        <v>11743</v>
      </c>
      <c r="S494" s="23" t="s">
        <v>877</v>
      </c>
      <c r="T494" s="23"/>
      <c r="U494" s="23"/>
      <c r="V494" s="23"/>
      <c r="W494" s="23"/>
      <c r="X494" s="23"/>
      <c r="Y494" s="23"/>
      <c r="Z494" s="24" t="s">
        <v>1011</v>
      </c>
      <c r="AA494" s="23"/>
      <c r="AB494" s="23"/>
    </row>
    <row r="495" spans="1:28" ht="21.6" hidden="1" customHeight="1">
      <c r="A495" s="23">
        <v>119</v>
      </c>
      <c r="B495" s="23">
        <v>2026051533</v>
      </c>
      <c r="C495" s="23">
        <v>1</v>
      </c>
      <c r="D495" s="23" t="s">
        <v>868</v>
      </c>
      <c r="E495" s="23" t="s">
        <v>206</v>
      </c>
      <c r="F495" s="23" t="s">
        <v>1634</v>
      </c>
      <c r="G495" s="23" t="s">
        <v>1068</v>
      </c>
      <c r="H495" s="23" t="s">
        <v>1643</v>
      </c>
      <c r="I495" s="23" t="s">
        <v>466</v>
      </c>
      <c r="J495" s="23" t="s">
        <v>87</v>
      </c>
      <c r="K495" s="23" t="s">
        <v>873</v>
      </c>
      <c r="L495" s="24" t="s">
        <v>1069</v>
      </c>
      <c r="M495" s="24" t="s">
        <v>1087</v>
      </c>
      <c r="N495" s="24" t="s">
        <v>1088</v>
      </c>
      <c r="O495" s="23" t="s">
        <v>876</v>
      </c>
      <c r="P495" s="23"/>
      <c r="Q495" s="23"/>
      <c r="R495" s="23">
        <v>702</v>
      </c>
      <c r="S495" s="23" t="s">
        <v>877</v>
      </c>
      <c r="T495" s="23"/>
      <c r="U495" s="23"/>
      <c r="V495" s="23"/>
      <c r="W495" s="23"/>
      <c r="X495" s="23"/>
      <c r="Y495" s="23"/>
      <c r="Z495" s="24" t="s">
        <v>878</v>
      </c>
      <c r="AA495" s="23" t="s">
        <v>877</v>
      </c>
      <c r="AB495" s="23">
        <v>1</v>
      </c>
    </row>
    <row r="496" spans="1:28" ht="21.6" hidden="1" customHeight="1">
      <c r="A496" s="23">
        <v>121</v>
      </c>
      <c r="B496" s="23">
        <v>2026051529</v>
      </c>
      <c r="C496" s="23">
        <v>1</v>
      </c>
      <c r="D496" s="23" t="s">
        <v>868</v>
      </c>
      <c r="E496" s="23" t="s">
        <v>206</v>
      </c>
      <c r="F496" s="23" t="s">
        <v>1634</v>
      </c>
      <c r="G496" s="23" t="s">
        <v>1109</v>
      </c>
      <c r="H496" s="23" t="s">
        <v>922</v>
      </c>
      <c r="I496" s="23" t="s">
        <v>458</v>
      </c>
      <c r="J496" s="23" t="s">
        <v>87</v>
      </c>
      <c r="K496" s="23" t="s">
        <v>873</v>
      </c>
      <c r="L496" s="24" t="s">
        <v>1069</v>
      </c>
      <c r="M496" s="24" t="s">
        <v>1089</v>
      </c>
      <c r="N496" s="24" t="s">
        <v>1090</v>
      </c>
      <c r="O496" s="23" t="s">
        <v>876</v>
      </c>
      <c r="P496" s="23"/>
      <c r="Q496" s="23"/>
      <c r="R496" s="23">
        <v>5218</v>
      </c>
      <c r="S496" s="23" t="s">
        <v>877</v>
      </c>
      <c r="T496" s="23"/>
      <c r="U496" s="23"/>
      <c r="V496" s="23"/>
      <c r="W496" s="23"/>
      <c r="X496" s="23"/>
      <c r="Y496" s="23"/>
      <c r="Z496" s="24" t="s">
        <v>878</v>
      </c>
      <c r="AA496" s="23" t="s">
        <v>877</v>
      </c>
      <c r="AB496" s="23">
        <v>1</v>
      </c>
    </row>
    <row r="497" spans="1:28" ht="21.6" hidden="1" customHeight="1">
      <c r="A497" s="23">
        <v>128</v>
      </c>
      <c r="B497" s="23">
        <v>2026051024</v>
      </c>
      <c r="C497" s="23">
        <v>1</v>
      </c>
      <c r="D497" s="23" t="s">
        <v>868</v>
      </c>
      <c r="E497" s="23" t="s">
        <v>206</v>
      </c>
      <c r="F497" s="23" t="s">
        <v>1626</v>
      </c>
      <c r="G497" s="23" t="s">
        <v>885</v>
      </c>
      <c r="H497" s="23" t="s">
        <v>960</v>
      </c>
      <c r="I497" s="23" t="s">
        <v>1491</v>
      </c>
      <c r="J497" s="23" t="s">
        <v>963</v>
      </c>
      <c r="K497" s="23" t="s">
        <v>873</v>
      </c>
      <c r="L497" s="24" t="s">
        <v>1492</v>
      </c>
      <c r="M497" s="24" t="s">
        <v>1493</v>
      </c>
      <c r="N497" s="24" t="s">
        <v>1494</v>
      </c>
      <c r="O497" s="23" t="s">
        <v>876</v>
      </c>
      <c r="P497" s="23"/>
      <c r="Q497" s="23"/>
      <c r="R497" s="23">
        <v>29043</v>
      </c>
      <c r="S497" s="23" t="s">
        <v>877</v>
      </c>
      <c r="T497" s="23"/>
      <c r="U497" s="23"/>
      <c r="V497" s="23"/>
      <c r="W497" s="23"/>
      <c r="X497" s="23"/>
      <c r="Y497" s="23"/>
      <c r="Z497" s="24" t="s">
        <v>1011</v>
      </c>
      <c r="AA497" s="23"/>
      <c r="AB497" s="23"/>
    </row>
    <row r="498" spans="1:28" ht="21.6" hidden="1" customHeight="1">
      <c r="A498" s="23">
        <v>145</v>
      </c>
      <c r="B498" s="23">
        <v>2026051262</v>
      </c>
      <c r="C498" s="23">
        <v>1</v>
      </c>
      <c r="D498" s="23" t="s">
        <v>868</v>
      </c>
      <c r="E498" s="23" t="s">
        <v>206</v>
      </c>
      <c r="F498" s="23" t="s">
        <v>1625</v>
      </c>
      <c r="G498" s="23" t="s">
        <v>960</v>
      </c>
      <c r="H498" s="23" t="s">
        <v>972</v>
      </c>
      <c r="I498" s="23" t="s">
        <v>498</v>
      </c>
      <c r="J498" s="23" t="s">
        <v>243</v>
      </c>
      <c r="K498" s="23" t="s">
        <v>873</v>
      </c>
      <c r="L498" s="24" t="s">
        <v>1556</v>
      </c>
      <c r="M498" s="24" t="s">
        <v>1557</v>
      </c>
      <c r="N498" s="24" t="s">
        <v>1073</v>
      </c>
      <c r="O498" s="23" t="s">
        <v>876</v>
      </c>
      <c r="P498" s="23"/>
      <c r="Q498" s="23"/>
      <c r="R498" s="23">
        <v>6161</v>
      </c>
      <c r="S498" s="23" t="s">
        <v>877</v>
      </c>
      <c r="T498" s="23"/>
      <c r="U498" s="23"/>
      <c r="V498" s="23"/>
      <c r="W498" s="23"/>
      <c r="X498" s="23"/>
      <c r="Y498" s="23"/>
      <c r="Z498" s="24" t="s">
        <v>1011</v>
      </c>
      <c r="AA498" s="23"/>
      <c r="AB498" s="23"/>
    </row>
    <row r="499" spans="1:28" ht="21.6" hidden="1" customHeight="1">
      <c r="A499" s="23">
        <v>147</v>
      </c>
      <c r="B499" s="23">
        <v>2026051293</v>
      </c>
      <c r="C499" s="23">
        <v>1</v>
      </c>
      <c r="D499" s="23" t="s">
        <v>868</v>
      </c>
      <c r="E499" s="23" t="s">
        <v>206</v>
      </c>
      <c r="F499" s="23" t="s">
        <v>1625</v>
      </c>
      <c r="G499" s="23" t="s">
        <v>969</v>
      </c>
      <c r="H499" s="23" t="s">
        <v>916</v>
      </c>
      <c r="I499" s="23" t="s">
        <v>424</v>
      </c>
      <c r="J499" s="23" t="s">
        <v>243</v>
      </c>
      <c r="K499" s="23" t="s">
        <v>873</v>
      </c>
      <c r="L499" s="24" t="s">
        <v>1273</v>
      </c>
      <c r="M499" s="24" t="s">
        <v>1274</v>
      </c>
      <c r="N499" s="24" t="s">
        <v>1275</v>
      </c>
      <c r="O499" s="23" t="s">
        <v>876</v>
      </c>
      <c r="P499" s="23"/>
      <c r="Q499" s="23"/>
      <c r="R499" s="23">
        <v>414</v>
      </c>
      <c r="S499" s="23" t="s">
        <v>877</v>
      </c>
      <c r="T499" s="23"/>
      <c r="U499" s="23"/>
      <c r="V499" s="23"/>
      <c r="W499" s="23"/>
      <c r="X499" s="23"/>
      <c r="Y499" s="23"/>
      <c r="Z499" s="24" t="s">
        <v>1011</v>
      </c>
      <c r="AA499" s="23"/>
      <c r="AB499" s="23"/>
    </row>
    <row r="500" spans="1:28" ht="21.6" hidden="1" customHeight="1">
      <c r="A500" s="23">
        <v>7</v>
      </c>
      <c r="B500" s="23">
        <v>2026051718</v>
      </c>
      <c r="C500" s="23">
        <v>1</v>
      </c>
      <c r="D500" s="23" t="s">
        <v>868</v>
      </c>
      <c r="E500" s="23" t="s">
        <v>566</v>
      </c>
      <c r="F500" s="23" t="s">
        <v>1645</v>
      </c>
      <c r="G500" s="23" t="s">
        <v>1354</v>
      </c>
      <c r="H500" s="23" t="s">
        <v>1646</v>
      </c>
      <c r="I500" s="23" t="s">
        <v>739</v>
      </c>
      <c r="J500" s="23" t="s">
        <v>81</v>
      </c>
      <c r="K500" s="23" t="s">
        <v>873</v>
      </c>
      <c r="L500" s="24" t="s">
        <v>1311</v>
      </c>
      <c r="M500" s="24" t="s">
        <v>1312</v>
      </c>
      <c r="N500" s="24"/>
      <c r="O500" s="23" t="s">
        <v>876</v>
      </c>
      <c r="P500" s="23"/>
      <c r="Q500" s="23">
        <v>1444</v>
      </c>
      <c r="R500" s="23">
        <v>18984</v>
      </c>
      <c r="S500" s="23" t="s">
        <v>877</v>
      </c>
      <c r="T500" s="23"/>
      <c r="U500" s="23"/>
      <c r="V500" s="23" t="s">
        <v>877</v>
      </c>
      <c r="W500" s="23"/>
      <c r="X500" s="23"/>
      <c r="Y500" s="23"/>
      <c r="Z500" s="24" t="s">
        <v>1647</v>
      </c>
      <c r="AA500" s="23" t="s">
        <v>877</v>
      </c>
      <c r="AB500" s="23">
        <v>1</v>
      </c>
    </row>
    <row r="501" spans="1:28" ht="21.6" hidden="1" customHeight="1">
      <c r="A501" s="23">
        <v>57</v>
      </c>
      <c r="B501" s="23">
        <v>2026051765</v>
      </c>
      <c r="C501" s="23">
        <v>1</v>
      </c>
      <c r="D501" s="23" t="s">
        <v>868</v>
      </c>
      <c r="E501" s="23" t="s">
        <v>52</v>
      </c>
      <c r="F501" s="23" t="s">
        <v>1645</v>
      </c>
      <c r="G501" s="23" t="s">
        <v>1012</v>
      </c>
      <c r="H501" s="23" t="s">
        <v>1648</v>
      </c>
      <c r="I501" s="23" t="s">
        <v>156</v>
      </c>
      <c r="J501" s="23" t="s">
        <v>81</v>
      </c>
      <c r="K501" s="23" t="s">
        <v>873</v>
      </c>
      <c r="L501" s="24" t="s">
        <v>1184</v>
      </c>
      <c r="M501" s="24" t="s">
        <v>1185</v>
      </c>
      <c r="N501" s="24" t="s">
        <v>1186</v>
      </c>
      <c r="O501" s="23" t="s">
        <v>876</v>
      </c>
      <c r="P501" s="23"/>
      <c r="Q501" s="23">
        <v>17827</v>
      </c>
      <c r="R501" s="23">
        <v>14670</v>
      </c>
      <c r="S501" s="23" t="s">
        <v>877</v>
      </c>
      <c r="T501" s="23"/>
      <c r="U501" s="23"/>
      <c r="V501" s="23"/>
      <c r="W501" s="23"/>
      <c r="X501" s="23"/>
      <c r="Y501" s="23"/>
      <c r="Z501" s="24" t="s">
        <v>980</v>
      </c>
      <c r="AA501" s="23" t="s">
        <v>877</v>
      </c>
      <c r="AB501" s="23">
        <v>1</v>
      </c>
    </row>
    <row r="502" spans="1:28" ht="21.6" hidden="1" customHeight="1">
      <c r="A502" s="23">
        <v>61</v>
      </c>
      <c r="B502" s="23">
        <v>2026051769</v>
      </c>
      <c r="C502" s="23">
        <v>1</v>
      </c>
      <c r="D502" s="23" t="s">
        <v>868</v>
      </c>
      <c r="E502" s="23" t="s">
        <v>52</v>
      </c>
      <c r="F502" s="23" t="s">
        <v>1645</v>
      </c>
      <c r="G502" s="23" t="s">
        <v>969</v>
      </c>
      <c r="H502" s="23" t="s">
        <v>916</v>
      </c>
      <c r="I502" s="23" t="s">
        <v>164</v>
      </c>
      <c r="J502" s="23" t="s">
        <v>53</v>
      </c>
      <c r="K502" s="23" t="s">
        <v>873</v>
      </c>
      <c r="L502" s="24" t="s">
        <v>1184</v>
      </c>
      <c r="M502" s="24" t="s">
        <v>1185</v>
      </c>
      <c r="N502" s="24" t="s">
        <v>1187</v>
      </c>
      <c r="O502" s="23" t="s">
        <v>876</v>
      </c>
      <c r="P502" s="23"/>
      <c r="Q502" s="23"/>
      <c r="R502" s="23">
        <v>15871</v>
      </c>
      <c r="S502" s="23" t="s">
        <v>877</v>
      </c>
      <c r="T502" s="23"/>
      <c r="U502" s="23"/>
      <c r="V502" s="23"/>
      <c r="W502" s="23"/>
      <c r="X502" s="23"/>
      <c r="Y502" s="23"/>
      <c r="Z502" s="24" t="s">
        <v>980</v>
      </c>
      <c r="AA502" s="23" t="s">
        <v>877</v>
      </c>
      <c r="AB502" s="23">
        <v>1</v>
      </c>
    </row>
    <row r="503" spans="1:28" ht="21.6" hidden="1" customHeight="1">
      <c r="A503" s="23">
        <v>70</v>
      </c>
      <c r="B503" s="23">
        <v>2026051767</v>
      </c>
      <c r="C503" s="23">
        <v>1</v>
      </c>
      <c r="D503" s="23" t="s">
        <v>868</v>
      </c>
      <c r="E503" s="23" t="s">
        <v>52</v>
      </c>
      <c r="F503" s="23" t="s">
        <v>1645</v>
      </c>
      <c r="G503" s="23" t="s">
        <v>916</v>
      </c>
      <c r="H503" s="23" t="s">
        <v>1012</v>
      </c>
      <c r="I503" s="23" t="s">
        <v>161</v>
      </c>
      <c r="J503" s="23" t="s">
        <v>60</v>
      </c>
      <c r="K503" s="23" t="s">
        <v>873</v>
      </c>
      <c r="L503" s="24" t="s">
        <v>1184</v>
      </c>
      <c r="M503" s="24" t="s">
        <v>1185</v>
      </c>
      <c r="N503" s="24" t="s">
        <v>1189</v>
      </c>
      <c r="O503" s="23" t="s">
        <v>876</v>
      </c>
      <c r="P503" s="23"/>
      <c r="Q503" s="23"/>
      <c r="R503" s="23">
        <v>38687</v>
      </c>
      <c r="S503" s="23" t="s">
        <v>877</v>
      </c>
      <c r="T503" s="23"/>
      <c r="U503" s="23"/>
      <c r="V503" s="23"/>
      <c r="W503" s="23"/>
      <c r="X503" s="23"/>
      <c r="Y503" s="23"/>
      <c r="Z503" s="24" t="s">
        <v>980</v>
      </c>
      <c r="AA503" s="23" t="s">
        <v>877</v>
      </c>
      <c r="AB503" s="23">
        <v>1</v>
      </c>
    </row>
    <row r="504" spans="1:28" ht="21.6" hidden="1" customHeight="1">
      <c r="A504" s="23">
        <v>96</v>
      </c>
      <c r="B504" s="23">
        <v>2026051773</v>
      </c>
      <c r="C504" s="23">
        <v>1</v>
      </c>
      <c r="D504" s="23" t="s">
        <v>868</v>
      </c>
      <c r="E504" s="23" t="s">
        <v>206</v>
      </c>
      <c r="F504" s="23" t="s">
        <v>1645</v>
      </c>
      <c r="G504" s="23" t="s">
        <v>1040</v>
      </c>
      <c r="H504" s="23" t="s">
        <v>969</v>
      </c>
      <c r="I504" s="23" t="s">
        <v>309</v>
      </c>
      <c r="J504" s="23" t="s">
        <v>81</v>
      </c>
      <c r="K504" s="23" t="s">
        <v>873</v>
      </c>
      <c r="L504" s="24" t="s">
        <v>1008</v>
      </c>
      <c r="M504" s="24" t="s">
        <v>1009</v>
      </c>
      <c r="N504" s="24" t="s">
        <v>1010</v>
      </c>
      <c r="O504" s="23" t="s">
        <v>876</v>
      </c>
      <c r="P504" s="23"/>
      <c r="Q504" s="23">
        <v>1600</v>
      </c>
      <c r="R504" s="23">
        <v>24000</v>
      </c>
      <c r="S504" s="23" t="s">
        <v>877</v>
      </c>
      <c r="T504" s="23"/>
      <c r="U504" s="23"/>
      <c r="V504" s="23"/>
      <c r="W504" s="23"/>
      <c r="X504" s="23"/>
      <c r="Y504" s="23"/>
      <c r="Z504" s="24" t="s">
        <v>1011</v>
      </c>
      <c r="AA504" s="23" t="s">
        <v>877</v>
      </c>
      <c r="AB504" s="23">
        <v>1</v>
      </c>
    </row>
    <row r="505" spans="1:28" ht="21.6" customHeight="1">
      <c r="A505" s="23">
        <v>10</v>
      </c>
      <c r="B505" s="23">
        <v>2026051836</v>
      </c>
      <c r="C505" s="23">
        <v>1</v>
      </c>
      <c r="D505" s="23" t="s">
        <v>868</v>
      </c>
      <c r="E505" s="23" t="s">
        <v>566</v>
      </c>
      <c r="F505" s="23" t="s">
        <v>1649</v>
      </c>
      <c r="G505" s="23" t="s">
        <v>890</v>
      </c>
      <c r="H505" s="23" t="s">
        <v>897</v>
      </c>
      <c r="I505" s="23" t="s">
        <v>641</v>
      </c>
      <c r="J505" s="23" t="s">
        <v>81</v>
      </c>
      <c r="K505" s="23" t="s">
        <v>873</v>
      </c>
      <c r="L505" s="24" t="s">
        <v>1358</v>
      </c>
      <c r="M505" s="24" t="s">
        <v>1359</v>
      </c>
      <c r="N505" s="24" t="s">
        <v>1360</v>
      </c>
      <c r="O505" s="23" t="s">
        <v>876</v>
      </c>
      <c r="P505" s="23"/>
      <c r="Q505" s="23">
        <v>50</v>
      </c>
      <c r="R505" s="23">
        <v>526</v>
      </c>
      <c r="S505" s="23" t="s">
        <v>877</v>
      </c>
      <c r="T505" s="23"/>
      <c r="U505" s="23"/>
      <c r="V505" s="23"/>
      <c r="W505" s="23"/>
      <c r="X505" s="23"/>
      <c r="Y505" s="23"/>
      <c r="Z505" s="24" t="s">
        <v>878</v>
      </c>
      <c r="AA505" s="23" t="s">
        <v>877</v>
      </c>
      <c r="AB505" s="23">
        <v>1</v>
      </c>
    </row>
    <row r="506" spans="1:28" ht="21.6" customHeight="1">
      <c r="A506" s="23">
        <v>14</v>
      </c>
      <c r="B506" s="23">
        <v>2026051825</v>
      </c>
      <c r="C506" s="23">
        <v>1</v>
      </c>
      <c r="D506" s="23" t="s">
        <v>868</v>
      </c>
      <c r="E506" s="23" t="s">
        <v>566</v>
      </c>
      <c r="F506" s="23" t="s">
        <v>1649</v>
      </c>
      <c r="G506" s="23" t="s">
        <v>880</v>
      </c>
      <c r="H506" s="23" t="s">
        <v>1650</v>
      </c>
      <c r="I506" s="23" t="s">
        <v>1363</v>
      </c>
      <c r="J506" s="23" t="s">
        <v>81</v>
      </c>
      <c r="K506" s="23" t="s">
        <v>873</v>
      </c>
      <c r="L506" s="24" t="s">
        <v>1364</v>
      </c>
      <c r="M506" s="24" t="s">
        <v>1365</v>
      </c>
      <c r="N506" s="24"/>
      <c r="O506" s="23" t="s">
        <v>876</v>
      </c>
      <c r="P506" s="23"/>
      <c r="Q506" s="23">
        <v>68</v>
      </c>
      <c r="R506" s="23">
        <v>4960</v>
      </c>
      <c r="S506" s="23" t="s">
        <v>877</v>
      </c>
      <c r="T506" s="23"/>
      <c r="U506" s="23"/>
      <c r="V506" s="23"/>
      <c r="W506" s="23"/>
      <c r="X506" s="23"/>
      <c r="Y506" s="23"/>
      <c r="Z506" s="24" t="s">
        <v>878</v>
      </c>
      <c r="AA506" s="23" t="s">
        <v>877</v>
      </c>
      <c r="AB506" s="23">
        <v>1</v>
      </c>
    </row>
    <row r="507" spans="1:28" ht="21.6" customHeight="1">
      <c r="A507" s="23">
        <v>26</v>
      </c>
      <c r="B507" s="23">
        <v>2026051795</v>
      </c>
      <c r="C507" s="23">
        <v>1</v>
      </c>
      <c r="D507" s="23" t="s">
        <v>868</v>
      </c>
      <c r="E507" s="23" t="s">
        <v>566</v>
      </c>
      <c r="F507" s="23" t="s">
        <v>1649</v>
      </c>
      <c r="G507" s="23" t="s">
        <v>1295</v>
      </c>
      <c r="H507" s="23" t="s">
        <v>1213</v>
      </c>
      <c r="I507" s="23" t="s">
        <v>592</v>
      </c>
      <c r="J507" s="23" t="s">
        <v>75</v>
      </c>
      <c r="K507" s="23" t="s">
        <v>873</v>
      </c>
      <c r="L507" s="24" t="s">
        <v>1315</v>
      </c>
      <c r="M507" s="24" t="s">
        <v>1316</v>
      </c>
      <c r="N507" s="24" t="s">
        <v>1317</v>
      </c>
      <c r="O507" s="23" t="s">
        <v>876</v>
      </c>
      <c r="P507" s="23"/>
      <c r="Q507" s="23">
        <v>49659</v>
      </c>
      <c r="R507" s="23">
        <v>46966</v>
      </c>
      <c r="S507" s="23" t="s">
        <v>877</v>
      </c>
      <c r="T507" s="23"/>
      <c r="U507" s="23"/>
      <c r="V507" s="23"/>
      <c r="W507" s="23"/>
      <c r="X507" s="23"/>
      <c r="Y507" s="23"/>
      <c r="Z507" s="24" t="s">
        <v>1651</v>
      </c>
      <c r="AA507" s="23" t="s">
        <v>877</v>
      </c>
      <c r="AB507" s="23">
        <v>1</v>
      </c>
    </row>
    <row r="508" spans="1:28" ht="21.6" customHeight="1">
      <c r="A508" s="23">
        <v>36</v>
      </c>
      <c r="B508" s="23">
        <v>2026051806</v>
      </c>
      <c r="C508" s="23">
        <v>1</v>
      </c>
      <c r="D508" s="23" t="s">
        <v>868</v>
      </c>
      <c r="E508" s="23" t="s">
        <v>566</v>
      </c>
      <c r="F508" s="23" t="s">
        <v>1649</v>
      </c>
      <c r="G508" s="23" t="s">
        <v>1047</v>
      </c>
      <c r="H508" s="23" t="s">
        <v>947</v>
      </c>
      <c r="I508" s="23" t="s">
        <v>646</v>
      </c>
      <c r="J508" s="23" t="s">
        <v>1368</v>
      </c>
      <c r="K508" s="23" t="s">
        <v>873</v>
      </c>
      <c r="L508" s="24" t="s">
        <v>1369</v>
      </c>
      <c r="M508" s="24" t="s">
        <v>1370</v>
      </c>
      <c r="N508" s="24"/>
      <c r="O508" s="23" t="s">
        <v>876</v>
      </c>
      <c r="P508" s="23"/>
      <c r="Q508" s="23"/>
      <c r="R508" s="23">
        <v>110953</v>
      </c>
      <c r="S508" s="23" t="s">
        <v>877</v>
      </c>
      <c r="T508" s="23"/>
      <c r="U508" s="23"/>
      <c r="V508" s="23"/>
      <c r="W508" s="23"/>
      <c r="X508" s="23"/>
      <c r="Y508" s="23"/>
      <c r="Z508" s="24" t="s">
        <v>1652</v>
      </c>
      <c r="AA508" s="23" t="s">
        <v>877</v>
      </c>
      <c r="AB508" s="23">
        <v>1</v>
      </c>
    </row>
    <row r="509" spans="1:28" ht="21.6" customHeight="1">
      <c r="A509" s="23">
        <v>132</v>
      </c>
      <c r="B509" s="23">
        <v>2026051775</v>
      </c>
      <c r="C509" s="23">
        <v>1</v>
      </c>
      <c r="D509" s="23" t="s">
        <v>868</v>
      </c>
      <c r="E509" s="23" t="s">
        <v>206</v>
      </c>
      <c r="F509" s="23" t="s">
        <v>1645</v>
      </c>
      <c r="G509" s="23" t="s">
        <v>969</v>
      </c>
      <c r="H509" s="23" t="s">
        <v>916</v>
      </c>
      <c r="I509" s="23" t="s">
        <v>339</v>
      </c>
      <c r="J509" s="23" t="s">
        <v>60</v>
      </c>
      <c r="K509" s="23" t="s">
        <v>873</v>
      </c>
      <c r="L509" s="24" t="s">
        <v>1024</v>
      </c>
      <c r="M509" s="24" t="s">
        <v>1025</v>
      </c>
      <c r="N509" s="24"/>
      <c r="O509" s="23" t="s">
        <v>876</v>
      </c>
      <c r="P509" s="23"/>
      <c r="Q509" s="23"/>
      <c r="R509" s="23">
        <v>64000</v>
      </c>
      <c r="S509" s="23" t="s">
        <v>877</v>
      </c>
      <c r="T509" s="23"/>
      <c r="U509" s="23"/>
      <c r="V509" s="23"/>
      <c r="W509" s="23"/>
      <c r="X509" s="23"/>
      <c r="Y509" s="23"/>
      <c r="Z509" s="24" t="s">
        <v>1011</v>
      </c>
      <c r="AA509" s="23" t="s">
        <v>877</v>
      </c>
      <c r="AB509" s="23">
        <v>1</v>
      </c>
    </row>
    <row r="510" spans="1:28" ht="21.6" customHeight="1">
      <c r="A510" s="23">
        <v>154</v>
      </c>
      <c r="B510" s="23">
        <v>2026051777</v>
      </c>
      <c r="C510" s="23">
        <v>1</v>
      </c>
      <c r="D510" s="23" t="s">
        <v>868</v>
      </c>
      <c r="E510" s="23" t="s">
        <v>206</v>
      </c>
      <c r="F510" s="23" t="s">
        <v>1645</v>
      </c>
      <c r="G510" s="23" t="s">
        <v>1012</v>
      </c>
      <c r="H510" s="23" t="s">
        <v>1030</v>
      </c>
      <c r="I510" s="23" t="s">
        <v>344</v>
      </c>
      <c r="J510" s="23" t="s">
        <v>87</v>
      </c>
      <c r="K510" s="23" t="s">
        <v>873</v>
      </c>
      <c r="L510" s="24" t="s">
        <v>1326</v>
      </c>
      <c r="M510" s="24" t="s">
        <v>1032</v>
      </c>
      <c r="N510" s="24"/>
      <c r="O510" s="23" t="s">
        <v>876</v>
      </c>
      <c r="P510" s="23"/>
      <c r="Q510" s="23"/>
      <c r="R510" s="23">
        <v>164225</v>
      </c>
      <c r="S510" s="23" t="s">
        <v>877</v>
      </c>
      <c r="T510" s="23"/>
      <c r="U510" s="23"/>
      <c r="V510" s="23"/>
      <c r="W510" s="23"/>
      <c r="X510" s="23"/>
      <c r="Y510" s="23"/>
      <c r="Z510" s="24" t="s">
        <v>1011</v>
      </c>
      <c r="AA510" s="23" t="s">
        <v>877</v>
      </c>
      <c r="AB510" s="23">
        <v>1</v>
      </c>
    </row>
    <row r="511" spans="1:28" ht="21.6" customHeight="1">
      <c r="A511" s="23">
        <v>2</v>
      </c>
      <c r="B511" s="23">
        <v>2026052005</v>
      </c>
      <c r="C511" s="23">
        <v>1</v>
      </c>
      <c r="D511" s="23" t="s">
        <v>868</v>
      </c>
      <c r="E511" s="23" t="s">
        <v>566</v>
      </c>
      <c r="F511" s="23" t="s">
        <v>1653</v>
      </c>
      <c r="G511" s="23" t="s">
        <v>1437</v>
      </c>
      <c r="H511" s="23" t="s">
        <v>1630</v>
      </c>
      <c r="I511" s="23" t="s">
        <v>712</v>
      </c>
      <c r="J511" s="23" t="s">
        <v>127</v>
      </c>
      <c r="K511" s="23" t="s">
        <v>873</v>
      </c>
      <c r="L511" s="24" t="s">
        <v>1297</v>
      </c>
      <c r="M511" s="24" t="s">
        <v>1298</v>
      </c>
      <c r="N511" s="24"/>
      <c r="O511" s="23" t="s">
        <v>876</v>
      </c>
      <c r="P511" s="23"/>
      <c r="Q511" s="23">
        <v>66914</v>
      </c>
      <c r="R511" s="23">
        <v>159382</v>
      </c>
      <c r="S511" s="23" t="s">
        <v>877</v>
      </c>
      <c r="T511" s="23"/>
      <c r="U511" s="23"/>
      <c r="V511" s="23"/>
      <c r="W511" s="23"/>
      <c r="X511" s="23"/>
      <c r="Y511" s="23"/>
      <c r="Z511" s="24" t="s">
        <v>878</v>
      </c>
      <c r="AA511" s="23" t="s">
        <v>877</v>
      </c>
      <c r="AB511" s="23">
        <v>1</v>
      </c>
    </row>
    <row r="512" spans="1:28" ht="21.6" customHeight="1">
      <c r="A512" s="23">
        <v>22</v>
      </c>
      <c r="B512" s="23">
        <v>2026052082</v>
      </c>
      <c r="C512" s="23">
        <v>1</v>
      </c>
      <c r="D512" s="23" t="s">
        <v>868</v>
      </c>
      <c r="E512" s="23" t="s">
        <v>566</v>
      </c>
      <c r="F512" s="23" t="s">
        <v>1654</v>
      </c>
      <c r="G512" s="23" t="s">
        <v>1047</v>
      </c>
      <c r="H512" s="23" t="s">
        <v>879</v>
      </c>
      <c r="I512" s="23" t="s">
        <v>728</v>
      </c>
      <c r="J512" s="23" t="s">
        <v>53</v>
      </c>
      <c r="K512" s="23" t="s">
        <v>873</v>
      </c>
      <c r="L512" s="24" t="s">
        <v>1203</v>
      </c>
      <c r="M512" s="24" t="s">
        <v>1204</v>
      </c>
      <c r="N512" s="24"/>
      <c r="O512" s="23" t="s">
        <v>876</v>
      </c>
      <c r="P512" s="23"/>
      <c r="Q512" s="23"/>
      <c r="R512" s="23">
        <v>51188</v>
      </c>
      <c r="S512" s="23" t="s">
        <v>877</v>
      </c>
      <c r="T512" s="23"/>
      <c r="U512" s="23"/>
      <c r="V512" s="23"/>
      <c r="W512" s="23"/>
      <c r="X512" s="23"/>
      <c r="Y512" s="23"/>
      <c r="Z512" s="24" t="s">
        <v>878</v>
      </c>
      <c r="AA512" s="23" t="s">
        <v>877</v>
      </c>
      <c r="AB512" s="23">
        <v>1</v>
      </c>
    </row>
    <row r="513" spans="1:28" ht="21.6" customHeight="1">
      <c r="A513" s="23">
        <v>29</v>
      </c>
      <c r="B513" s="23">
        <v>2026051992</v>
      </c>
      <c r="C513" s="23">
        <v>1</v>
      </c>
      <c r="D513" s="23" t="s">
        <v>868</v>
      </c>
      <c r="E513" s="23" t="s">
        <v>566</v>
      </c>
      <c r="F513" s="23" t="s">
        <v>1653</v>
      </c>
      <c r="G513" s="23" t="s">
        <v>973</v>
      </c>
      <c r="H513" s="23" t="s">
        <v>969</v>
      </c>
      <c r="I513" s="23" t="s">
        <v>691</v>
      </c>
      <c r="J513" s="23" t="s">
        <v>87</v>
      </c>
      <c r="K513" s="23" t="s">
        <v>873</v>
      </c>
      <c r="L513" s="24" t="s">
        <v>1300</v>
      </c>
      <c r="M513" s="24" t="s">
        <v>1301</v>
      </c>
      <c r="N513" s="24"/>
      <c r="O513" s="23" t="s">
        <v>876</v>
      </c>
      <c r="P513" s="23"/>
      <c r="Q513" s="23"/>
      <c r="R513" s="23">
        <v>71683</v>
      </c>
      <c r="S513" s="23" t="s">
        <v>877</v>
      </c>
      <c r="T513" s="23"/>
      <c r="U513" s="23"/>
      <c r="V513" s="23"/>
      <c r="W513" s="23"/>
      <c r="X513" s="23"/>
      <c r="Y513" s="23"/>
      <c r="Z513" s="24" t="s">
        <v>878</v>
      </c>
      <c r="AA513" s="23" t="s">
        <v>877</v>
      </c>
      <c r="AB513" s="23">
        <v>1</v>
      </c>
    </row>
    <row r="514" spans="1:28" ht="21.6" customHeight="1">
      <c r="A514" s="23">
        <v>37</v>
      </c>
      <c r="B514" s="23">
        <v>2026051919</v>
      </c>
      <c r="C514" s="23">
        <v>1</v>
      </c>
      <c r="D514" s="23" t="s">
        <v>868</v>
      </c>
      <c r="E514" s="23" t="s">
        <v>566</v>
      </c>
      <c r="F514" s="23" t="s">
        <v>1653</v>
      </c>
      <c r="G514" s="23" t="s">
        <v>1115</v>
      </c>
      <c r="H514" s="23" t="s">
        <v>1655</v>
      </c>
      <c r="I514" s="23" t="s">
        <v>717</v>
      </c>
      <c r="J514" s="23" t="s">
        <v>243</v>
      </c>
      <c r="K514" s="23" t="s">
        <v>873</v>
      </c>
      <c r="L514" s="24" t="s">
        <v>970</v>
      </c>
      <c r="M514" s="24" t="s">
        <v>971</v>
      </c>
      <c r="N514" s="24"/>
      <c r="O514" s="23" t="s">
        <v>876</v>
      </c>
      <c r="P514" s="23"/>
      <c r="Q514" s="23"/>
      <c r="R514" s="23">
        <v>234152</v>
      </c>
      <c r="S514" s="23" t="s">
        <v>877</v>
      </c>
      <c r="T514" s="23"/>
      <c r="U514" s="23"/>
      <c r="V514" s="23"/>
      <c r="W514" s="23"/>
      <c r="X514" s="23"/>
      <c r="Y514" s="23"/>
      <c r="Z514" s="24" t="s">
        <v>878</v>
      </c>
      <c r="AA514" s="23"/>
      <c r="AB514" s="23"/>
    </row>
    <row r="515" spans="1:28" ht="21.6" customHeight="1">
      <c r="A515" s="23">
        <v>39</v>
      </c>
      <c r="B515" s="23">
        <v>2026051918</v>
      </c>
      <c r="C515" s="23">
        <v>1</v>
      </c>
      <c r="D515" s="23" t="s">
        <v>868</v>
      </c>
      <c r="E515" s="23" t="s">
        <v>566</v>
      </c>
      <c r="F515" s="23" t="s">
        <v>1653</v>
      </c>
      <c r="G515" s="23" t="s">
        <v>1105</v>
      </c>
      <c r="H515" s="23" t="s">
        <v>1115</v>
      </c>
      <c r="I515" s="23" t="s">
        <v>722</v>
      </c>
      <c r="J515" s="23" t="s">
        <v>243</v>
      </c>
      <c r="K515" s="23" t="s">
        <v>873</v>
      </c>
      <c r="L515" s="24" t="s">
        <v>970</v>
      </c>
      <c r="M515" s="24" t="s">
        <v>974</v>
      </c>
      <c r="N515" s="24" t="s">
        <v>975</v>
      </c>
      <c r="O515" s="23" t="s">
        <v>876</v>
      </c>
      <c r="P515" s="23"/>
      <c r="Q515" s="23"/>
      <c r="R515" s="23">
        <v>344855</v>
      </c>
      <c r="S515" s="23" t="s">
        <v>877</v>
      </c>
      <c r="T515" s="23"/>
      <c r="U515" s="23"/>
      <c r="V515" s="23"/>
      <c r="W515" s="23"/>
      <c r="X515" s="23"/>
      <c r="Y515" s="23"/>
      <c r="Z515" s="24" t="s">
        <v>878</v>
      </c>
      <c r="AA515" s="23"/>
      <c r="AB515" s="23"/>
    </row>
    <row r="516" spans="1:28" ht="21.6" customHeight="1">
      <c r="A516" s="23">
        <v>42</v>
      </c>
      <c r="B516" s="23">
        <v>2026052083</v>
      </c>
      <c r="C516" s="23">
        <v>1</v>
      </c>
      <c r="D516" s="23" t="s">
        <v>868</v>
      </c>
      <c r="E516" s="23" t="s">
        <v>566</v>
      </c>
      <c r="F516" s="23" t="s">
        <v>1654</v>
      </c>
      <c r="G516" s="23" t="s">
        <v>879</v>
      </c>
      <c r="H516" s="23" t="s">
        <v>1538</v>
      </c>
      <c r="I516" s="23" t="s">
        <v>733</v>
      </c>
      <c r="J516" s="23" t="s">
        <v>143</v>
      </c>
      <c r="K516" s="23" t="s">
        <v>873</v>
      </c>
      <c r="L516" s="24" t="s">
        <v>1203</v>
      </c>
      <c r="M516" s="24" t="s">
        <v>1204</v>
      </c>
      <c r="N516" s="24"/>
      <c r="O516" s="23" t="s">
        <v>876</v>
      </c>
      <c r="P516" s="23"/>
      <c r="Q516" s="23">
        <v>28761</v>
      </c>
      <c r="R516" s="23">
        <v>741764</v>
      </c>
      <c r="S516" s="23" t="s">
        <v>877</v>
      </c>
      <c r="T516" s="23"/>
      <c r="U516" s="23"/>
      <c r="V516" s="23"/>
      <c r="W516" s="23"/>
      <c r="X516" s="23"/>
      <c r="Y516" s="23"/>
      <c r="Z516" s="24" t="s">
        <v>1656</v>
      </c>
      <c r="AA516" s="23" t="s">
        <v>877</v>
      </c>
      <c r="AB516" s="23">
        <v>1</v>
      </c>
    </row>
    <row r="517" spans="1:28" ht="21.6" customHeight="1">
      <c r="A517" s="23">
        <v>75</v>
      </c>
      <c r="B517" s="23">
        <v>2026052063</v>
      </c>
      <c r="C517" s="23">
        <v>1</v>
      </c>
      <c r="D517" s="23" t="s">
        <v>868</v>
      </c>
      <c r="E517" s="23" t="s">
        <v>566</v>
      </c>
      <c r="F517" s="23" t="s">
        <v>1654</v>
      </c>
      <c r="G517" s="23" t="s">
        <v>870</v>
      </c>
      <c r="H517" s="23" t="s">
        <v>1295</v>
      </c>
      <c r="I517" s="23" t="s">
        <v>1179</v>
      </c>
      <c r="J517" s="23" t="s">
        <v>1180</v>
      </c>
      <c r="K517" s="23" t="s">
        <v>873</v>
      </c>
      <c r="L517" s="24" t="s">
        <v>1142</v>
      </c>
      <c r="M517" s="24" t="s">
        <v>1181</v>
      </c>
      <c r="N517" s="24" t="s">
        <v>1182</v>
      </c>
      <c r="O517" s="23" t="s">
        <v>876</v>
      </c>
      <c r="P517" s="23"/>
      <c r="Q517" s="23"/>
      <c r="R517" s="23">
        <v>2660</v>
      </c>
      <c r="S517" s="23" t="s">
        <v>877</v>
      </c>
      <c r="T517" s="23"/>
      <c r="U517" s="23"/>
      <c r="V517" s="23"/>
      <c r="W517" s="23"/>
      <c r="X517" s="23"/>
      <c r="Y517" s="23"/>
      <c r="Z517" s="24" t="s">
        <v>878</v>
      </c>
      <c r="AA517" s="23" t="s">
        <v>877</v>
      </c>
      <c r="AB517" s="23">
        <v>1</v>
      </c>
    </row>
    <row r="518" spans="1:28" ht="21.6" customHeight="1">
      <c r="A518" s="23">
        <v>192</v>
      </c>
      <c r="B518" s="23">
        <v>2026051907</v>
      </c>
      <c r="C518" s="23">
        <v>1</v>
      </c>
      <c r="D518" s="23" t="s">
        <v>868</v>
      </c>
      <c r="E518" s="23" t="s">
        <v>206</v>
      </c>
      <c r="F518" s="23" t="s">
        <v>1653</v>
      </c>
      <c r="G518" s="23" t="s">
        <v>870</v>
      </c>
      <c r="H518" s="23" t="s">
        <v>1047</v>
      </c>
      <c r="I518" s="23" t="s">
        <v>353</v>
      </c>
      <c r="J518" s="23" t="s">
        <v>354</v>
      </c>
      <c r="K518" s="23" t="s">
        <v>873</v>
      </c>
      <c r="L518" s="24" t="s">
        <v>1261</v>
      </c>
      <c r="M518" s="24" t="s">
        <v>1657</v>
      </c>
      <c r="N518" s="24"/>
      <c r="O518" s="23" t="s">
        <v>876</v>
      </c>
      <c r="P518" s="23"/>
      <c r="Q518" s="23">
        <v>6953</v>
      </c>
      <c r="R518" s="23">
        <v>3893</v>
      </c>
      <c r="S518" s="23" t="s">
        <v>877</v>
      </c>
      <c r="T518" s="23"/>
      <c r="U518" s="23"/>
      <c r="V518" s="23"/>
      <c r="W518" s="23"/>
      <c r="X518" s="23"/>
      <c r="Y518" s="23" t="s">
        <v>877</v>
      </c>
      <c r="Z518" s="24" t="s">
        <v>1658</v>
      </c>
      <c r="AA518" s="23" t="s">
        <v>877</v>
      </c>
      <c r="AB518" s="23">
        <v>1</v>
      </c>
    </row>
    <row r="519" spans="1:28" ht="21.6" customHeight="1">
      <c r="A519" s="23">
        <v>25</v>
      </c>
      <c r="B519" s="23">
        <v>2026052333</v>
      </c>
      <c r="C519" s="23">
        <v>1</v>
      </c>
      <c r="D519" s="23" t="s">
        <v>868</v>
      </c>
      <c r="E519" s="23" t="s">
        <v>566</v>
      </c>
      <c r="F519" s="23" t="s">
        <v>1659</v>
      </c>
      <c r="G519" s="23" t="s">
        <v>1490</v>
      </c>
      <c r="H519" s="23" t="s">
        <v>1660</v>
      </c>
      <c r="I519" s="23" t="s">
        <v>744</v>
      </c>
      <c r="J519" s="23" t="s">
        <v>53</v>
      </c>
      <c r="K519" s="23" t="s">
        <v>873</v>
      </c>
      <c r="L519" s="24" t="s">
        <v>991</v>
      </c>
      <c r="M519" s="24" t="s">
        <v>1110</v>
      </c>
      <c r="N519" s="24" t="s">
        <v>1111</v>
      </c>
      <c r="O519" s="23" t="s">
        <v>876</v>
      </c>
      <c r="P519" s="23"/>
      <c r="Q519" s="23"/>
      <c r="R519" s="23">
        <v>46178</v>
      </c>
      <c r="S519" s="23" t="s">
        <v>877</v>
      </c>
      <c r="T519" s="23"/>
      <c r="U519" s="23"/>
      <c r="V519" s="23"/>
      <c r="W519" s="23"/>
      <c r="X519" s="23"/>
      <c r="Y519" s="23"/>
      <c r="Z519" s="24" t="s">
        <v>878</v>
      </c>
      <c r="AA519" s="23" t="s">
        <v>877</v>
      </c>
      <c r="AB519" s="23">
        <v>1</v>
      </c>
    </row>
    <row r="520" spans="1:28" ht="21.6" customHeight="1">
      <c r="A520" s="23">
        <v>29</v>
      </c>
      <c r="B520" s="23">
        <v>2026052354</v>
      </c>
      <c r="C520" s="23">
        <v>1</v>
      </c>
      <c r="D520" s="23" t="s">
        <v>868</v>
      </c>
      <c r="E520" s="23" t="s">
        <v>566</v>
      </c>
      <c r="F520" s="23" t="s">
        <v>1659</v>
      </c>
      <c r="G520" s="23" t="s">
        <v>973</v>
      </c>
      <c r="H520" s="23" t="s">
        <v>969</v>
      </c>
      <c r="I520" s="23" t="s">
        <v>696</v>
      </c>
      <c r="J520" s="23" t="s">
        <v>60</v>
      </c>
      <c r="K520" s="23" t="s">
        <v>873</v>
      </c>
      <c r="L520" s="24" t="s">
        <v>927</v>
      </c>
      <c r="M520" s="24" t="s">
        <v>928</v>
      </c>
      <c r="N520" s="24" t="s">
        <v>889</v>
      </c>
      <c r="O520" s="23" t="s">
        <v>876</v>
      </c>
      <c r="P520" s="23"/>
      <c r="Q520" s="23"/>
      <c r="R520" s="23">
        <v>49381</v>
      </c>
      <c r="S520" s="23" t="s">
        <v>877</v>
      </c>
      <c r="T520" s="23"/>
      <c r="U520" s="23"/>
      <c r="V520" s="23"/>
      <c r="W520" s="23"/>
      <c r="X520" s="23"/>
      <c r="Y520" s="23"/>
      <c r="Z520" s="24" t="s">
        <v>878</v>
      </c>
      <c r="AA520" s="23" t="s">
        <v>877</v>
      </c>
      <c r="AB520" s="23">
        <v>1</v>
      </c>
    </row>
    <row r="521" spans="1:28" ht="21.6" customHeight="1">
      <c r="A521" s="23">
        <v>37</v>
      </c>
      <c r="B521" s="23">
        <v>2026052125</v>
      </c>
      <c r="C521" s="23">
        <v>1</v>
      </c>
      <c r="D521" s="23" t="s">
        <v>868</v>
      </c>
      <c r="E521" s="23" t="s">
        <v>566</v>
      </c>
      <c r="F521" s="23" t="s">
        <v>1654</v>
      </c>
      <c r="G521" s="23" t="s">
        <v>960</v>
      </c>
      <c r="H521" s="23" t="s">
        <v>1661</v>
      </c>
      <c r="I521" s="23" t="s">
        <v>663</v>
      </c>
      <c r="J521" s="23" t="s">
        <v>963</v>
      </c>
      <c r="K521" s="23" t="s">
        <v>873</v>
      </c>
      <c r="L521" s="24" t="s">
        <v>1166</v>
      </c>
      <c r="M521" s="24" t="s">
        <v>1167</v>
      </c>
      <c r="N521" s="24"/>
      <c r="O521" s="23" t="s">
        <v>876</v>
      </c>
      <c r="P521" s="23"/>
      <c r="Q521" s="23"/>
      <c r="R521" s="23">
        <v>138183</v>
      </c>
      <c r="S521" s="23" t="s">
        <v>877</v>
      </c>
      <c r="T521" s="23"/>
      <c r="U521" s="23"/>
      <c r="V521" s="23"/>
      <c r="W521" s="23"/>
      <c r="X521" s="23"/>
      <c r="Y521" s="23"/>
      <c r="Z521" s="24" t="s">
        <v>1220</v>
      </c>
      <c r="AA521" s="23" t="s">
        <v>877</v>
      </c>
      <c r="AB521" s="23">
        <v>1</v>
      </c>
    </row>
    <row r="522" spans="1:28" ht="21.6" customHeight="1">
      <c r="A522" s="23">
        <v>41</v>
      </c>
      <c r="B522" s="23">
        <v>2026052191</v>
      </c>
      <c r="C522" s="23">
        <v>1</v>
      </c>
      <c r="D522" s="23" t="s">
        <v>868</v>
      </c>
      <c r="E522" s="23" t="s">
        <v>566</v>
      </c>
      <c r="F522" s="23" t="s">
        <v>1654</v>
      </c>
      <c r="G522" s="23" t="s">
        <v>916</v>
      </c>
      <c r="H522" s="23" t="s">
        <v>1012</v>
      </c>
      <c r="I522" s="23" t="s">
        <v>669</v>
      </c>
      <c r="J522" s="23" t="s">
        <v>963</v>
      </c>
      <c r="K522" s="23" t="s">
        <v>873</v>
      </c>
      <c r="L522" s="24" t="s">
        <v>1169</v>
      </c>
      <c r="M522" s="24" t="s">
        <v>1170</v>
      </c>
      <c r="N522" s="24"/>
      <c r="O522" s="23" t="s">
        <v>876</v>
      </c>
      <c r="P522" s="23"/>
      <c r="Q522" s="23"/>
      <c r="R522" s="23">
        <v>243145</v>
      </c>
      <c r="S522" s="23" t="s">
        <v>877</v>
      </c>
      <c r="T522" s="23"/>
      <c r="U522" s="23"/>
      <c r="V522" s="23"/>
      <c r="W522" s="23"/>
      <c r="X522" s="23"/>
      <c r="Y522" s="23"/>
      <c r="Z522" s="24" t="s">
        <v>1662</v>
      </c>
      <c r="AA522" s="23" t="s">
        <v>877</v>
      </c>
      <c r="AB522" s="23">
        <v>1</v>
      </c>
    </row>
    <row r="523" spans="1:28" ht="21.6" customHeight="1">
      <c r="A523" s="23">
        <v>142</v>
      </c>
      <c r="B523" s="23">
        <v>2026052282</v>
      </c>
      <c r="C523" s="23">
        <v>1</v>
      </c>
      <c r="D523" s="23" t="s">
        <v>868</v>
      </c>
      <c r="E523" s="23" t="s">
        <v>206</v>
      </c>
      <c r="F523" s="23" t="s">
        <v>1659</v>
      </c>
      <c r="G523" s="23" t="s">
        <v>1047</v>
      </c>
      <c r="H523" s="23" t="s">
        <v>1115</v>
      </c>
      <c r="I523" s="23" t="s">
        <v>538</v>
      </c>
      <c r="J523" s="23" t="s">
        <v>127</v>
      </c>
      <c r="K523" s="23" t="s">
        <v>873</v>
      </c>
      <c r="L523" s="24" t="s">
        <v>1242</v>
      </c>
      <c r="M523" s="24" t="s">
        <v>1568</v>
      </c>
      <c r="N523" s="24" t="s">
        <v>1569</v>
      </c>
      <c r="O523" s="23" t="s">
        <v>876</v>
      </c>
      <c r="P523" s="23"/>
      <c r="Q523" s="23">
        <v>5137</v>
      </c>
      <c r="R523" s="23">
        <v>3236</v>
      </c>
      <c r="S523" s="23" t="s">
        <v>877</v>
      </c>
      <c r="T523" s="23"/>
      <c r="U523" s="23"/>
      <c r="V523" s="23"/>
      <c r="W523" s="23"/>
      <c r="X523" s="23"/>
      <c r="Y523" s="23"/>
      <c r="Z523" s="24" t="s">
        <v>1011</v>
      </c>
      <c r="AA523" s="23"/>
      <c r="AB523" s="23"/>
    </row>
    <row r="524" spans="1:28" ht="21.6" customHeight="1">
      <c r="A524" s="23">
        <v>144</v>
      </c>
      <c r="B524" s="23">
        <v>2026052286</v>
      </c>
      <c r="C524" s="23">
        <v>1</v>
      </c>
      <c r="D524" s="23" t="s">
        <v>868</v>
      </c>
      <c r="E524" s="23" t="s">
        <v>206</v>
      </c>
      <c r="F524" s="23" t="s">
        <v>1659</v>
      </c>
      <c r="G524" s="23" t="s">
        <v>1134</v>
      </c>
      <c r="H524" s="23" t="s">
        <v>940</v>
      </c>
      <c r="I524" s="23" t="s">
        <v>526</v>
      </c>
      <c r="J524" s="23" t="s">
        <v>127</v>
      </c>
      <c r="K524" s="23" t="s">
        <v>873</v>
      </c>
      <c r="L524" s="24" t="s">
        <v>1242</v>
      </c>
      <c r="M524" s="24" t="s">
        <v>1570</v>
      </c>
      <c r="N524" s="24" t="s">
        <v>1571</v>
      </c>
      <c r="O524" s="23" t="s">
        <v>876</v>
      </c>
      <c r="P524" s="23"/>
      <c r="Q524" s="23">
        <v>225</v>
      </c>
      <c r="R524" s="23">
        <v>7723</v>
      </c>
      <c r="S524" s="23" t="s">
        <v>877</v>
      </c>
      <c r="T524" s="23"/>
      <c r="U524" s="23"/>
      <c r="V524" s="23"/>
      <c r="W524" s="23"/>
      <c r="X524" s="23"/>
      <c r="Y524" s="23"/>
      <c r="Z524" s="24" t="s">
        <v>1011</v>
      </c>
      <c r="AA524" s="23"/>
      <c r="AB524" s="23"/>
    </row>
    <row r="525" spans="1:28" ht="21.6" customHeight="1">
      <c r="A525" s="23">
        <v>146</v>
      </c>
      <c r="B525" s="23">
        <v>2026052300</v>
      </c>
      <c r="C525" s="23">
        <v>1</v>
      </c>
      <c r="D525" s="23" t="s">
        <v>868</v>
      </c>
      <c r="E525" s="23" t="s">
        <v>206</v>
      </c>
      <c r="F525" s="23" t="s">
        <v>1659</v>
      </c>
      <c r="G525" s="23" t="s">
        <v>885</v>
      </c>
      <c r="H525" s="23" t="s">
        <v>960</v>
      </c>
      <c r="I525" s="23" t="s">
        <v>522</v>
      </c>
      <c r="J525" s="23" t="s">
        <v>127</v>
      </c>
      <c r="K525" s="23" t="s">
        <v>873</v>
      </c>
      <c r="L525" s="24" t="s">
        <v>1242</v>
      </c>
      <c r="M525" s="24" t="s">
        <v>1302</v>
      </c>
      <c r="N525" s="24" t="s">
        <v>1303</v>
      </c>
      <c r="O525" s="23" t="s">
        <v>876</v>
      </c>
      <c r="P525" s="23"/>
      <c r="Q525" s="23">
        <v>973</v>
      </c>
      <c r="R525" s="23">
        <v>7622</v>
      </c>
      <c r="S525" s="23" t="s">
        <v>877</v>
      </c>
      <c r="T525" s="23"/>
      <c r="U525" s="23"/>
      <c r="V525" s="23"/>
      <c r="W525" s="23"/>
      <c r="X525" s="23"/>
      <c r="Y525" s="23"/>
      <c r="Z525" s="24" t="s">
        <v>1011</v>
      </c>
      <c r="AA525" s="23"/>
      <c r="AB525" s="23"/>
    </row>
    <row r="526" spans="1:28" ht="21.6" customHeight="1">
      <c r="A526" s="23">
        <v>156</v>
      </c>
      <c r="B526" s="23">
        <v>2026052392</v>
      </c>
      <c r="C526" s="23">
        <v>1</v>
      </c>
      <c r="D526" s="23" t="s">
        <v>868</v>
      </c>
      <c r="E526" s="23" t="s">
        <v>206</v>
      </c>
      <c r="F526" s="23" t="s">
        <v>1659</v>
      </c>
      <c r="G526" s="23" t="s">
        <v>1012</v>
      </c>
      <c r="H526" s="23" t="s">
        <v>1030</v>
      </c>
      <c r="I526" s="23" t="s">
        <v>507</v>
      </c>
      <c r="J526" s="23" t="s">
        <v>81</v>
      </c>
      <c r="K526" s="23" t="s">
        <v>873</v>
      </c>
      <c r="L526" s="24" t="s">
        <v>1242</v>
      </c>
      <c r="M526" s="24" t="s">
        <v>1591</v>
      </c>
      <c r="N526" s="24" t="s">
        <v>1086</v>
      </c>
      <c r="O526" s="23" t="s">
        <v>876</v>
      </c>
      <c r="P526" s="23"/>
      <c r="Q526" s="23">
        <v>15280</v>
      </c>
      <c r="R526" s="23">
        <v>20150</v>
      </c>
      <c r="S526" s="23" t="s">
        <v>877</v>
      </c>
      <c r="T526" s="23"/>
      <c r="U526" s="23"/>
      <c r="V526" s="23"/>
      <c r="W526" s="23"/>
      <c r="X526" s="23"/>
      <c r="Y526" s="23"/>
      <c r="Z526" s="24" t="s">
        <v>1011</v>
      </c>
      <c r="AA526" s="23"/>
      <c r="AB526" s="23"/>
    </row>
    <row r="527" spans="1:28" ht="21.6" customHeight="1">
      <c r="A527" s="23">
        <v>179</v>
      </c>
      <c r="B527" s="23">
        <v>2026052284</v>
      </c>
      <c r="C527" s="23">
        <v>1</v>
      </c>
      <c r="D527" s="23" t="s">
        <v>868</v>
      </c>
      <c r="E527" s="23" t="s">
        <v>206</v>
      </c>
      <c r="F527" s="23" t="s">
        <v>1659</v>
      </c>
      <c r="G527" s="23" t="s">
        <v>1115</v>
      </c>
      <c r="H527" s="23" t="s">
        <v>1134</v>
      </c>
      <c r="I527" s="23" t="s">
        <v>530</v>
      </c>
      <c r="J527" s="23" t="s">
        <v>60</v>
      </c>
      <c r="K527" s="23" t="s">
        <v>873</v>
      </c>
      <c r="L527" s="24" t="s">
        <v>1242</v>
      </c>
      <c r="M527" s="24" t="s">
        <v>1380</v>
      </c>
      <c r="N527" s="24" t="s">
        <v>1381</v>
      </c>
      <c r="O527" s="23" t="s">
        <v>876</v>
      </c>
      <c r="P527" s="23"/>
      <c r="Q527" s="23"/>
      <c r="R527" s="23">
        <v>17624</v>
      </c>
      <c r="S527" s="23" t="s">
        <v>877</v>
      </c>
      <c r="T527" s="23"/>
      <c r="U527" s="23"/>
      <c r="V527" s="23"/>
      <c r="W527" s="23"/>
      <c r="X527" s="23"/>
      <c r="Y527" s="23"/>
      <c r="Z527" s="24" t="s">
        <v>1011</v>
      </c>
      <c r="AA527" s="23"/>
      <c r="AB527" s="23"/>
    </row>
    <row r="528" spans="1:28" ht="21.6" customHeight="1">
      <c r="A528" s="23">
        <v>192</v>
      </c>
      <c r="B528" s="23">
        <v>2026052390</v>
      </c>
      <c r="C528" s="23">
        <v>1</v>
      </c>
      <c r="D528" s="23" t="s">
        <v>868</v>
      </c>
      <c r="E528" s="23" t="s">
        <v>206</v>
      </c>
      <c r="F528" s="23" t="s">
        <v>1659</v>
      </c>
      <c r="G528" s="23" t="s">
        <v>916</v>
      </c>
      <c r="H528" s="23" t="s">
        <v>1012</v>
      </c>
      <c r="I528" s="23" t="s">
        <v>511</v>
      </c>
      <c r="J528" s="23" t="s">
        <v>60</v>
      </c>
      <c r="K528" s="23" t="s">
        <v>873</v>
      </c>
      <c r="L528" s="24" t="s">
        <v>1242</v>
      </c>
      <c r="M528" s="24" t="s">
        <v>1592</v>
      </c>
      <c r="N528" s="24" t="s">
        <v>1084</v>
      </c>
      <c r="O528" s="23" t="s">
        <v>876</v>
      </c>
      <c r="P528" s="23"/>
      <c r="Q528" s="23"/>
      <c r="R528" s="23">
        <v>7931</v>
      </c>
      <c r="S528" s="23" t="s">
        <v>877</v>
      </c>
      <c r="T528" s="23"/>
      <c r="U528" s="23"/>
      <c r="V528" s="23"/>
      <c r="W528" s="23"/>
      <c r="X528" s="23"/>
      <c r="Y528" s="23"/>
      <c r="Z528" s="24" t="s">
        <v>1011</v>
      </c>
      <c r="AA528" s="23"/>
      <c r="AB528" s="23"/>
    </row>
    <row r="529" spans="1:28" ht="21.6" customHeight="1">
      <c r="A529" s="23">
        <v>195</v>
      </c>
      <c r="B529" s="23">
        <v>2026052302</v>
      </c>
      <c r="C529" s="23">
        <v>1</v>
      </c>
      <c r="D529" s="23" t="s">
        <v>868</v>
      </c>
      <c r="E529" s="23" t="s">
        <v>206</v>
      </c>
      <c r="F529" s="23" t="s">
        <v>1659</v>
      </c>
      <c r="G529" s="23" t="s">
        <v>960</v>
      </c>
      <c r="H529" s="23" t="s">
        <v>972</v>
      </c>
      <c r="I529" s="23" t="s">
        <v>534</v>
      </c>
      <c r="J529" s="23" t="s">
        <v>70</v>
      </c>
      <c r="K529" s="23" t="s">
        <v>873</v>
      </c>
      <c r="L529" s="24" t="s">
        <v>1242</v>
      </c>
      <c r="M529" s="24" t="s">
        <v>1377</v>
      </c>
      <c r="N529" s="24" t="s">
        <v>1378</v>
      </c>
      <c r="O529" s="23" t="s">
        <v>876</v>
      </c>
      <c r="P529" s="23"/>
      <c r="Q529" s="23">
        <v>9142</v>
      </c>
      <c r="R529" s="23">
        <v>9364</v>
      </c>
      <c r="S529" s="23" t="s">
        <v>877</v>
      </c>
      <c r="T529" s="23"/>
      <c r="U529" s="23"/>
      <c r="V529" s="23"/>
      <c r="W529" s="23"/>
      <c r="X529" s="23"/>
      <c r="Y529" s="23"/>
      <c r="Z529" s="24" t="s">
        <v>1011</v>
      </c>
      <c r="AA529" s="23"/>
      <c r="AB529" s="23"/>
    </row>
    <row r="530" spans="1:28" ht="21.6" customHeight="1">
      <c r="A530" s="23">
        <v>197</v>
      </c>
      <c r="B530" s="23">
        <v>2026052394</v>
      </c>
      <c r="C530" s="23">
        <v>1</v>
      </c>
      <c r="D530" s="23" t="s">
        <v>868</v>
      </c>
      <c r="E530" s="23" t="s">
        <v>206</v>
      </c>
      <c r="F530" s="23" t="s">
        <v>1659</v>
      </c>
      <c r="G530" s="23" t="s">
        <v>1030</v>
      </c>
      <c r="H530" s="23" t="s">
        <v>1068</v>
      </c>
      <c r="I530" s="23" t="s">
        <v>515</v>
      </c>
      <c r="J530" s="23" t="s">
        <v>70</v>
      </c>
      <c r="K530" s="23" t="s">
        <v>873</v>
      </c>
      <c r="L530" s="24" t="s">
        <v>1242</v>
      </c>
      <c r="M530" s="24" t="s">
        <v>1592</v>
      </c>
      <c r="N530" s="24" t="s">
        <v>1086</v>
      </c>
      <c r="O530" s="23" t="s">
        <v>876</v>
      </c>
      <c r="P530" s="23"/>
      <c r="Q530" s="23">
        <v>3665</v>
      </c>
      <c r="R530" s="23">
        <v>3178</v>
      </c>
      <c r="S530" s="23" t="s">
        <v>877</v>
      </c>
      <c r="T530" s="23"/>
      <c r="U530" s="23"/>
      <c r="V530" s="23"/>
      <c r="W530" s="23"/>
      <c r="X530" s="23"/>
      <c r="Y530" s="23"/>
      <c r="Z530" s="24" t="s">
        <v>1011</v>
      </c>
      <c r="AA530" s="23"/>
      <c r="AB530" s="23"/>
    </row>
    <row r="531" spans="1:28" ht="21.6" customHeight="1">
      <c r="A531" s="23">
        <v>263</v>
      </c>
      <c r="B531" s="23">
        <v>2026052304</v>
      </c>
      <c r="C531" s="23">
        <v>1</v>
      </c>
      <c r="D531" s="23" t="s">
        <v>868</v>
      </c>
      <c r="E531" s="23" t="s">
        <v>206</v>
      </c>
      <c r="F531" s="23" t="s">
        <v>1659</v>
      </c>
      <c r="G531" s="23" t="s">
        <v>972</v>
      </c>
      <c r="H531" s="23" t="s">
        <v>1357</v>
      </c>
      <c r="I531" s="23" t="s">
        <v>517</v>
      </c>
      <c r="J531" s="23" t="s">
        <v>1241</v>
      </c>
      <c r="K531" s="23" t="s">
        <v>873</v>
      </c>
      <c r="L531" s="24" t="s">
        <v>1242</v>
      </c>
      <c r="M531" s="24" t="s">
        <v>1572</v>
      </c>
      <c r="N531" s="24" t="s">
        <v>1573</v>
      </c>
      <c r="O531" s="23" t="s">
        <v>876</v>
      </c>
      <c r="P531" s="23"/>
      <c r="Q531" s="23"/>
      <c r="R531" s="23">
        <v>5319</v>
      </c>
      <c r="S531" s="23" t="s">
        <v>877</v>
      </c>
      <c r="T531" s="23"/>
      <c r="U531" s="23"/>
      <c r="V531" s="23"/>
      <c r="W531" s="23"/>
      <c r="X531" s="23"/>
      <c r="Y531" s="23"/>
      <c r="Z531" s="24" t="s">
        <v>1011</v>
      </c>
      <c r="AA531" s="23"/>
      <c r="AB531" s="23"/>
    </row>
    <row r="532" spans="1:28" ht="21.6" customHeight="1">
      <c r="A532" s="23">
        <v>265</v>
      </c>
      <c r="B532" s="23">
        <v>2026052288</v>
      </c>
      <c r="C532" s="23">
        <v>1</v>
      </c>
      <c r="D532" s="23" t="s">
        <v>868</v>
      </c>
      <c r="E532" s="23" t="s">
        <v>206</v>
      </c>
      <c r="F532" s="23" t="s">
        <v>1659</v>
      </c>
      <c r="G532" s="23" t="s">
        <v>940</v>
      </c>
      <c r="H532" s="23" t="s">
        <v>897</v>
      </c>
      <c r="I532" s="23" t="s">
        <v>546</v>
      </c>
      <c r="J532" s="23" t="s">
        <v>1241</v>
      </c>
      <c r="K532" s="23" t="s">
        <v>873</v>
      </c>
      <c r="L532" s="24" t="s">
        <v>1242</v>
      </c>
      <c r="M532" s="24" t="s">
        <v>1574</v>
      </c>
      <c r="N532" s="24" t="s">
        <v>1575</v>
      </c>
      <c r="O532" s="23" t="s">
        <v>876</v>
      </c>
      <c r="P532" s="23"/>
      <c r="Q532" s="23"/>
      <c r="R532" s="23">
        <v>10989</v>
      </c>
      <c r="S532" s="23" t="s">
        <v>877</v>
      </c>
      <c r="T532" s="23"/>
      <c r="U532" s="23"/>
      <c r="V532" s="23"/>
      <c r="W532" s="23"/>
      <c r="X532" s="23"/>
      <c r="Y532" s="23"/>
      <c r="Z532" s="24" t="s">
        <v>1011</v>
      </c>
      <c r="AA532" s="23"/>
      <c r="AB532" s="23"/>
    </row>
    <row r="533" spans="1:28" ht="21.6" customHeight="1">
      <c r="A533" s="23">
        <v>267</v>
      </c>
      <c r="B533" s="23">
        <v>2026052290</v>
      </c>
      <c r="C533" s="23">
        <v>1</v>
      </c>
      <c r="D533" s="23" t="s">
        <v>868</v>
      </c>
      <c r="E533" s="23" t="s">
        <v>206</v>
      </c>
      <c r="F533" s="23" t="s">
        <v>1659</v>
      </c>
      <c r="G533" s="23" t="s">
        <v>897</v>
      </c>
      <c r="H533" s="23" t="s">
        <v>1015</v>
      </c>
      <c r="I533" s="23" t="s">
        <v>542</v>
      </c>
      <c r="J533" s="23" t="s">
        <v>1241</v>
      </c>
      <c r="K533" s="23" t="s">
        <v>873</v>
      </c>
      <c r="L533" s="24" t="s">
        <v>1242</v>
      </c>
      <c r="M533" s="24" t="s">
        <v>1243</v>
      </c>
      <c r="N533" s="24" t="s">
        <v>1244</v>
      </c>
      <c r="O533" s="23" t="s">
        <v>876</v>
      </c>
      <c r="P533" s="23"/>
      <c r="Q533" s="23"/>
      <c r="R533" s="23">
        <v>6018</v>
      </c>
      <c r="S533" s="23" t="s">
        <v>877</v>
      </c>
      <c r="T533" s="23"/>
      <c r="U533" s="23"/>
      <c r="V533" s="23"/>
      <c r="W533" s="23"/>
      <c r="X533" s="23"/>
      <c r="Y533" s="23"/>
      <c r="Z533" s="24" t="s">
        <v>1011</v>
      </c>
      <c r="AA533" s="23"/>
      <c r="AB533" s="23"/>
    </row>
    <row r="534" spans="1:28" ht="21.6" customHeight="1">
      <c r="A534" s="23">
        <v>2</v>
      </c>
      <c r="B534" s="23">
        <v>2026052515</v>
      </c>
      <c r="C534" s="23">
        <v>1</v>
      </c>
      <c r="D534" s="23" t="s">
        <v>868</v>
      </c>
      <c r="E534" s="23" t="s">
        <v>566</v>
      </c>
      <c r="F534" s="23" t="s">
        <v>1663</v>
      </c>
      <c r="G534" s="23" t="s">
        <v>1664</v>
      </c>
      <c r="H534" s="23" t="s">
        <v>1541</v>
      </c>
      <c r="I534" s="23" t="s">
        <v>626</v>
      </c>
      <c r="J534" s="23" t="s">
        <v>127</v>
      </c>
      <c r="K534" s="23" t="s">
        <v>873</v>
      </c>
      <c r="L534" s="24" t="s">
        <v>1665</v>
      </c>
      <c r="M534" s="24" t="s">
        <v>1332</v>
      </c>
      <c r="N534" s="24"/>
      <c r="O534" s="23" t="s">
        <v>876</v>
      </c>
      <c r="P534" s="23"/>
      <c r="Q534" s="23">
        <v>104</v>
      </c>
      <c r="R534" s="23">
        <v>3671</v>
      </c>
      <c r="S534" s="23" t="s">
        <v>877</v>
      </c>
      <c r="T534" s="23"/>
      <c r="U534" s="23"/>
      <c r="V534" s="23"/>
      <c r="W534" s="23"/>
      <c r="X534" s="23"/>
      <c r="Y534" s="23"/>
      <c r="Z534" s="24" t="s">
        <v>1337</v>
      </c>
      <c r="AA534" s="23" t="s">
        <v>877</v>
      </c>
      <c r="AB534" s="23">
        <v>1</v>
      </c>
    </row>
    <row r="535" spans="1:28" ht="21.6" customHeight="1">
      <c r="A535" s="23">
        <v>4</v>
      </c>
      <c r="B535" s="23">
        <v>2026052440</v>
      </c>
      <c r="C535" s="23">
        <v>1</v>
      </c>
      <c r="D535" s="23" t="s">
        <v>868</v>
      </c>
      <c r="E535" s="23" t="s">
        <v>566</v>
      </c>
      <c r="F535" s="23" t="s">
        <v>1663</v>
      </c>
      <c r="G535" s="23" t="s">
        <v>880</v>
      </c>
      <c r="H535" s="23" t="s">
        <v>1100</v>
      </c>
      <c r="I535" s="23" t="s">
        <v>636</v>
      </c>
      <c r="J535" s="23" t="s">
        <v>127</v>
      </c>
      <c r="K535" s="23" t="s">
        <v>873</v>
      </c>
      <c r="L535" s="24" t="s">
        <v>1334</v>
      </c>
      <c r="M535" s="24" t="s">
        <v>1335</v>
      </c>
      <c r="N535" s="24" t="s">
        <v>1336</v>
      </c>
      <c r="O535" s="23" t="s">
        <v>876</v>
      </c>
      <c r="P535" s="23"/>
      <c r="Q535" s="23">
        <v>2315</v>
      </c>
      <c r="R535" s="23">
        <v>18974</v>
      </c>
      <c r="S535" s="23" t="s">
        <v>877</v>
      </c>
      <c r="T535" s="23"/>
      <c r="U535" s="23"/>
      <c r="V535" s="23"/>
      <c r="W535" s="23"/>
      <c r="X535" s="23"/>
      <c r="Y535" s="23"/>
      <c r="Z535" s="24" t="s">
        <v>878</v>
      </c>
      <c r="AA535" s="23" t="s">
        <v>877</v>
      </c>
      <c r="AB535" s="23">
        <v>1</v>
      </c>
    </row>
    <row r="536" spans="1:28" ht="21.6" customHeight="1">
      <c r="A536" s="23">
        <v>12</v>
      </c>
      <c r="B536" s="23">
        <v>2026052498</v>
      </c>
      <c r="C536" s="23">
        <v>1</v>
      </c>
      <c r="D536" s="23" t="s">
        <v>868</v>
      </c>
      <c r="E536" s="23" t="s">
        <v>566</v>
      </c>
      <c r="F536" s="23" t="s">
        <v>1663</v>
      </c>
      <c r="G536" s="23" t="s">
        <v>1666</v>
      </c>
      <c r="H536" s="23" t="s">
        <v>1667</v>
      </c>
      <c r="I536" s="23" t="s">
        <v>621</v>
      </c>
      <c r="J536" s="23" t="s">
        <v>81</v>
      </c>
      <c r="K536" s="23" t="s">
        <v>873</v>
      </c>
      <c r="L536" s="24" t="s">
        <v>1344</v>
      </c>
      <c r="M536" s="24" t="s">
        <v>1345</v>
      </c>
      <c r="N536" s="24" t="s">
        <v>1346</v>
      </c>
      <c r="O536" s="23" t="s">
        <v>876</v>
      </c>
      <c r="P536" s="23"/>
      <c r="Q536" s="23">
        <v>330</v>
      </c>
      <c r="R536" s="23">
        <v>1597</v>
      </c>
      <c r="S536" s="23" t="s">
        <v>877</v>
      </c>
      <c r="T536" s="23"/>
      <c r="U536" s="23"/>
      <c r="V536" s="23"/>
      <c r="W536" s="23"/>
      <c r="X536" s="23"/>
      <c r="Y536" s="23"/>
      <c r="Z536" s="24" t="s">
        <v>878</v>
      </c>
      <c r="AA536" s="23" t="s">
        <v>877</v>
      </c>
      <c r="AB536" s="23">
        <v>1</v>
      </c>
    </row>
    <row r="537" spans="1:28" ht="21.6" customHeight="1">
      <c r="A537" s="23">
        <v>14</v>
      </c>
      <c r="B537" s="23">
        <v>2026052466</v>
      </c>
      <c r="C537" s="23">
        <v>1</v>
      </c>
      <c r="D537" s="23" t="s">
        <v>868</v>
      </c>
      <c r="E537" s="23" t="s">
        <v>566</v>
      </c>
      <c r="F537" s="23" t="s">
        <v>1663</v>
      </c>
      <c r="G537" s="23" t="s">
        <v>1451</v>
      </c>
      <c r="H537" s="23" t="s">
        <v>1668</v>
      </c>
      <c r="I537" s="23" t="s">
        <v>607</v>
      </c>
      <c r="J537" s="23" t="s">
        <v>81</v>
      </c>
      <c r="K537" s="23" t="s">
        <v>873</v>
      </c>
      <c r="L537" s="24" t="s">
        <v>1349</v>
      </c>
      <c r="M537" s="24" t="s">
        <v>1350</v>
      </c>
      <c r="N537" s="24" t="s">
        <v>1351</v>
      </c>
      <c r="O537" s="23" t="s">
        <v>876</v>
      </c>
      <c r="P537" s="23"/>
      <c r="Q537" s="23">
        <v>1768</v>
      </c>
      <c r="R537" s="23">
        <v>86459</v>
      </c>
      <c r="S537" s="23" t="s">
        <v>877</v>
      </c>
      <c r="T537" s="23"/>
      <c r="U537" s="23"/>
      <c r="V537" s="23"/>
      <c r="W537" s="23"/>
      <c r="X537" s="23"/>
      <c r="Y537" s="23"/>
      <c r="Z537" s="24" t="s">
        <v>1669</v>
      </c>
      <c r="AA537" s="23" t="s">
        <v>877</v>
      </c>
      <c r="AB537" s="23">
        <v>1</v>
      </c>
    </row>
    <row r="538" spans="1:28" ht="21.6" customHeight="1">
      <c r="A538" s="23">
        <v>19</v>
      </c>
      <c r="B538" s="23">
        <v>2026052455</v>
      </c>
      <c r="C538" s="23">
        <v>1</v>
      </c>
      <c r="D538" s="23" t="s">
        <v>868</v>
      </c>
      <c r="E538" s="23" t="s">
        <v>566</v>
      </c>
      <c r="F538" s="23" t="s">
        <v>1663</v>
      </c>
      <c r="G538" s="23" t="s">
        <v>1247</v>
      </c>
      <c r="H538" s="23" t="s">
        <v>1140</v>
      </c>
      <c r="I538" s="23" t="s">
        <v>631</v>
      </c>
      <c r="J538" s="23" t="s">
        <v>81</v>
      </c>
      <c r="K538" s="23" t="s">
        <v>873</v>
      </c>
      <c r="L538" s="24" t="s">
        <v>1352</v>
      </c>
      <c r="M538" s="24" t="s">
        <v>1353</v>
      </c>
      <c r="N538" s="24"/>
      <c r="O538" s="23" t="s">
        <v>876</v>
      </c>
      <c r="P538" s="23"/>
      <c r="Q538" s="23">
        <v>2490</v>
      </c>
      <c r="R538" s="23">
        <v>4488</v>
      </c>
      <c r="S538" s="23" t="s">
        <v>877</v>
      </c>
      <c r="T538" s="23"/>
      <c r="U538" s="23"/>
      <c r="V538" s="23"/>
      <c r="W538" s="23"/>
      <c r="X538" s="23"/>
      <c r="Y538" s="23"/>
      <c r="Z538" s="24" t="s">
        <v>1670</v>
      </c>
      <c r="AA538" s="23" t="s">
        <v>877</v>
      </c>
      <c r="AB538" s="23">
        <v>1</v>
      </c>
    </row>
    <row r="539" spans="1:28" ht="21.6" customHeight="1">
      <c r="A539" s="23">
        <v>21</v>
      </c>
      <c r="B539" s="23">
        <v>2026052414</v>
      </c>
      <c r="C539" s="23">
        <v>1</v>
      </c>
      <c r="D539" s="23" t="s">
        <v>868</v>
      </c>
      <c r="E539" s="23" t="s">
        <v>566</v>
      </c>
      <c r="F539" s="23" t="s">
        <v>1663</v>
      </c>
      <c r="G539" s="23" t="s">
        <v>1313</v>
      </c>
      <c r="H539" s="23" t="s">
        <v>1047</v>
      </c>
      <c r="I539" s="23" t="s">
        <v>577</v>
      </c>
      <c r="J539" s="23" t="s">
        <v>81</v>
      </c>
      <c r="K539" s="23" t="s">
        <v>873</v>
      </c>
      <c r="L539" s="24" t="s">
        <v>1355</v>
      </c>
      <c r="M539" s="24" t="s">
        <v>1356</v>
      </c>
      <c r="N539" s="24" t="s">
        <v>899</v>
      </c>
      <c r="O539" s="23" t="s">
        <v>876</v>
      </c>
      <c r="P539" s="23"/>
      <c r="Q539" s="23">
        <v>1320</v>
      </c>
      <c r="R539" s="23">
        <v>3015</v>
      </c>
      <c r="S539" s="23" t="s">
        <v>877</v>
      </c>
      <c r="T539" s="23"/>
      <c r="U539" s="23"/>
      <c r="V539" s="23"/>
      <c r="W539" s="23"/>
      <c r="X539" s="23"/>
      <c r="Y539" s="23"/>
      <c r="Z539" s="24" t="s">
        <v>878</v>
      </c>
      <c r="AA539" s="23" t="s">
        <v>877</v>
      </c>
      <c r="AB539" s="23">
        <v>1</v>
      </c>
    </row>
    <row r="540" spans="1:28" ht="21.6" customHeight="1">
      <c r="A540" s="23">
        <v>49</v>
      </c>
      <c r="B540" s="23">
        <v>2026052487</v>
      </c>
      <c r="C540" s="23">
        <v>1</v>
      </c>
      <c r="D540" s="23" t="s">
        <v>868</v>
      </c>
      <c r="E540" s="23" t="s">
        <v>566</v>
      </c>
      <c r="F540" s="23" t="s">
        <v>1663</v>
      </c>
      <c r="G540" s="23" t="s">
        <v>1521</v>
      </c>
      <c r="H540" s="23" t="s">
        <v>1671</v>
      </c>
      <c r="I540" s="23" t="s">
        <v>602</v>
      </c>
      <c r="J540" s="23" t="s">
        <v>75</v>
      </c>
      <c r="K540" s="23" t="s">
        <v>873</v>
      </c>
      <c r="L540" s="24" t="s">
        <v>1366</v>
      </c>
      <c r="M540" s="24" t="s">
        <v>1367</v>
      </c>
      <c r="N540" s="24"/>
      <c r="O540" s="23" t="s">
        <v>876</v>
      </c>
      <c r="P540" s="23"/>
      <c r="Q540" s="23">
        <v>2678</v>
      </c>
      <c r="R540" s="23">
        <v>29933</v>
      </c>
      <c r="S540" s="23" t="s">
        <v>877</v>
      </c>
      <c r="T540" s="23"/>
      <c r="U540" s="23"/>
      <c r="V540" s="23"/>
      <c r="W540" s="23"/>
      <c r="X540" s="23"/>
      <c r="Y540" s="23"/>
      <c r="Z540" s="24" t="s">
        <v>878</v>
      </c>
      <c r="AA540" s="23" t="s">
        <v>877</v>
      </c>
      <c r="AB540" s="23">
        <v>1</v>
      </c>
    </row>
    <row r="541" spans="1:28" ht="21.6" customHeight="1">
      <c r="A541" s="23">
        <v>61</v>
      </c>
      <c r="B541" s="23">
        <v>2026052419</v>
      </c>
      <c r="C541" s="23">
        <v>1</v>
      </c>
      <c r="D541" s="23" t="s">
        <v>868</v>
      </c>
      <c r="E541" s="23" t="s">
        <v>566</v>
      </c>
      <c r="F541" s="23" t="s">
        <v>1663</v>
      </c>
      <c r="G541" s="23" t="s">
        <v>1497</v>
      </c>
      <c r="H541" s="23" t="s">
        <v>1672</v>
      </c>
      <c r="I541" s="23" t="s">
        <v>572</v>
      </c>
      <c r="J541" s="23" t="s">
        <v>123</v>
      </c>
      <c r="K541" s="23" t="s">
        <v>873</v>
      </c>
      <c r="L541" s="24" t="s">
        <v>1319</v>
      </c>
      <c r="M541" s="24" t="s">
        <v>1320</v>
      </c>
      <c r="N541" s="24"/>
      <c r="O541" s="23" t="s">
        <v>876</v>
      </c>
      <c r="P541" s="23"/>
      <c r="Q541" s="23">
        <v>11464</v>
      </c>
      <c r="R541" s="23">
        <v>13000</v>
      </c>
      <c r="S541" s="23" t="s">
        <v>877</v>
      </c>
      <c r="T541" s="23"/>
      <c r="U541" s="23"/>
      <c r="V541" s="23"/>
      <c r="W541" s="23"/>
      <c r="X541" s="23"/>
      <c r="Y541" s="23"/>
      <c r="Z541" s="24" t="s">
        <v>1673</v>
      </c>
      <c r="AA541" s="23" t="s">
        <v>877</v>
      </c>
      <c r="AB541" s="23">
        <v>1</v>
      </c>
    </row>
    <row r="542" spans="1:28" ht="21.6" customHeight="1">
      <c r="A542" s="23">
        <v>68</v>
      </c>
      <c r="B542" s="23">
        <v>2026052404</v>
      </c>
      <c r="C542" s="23">
        <v>1</v>
      </c>
      <c r="D542" s="23" t="s">
        <v>868</v>
      </c>
      <c r="E542" s="23" t="s">
        <v>566</v>
      </c>
      <c r="F542" s="23" t="s">
        <v>1663</v>
      </c>
      <c r="G542" s="23" t="s">
        <v>1120</v>
      </c>
      <c r="H542" s="23" t="s">
        <v>1674</v>
      </c>
      <c r="I542" s="23" t="s">
        <v>646</v>
      </c>
      <c r="J542" s="23" t="s">
        <v>1368</v>
      </c>
      <c r="K542" s="23" t="s">
        <v>873</v>
      </c>
      <c r="L542" s="24" t="s">
        <v>1369</v>
      </c>
      <c r="M542" s="24" t="s">
        <v>1370</v>
      </c>
      <c r="N542" s="24"/>
      <c r="O542" s="23" t="s">
        <v>876</v>
      </c>
      <c r="P542" s="23"/>
      <c r="Q542" s="23"/>
      <c r="R542" s="23">
        <v>111254</v>
      </c>
      <c r="S542" s="23" t="s">
        <v>877</v>
      </c>
      <c r="T542" s="23"/>
      <c r="U542" s="23"/>
      <c r="V542" s="23"/>
      <c r="W542" s="23"/>
      <c r="X542" s="23"/>
      <c r="Y542" s="23"/>
      <c r="Z542" s="24" t="s">
        <v>878</v>
      </c>
      <c r="AA542" s="23" t="s">
        <v>877</v>
      </c>
      <c r="AB542" s="23">
        <v>1</v>
      </c>
    </row>
    <row r="543" spans="1:28" ht="21.6" customHeight="1">
      <c r="A543" s="23">
        <v>185</v>
      </c>
      <c r="B543" s="23">
        <v>2026052417</v>
      </c>
      <c r="C543" s="23">
        <v>1</v>
      </c>
      <c r="D543" s="23" t="s">
        <v>868</v>
      </c>
      <c r="E543" s="23" t="s">
        <v>206</v>
      </c>
      <c r="F543" s="23" t="s">
        <v>1663</v>
      </c>
      <c r="G543" s="23" t="s">
        <v>930</v>
      </c>
      <c r="H543" s="23" t="s">
        <v>1047</v>
      </c>
      <c r="I543" s="23" t="s">
        <v>474</v>
      </c>
      <c r="J543" s="23" t="s">
        <v>81</v>
      </c>
      <c r="K543" s="23" t="s">
        <v>873</v>
      </c>
      <c r="L543" s="24" t="s">
        <v>1242</v>
      </c>
      <c r="M543" s="24" t="s">
        <v>1552</v>
      </c>
      <c r="N543" s="24" t="s">
        <v>1553</v>
      </c>
      <c r="O543" s="23" t="s">
        <v>876</v>
      </c>
      <c r="P543" s="23"/>
      <c r="Q543" s="23">
        <v>7732</v>
      </c>
      <c r="R543" s="23">
        <v>7356</v>
      </c>
      <c r="S543" s="23" t="s">
        <v>877</v>
      </c>
      <c r="T543" s="23"/>
      <c r="U543" s="23"/>
      <c r="V543" s="23"/>
      <c r="W543" s="23"/>
      <c r="X543" s="23"/>
      <c r="Y543" s="23"/>
      <c r="Z543" s="24" t="s">
        <v>1011</v>
      </c>
      <c r="AA543" s="23"/>
      <c r="AB543" s="23"/>
    </row>
    <row r="544" spans="1:28" ht="21.6" customHeight="1">
      <c r="A544" s="23">
        <v>12</v>
      </c>
      <c r="B544" s="23">
        <v>2026052587</v>
      </c>
      <c r="C544" s="23">
        <v>1</v>
      </c>
      <c r="D544" s="23" t="s">
        <v>868</v>
      </c>
      <c r="E544" s="23" t="s">
        <v>566</v>
      </c>
      <c r="F544" s="23" t="s">
        <v>1675</v>
      </c>
      <c r="G544" s="23" t="s">
        <v>1047</v>
      </c>
      <c r="H544" s="23" t="s">
        <v>1676</v>
      </c>
      <c r="I544" s="23" t="s">
        <v>597</v>
      </c>
      <c r="J544" s="23" t="s">
        <v>127</v>
      </c>
      <c r="K544" s="23" t="s">
        <v>873</v>
      </c>
      <c r="L544" s="24" t="s">
        <v>1342</v>
      </c>
      <c r="M544" s="24" t="s">
        <v>1343</v>
      </c>
      <c r="N544" s="24"/>
      <c r="O544" s="23" t="s">
        <v>876</v>
      </c>
      <c r="P544" s="23"/>
      <c r="Q544" s="23">
        <v>196</v>
      </c>
      <c r="R544" s="23">
        <v>9175</v>
      </c>
      <c r="S544" s="23" t="s">
        <v>877</v>
      </c>
      <c r="T544" s="23"/>
      <c r="U544" s="23"/>
      <c r="V544" s="23"/>
      <c r="W544" s="23"/>
      <c r="X544" s="23"/>
      <c r="Y544" s="23"/>
      <c r="Z544" s="24" t="s">
        <v>1337</v>
      </c>
      <c r="AA544" s="23" t="s">
        <v>877</v>
      </c>
      <c r="AB544" s="23">
        <v>1</v>
      </c>
    </row>
    <row r="545" spans="1:28" ht="21.6" customHeight="1">
      <c r="A545" s="23">
        <v>31</v>
      </c>
      <c r="B545" s="23">
        <v>2026052605</v>
      </c>
      <c r="C545" s="23">
        <v>1</v>
      </c>
      <c r="D545" s="23" t="s">
        <v>868</v>
      </c>
      <c r="E545" s="23" t="s">
        <v>566</v>
      </c>
      <c r="F545" s="23" t="s">
        <v>1675</v>
      </c>
      <c r="G545" s="23" t="s">
        <v>1677</v>
      </c>
      <c r="H545" s="23" t="s">
        <v>891</v>
      </c>
      <c r="I545" s="23" t="s">
        <v>616</v>
      </c>
      <c r="J545" s="23" t="s">
        <v>81</v>
      </c>
      <c r="K545" s="23" t="s">
        <v>873</v>
      </c>
      <c r="L545" s="24" t="s">
        <v>1361</v>
      </c>
      <c r="M545" s="24" t="s">
        <v>1362</v>
      </c>
      <c r="N545" s="24"/>
      <c r="O545" s="23" t="s">
        <v>876</v>
      </c>
      <c r="P545" s="23"/>
      <c r="Q545" s="23">
        <v>1126</v>
      </c>
      <c r="R545" s="23">
        <v>13688</v>
      </c>
      <c r="S545" s="23" t="s">
        <v>877</v>
      </c>
      <c r="T545" s="23"/>
      <c r="U545" s="23"/>
      <c r="V545" s="23"/>
      <c r="W545" s="23"/>
      <c r="X545" s="23"/>
      <c r="Y545" s="23"/>
      <c r="Z545" s="24" t="s">
        <v>1337</v>
      </c>
      <c r="AA545" s="23" t="s">
        <v>877</v>
      </c>
      <c r="AB545" s="23">
        <v>1</v>
      </c>
    </row>
    <row r="546" spans="1:28" ht="21.6" customHeight="1">
      <c r="A546" s="23">
        <v>36</v>
      </c>
      <c r="B546" s="23">
        <v>2026052579</v>
      </c>
      <c r="C546" s="23">
        <v>1</v>
      </c>
      <c r="D546" s="23" t="s">
        <v>868</v>
      </c>
      <c r="E546" s="23" t="s">
        <v>566</v>
      </c>
      <c r="F546" s="23" t="s">
        <v>1675</v>
      </c>
      <c r="G546" s="23" t="s">
        <v>1299</v>
      </c>
      <c r="H546" s="23" t="s">
        <v>1678</v>
      </c>
      <c r="I546" s="23" t="s">
        <v>1363</v>
      </c>
      <c r="J546" s="23" t="s">
        <v>81</v>
      </c>
      <c r="K546" s="23" t="s">
        <v>873</v>
      </c>
      <c r="L546" s="24" t="s">
        <v>1364</v>
      </c>
      <c r="M546" s="24" t="s">
        <v>1365</v>
      </c>
      <c r="N546" s="24"/>
      <c r="O546" s="23" t="s">
        <v>876</v>
      </c>
      <c r="P546" s="23"/>
      <c r="Q546" s="23">
        <v>68</v>
      </c>
      <c r="R546" s="23">
        <v>4986</v>
      </c>
      <c r="S546" s="23" t="s">
        <v>877</v>
      </c>
      <c r="T546" s="23"/>
      <c r="U546" s="23"/>
      <c r="V546" s="23"/>
      <c r="W546" s="23"/>
      <c r="X546" s="23"/>
      <c r="Y546" s="23"/>
      <c r="Z546" s="24" t="s">
        <v>878</v>
      </c>
      <c r="AA546" s="23" t="s">
        <v>877</v>
      </c>
      <c r="AB546" s="23">
        <v>1</v>
      </c>
    </row>
    <row r="547" spans="1:28" ht="21.6" customHeight="1">
      <c r="A547" s="23">
        <v>127</v>
      </c>
      <c r="B547" s="23">
        <v>2026052683</v>
      </c>
      <c r="C547" s="23">
        <v>1</v>
      </c>
      <c r="D547" s="23" t="s">
        <v>868</v>
      </c>
      <c r="E547" s="23" t="s">
        <v>52</v>
      </c>
      <c r="F547" s="23" t="s">
        <v>1675</v>
      </c>
      <c r="G547" s="23" t="s">
        <v>1679</v>
      </c>
      <c r="H547" s="23" t="s">
        <v>1680</v>
      </c>
      <c r="I547" s="23" t="s">
        <v>168</v>
      </c>
      <c r="J547" s="23" t="s">
        <v>53</v>
      </c>
      <c r="K547" s="23" t="s">
        <v>873</v>
      </c>
      <c r="L547" s="24" t="s">
        <v>1373</v>
      </c>
      <c r="M547" s="24" t="s">
        <v>1443</v>
      </c>
      <c r="N547" s="24"/>
      <c r="O547" s="23" t="s">
        <v>876</v>
      </c>
      <c r="P547" s="23"/>
      <c r="Q547" s="23"/>
      <c r="R547" s="23">
        <v>49225</v>
      </c>
      <c r="S547" s="23" t="s">
        <v>877</v>
      </c>
      <c r="T547" s="23"/>
      <c r="U547" s="23"/>
      <c r="V547" s="23"/>
      <c r="W547" s="23"/>
      <c r="X547" s="23"/>
      <c r="Y547" s="23"/>
      <c r="Z547" s="24" t="s">
        <v>980</v>
      </c>
      <c r="AA547" s="23"/>
      <c r="AB547" s="23"/>
    </row>
    <row r="548" spans="1:28" ht="21.6" customHeight="1">
      <c r="A548" s="23">
        <v>134</v>
      </c>
      <c r="B548" s="23">
        <v>2026052674</v>
      </c>
      <c r="C548" s="23">
        <v>1</v>
      </c>
      <c r="D548" s="23" t="s">
        <v>868</v>
      </c>
      <c r="E548" s="23" t="s">
        <v>52</v>
      </c>
      <c r="F548" s="23" t="s">
        <v>1675</v>
      </c>
      <c r="G548" s="23" t="s">
        <v>969</v>
      </c>
      <c r="H548" s="23" t="s">
        <v>1641</v>
      </c>
      <c r="I548" s="23" t="s">
        <v>1589</v>
      </c>
      <c r="J548" s="23" t="s">
        <v>60</v>
      </c>
      <c r="K548" s="23" t="s">
        <v>873</v>
      </c>
      <c r="L548" s="24" t="s">
        <v>1373</v>
      </c>
      <c r="M548" s="24" t="s">
        <v>1590</v>
      </c>
      <c r="N548" s="24"/>
      <c r="O548" s="23" t="s">
        <v>876</v>
      </c>
      <c r="P548" s="23"/>
      <c r="Q548" s="23"/>
      <c r="R548" s="23">
        <v>30535</v>
      </c>
      <c r="S548" s="23" t="s">
        <v>877</v>
      </c>
      <c r="T548" s="23"/>
      <c r="U548" s="23"/>
      <c r="V548" s="23"/>
      <c r="W548" s="23"/>
      <c r="X548" s="23"/>
      <c r="Y548" s="23"/>
      <c r="Z548" s="24" t="s">
        <v>980</v>
      </c>
      <c r="AA548" s="23"/>
      <c r="AB548" s="23"/>
    </row>
  </sheetData>
  <autoFilter ref="A1:AB504" xr:uid="{00000000-0009-0000-0000-000007000000}">
    <filterColumn colId="4">
      <filters>
        <filter val="湯家瑋"/>
      </filters>
    </filterColumn>
    <filterColumn colId="5">
      <filters>
        <filter val="2026-01-02"/>
        <filter val="2026-01-06"/>
        <filter val="2026-01-07"/>
        <filter val="2026-01-08"/>
        <filter val="2026-01-09"/>
        <filter val="2026-01-12"/>
        <filter val="2026-01-13"/>
        <filter val="2026-01-14"/>
        <filter val="2026-01-15"/>
        <filter val="2026-01-16"/>
        <filter val="2026-01-19"/>
        <filter val="2026-01-20"/>
        <filter val="2026-01-21"/>
        <filter val="2026-01-22"/>
        <filter val="2026-01-23"/>
        <filter val="2026-01-27"/>
        <filter val="2026-01-28"/>
        <filter val="2026-01-29"/>
        <filter val="2026-01-30"/>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625"/>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01" width="8.88671875" style="13" customWidth="1"/>
    <col min="102" max="16384" width="8.88671875" style="13"/>
  </cols>
  <sheetData>
    <row r="1" spans="1:39" ht="21.6" customHeight="1">
      <c r="A1" s="12" t="s">
        <v>30</v>
      </c>
      <c r="B1" s="12" t="s">
        <v>1681</v>
      </c>
      <c r="C1" s="12" t="s">
        <v>1682</v>
      </c>
      <c r="D1" s="12" t="s">
        <v>1683</v>
      </c>
      <c r="E1" s="12" t="s">
        <v>1684</v>
      </c>
      <c r="F1" s="12" t="s">
        <v>1685</v>
      </c>
      <c r="G1" s="12" t="s">
        <v>1686</v>
      </c>
      <c r="H1" s="12" t="s">
        <v>1687</v>
      </c>
      <c r="I1" s="12" t="s">
        <v>1688</v>
      </c>
      <c r="J1" s="12" t="s">
        <v>1689</v>
      </c>
      <c r="K1" s="12" t="s">
        <v>1690</v>
      </c>
      <c r="L1" s="12" t="s">
        <v>1691</v>
      </c>
      <c r="M1" s="12" t="s">
        <v>1692</v>
      </c>
      <c r="N1" s="12" t="s">
        <v>1693</v>
      </c>
      <c r="O1" s="12" t="s">
        <v>1694</v>
      </c>
      <c r="P1" s="12" t="s">
        <v>1695</v>
      </c>
      <c r="Q1" s="12" t="s">
        <v>852</v>
      </c>
      <c r="R1" s="12" t="s">
        <v>847</v>
      </c>
      <c r="S1" s="12" t="s">
        <v>848</v>
      </c>
      <c r="T1" s="12" t="s">
        <v>1696</v>
      </c>
      <c r="U1" s="12" t="s">
        <v>1697</v>
      </c>
      <c r="V1" s="12" t="s">
        <v>1698</v>
      </c>
      <c r="W1" s="12" t="s">
        <v>1699</v>
      </c>
      <c r="X1" s="15" t="s">
        <v>1700</v>
      </c>
      <c r="Y1" s="12" t="s">
        <v>1701</v>
      </c>
      <c r="Z1" s="12" t="s">
        <v>1702</v>
      </c>
      <c r="AA1" s="12" t="s">
        <v>1703</v>
      </c>
      <c r="AB1" s="12" t="s">
        <v>1704</v>
      </c>
      <c r="AC1" s="12" t="s">
        <v>1705</v>
      </c>
      <c r="AD1" s="12" t="s">
        <v>782</v>
      </c>
      <c r="AE1" s="12" t="s">
        <v>859</v>
      </c>
      <c r="AF1" s="12" t="s">
        <v>860</v>
      </c>
      <c r="AG1" s="12" t="s">
        <v>861</v>
      </c>
      <c r="AH1" s="12" t="s">
        <v>862</v>
      </c>
      <c r="AI1" s="12" t="s">
        <v>863</v>
      </c>
      <c r="AJ1" s="12" t="s">
        <v>864</v>
      </c>
      <c r="AK1" s="12" t="s">
        <v>866</v>
      </c>
      <c r="AL1" s="16" t="s">
        <v>1706</v>
      </c>
      <c r="AM1" s="14"/>
    </row>
    <row r="2" spans="1:39" ht="21.6" customHeight="1">
      <c r="A2" s="17">
        <v>1</v>
      </c>
      <c r="B2" s="17" t="s">
        <v>783</v>
      </c>
      <c r="C2" s="17">
        <v>2026010004</v>
      </c>
      <c r="D2" s="17" t="s">
        <v>1707</v>
      </c>
      <c r="E2" s="17" t="s">
        <v>1708</v>
      </c>
      <c r="F2" s="17">
        <v>2442</v>
      </c>
      <c r="G2" s="17" t="s">
        <v>1709</v>
      </c>
      <c r="H2" s="17" t="s">
        <v>1710</v>
      </c>
      <c r="I2" s="17" t="s">
        <v>1711</v>
      </c>
      <c r="J2" s="17" t="s">
        <v>1712</v>
      </c>
      <c r="K2" s="17" t="s">
        <v>1713</v>
      </c>
      <c r="L2" s="17" t="s">
        <v>1714</v>
      </c>
      <c r="M2" s="18" t="s">
        <v>1715</v>
      </c>
      <c r="N2" s="17">
        <v>2306</v>
      </c>
      <c r="O2" s="18" t="s">
        <v>1716</v>
      </c>
      <c r="P2" s="19" t="s">
        <v>1717</v>
      </c>
      <c r="Q2" s="17" t="s">
        <v>1718</v>
      </c>
      <c r="R2" s="17" t="s">
        <v>1719</v>
      </c>
      <c r="S2" s="17" t="s">
        <v>206</v>
      </c>
      <c r="T2" s="17">
        <v>1</v>
      </c>
      <c r="U2" s="17" t="s">
        <v>1720</v>
      </c>
      <c r="V2" s="17" t="s">
        <v>1721</v>
      </c>
      <c r="W2" s="17" t="s">
        <v>1722</v>
      </c>
      <c r="X2" s="70">
        <v>46023.548611111109</v>
      </c>
      <c r="Y2" s="17" t="s">
        <v>1723</v>
      </c>
      <c r="Z2" s="17">
        <v>0.7</v>
      </c>
      <c r="AA2" s="17"/>
      <c r="AB2" s="17" t="s">
        <v>1724</v>
      </c>
      <c r="AC2" s="20" t="s">
        <v>1725</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1726</v>
      </c>
      <c r="E3" s="17" t="s">
        <v>1727</v>
      </c>
      <c r="F3" s="17">
        <v>2442</v>
      </c>
      <c r="G3" s="17" t="s">
        <v>1709</v>
      </c>
      <c r="H3" s="17" t="s">
        <v>1710</v>
      </c>
      <c r="I3" s="17" t="s">
        <v>1728</v>
      </c>
      <c r="J3" s="17" t="s">
        <v>1712</v>
      </c>
      <c r="K3" s="17" t="s">
        <v>1713</v>
      </c>
      <c r="L3" s="17" t="s">
        <v>1714</v>
      </c>
      <c r="M3" s="18" t="s">
        <v>1715</v>
      </c>
      <c r="N3" s="17">
        <v>2306</v>
      </c>
      <c r="O3" s="18" t="s">
        <v>1716</v>
      </c>
      <c r="P3" s="19" t="s">
        <v>1729</v>
      </c>
      <c r="Q3" s="17" t="s">
        <v>1718</v>
      </c>
      <c r="R3" s="17" t="s">
        <v>1719</v>
      </c>
      <c r="S3" s="17" t="s">
        <v>206</v>
      </c>
      <c r="T3" s="17">
        <v>1</v>
      </c>
      <c r="U3" s="17" t="s">
        <v>1720</v>
      </c>
      <c r="V3" s="17" t="s">
        <v>1730</v>
      </c>
      <c r="W3" s="17" t="s">
        <v>1722</v>
      </c>
      <c r="X3" s="70">
        <v>46023.548611111109</v>
      </c>
      <c r="Y3" s="17" t="s">
        <v>1731</v>
      </c>
      <c r="Z3" s="17">
        <v>0.7</v>
      </c>
      <c r="AA3" s="17"/>
      <c r="AB3" s="17" t="s">
        <v>1724</v>
      </c>
      <c r="AC3" s="20" t="s">
        <v>1725</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1732</v>
      </c>
      <c r="E4" s="17" t="s">
        <v>1727</v>
      </c>
      <c r="F4" s="17">
        <v>2442</v>
      </c>
      <c r="G4" s="17" t="s">
        <v>1709</v>
      </c>
      <c r="H4" s="17" t="s">
        <v>1710</v>
      </c>
      <c r="I4" s="17" t="s">
        <v>1733</v>
      </c>
      <c r="J4" s="17" t="s">
        <v>1712</v>
      </c>
      <c r="K4" s="17" t="s">
        <v>1713</v>
      </c>
      <c r="L4" s="17" t="s">
        <v>1734</v>
      </c>
      <c r="M4" s="18" t="s">
        <v>1735</v>
      </c>
      <c r="N4" s="17">
        <v>2501</v>
      </c>
      <c r="O4" s="18" t="s">
        <v>1736</v>
      </c>
      <c r="P4" s="19" t="s">
        <v>1737</v>
      </c>
      <c r="Q4" s="17" t="s">
        <v>1718</v>
      </c>
      <c r="R4" s="17" t="s">
        <v>1719</v>
      </c>
      <c r="S4" s="17" t="s">
        <v>206</v>
      </c>
      <c r="T4" s="17">
        <v>1</v>
      </c>
      <c r="U4" s="17" t="s">
        <v>1720</v>
      </c>
      <c r="V4" s="17" t="s">
        <v>1738</v>
      </c>
      <c r="W4" s="17" t="s">
        <v>1739</v>
      </c>
      <c r="X4" s="70">
        <v>46023.520833333343</v>
      </c>
      <c r="Y4" s="17" t="s">
        <v>1731</v>
      </c>
      <c r="Z4" s="17">
        <v>0.5</v>
      </c>
      <c r="AA4" s="17"/>
      <c r="AB4" s="17" t="s">
        <v>1724</v>
      </c>
      <c r="AC4" s="20" t="s">
        <v>1725</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1740</v>
      </c>
      <c r="E5" s="17" t="s">
        <v>1727</v>
      </c>
      <c r="F5" s="17">
        <v>2109</v>
      </c>
      <c r="G5" s="17" t="s">
        <v>1741</v>
      </c>
      <c r="H5" s="17" t="s">
        <v>1742</v>
      </c>
      <c r="I5" s="17" t="s">
        <v>1743</v>
      </c>
      <c r="J5" s="17" t="s">
        <v>1712</v>
      </c>
      <c r="K5" s="17" t="s">
        <v>1744</v>
      </c>
      <c r="L5" s="17" t="s">
        <v>1745</v>
      </c>
      <c r="M5" s="18" t="s">
        <v>1746</v>
      </c>
      <c r="N5" s="17" t="s">
        <v>1747</v>
      </c>
      <c r="O5" s="18" t="s">
        <v>1748</v>
      </c>
      <c r="P5" s="19" t="s">
        <v>1749</v>
      </c>
      <c r="Q5" s="17" t="s">
        <v>1750</v>
      </c>
      <c r="R5" s="17" t="s">
        <v>1719</v>
      </c>
      <c r="S5" s="17" t="s">
        <v>206</v>
      </c>
      <c r="T5" s="17">
        <v>1</v>
      </c>
      <c r="U5" s="17" t="s">
        <v>1720</v>
      </c>
      <c r="V5" s="17" t="s">
        <v>1751</v>
      </c>
      <c r="W5" s="17" t="s">
        <v>1752</v>
      </c>
      <c r="X5" s="70">
        <v>46024.375</v>
      </c>
      <c r="Y5" s="17" t="s">
        <v>1731</v>
      </c>
      <c r="Z5" s="17">
        <v>0.5</v>
      </c>
      <c r="AA5" s="17"/>
      <c r="AB5" s="17" t="s">
        <v>1724</v>
      </c>
      <c r="AC5" s="20" t="s">
        <v>1753</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1741</v>
      </c>
      <c r="H6" s="17" t="s">
        <v>1742</v>
      </c>
      <c r="I6" s="17"/>
      <c r="J6" s="17"/>
      <c r="K6" s="17"/>
      <c r="L6" s="17"/>
      <c r="M6" s="18"/>
      <c r="N6" s="17"/>
      <c r="O6" s="18"/>
      <c r="P6" s="19"/>
      <c r="Q6" s="17" t="s">
        <v>1750</v>
      </c>
      <c r="R6" s="17" t="s">
        <v>1719</v>
      </c>
      <c r="S6" s="17" t="s">
        <v>206</v>
      </c>
      <c r="T6" s="17">
        <v>1</v>
      </c>
      <c r="U6" s="17" t="s">
        <v>1720</v>
      </c>
      <c r="V6" s="17" t="s">
        <v>1754</v>
      </c>
      <c r="W6" s="17" t="s">
        <v>1755</v>
      </c>
      <c r="X6" s="70">
        <v>46024.395833333343</v>
      </c>
      <c r="Y6" s="17"/>
      <c r="Z6" s="17">
        <v>0.5</v>
      </c>
      <c r="AA6" s="17"/>
      <c r="AB6" s="17" t="s">
        <v>1724</v>
      </c>
      <c r="AC6" s="20" t="s">
        <v>1756</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1757</v>
      </c>
      <c r="E7" s="17" t="s">
        <v>1727</v>
      </c>
      <c r="F7" s="17">
        <v>2399</v>
      </c>
      <c r="G7" s="17" t="s">
        <v>1758</v>
      </c>
      <c r="H7" s="17" t="s">
        <v>1759</v>
      </c>
      <c r="I7" s="17" t="s">
        <v>1760</v>
      </c>
      <c r="J7" s="17" t="s">
        <v>1712</v>
      </c>
      <c r="K7" s="17" t="s">
        <v>1744</v>
      </c>
      <c r="L7" s="17" t="s">
        <v>1761</v>
      </c>
      <c r="M7" s="18" t="s">
        <v>1762</v>
      </c>
      <c r="N7" s="17">
        <v>2702</v>
      </c>
      <c r="O7" s="18" t="s">
        <v>1763</v>
      </c>
      <c r="P7" s="19" t="s">
        <v>1764</v>
      </c>
      <c r="Q7" s="17" t="s">
        <v>1765</v>
      </c>
      <c r="R7" s="17" t="s">
        <v>1719</v>
      </c>
      <c r="S7" s="17" t="s">
        <v>566</v>
      </c>
      <c r="T7" s="17">
        <v>1</v>
      </c>
      <c r="U7" s="17" t="s">
        <v>1720</v>
      </c>
      <c r="V7" s="17" t="s">
        <v>1766</v>
      </c>
      <c r="W7" s="17" t="s">
        <v>1767</v>
      </c>
      <c r="X7" s="70">
        <v>46024.4375</v>
      </c>
      <c r="Y7" s="17" t="s">
        <v>1731</v>
      </c>
      <c r="Z7" s="17">
        <v>0.5</v>
      </c>
      <c r="AA7" s="17"/>
      <c r="AB7" s="17" t="s">
        <v>1724</v>
      </c>
      <c r="AC7" s="20" t="s">
        <v>1768</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1769</v>
      </c>
      <c r="E8" s="17" t="s">
        <v>1727</v>
      </c>
      <c r="F8" s="17">
        <v>4852</v>
      </c>
      <c r="G8" s="17" t="s">
        <v>1770</v>
      </c>
      <c r="H8" s="17" t="s">
        <v>1771</v>
      </c>
      <c r="I8" s="17" t="s">
        <v>1772</v>
      </c>
      <c r="J8" s="17" t="s">
        <v>1712</v>
      </c>
      <c r="K8" s="17" t="s">
        <v>1744</v>
      </c>
      <c r="L8" s="17" t="s">
        <v>1773</v>
      </c>
      <c r="M8" s="18" t="s">
        <v>1774</v>
      </c>
      <c r="N8" s="17">
        <v>5801</v>
      </c>
      <c r="O8" s="18" t="s">
        <v>1775</v>
      </c>
      <c r="P8" s="19" t="s">
        <v>1776</v>
      </c>
      <c r="Q8" s="17" t="s">
        <v>1777</v>
      </c>
      <c r="R8" s="17" t="s">
        <v>1719</v>
      </c>
      <c r="S8" s="17" t="s">
        <v>52</v>
      </c>
      <c r="T8" s="17">
        <v>1</v>
      </c>
      <c r="U8" s="17" t="s">
        <v>1720</v>
      </c>
      <c r="V8" s="17" t="s">
        <v>1778</v>
      </c>
      <c r="W8" s="17" t="s">
        <v>1779</v>
      </c>
      <c r="X8" s="70">
        <v>46024.631944444453</v>
      </c>
      <c r="Y8" s="17" t="s">
        <v>1731</v>
      </c>
      <c r="Z8" s="17">
        <v>0.3</v>
      </c>
      <c r="AA8" s="17"/>
      <c r="AB8" s="17" t="s">
        <v>1724</v>
      </c>
      <c r="AC8" s="20" t="s">
        <v>1780</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1758</v>
      </c>
      <c r="H9" s="17" t="s">
        <v>1759</v>
      </c>
      <c r="I9" s="17"/>
      <c r="J9" s="17"/>
      <c r="K9" s="17"/>
      <c r="L9" s="17"/>
      <c r="M9" s="18"/>
      <c r="N9" s="17"/>
      <c r="O9" s="18"/>
      <c r="P9" s="19"/>
      <c r="Q9" s="17" t="s">
        <v>1765</v>
      </c>
      <c r="R9" s="17" t="s">
        <v>1719</v>
      </c>
      <c r="S9" s="17" t="s">
        <v>566</v>
      </c>
      <c r="T9" s="17">
        <v>1</v>
      </c>
      <c r="U9" s="17" t="s">
        <v>1720</v>
      </c>
      <c r="V9" s="17" t="s">
        <v>1781</v>
      </c>
      <c r="W9" s="17" t="s">
        <v>1782</v>
      </c>
      <c r="X9" s="70">
        <v>46024.416666666657</v>
      </c>
      <c r="Y9" s="17"/>
      <c r="Z9" s="17">
        <v>0.3</v>
      </c>
      <c r="AA9" s="17"/>
      <c r="AB9" s="17" t="s">
        <v>1724</v>
      </c>
      <c r="AC9" s="20" t="s">
        <v>1783</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1784</v>
      </c>
      <c r="E10" s="17" t="s">
        <v>1727</v>
      </c>
      <c r="F10" s="17">
        <v>3913</v>
      </c>
      <c r="G10" s="17" t="s">
        <v>1785</v>
      </c>
      <c r="H10" s="17" t="s">
        <v>1786</v>
      </c>
      <c r="I10" s="17" t="s">
        <v>1787</v>
      </c>
      <c r="J10" s="17" t="s">
        <v>1788</v>
      </c>
      <c r="K10" s="17" t="s">
        <v>1713</v>
      </c>
      <c r="L10" s="17" t="s">
        <v>1789</v>
      </c>
      <c r="M10" s="18" t="s">
        <v>1790</v>
      </c>
      <c r="N10" s="17" t="s">
        <v>1791</v>
      </c>
      <c r="O10" s="18" t="s">
        <v>1792</v>
      </c>
      <c r="P10" s="19" t="s">
        <v>1793</v>
      </c>
      <c r="Q10" s="17" t="s">
        <v>1794</v>
      </c>
      <c r="R10" s="17" t="s">
        <v>1719</v>
      </c>
      <c r="S10" s="17" t="s">
        <v>566</v>
      </c>
      <c r="T10" s="17">
        <v>1</v>
      </c>
      <c r="U10" s="17" t="s">
        <v>1720</v>
      </c>
      <c r="V10" s="17" t="s">
        <v>1795</v>
      </c>
      <c r="W10" s="17" t="s">
        <v>1796</v>
      </c>
      <c r="X10" s="70">
        <v>46024.638888888891</v>
      </c>
      <c r="Y10" s="17" t="s">
        <v>1797</v>
      </c>
      <c r="Z10" s="17">
        <v>0.3</v>
      </c>
      <c r="AA10" s="17"/>
      <c r="AB10" s="17" t="s">
        <v>1724</v>
      </c>
      <c r="AC10" s="20" t="s">
        <v>1798</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1799</v>
      </c>
      <c r="E11" s="17" t="s">
        <v>1727</v>
      </c>
      <c r="F11" s="17">
        <v>3913</v>
      </c>
      <c r="G11" s="17" t="s">
        <v>1785</v>
      </c>
      <c r="H11" s="17" t="s">
        <v>1786</v>
      </c>
      <c r="I11" s="17" t="s">
        <v>1800</v>
      </c>
      <c r="J11" s="17" t="s">
        <v>1788</v>
      </c>
      <c r="K11" s="17" t="s">
        <v>1713</v>
      </c>
      <c r="L11" s="17" t="s">
        <v>1789</v>
      </c>
      <c r="M11" s="18" t="s">
        <v>1790</v>
      </c>
      <c r="N11" s="17" t="s">
        <v>1791</v>
      </c>
      <c r="O11" s="18" t="s">
        <v>1792</v>
      </c>
      <c r="P11" s="19" t="s">
        <v>1801</v>
      </c>
      <c r="Q11" s="17" t="s">
        <v>1794</v>
      </c>
      <c r="R11" s="17" t="s">
        <v>1719</v>
      </c>
      <c r="S11" s="17" t="s">
        <v>566</v>
      </c>
      <c r="T11" s="17">
        <v>1</v>
      </c>
      <c r="U11" s="17" t="s">
        <v>1720</v>
      </c>
      <c r="V11" s="17" t="s">
        <v>1802</v>
      </c>
      <c r="W11" s="17" t="s">
        <v>1803</v>
      </c>
      <c r="X11" s="70">
        <v>46024.652777777781</v>
      </c>
      <c r="Y11" s="17" t="s">
        <v>1797</v>
      </c>
      <c r="Z11" s="17">
        <v>0.3</v>
      </c>
      <c r="AA11" s="17"/>
      <c r="AB11" s="17" t="s">
        <v>1724</v>
      </c>
      <c r="AC11" s="20" t="s">
        <v>1798</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1804</v>
      </c>
      <c r="H12" s="17" t="s">
        <v>1805</v>
      </c>
      <c r="I12" s="17"/>
      <c r="J12" s="17"/>
      <c r="K12" s="17"/>
      <c r="L12" s="17"/>
      <c r="M12" s="18"/>
      <c r="N12" s="17"/>
      <c r="O12" s="18"/>
      <c r="P12" s="19"/>
      <c r="Q12" s="17" t="s">
        <v>1806</v>
      </c>
      <c r="R12" s="17" t="s">
        <v>1719</v>
      </c>
      <c r="S12" s="17" t="s">
        <v>206</v>
      </c>
      <c r="T12" s="17">
        <v>1</v>
      </c>
      <c r="U12" s="17" t="s">
        <v>1720</v>
      </c>
      <c r="V12" s="17" t="s">
        <v>1807</v>
      </c>
      <c r="W12" s="17" t="s">
        <v>1808</v>
      </c>
      <c r="X12" s="70">
        <v>46024.458333333343</v>
      </c>
      <c r="Y12" s="17"/>
      <c r="Z12" s="17">
        <v>0.5</v>
      </c>
      <c r="AA12" s="17"/>
      <c r="AB12" s="17" t="s">
        <v>1724</v>
      </c>
      <c r="AC12" s="20" t="s">
        <v>1809</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1810</v>
      </c>
      <c r="E13" s="17" t="s">
        <v>1727</v>
      </c>
      <c r="F13" s="17">
        <v>4788</v>
      </c>
      <c r="G13" s="17" t="s">
        <v>1811</v>
      </c>
      <c r="H13" s="17" t="s">
        <v>1812</v>
      </c>
      <c r="I13" s="17" t="s">
        <v>1813</v>
      </c>
      <c r="J13" s="17" t="s">
        <v>1788</v>
      </c>
      <c r="K13" s="17" t="s">
        <v>1713</v>
      </c>
      <c r="L13" s="17" t="s">
        <v>1789</v>
      </c>
      <c r="M13" s="18" t="s">
        <v>1790</v>
      </c>
      <c r="N13" s="17" t="s">
        <v>1791</v>
      </c>
      <c r="O13" s="18" t="s">
        <v>1792</v>
      </c>
      <c r="P13" s="19" t="s">
        <v>1814</v>
      </c>
      <c r="Q13" s="17" t="s">
        <v>1815</v>
      </c>
      <c r="R13" s="17" t="s">
        <v>1719</v>
      </c>
      <c r="S13" s="17" t="s">
        <v>52</v>
      </c>
      <c r="T13" s="17">
        <v>1</v>
      </c>
      <c r="U13" s="17" t="s">
        <v>1720</v>
      </c>
      <c r="V13" s="17" t="s">
        <v>1816</v>
      </c>
      <c r="W13" s="17" t="s">
        <v>1817</v>
      </c>
      <c r="X13" s="70">
        <v>46024.5</v>
      </c>
      <c r="Y13" s="17" t="s">
        <v>1818</v>
      </c>
      <c r="Z13" s="17">
        <v>0.3</v>
      </c>
      <c r="AA13" s="17"/>
      <c r="AB13" s="17" t="s">
        <v>1724</v>
      </c>
      <c r="AC13" s="20" t="s">
        <v>1819</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1820</v>
      </c>
      <c r="E14" s="17" t="s">
        <v>1727</v>
      </c>
      <c r="F14" s="17">
        <v>4788</v>
      </c>
      <c r="G14" s="17" t="s">
        <v>1811</v>
      </c>
      <c r="H14" s="17" t="s">
        <v>1812</v>
      </c>
      <c r="I14" s="17" t="s">
        <v>1821</v>
      </c>
      <c r="J14" s="17" t="s">
        <v>1788</v>
      </c>
      <c r="K14" s="17" t="s">
        <v>1713</v>
      </c>
      <c r="L14" s="17" t="s">
        <v>1789</v>
      </c>
      <c r="M14" s="18" t="s">
        <v>1790</v>
      </c>
      <c r="N14" s="17" t="s">
        <v>1791</v>
      </c>
      <c r="O14" s="18" t="s">
        <v>1792</v>
      </c>
      <c r="P14" s="19" t="s">
        <v>1822</v>
      </c>
      <c r="Q14" s="17" t="s">
        <v>1815</v>
      </c>
      <c r="R14" s="17" t="s">
        <v>1719</v>
      </c>
      <c r="S14" s="17" t="s">
        <v>52</v>
      </c>
      <c r="T14" s="17">
        <v>1</v>
      </c>
      <c r="U14" s="17" t="s">
        <v>1720</v>
      </c>
      <c r="V14" s="17" t="s">
        <v>1823</v>
      </c>
      <c r="W14" s="17" t="s">
        <v>1817</v>
      </c>
      <c r="X14" s="70">
        <v>46024.5</v>
      </c>
      <c r="Y14" s="17" t="s">
        <v>1824</v>
      </c>
      <c r="Z14" s="17">
        <v>0.3</v>
      </c>
      <c r="AA14" s="17"/>
      <c r="AB14" s="17" t="s">
        <v>1724</v>
      </c>
      <c r="AC14" s="20" t="s">
        <v>1819</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1825</v>
      </c>
      <c r="H15" s="17" t="s">
        <v>1805</v>
      </c>
      <c r="I15" s="17"/>
      <c r="J15" s="17"/>
      <c r="K15" s="17"/>
      <c r="L15" s="17"/>
      <c r="M15" s="18"/>
      <c r="N15" s="17"/>
      <c r="O15" s="18"/>
      <c r="P15" s="19"/>
      <c r="Q15" s="17" t="s">
        <v>1826</v>
      </c>
      <c r="R15" s="17" t="s">
        <v>1719</v>
      </c>
      <c r="S15" s="17" t="s">
        <v>206</v>
      </c>
      <c r="T15" s="17">
        <v>1</v>
      </c>
      <c r="U15" s="17" t="s">
        <v>1720</v>
      </c>
      <c r="V15" s="17" t="s">
        <v>1827</v>
      </c>
      <c r="W15" s="17" t="s">
        <v>1828</v>
      </c>
      <c r="X15" s="70">
        <v>46024.479166666657</v>
      </c>
      <c r="Y15" s="17"/>
      <c r="Z15" s="17">
        <v>0.5</v>
      </c>
      <c r="AA15" s="17"/>
      <c r="AB15" s="17" t="s">
        <v>1724</v>
      </c>
      <c r="AC15" s="20" t="s">
        <v>1829</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1830</v>
      </c>
      <c r="H16" s="17" t="s">
        <v>1812</v>
      </c>
      <c r="I16" s="17"/>
      <c r="J16" s="17"/>
      <c r="K16" s="17"/>
      <c r="L16" s="17"/>
      <c r="M16" s="18"/>
      <c r="N16" s="17"/>
      <c r="O16" s="18"/>
      <c r="P16" s="19"/>
      <c r="Q16" s="17" t="s">
        <v>1831</v>
      </c>
      <c r="R16" s="17" t="s">
        <v>1719</v>
      </c>
      <c r="S16" s="17" t="s">
        <v>52</v>
      </c>
      <c r="T16" s="17">
        <v>1</v>
      </c>
      <c r="U16" s="17" t="s">
        <v>1720</v>
      </c>
      <c r="V16" s="17" t="s">
        <v>1832</v>
      </c>
      <c r="W16" s="17" t="s">
        <v>1828</v>
      </c>
      <c r="X16" s="70">
        <v>46024.482638888891</v>
      </c>
      <c r="Y16" s="17"/>
      <c r="Z16" s="17">
        <v>0.6</v>
      </c>
      <c r="AA16" s="17"/>
      <c r="AB16" s="17" t="s">
        <v>1724</v>
      </c>
      <c r="AC16" s="20" t="s">
        <v>1833</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1811</v>
      </c>
      <c r="H17" s="17" t="s">
        <v>1812</v>
      </c>
      <c r="I17" s="17"/>
      <c r="J17" s="17"/>
      <c r="K17" s="17"/>
      <c r="L17" s="17"/>
      <c r="M17" s="18"/>
      <c r="N17" s="17"/>
      <c r="O17" s="18"/>
      <c r="P17" s="19"/>
      <c r="Q17" s="17" t="s">
        <v>1815</v>
      </c>
      <c r="R17" s="17" t="s">
        <v>1719</v>
      </c>
      <c r="S17" s="17" t="s">
        <v>52</v>
      </c>
      <c r="T17" s="17">
        <v>1</v>
      </c>
      <c r="U17" s="17" t="s">
        <v>1720</v>
      </c>
      <c r="V17" s="17" t="s">
        <v>1834</v>
      </c>
      <c r="W17" s="17" t="s">
        <v>1835</v>
      </c>
      <c r="X17" s="70">
        <v>46024.520138888889</v>
      </c>
      <c r="Y17" s="17"/>
      <c r="Z17" s="17">
        <v>0.5</v>
      </c>
      <c r="AA17" s="17"/>
      <c r="AB17" s="17" t="s">
        <v>1724</v>
      </c>
      <c r="AC17" s="20" t="s">
        <v>1836</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1770</v>
      </c>
      <c r="H18" s="17" t="s">
        <v>1771</v>
      </c>
      <c r="I18" s="17"/>
      <c r="J18" s="17"/>
      <c r="K18" s="17"/>
      <c r="L18" s="17"/>
      <c r="M18" s="18"/>
      <c r="N18" s="17"/>
      <c r="O18" s="18"/>
      <c r="P18" s="19"/>
      <c r="Q18" s="17" t="s">
        <v>1777</v>
      </c>
      <c r="R18" s="17" t="s">
        <v>1719</v>
      </c>
      <c r="S18" s="17" t="s">
        <v>52</v>
      </c>
      <c r="T18" s="17">
        <v>1</v>
      </c>
      <c r="U18" s="17" t="s">
        <v>1720</v>
      </c>
      <c r="V18" s="17" t="s">
        <v>1837</v>
      </c>
      <c r="W18" s="17" t="s">
        <v>1838</v>
      </c>
      <c r="X18" s="70">
        <v>46024.645833333343</v>
      </c>
      <c r="Y18" s="17"/>
      <c r="Z18" s="17">
        <v>0.3</v>
      </c>
      <c r="AA18" s="17"/>
      <c r="AB18" s="17" t="s">
        <v>1724</v>
      </c>
      <c r="AC18" s="20" t="s">
        <v>1839</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1785</v>
      </c>
      <c r="H19" s="17" t="s">
        <v>1786</v>
      </c>
      <c r="I19" s="17"/>
      <c r="J19" s="17"/>
      <c r="K19" s="17"/>
      <c r="L19" s="17"/>
      <c r="M19" s="18"/>
      <c r="N19" s="17"/>
      <c r="O19" s="18"/>
      <c r="P19" s="19"/>
      <c r="Q19" s="17" t="s">
        <v>1794</v>
      </c>
      <c r="R19" s="17" t="s">
        <v>1719</v>
      </c>
      <c r="S19" s="17" t="s">
        <v>566</v>
      </c>
      <c r="T19" s="17">
        <v>1</v>
      </c>
      <c r="U19" s="17" t="s">
        <v>1720</v>
      </c>
      <c r="V19" s="17" t="s">
        <v>1840</v>
      </c>
      <c r="W19" s="17" t="s">
        <v>1841</v>
      </c>
      <c r="X19" s="70">
        <v>46024.625</v>
      </c>
      <c r="Y19" s="17"/>
      <c r="Z19" s="17">
        <v>0.3</v>
      </c>
      <c r="AA19" s="17"/>
      <c r="AB19" s="17" t="s">
        <v>1724</v>
      </c>
      <c r="AC19" s="20" t="s">
        <v>1842</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1770</v>
      </c>
      <c r="H20" s="17" t="s">
        <v>1771</v>
      </c>
      <c r="I20" s="17"/>
      <c r="J20" s="17"/>
      <c r="K20" s="17"/>
      <c r="L20" s="17"/>
      <c r="M20" s="18"/>
      <c r="N20" s="17"/>
      <c r="O20" s="18"/>
      <c r="P20" s="19"/>
      <c r="Q20" s="17" t="s">
        <v>1777</v>
      </c>
      <c r="R20" s="17" t="s">
        <v>1719</v>
      </c>
      <c r="S20" s="17" t="s">
        <v>52</v>
      </c>
      <c r="T20" s="17">
        <v>1</v>
      </c>
      <c r="U20" s="17" t="s">
        <v>1720</v>
      </c>
      <c r="V20" s="17" t="s">
        <v>1843</v>
      </c>
      <c r="W20" s="17" t="s">
        <v>1844</v>
      </c>
      <c r="X20" s="70">
        <v>46024.625</v>
      </c>
      <c r="Y20" s="17"/>
      <c r="Z20" s="17">
        <v>0.1</v>
      </c>
      <c r="AA20" s="17"/>
      <c r="AB20" s="17" t="s">
        <v>1724</v>
      </c>
      <c r="AC20" s="20" t="s">
        <v>1845</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1846</v>
      </c>
      <c r="E21" s="17" t="s">
        <v>1727</v>
      </c>
      <c r="F21" s="17">
        <v>3785</v>
      </c>
      <c r="G21" s="17" t="s">
        <v>1847</v>
      </c>
      <c r="H21" s="17" t="s">
        <v>1742</v>
      </c>
      <c r="I21" s="17" t="s">
        <v>1848</v>
      </c>
      <c r="J21" s="17" t="s">
        <v>1788</v>
      </c>
      <c r="K21" s="17" t="s">
        <v>1849</v>
      </c>
      <c r="L21" s="17" t="s">
        <v>1850</v>
      </c>
      <c r="M21" s="18" t="s">
        <v>1851</v>
      </c>
      <c r="N21" s="17">
        <v>5903</v>
      </c>
      <c r="O21" s="18" t="s">
        <v>1852</v>
      </c>
      <c r="P21" s="19" t="s">
        <v>1853</v>
      </c>
      <c r="Q21" s="17" t="s">
        <v>1854</v>
      </c>
      <c r="R21" s="17" t="s">
        <v>1719</v>
      </c>
      <c r="S21" s="17" t="s">
        <v>206</v>
      </c>
      <c r="T21" s="17">
        <v>1</v>
      </c>
      <c r="U21" s="17" t="s">
        <v>1720</v>
      </c>
      <c r="V21" s="17" t="s">
        <v>1855</v>
      </c>
      <c r="W21" s="17" t="s">
        <v>1856</v>
      </c>
      <c r="X21" s="70">
        <v>46028.395833333343</v>
      </c>
      <c r="Y21" s="17" t="s">
        <v>1857</v>
      </c>
      <c r="Z21" s="17">
        <v>0.5</v>
      </c>
      <c r="AA21" s="17"/>
      <c r="AB21" s="17" t="s">
        <v>1724</v>
      </c>
      <c r="AC21" s="20" t="s">
        <v>1858</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1859</v>
      </c>
      <c r="E22" s="17" t="s">
        <v>1727</v>
      </c>
      <c r="F22" s="17">
        <v>4029</v>
      </c>
      <c r="G22" s="17" t="s">
        <v>1860</v>
      </c>
      <c r="H22" s="17" t="s">
        <v>1759</v>
      </c>
      <c r="I22" s="17" t="s">
        <v>1861</v>
      </c>
      <c r="J22" s="17" t="s">
        <v>1862</v>
      </c>
      <c r="K22" s="17" t="s">
        <v>1713</v>
      </c>
      <c r="L22" s="17" t="s">
        <v>1734</v>
      </c>
      <c r="M22" s="18" t="s">
        <v>1735</v>
      </c>
      <c r="N22" s="17">
        <v>2501</v>
      </c>
      <c r="O22" s="18" t="s">
        <v>1736</v>
      </c>
      <c r="P22" s="19" t="s">
        <v>1863</v>
      </c>
      <c r="Q22" s="17" t="s">
        <v>1864</v>
      </c>
      <c r="R22" s="17" t="s">
        <v>1719</v>
      </c>
      <c r="S22" s="17" t="s">
        <v>566</v>
      </c>
      <c r="T22" s="17">
        <v>1</v>
      </c>
      <c r="U22" s="17" t="s">
        <v>1720</v>
      </c>
      <c r="V22" s="17" t="s">
        <v>1865</v>
      </c>
      <c r="W22" s="17" t="s">
        <v>1866</v>
      </c>
      <c r="X22" s="70">
        <v>46025.583333333343</v>
      </c>
      <c r="Y22" s="17" t="s">
        <v>1857</v>
      </c>
      <c r="Z22" s="17">
        <v>0.1</v>
      </c>
      <c r="AA22" s="17"/>
      <c r="AB22" s="17" t="s">
        <v>1867</v>
      </c>
      <c r="AC22" s="20" t="s">
        <v>1868</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1869</v>
      </c>
      <c r="E23" s="17" t="s">
        <v>1708</v>
      </c>
      <c r="F23" s="17">
        <v>4029</v>
      </c>
      <c r="G23" s="17" t="s">
        <v>1860</v>
      </c>
      <c r="H23" s="17" t="s">
        <v>1759</v>
      </c>
      <c r="I23" s="17" t="s">
        <v>1870</v>
      </c>
      <c r="J23" s="17" t="s">
        <v>1862</v>
      </c>
      <c r="K23" s="17" t="s">
        <v>1744</v>
      </c>
      <c r="L23" s="17" t="s">
        <v>1734</v>
      </c>
      <c r="M23" s="18" t="s">
        <v>1735</v>
      </c>
      <c r="N23" s="17">
        <v>2501</v>
      </c>
      <c r="O23" s="18" t="s">
        <v>1736</v>
      </c>
      <c r="P23" s="19" t="s">
        <v>1871</v>
      </c>
      <c r="Q23" s="17" t="s">
        <v>1864</v>
      </c>
      <c r="R23" s="17" t="s">
        <v>1719</v>
      </c>
      <c r="S23" s="17" t="s">
        <v>52</v>
      </c>
      <c r="T23" s="17">
        <v>1</v>
      </c>
      <c r="U23" s="17" t="s">
        <v>1720</v>
      </c>
      <c r="V23" s="17" t="s">
        <v>1872</v>
      </c>
      <c r="W23" s="17" t="s">
        <v>1873</v>
      </c>
      <c r="X23" s="70">
        <v>46025.67083333333</v>
      </c>
      <c r="Y23" s="17" t="s">
        <v>1874</v>
      </c>
      <c r="Z23" s="17">
        <v>0.6</v>
      </c>
      <c r="AA23" s="17"/>
      <c r="AB23" s="17" t="s">
        <v>1724</v>
      </c>
      <c r="AC23" s="20" t="s">
        <v>1875</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1876</v>
      </c>
      <c r="E24" s="17" t="s">
        <v>1727</v>
      </c>
      <c r="F24" s="17">
        <v>3890</v>
      </c>
      <c r="G24" s="17" t="s">
        <v>1877</v>
      </c>
      <c r="H24" s="17" t="s">
        <v>1759</v>
      </c>
      <c r="I24" s="17" t="s">
        <v>1878</v>
      </c>
      <c r="J24" s="17" t="s">
        <v>1862</v>
      </c>
      <c r="K24" s="17" t="s">
        <v>1744</v>
      </c>
      <c r="L24" s="17" t="s">
        <v>1745</v>
      </c>
      <c r="M24" s="18" t="s">
        <v>1746</v>
      </c>
      <c r="N24" s="17" t="s">
        <v>1747</v>
      </c>
      <c r="O24" s="18" t="s">
        <v>1748</v>
      </c>
      <c r="P24" s="19" t="s">
        <v>1879</v>
      </c>
      <c r="Q24" s="17" t="s">
        <v>1880</v>
      </c>
      <c r="R24" s="17" t="s">
        <v>1719</v>
      </c>
      <c r="S24" s="17" t="s">
        <v>566</v>
      </c>
      <c r="T24" s="17">
        <v>1</v>
      </c>
      <c r="U24" s="17" t="s">
        <v>1720</v>
      </c>
      <c r="V24" s="17" t="s">
        <v>1881</v>
      </c>
      <c r="W24" s="17" t="s">
        <v>1856</v>
      </c>
      <c r="X24" s="70">
        <v>46028.392361111109</v>
      </c>
      <c r="Y24" s="17" t="s">
        <v>1857</v>
      </c>
      <c r="Z24" s="17">
        <v>0.4</v>
      </c>
      <c r="AA24" s="17"/>
      <c r="AB24" s="17" t="s">
        <v>1724</v>
      </c>
      <c r="AC24" s="20" t="s">
        <v>1882</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1883</v>
      </c>
      <c r="E25" s="17" t="s">
        <v>1727</v>
      </c>
      <c r="F25" s="17">
        <v>3741</v>
      </c>
      <c r="G25" s="17" t="s">
        <v>1884</v>
      </c>
      <c r="H25" s="17" t="s">
        <v>1759</v>
      </c>
      <c r="I25" s="17" t="s">
        <v>1885</v>
      </c>
      <c r="J25" s="17" t="s">
        <v>1862</v>
      </c>
      <c r="K25" s="17" t="s">
        <v>1849</v>
      </c>
      <c r="L25" s="17" t="s">
        <v>1886</v>
      </c>
      <c r="M25" s="18" t="s">
        <v>1887</v>
      </c>
      <c r="N25" s="17" t="s">
        <v>1888</v>
      </c>
      <c r="O25" s="18" t="s">
        <v>1889</v>
      </c>
      <c r="P25" s="19" t="s">
        <v>1890</v>
      </c>
      <c r="Q25" s="17" t="s">
        <v>1891</v>
      </c>
      <c r="R25" s="17" t="s">
        <v>1719</v>
      </c>
      <c r="S25" s="17" t="s">
        <v>566</v>
      </c>
      <c r="T25" s="17">
        <v>1</v>
      </c>
      <c r="U25" s="17" t="s">
        <v>1720</v>
      </c>
      <c r="V25" s="17" t="s">
        <v>1892</v>
      </c>
      <c r="W25" s="17" t="s">
        <v>1893</v>
      </c>
      <c r="X25" s="70">
        <v>46027.457638888889</v>
      </c>
      <c r="Y25" s="17" t="s">
        <v>1857</v>
      </c>
      <c r="Z25" s="17">
        <v>0.3</v>
      </c>
      <c r="AA25" s="17"/>
      <c r="AB25" s="17" t="s">
        <v>1724</v>
      </c>
      <c r="AC25" s="20" t="s">
        <v>1894</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1895</v>
      </c>
      <c r="E26" s="17" t="s">
        <v>1727</v>
      </c>
      <c r="F26" s="17">
        <v>5197</v>
      </c>
      <c r="G26" s="17" t="s">
        <v>1896</v>
      </c>
      <c r="H26" s="17" t="s">
        <v>1897</v>
      </c>
      <c r="I26" s="17" t="s">
        <v>1898</v>
      </c>
      <c r="J26" s="17" t="s">
        <v>1899</v>
      </c>
      <c r="K26" s="17" t="s">
        <v>1744</v>
      </c>
      <c r="L26" s="17" t="s">
        <v>1900</v>
      </c>
      <c r="M26" s="18" t="s">
        <v>1901</v>
      </c>
      <c r="N26" s="17">
        <v>6003</v>
      </c>
      <c r="O26" s="18" t="s">
        <v>1852</v>
      </c>
      <c r="P26" s="19" t="s">
        <v>1902</v>
      </c>
      <c r="Q26" s="17" t="s">
        <v>1903</v>
      </c>
      <c r="R26" s="17" t="s">
        <v>1719</v>
      </c>
      <c r="S26" s="17" t="s">
        <v>206</v>
      </c>
      <c r="T26" s="17">
        <v>1</v>
      </c>
      <c r="U26" s="17" t="s">
        <v>1720</v>
      </c>
      <c r="V26" s="17" t="s">
        <v>1904</v>
      </c>
      <c r="W26" s="17" t="s">
        <v>1905</v>
      </c>
      <c r="X26" s="70">
        <v>46028.479166666657</v>
      </c>
      <c r="Y26" s="17" t="s">
        <v>1857</v>
      </c>
      <c r="Z26" s="17">
        <v>0.5</v>
      </c>
      <c r="AA26" s="17"/>
      <c r="AB26" s="17" t="s">
        <v>1724</v>
      </c>
      <c r="AC26" s="20" t="s">
        <v>1906</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1907</v>
      </c>
      <c r="E27" s="17" t="s">
        <v>1727</v>
      </c>
      <c r="F27" s="17">
        <v>4679</v>
      </c>
      <c r="G27" s="17" t="s">
        <v>1908</v>
      </c>
      <c r="H27" s="17" t="s">
        <v>1742</v>
      </c>
      <c r="I27" s="17" t="s">
        <v>1909</v>
      </c>
      <c r="J27" s="17" t="s">
        <v>1899</v>
      </c>
      <c r="K27" s="17" t="s">
        <v>1744</v>
      </c>
      <c r="L27" s="17" t="s">
        <v>1910</v>
      </c>
      <c r="M27" s="18" t="s">
        <v>1911</v>
      </c>
      <c r="N27" s="17" t="s">
        <v>1912</v>
      </c>
      <c r="O27" s="18" t="s">
        <v>1913</v>
      </c>
      <c r="P27" s="19" t="s">
        <v>1914</v>
      </c>
      <c r="Q27" s="17" t="s">
        <v>1915</v>
      </c>
      <c r="R27" s="17" t="s">
        <v>1719</v>
      </c>
      <c r="S27" s="17" t="s">
        <v>206</v>
      </c>
      <c r="T27" s="17">
        <v>1</v>
      </c>
      <c r="U27" s="17" t="s">
        <v>1720</v>
      </c>
      <c r="V27" s="17" t="s">
        <v>1916</v>
      </c>
      <c r="W27" s="17" t="s">
        <v>1917</v>
      </c>
      <c r="X27" s="70">
        <v>46028.4375</v>
      </c>
      <c r="Y27" s="17" t="s">
        <v>1857</v>
      </c>
      <c r="Z27" s="17">
        <v>0.3</v>
      </c>
      <c r="AA27" s="17"/>
      <c r="AB27" s="17" t="s">
        <v>1724</v>
      </c>
      <c r="AC27" s="20" t="s">
        <v>1918</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1919</v>
      </c>
      <c r="E28" s="17" t="s">
        <v>1727</v>
      </c>
      <c r="F28" s="17">
        <v>4679</v>
      </c>
      <c r="G28" s="17" t="s">
        <v>1908</v>
      </c>
      <c r="H28" s="17" t="s">
        <v>1742</v>
      </c>
      <c r="I28" s="17" t="s">
        <v>1920</v>
      </c>
      <c r="J28" s="17" t="s">
        <v>1899</v>
      </c>
      <c r="K28" s="17" t="s">
        <v>1744</v>
      </c>
      <c r="L28" s="17" t="s">
        <v>1773</v>
      </c>
      <c r="M28" s="18" t="s">
        <v>1774</v>
      </c>
      <c r="N28" s="17">
        <v>5801</v>
      </c>
      <c r="O28" s="18" t="s">
        <v>1775</v>
      </c>
      <c r="P28" s="19" t="s">
        <v>1921</v>
      </c>
      <c r="Q28" s="17" t="s">
        <v>1915</v>
      </c>
      <c r="R28" s="17" t="s">
        <v>1719</v>
      </c>
      <c r="S28" s="17" t="s">
        <v>206</v>
      </c>
      <c r="T28" s="17">
        <v>1</v>
      </c>
      <c r="U28" s="17" t="s">
        <v>1720</v>
      </c>
      <c r="V28" s="17" t="s">
        <v>1922</v>
      </c>
      <c r="W28" s="17" t="s">
        <v>1923</v>
      </c>
      <c r="X28" s="70">
        <v>46028.423611111109</v>
      </c>
      <c r="Y28" s="17" t="s">
        <v>1857</v>
      </c>
      <c r="Z28" s="17">
        <v>0.2</v>
      </c>
      <c r="AA28" s="17"/>
      <c r="AB28" s="17" t="s">
        <v>1724</v>
      </c>
      <c r="AC28" s="20" t="s">
        <v>1924</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1925</v>
      </c>
      <c r="E29" s="17" t="s">
        <v>1727</v>
      </c>
      <c r="F29" s="17">
        <v>3941</v>
      </c>
      <c r="G29" s="17" t="s">
        <v>1926</v>
      </c>
      <c r="H29" s="17" t="s">
        <v>1927</v>
      </c>
      <c r="I29" s="17" t="s">
        <v>1928</v>
      </c>
      <c r="J29" s="17" t="s">
        <v>1929</v>
      </c>
      <c r="K29" s="17" t="s">
        <v>1713</v>
      </c>
      <c r="L29" s="17" t="s">
        <v>1930</v>
      </c>
      <c r="M29" s="18" t="s">
        <v>1931</v>
      </c>
      <c r="N29" s="17">
        <v>2405</v>
      </c>
      <c r="O29" s="18" t="s">
        <v>1932</v>
      </c>
      <c r="P29" s="19" t="s">
        <v>1933</v>
      </c>
      <c r="Q29" s="17" t="s">
        <v>1934</v>
      </c>
      <c r="R29" s="17" t="s">
        <v>1719</v>
      </c>
      <c r="S29" s="17" t="s">
        <v>566</v>
      </c>
      <c r="T29" s="17">
        <v>1</v>
      </c>
      <c r="U29" s="17" t="s">
        <v>1720</v>
      </c>
      <c r="V29" s="17" t="s">
        <v>1935</v>
      </c>
      <c r="W29" s="17" t="s">
        <v>1936</v>
      </c>
      <c r="X29" s="70">
        <v>46028.508333333331</v>
      </c>
      <c r="Y29" s="17" t="s">
        <v>1937</v>
      </c>
      <c r="Z29" s="17">
        <v>1.7</v>
      </c>
      <c r="AA29" s="17"/>
      <c r="AB29" s="17" t="s">
        <v>1724</v>
      </c>
      <c r="AC29" s="20" t="s">
        <v>1938</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1939</v>
      </c>
      <c r="E30" s="17" t="s">
        <v>1727</v>
      </c>
      <c r="F30" s="17">
        <v>3017</v>
      </c>
      <c r="G30" s="17" t="s">
        <v>1940</v>
      </c>
      <c r="H30" s="17" t="s">
        <v>1941</v>
      </c>
      <c r="I30" s="17" t="s">
        <v>1942</v>
      </c>
      <c r="J30" s="17" t="s">
        <v>1929</v>
      </c>
      <c r="K30" s="17" t="s">
        <v>1943</v>
      </c>
      <c r="L30" s="17" t="s">
        <v>1930</v>
      </c>
      <c r="M30" s="18" t="s">
        <v>1931</v>
      </c>
      <c r="N30" s="17">
        <v>2401</v>
      </c>
      <c r="O30" s="18" t="s">
        <v>1944</v>
      </c>
      <c r="P30" s="19" t="s">
        <v>1945</v>
      </c>
      <c r="Q30" s="17" t="s">
        <v>1946</v>
      </c>
      <c r="R30" s="17" t="s">
        <v>1719</v>
      </c>
      <c r="S30" s="17" t="s">
        <v>52</v>
      </c>
      <c r="T30" s="17">
        <v>1</v>
      </c>
      <c r="U30" s="17" t="s">
        <v>1720</v>
      </c>
      <c r="V30" s="17" t="s">
        <v>1947</v>
      </c>
      <c r="W30" s="17" t="s">
        <v>1731</v>
      </c>
      <c r="X30" s="70">
        <v>46027.583333333343</v>
      </c>
      <c r="Y30" s="17" t="s">
        <v>1948</v>
      </c>
      <c r="Z30" s="17">
        <v>1</v>
      </c>
      <c r="AA30" s="17"/>
      <c r="AB30" s="17" t="s">
        <v>1724</v>
      </c>
      <c r="AC30" s="20" t="s">
        <v>1949</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1950</v>
      </c>
      <c r="H31" s="17" t="s">
        <v>1941</v>
      </c>
      <c r="I31" s="17"/>
      <c r="J31" s="17"/>
      <c r="K31" s="17"/>
      <c r="L31" s="17"/>
      <c r="M31" s="18"/>
      <c r="N31" s="17"/>
      <c r="O31" s="18"/>
      <c r="P31" s="19"/>
      <c r="Q31" s="17" t="s">
        <v>1951</v>
      </c>
      <c r="R31" s="17" t="s">
        <v>1719</v>
      </c>
      <c r="S31" s="17" t="s">
        <v>52</v>
      </c>
      <c r="T31" s="17">
        <v>1</v>
      </c>
      <c r="U31" s="17" t="s">
        <v>1720</v>
      </c>
      <c r="V31" s="17" t="s">
        <v>1952</v>
      </c>
      <c r="W31" s="17" t="s">
        <v>1953</v>
      </c>
      <c r="X31" s="70">
        <v>46027.479166666657</v>
      </c>
      <c r="Y31" s="17"/>
      <c r="Z31" s="17">
        <v>1</v>
      </c>
      <c r="AA31" s="17"/>
      <c r="AB31" s="17" t="s">
        <v>1724</v>
      </c>
      <c r="AC31" s="20" t="s">
        <v>1954</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1940</v>
      </c>
      <c r="H32" s="17" t="s">
        <v>1941</v>
      </c>
      <c r="I32" s="17"/>
      <c r="J32" s="17"/>
      <c r="K32" s="17"/>
      <c r="L32" s="17"/>
      <c r="M32" s="18"/>
      <c r="N32" s="17"/>
      <c r="O32" s="18"/>
      <c r="P32" s="19"/>
      <c r="Q32" s="17" t="s">
        <v>1946</v>
      </c>
      <c r="R32" s="17" t="s">
        <v>1719</v>
      </c>
      <c r="S32" s="17" t="s">
        <v>52</v>
      </c>
      <c r="T32" s="17">
        <v>1</v>
      </c>
      <c r="U32" s="17" t="s">
        <v>1720</v>
      </c>
      <c r="V32" s="17" t="s">
        <v>1955</v>
      </c>
      <c r="W32" s="17" t="s">
        <v>1956</v>
      </c>
      <c r="X32" s="70">
        <v>46027.606944444437</v>
      </c>
      <c r="Y32" s="17"/>
      <c r="Z32" s="17">
        <v>0.6</v>
      </c>
      <c r="AA32" s="17"/>
      <c r="AB32" s="17" t="s">
        <v>1724</v>
      </c>
      <c r="AC32" s="20" t="s">
        <v>1957</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1958</v>
      </c>
      <c r="H33" s="17" t="s">
        <v>1941</v>
      </c>
      <c r="I33" s="17"/>
      <c r="J33" s="17"/>
      <c r="K33" s="17"/>
      <c r="L33" s="17"/>
      <c r="M33" s="18"/>
      <c r="N33" s="17"/>
      <c r="O33" s="18"/>
      <c r="P33" s="19"/>
      <c r="Q33" s="17" t="s">
        <v>1959</v>
      </c>
      <c r="R33" s="17" t="s">
        <v>1719</v>
      </c>
      <c r="S33" s="17" t="s">
        <v>52</v>
      </c>
      <c r="T33" s="17">
        <v>1</v>
      </c>
      <c r="U33" s="17" t="s">
        <v>1720</v>
      </c>
      <c r="V33" s="17" t="s">
        <v>1960</v>
      </c>
      <c r="W33" s="17" t="s">
        <v>1961</v>
      </c>
      <c r="X33" s="70">
        <v>46027.633333333331</v>
      </c>
      <c r="Y33" s="17"/>
      <c r="Z33" s="17">
        <v>0.4</v>
      </c>
      <c r="AA33" s="17"/>
      <c r="AB33" s="17" t="s">
        <v>1724</v>
      </c>
      <c r="AC33" s="20" t="s">
        <v>1962</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1963</v>
      </c>
      <c r="E34" s="17" t="s">
        <v>1727</v>
      </c>
      <c r="F34" s="17">
        <v>4196</v>
      </c>
      <c r="G34" s="17" t="s">
        <v>1964</v>
      </c>
      <c r="H34" s="17" t="s">
        <v>1759</v>
      </c>
      <c r="I34" s="17" t="s">
        <v>1965</v>
      </c>
      <c r="J34" s="17" t="s">
        <v>1929</v>
      </c>
      <c r="K34" s="17" t="s">
        <v>1744</v>
      </c>
      <c r="L34" s="17" t="s">
        <v>1714</v>
      </c>
      <c r="M34" s="18" t="s">
        <v>1715</v>
      </c>
      <c r="N34" s="17">
        <v>2306</v>
      </c>
      <c r="O34" s="18" t="s">
        <v>1716</v>
      </c>
      <c r="P34" s="19" t="s">
        <v>1966</v>
      </c>
      <c r="Q34" s="17" t="s">
        <v>1967</v>
      </c>
      <c r="R34" s="17" t="s">
        <v>1719</v>
      </c>
      <c r="S34" s="17" t="s">
        <v>566</v>
      </c>
      <c r="T34" s="17">
        <v>1</v>
      </c>
      <c r="U34" s="17" t="s">
        <v>1720</v>
      </c>
      <c r="V34" s="17" t="s">
        <v>1968</v>
      </c>
      <c r="W34" s="17" t="s">
        <v>1969</v>
      </c>
      <c r="X34" s="70">
        <v>46027.714583333327</v>
      </c>
      <c r="Y34" s="17" t="s">
        <v>1970</v>
      </c>
      <c r="Z34" s="17">
        <v>0.5</v>
      </c>
      <c r="AA34" s="17"/>
      <c r="AB34" s="17" t="s">
        <v>1867</v>
      </c>
      <c r="AC34" s="20" t="s">
        <v>1971</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1972</v>
      </c>
      <c r="E35" s="17" t="s">
        <v>1727</v>
      </c>
      <c r="F35" s="17">
        <v>4196</v>
      </c>
      <c r="G35" s="17" t="s">
        <v>1964</v>
      </c>
      <c r="H35" s="17" t="s">
        <v>1759</v>
      </c>
      <c r="I35" s="17" t="s">
        <v>1973</v>
      </c>
      <c r="J35" s="17" t="s">
        <v>1929</v>
      </c>
      <c r="K35" s="17" t="s">
        <v>1744</v>
      </c>
      <c r="L35" s="17" t="s">
        <v>1714</v>
      </c>
      <c r="M35" s="18" t="s">
        <v>1715</v>
      </c>
      <c r="N35" s="17">
        <v>2307</v>
      </c>
      <c r="O35" s="18" t="s">
        <v>1974</v>
      </c>
      <c r="P35" s="19" t="s">
        <v>1975</v>
      </c>
      <c r="Q35" s="17" t="s">
        <v>1967</v>
      </c>
      <c r="R35" s="17" t="s">
        <v>1719</v>
      </c>
      <c r="S35" s="17" t="s">
        <v>566</v>
      </c>
      <c r="T35" s="17">
        <v>1</v>
      </c>
      <c r="U35" s="17" t="s">
        <v>1720</v>
      </c>
      <c r="V35" s="17" t="s">
        <v>1976</v>
      </c>
      <c r="W35" s="17" t="s">
        <v>1977</v>
      </c>
      <c r="X35" s="70">
        <v>46027.713888888888</v>
      </c>
      <c r="Y35" s="17" t="s">
        <v>1978</v>
      </c>
      <c r="Z35" s="17">
        <v>0.5</v>
      </c>
      <c r="AA35" s="17"/>
      <c r="AB35" s="17" t="s">
        <v>1867</v>
      </c>
      <c r="AC35" s="20" t="s">
        <v>1979</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1980</v>
      </c>
      <c r="H36" s="17" t="s">
        <v>1941</v>
      </c>
      <c r="I36" s="17"/>
      <c r="J36" s="17"/>
      <c r="K36" s="17"/>
      <c r="L36" s="17"/>
      <c r="M36" s="18"/>
      <c r="N36" s="17"/>
      <c r="O36" s="18"/>
      <c r="P36" s="19"/>
      <c r="Q36" s="17" t="s">
        <v>1981</v>
      </c>
      <c r="R36" s="17" t="s">
        <v>1719</v>
      </c>
      <c r="S36" s="17" t="s">
        <v>52</v>
      </c>
      <c r="T36" s="17">
        <v>1</v>
      </c>
      <c r="U36" s="17" t="s">
        <v>1720</v>
      </c>
      <c r="V36" s="17" t="s">
        <v>1982</v>
      </c>
      <c r="W36" s="17" t="s">
        <v>1983</v>
      </c>
      <c r="X36" s="70">
        <v>46027.65347222222</v>
      </c>
      <c r="Y36" s="17"/>
      <c r="Z36" s="17">
        <v>0.4</v>
      </c>
      <c r="AA36" s="17"/>
      <c r="AB36" s="17" t="s">
        <v>1724</v>
      </c>
      <c r="AC36" s="20" t="s">
        <v>1984</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1985</v>
      </c>
      <c r="H37" s="17" t="s">
        <v>1941</v>
      </c>
      <c r="I37" s="17"/>
      <c r="J37" s="17"/>
      <c r="K37" s="17"/>
      <c r="L37" s="17"/>
      <c r="M37" s="18"/>
      <c r="N37" s="17"/>
      <c r="O37" s="18"/>
      <c r="P37" s="19"/>
      <c r="Q37" s="17" t="s">
        <v>1986</v>
      </c>
      <c r="R37" s="17" t="s">
        <v>1719</v>
      </c>
      <c r="S37" s="17" t="s">
        <v>52</v>
      </c>
      <c r="T37" s="17">
        <v>1</v>
      </c>
      <c r="U37" s="17" t="s">
        <v>1720</v>
      </c>
      <c r="V37" s="17" t="s">
        <v>1987</v>
      </c>
      <c r="W37" s="17" t="s">
        <v>1988</v>
      </c>
      <c r="X37" s="70">
        <v>46027.677083333343</v>
      </c>
      <c r="Y37" s="17"/>
      <c r="Z37" s="17">
        <v>0.4</v>
      </c>
      <c r="AA37" s="17"/>
      <c r="AB37" s="17" t="s">
        <v>1724</v>
      </c>
      <c r="AC37" s="20" t="s">
        <v>1989</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1990</v>
      </c>
      <c r="H38" s="17" t="s">
        <v>1991</v>
      </c>
      <c r="I38" s="17"/>
      <c r="J38" s="17"/>
      <c r="K38" s="17"/>
      <c r="L38" s="17"/>
      <c r="M38" s="18"/>
      <c r="N38" s="17"/>
      <c r="O38" s="18"/>
      <c r="P38" s="19"/>
      <c r="Q38" s="17" t="s">
        <v>1992</v>
      </c>
      <c r="R38" s="17" t="s">
        <v>1719</v>
      </c>
      <c r="S38" s="17" t="s">
        <v>566</v>
      </c>
      <c r="T38" s="17">
        <v>1</v>
      </c>
      <c r="U38" s="17" t="s">
        <v>1720</v>
      </c>
      <c r="V38" s="17" t="s">
        <v>1993</v>
      </c>
      <c r="W38" s="17" t="s">
        <v>1994</v>
      </c>
      <c r="X38" s="70">
        <v>46027.4375</v>
      </c>
      <c r="Y38" s="17"/>
      <c r="Z38" s="17">
        <v>0.5</v>
      </c>
      <c r="AA38" s="17"/>
      <c r="AB38" s="17" t="s">
        <v>1724</v>
      </c>
      <c r="AC38" s="20" t="s">
        <v>1995</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1996</v>
      </c>
      <c r="H39" s="17" t="s">
        <v>1742</v>
      </c>
      <c r="I39" s="17"/>
      <c r="J39" s="17"/>
      <c r="K39" s="17"/>
      <c r="L39" s="17"/>
      <c r="M39" s="18"/>
      <c r="N39" s="17"/>
      <c r="O39" s="18"/>
      <c r="P39" s="19"/>
      <c r="Q39" s="17" t="s">
        <v>1997</v>
      </c>
      <c r="R39" s="17" t="s">
        <v>1719</v>
      </c>
      <c r="S39" s="17" t="s">
        <v>566</v>
      </c>
      <c r="T39" s="17">
        <v>1</v>
      </c>
      <c r="U39" s="17" t="s">
        <v>1720</v>
      </c>
      <c r="V39" s="17" t="s">
        <v>1998</v>
      </c>
      <c r="W39" s="17" t="s">
        <v>1999</v>
      </c>
      <c r="X39" s="70">
        <v>46027.708333333343</v>
      </c>
      <c r="Y39" s="17"/>
      <c r="Z39" s="17">
        <v>5.5</v>
      </c>
      <c r="AA39" s="17"/>
      <c r="AB39" s="17" t="s">
        <v>1724</v>
      </c>
      <c r="AC39" s="20" t="s">
        <v>2000</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1990</v>
      </c>
      <c r="H40" s="17" t="s">
        <v>1991</v>
      </c>
      <c r="I40" s="17"/>
      <c r="J40" s="17"/>
      <c r="K40" s="17"/>
      <c r="L40" s="17"/>
      <c r="M40" s="18"/>
      <c r="N40" s="17"/>
      <c r="O40" s="18"/>
      <c r="P40" s="19"/>
      <c r="Q40" s="17" t="s">
        <v>1992</v>
      </c>
      <c r="R40" s="17" t="s">
        <v>1719</v>
      </c>
      <c r="S40" s="17" t="s">
        <v>206</v>
      </c>
      <c r="T40" s="17">
        <v>1</v>
      </c>
      <c r="U40" s="17" t="s">
        <v>1720</v>
      </c>
      <c r="V40" s="17" t="s">
        <v>2001</v>
      </c>
      <c r="W40" s="17" t="s">
        <v>1994</v>
      </c>
      <c r="X40" s="70">
        <v>46027.4375</v>
      </c>
      <c r="Y40" s="17"/>
      <c r="Z40" s="17">
        <v>0.5</v>
      </c>
      <c r="AA40" s="17"/>
      <c r="AB40" s="17" t="s">
        <v>1724</v>
      </c>
      <c r="AC40" s="20" t="s">
        <v>2002</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1996</v>
      </c>
      <c r="H41" s="17" t="s">
        <v>1742</v>
      </c>
      <c r="I41" s="17"/>
      <c r="J41" s="17"/>
      <c r="K41" s="17"/>
      <c r="L41" s="17"/>
      <c r="M41" s="18"/>
      <c r="N41" s="17"/>
      <c r="O41" s="18"/>
      <c r="P41" s="19"/>
      <c r="Q41" s="17" t="s">
        <v>1997</v>
      </c>
      <c r="R41" s="17" t="s">
        <v>1719</v>
      </c>
      <c r="S41" s="17" t="s">
        <v>206</v>
      </c>
      <c r="T41" s="17">
        <v>1</v>
      </c>
      <c r="U41" s="17" t="s">
        <v>1720</v>
      </c>
      <c r="V41" s="17" t="s">
        <v>2003</v>
      </c>
      <c r="W41" s="17" t="s">
        <v>1999</v>
      </c>
      <c r="X41" s="70">
        <v>46027.708333333343</v>
      </c>
      <c r="Y41" s="17"/>
      <c r="Z41" s="17">
        <v>5.5</v>
      </c>
      <c r="AA41" s="17"/>
      <c r="AB41" s="17" t="s">
        <v>1724</v>
      </c>
      <c r="AC41" s="20" t="s">
        <v>2004</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2005</v>
      </c>
      <c r="E42" s="17" t="s">
        <v>1727</v>
      </c>
      <c r="F42" s="17">
        <v>2209</v>
      </c>
      <c r="G42" s="17" t="s">
        <v>2006</v>
      </c>
      <c r="H42" s="17" t="s">
        <v>1759</v>
      </c>
      <c r="I42" s="17" t="s">
        <v>2007</v>
      </c>
      <c r="J42" s="17" t="s">
        <v>1929</v>
      </c>
      <c r="K42" s="17" t="s">
        <v>1849</v>
      </c>
      <c r="L42" s="17" t="s">
        <v>1789</v>
      </c>
      <c r="M42" s="18" t="s">
        <v>1790</v>
      </c>
      <c r="N42" s="17" t="s">
        <v>2008</v>
      </c>
      <c r="O42" s="18" t="s">
        <v>2009</v>
      </c>
      <c r="P42" s="19" t="s">
        <v>2010</v>
      </c>
      <c r="Q42" s="17" t="s">
        <v>2011</v>
      </c>
      <c r="R42" s="17" t="s">
        <v>1719</v>
      </c>
      <c r="S42" s="17" t="s">
        <v>566</v>
      </c>
      <c r="T42" s="17">
        <v>1</v>
      </c>
      <c r="U42" s="17" t="s">
        <v>1720</v>
      </c>
      <c r="V42" s="17" t="s">
        <v>2012</v>
      </c>
      <c r="W42" s="17" t="s">
        <v>2013</v>
      </c>
      <c r="X42" s="70">
        <v>46028.729166666657</v>
      </c>
      <c r="Y42" s="17" t="s">
        <v>2014</v>
      </c>
      <c r="Z42" s="17">
        <v>0.5</v>
      </c>
      <c r="AA42" s="17"/>
      <c r="AB42" s="17" t="s">
        <v>1724</v>
      </c>
      <c r="AC42" s="20" t="s">
        <v>2015</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1877</v>
      </c>
      <c r="H43" s="17" t="s">
        <v>1759</v>
      </c>
      <c r="I43" s="17"/>
      <c r="J43" s="17"/>
      <c r="K43" s="17"/>
      <c r="L43" s="17"/>
      <c r="M43" s="18"/>
      <c r="N43" s="17"/>
      <c r="O43" s="18"/>
      <c r="P43" s="19"/>
      <c r="Q43" s="17" t="s">
        <v>1880</v>
      </c>
      <c r="R43" s="17" t="s">
        <v>1719</v>
      </c>
      <c r="S43" s="17" t="s">
        <v>566</v>
      </c>
      <c r="T43" s="17">
        <v>1</v>
      </c>
      <c r="U43" s="17" t="s">
        <v>1720</v>
      </c>
      <c r="V43" s="17" t="s">
        <v>2016</v>
      </c>
      <c r="W43" s="17" t="s">
        <v>1856</v>
      </c>
      <c r="X43" s="70">
        <v>46028.385416666657</v>
      </c>
      <c r="Y43" s="17"/>
      <c r="Z43" s="17">
        <v>0.3</v>
      </c>
      <c r="AA43" s="17"/>
      <c r="AB43" s="17" t="s">
        <v>1724</v>
      </c>
      <c r="AC43" s="20" t="s">
        <v>2017</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1847</v>
      </c>
      <c r="H44" s="17" t="s">
        <v>1742</v>
      </c>
      <c r="I44" s="17"/>
      <c r="J44" s="17"/>
      <c r="K44" s="17"/>
      <c r="L44" s="17"/>
      <c r="M44" s="18"/>
      <c r="N44" s="17"/>
      <c r="O44" s="18"/>
      <c r="P44" s="19"/>
      <c r="Q44" s="17" t="s">
        <v>1854</v>
      </c>
      <c r="R44" s="17" t="s">
        <v>1719</v>
      </c>
      <c r="S44" s="17" t="s">
        <v>206</v>
      </c>
      <c r="T44" s="17">
        <v>1</v>
      </c>
      <c r="U44" s="17" t="s">
        <v>1720</v>
      </c>
      <c r="V44" s="17" t="s">
        <v>2018</v>
      </c>
      <c r="W44" s="17" t="s">
        <v>2019</v>
      </c>
      <c r="X44" s="70">
        <v>46028.409722222219</v>
      </c>
      <c r="Y44" s="17"/>
      <c r="Z44" s="17">
        <v>0.3</v>
      </c>
      <c r="AA44" s="17"/>
      <c r="AB44" s="17" t="s">
        <v>1724</v>
      </c>
      <c r="AC44" s="20" t="s">
        <v>2020</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1908</v>
      </c>
      <c r="H45" s="17" t="s">
        <v>1742</v>
      </c>
      <c r="I45" s="17"/>
      <c r="J45" s="17"/>
      <c r="K45" s="17"/>
      <c r="L45" s="17"/>
      <c r="M45" s="18"/>
      <c r="N45" s="17"/>
      <c r="O45" s="18"/>
      <c r="P45" s="19"/>
      <c r="Q45" s="17" t="s">
        <v>1915</v>
      </c>
      <c r="R45" s="17" t="s">
        <v>1719</v>
      </c>
      <c r="S45" s="17" t="s">
        <v>206</v>
      </c>
      <c r="T45" s="17">
        <v>1</v>
      </c>
      <c r="U45" s="17" t="s">
        <v>1720</v>
      </c>
      <c r="V45" s="17" t="s">
        <v>2021</v>
      </c>
      <c r="W45" s="17" t="s">
        <v>1936</v>
      </c>
      <c r="X45" s="70">
        <v>46028.451388888891</v>
      </c>
      <c r="Y45" s="17"/>
      <c r="Z45" s="17">
        <v>0.3</v>
      </c>
      <c r="AA45" s="17"/>
      <c r="AB45" s="17" t="s">
        <v>1724</v>
      </c>
      <c r="AC45" s="20" t="s">
        <v>2022</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2023</v>
      </c>
      <c r="H46" s="17" t="s">
        <v>1710</v>
      </c>
      <c r="I46" s="17"/>
      <c r="J46" s="17"/>
      <c r="K46" s="17"/>
      <c r="L46" s="17"/>
      <c r="M46" s="18"/>
      <c r="N46" s="17"/>
      <c r="O46" s="18"/>
      <c r="P46" s="19"/>
      <c r="Q46" s="17" t="s">
        <v>2024</v>
      </c>
      <c r="R46" s="17" t="s">
        <v>1719</v>
      </c>
      <c r="S46" s="17" t="s">
        <v>52</v>
      </c>
      <c r="T46" s="17">
        <v>1</v>
      </c>
      <c r="U46" s="17" t="s">
        <v>1720</v>
      </c>
      <c r="V46" s="17" t="s">
        <v>2025</v>
      </c>
      <c r="W46" s="17" t="s">
        <v>1923</v>
      </c>
      <c r="X46" s="70">
        <v>46028.461805555547</v>
      </c>
      <c r="Y46" s="17"/>
      <c r="Z46" s="17">
        <v>1.1000000000000001</v>
      </c>
      <c r="AA46" s="17"/>
      <c r="AB46" s="17" t="s">
        <v>1724</v>
      </c>
      <c r="AC46" s="20" t="s">
        <v>2026</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1709</v>
      </c>
      <c r="H47" s="17" t="s">
        <v>1710</v>
      </c>
      <c r="I47" s="17"/>
      <c r="J47" s="17"/>
      <c r="K47" s="17"/>
      <c r="L47" s="17"/>
      <c r="M47" s="18"/>
      <c r="N47" s="17"/>
      <c r="O47" s="18"/>
      <c r="P47" s="19"/>
      <c r="Q47" s="17" t="s">
        <v>1718</v>
      </c>
      <c r="R47" s="17" t="s">
        <v>1719</v>
      </c>
      <c r="S47" s="17" t="s">
        <v>52</v>
      </c>
      <c r="T47" s="17">
        <v>1</v>
      </c>
      <c r="U47" s="17" t="s">
        <v>1720</v>
      </c>
      <c r="V47" s="17" t="s">
        <v>2027</v>
      </c>
      <c r="W47" s="17" t="s">
        <v>2028</v>
      </c>
      <c r="X47" s="70">
        <v>46028.475694444453</v>
      </c>
      <c r="Y47" s="17"/>
      <c r="Z47" s="17">
        <v>0.3</v>
      </c>
      <c r="AA47" s="17"/>
      <c r="AB47" s="17" t="s">
        <v>1724</v>
      </c>
      <c r="AC47" s="20" t="s">
        <v>2029</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2030</v>
      </c>
      <c r="E48" s="17" t="s">
        <v>1727</v>
      </c>
      <c r="F48" s="17">
        <v>3883</v>
      </c>
      <c r="G48" s="17" t="s">
        <v>2031</v>
      </c>
      <c r="H48" s="17" t="s">
        <v>1786</v>
      </c>
      <c r="I48" s="17" t="s">
        <v>2032</v>
      </c>
      <c r="J48" s="17" t="s">
        <v>2033</v>
      </c>
      <c r="K48" s="17" t="s">
        <v>1713</v>
      </c>
      <c r="L48" s="17" t="s">
        <v>1745</v>
      </c>
      <c r="M48" s="18" t="s">
        <v>1746</v>
      </c>
      <c r="N48" s="17" t="s">
        <v>2034</v>
      </c>
      <c r="O48" s="18" t="s">
        <v>2035</v>
      </c>
      <c r="P48" s="19" t="s">
        <v>2036</v>
      </c>
      <c r="Q48" s="17" t="s">
        <v>2037</v>
      </c>
      <c r="R48" s="17" t="s">
        <v>1719</v>
      </c>
      <c r="S48" s="17" t="s">
        <v>566</v>
      </c>
      <c r="T48" s="17">
        <v>1</v>
      </c>
      <c r="U48" s="17" t="s">
        <v>1720</v>
      </c>
      <c r="V48" s="17" t="s">
        <v>2038</v>
      </c>
      <c r="W48" s="17" t="s">
        <v>2039</v>
      </c>
      <c r="X48" s="70">
        <v>46029.604166666657</v>
      </c>
      <c r="Y48" s="17" t="s">
        <v>2040</v>
      </c>
      <c r="Z48" s="17">
        <v>0.3</v>
      </c>
      <c r="AA48" s="17"/>
      <c r="AB48" s="17" t="s">
        <v>1724</v>
      </c>
      <c r="AC48" s="20" t="s">
        <v>2041</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2042</v>
      </c>
      <c r="E49" s="17" t="s">
        <v>1727</v>
      </c>
      <c r="F49" s="17">
        <v>2540</v>
      </c>
      <c r="G49" s="17" t="s">
        <v>2043</v>
      </c>
      <c r="H49" s="17" t="s">
        <v>1771</v>
      </c>
      <c r="I49" s="17" t="s">
        <v>2044</v>
      </c>
      <c r="J49" s="17" t="s">
        <v>2033</v>
      </c>
      <c r="K49" s="17" t="s">
        <v>1713</v>
      </c>
      <c r="L49" s="17" t="s">
        <v>1910</v>
      </c>
      <c r="M49" s="18" t="s">
        <v>1911</v>
      </c>
      <c r="N49" s="17" t="s">
        <v>1912</v>
      </c>
      <c r="O49" s="18" t="s">
        <v>1913</v>
      </c>
      <c r="P49" s="19" t="s">
        <v>2045</v>
      </c>
      <c r="Q49" s="17" t="s">
        <v>2046</v>
      </c>
      <c r="R49" s="17" t="s">
        <v>1719</v>
      </c>
      <c r="S49" s="17" t="s">
        <v>52</v>
      </c>
      <c r="T49" s="17">
        <v>1</v>
      </c>
      <c r="U49" s="17" t="s">
        <v>1720</v>
      </c>
      <c r="V49" s="17" t="s">
        <v>2047</v>
      </c>
      <c r="W49" s="17" t="s">
        <v>2048</v>
      </c>
      <c r="X49" s="70">
        <v>46029.506944444453</v>
      </c>
      <c r="Y49" s="17" t="s">
        <v>2049</v>
      </c>
      <c r="Z49" s="17">
        <v>0.7</v>
      </c>
      <c r="AA49" s="17"/>
      <c r="AB49" s="17" t="s">
        <v>1724</v>
      </c>
      <c r="AC49" s="20" t="s">
        <v>2050</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1896</v>
      </c>
      <c r="H50" s="17" t="s">
        <v>1897</v>
      </c>
      <c r="I50" s="17"/>
      <c r="J50" s="17"/>
      <c r="K50" s="17"/>
      <c r="L50" s="17"/>
      <c r="M50" s="18"/>
      <c r="N50" s="17"/>
      <c r="O50" s="18"/>
      <c r="P50" s="19"/>
      <c r="Q50" s="17" t="s">
        <v>1903</v>
      </c>
      <c r="R50" s="17" t="s">
        <v>1719</v>
      </c>
      <c r="S50" s="17" t="s">
        <v>206</v>
      </c>
      <c r="T50" s="17">
        <v>1</v>
      </c>
      <c r="U50" s="17" t="s">
        <v>1720</v>
      </c>
      <c r="V50" s="17" t="s">
        <v>2051</v>
      </c>
      <c r="W50" s="17" t="s">
        <v>2052</v>
      </c>
      <c r="X50" s="70">
        <v>46028.493055555547</v>
      </c>
      <c r="Y50" s="17"/>
      <c r="Z50" s="17">
        <v>0.3</v>
      </c>
      <c r="AA50" s="17"/>
      <c r="AB50" s="17" t="s">
        <v>1724</v>
      </c>
      <c r="AC50" s="20" t="s">
        <v>2053</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2054</v>
      </c>
      <c r="E51" s="17" t="s">
        <v>1727</v>
      </c>
      <c r="F51" s="17">
        <v>2422</v>
      </c>
      <c r="G51" s="17" t="s">
        <v>2055</v>
      </c>
      <c r="H51" s="17" t="s">
        <v>1991</v>
      </c>
      <c r="I51" s="17" t="s">
        <v>2056</v>
      </c>
      <c r="J51" s="17" t="s">
        <v>2033</v>
      </c>
      <c r="K51" s="17" t="s">
        <v>1744</v>
      </c>
      <c r="L51" s="17" t="s">
        <v>1900</v>
      </c>
      <c r="M51" s="18" t="s">
        <v>1901</v>
      </c>
      <c r="N51" s="17">
        <v>6004</v>
      </c>
      <c r="O51" s="18" t="s">
        <v>1716</v>
      </c>
      <c r="P51" s="19" t="s">
        <v>2057</v>
      </c>
      <c r="Q51" s="17" t="s">
        <v>2058</v>
      </c>
      <c r="R51" s="17" t="s">
        <v>1719</v>
      </c>
      <c r="S51" s="17" t="s">
        <v>195</v>
      </c>
      <c r="T51" s="17">
        <v>1</v>
      </c>
      <c r="U51" s="17" t="s">
        <v>1720</v>
      </c>
      <c r="V51" s="17" t="s">
        <v>2059</v>
      </c>
      <c r="W51" s="17" t="s">
        <v>2060</v>
      </c>
      <c r="X51" s="70">
        <v>46029.465277777781</v>
      </c>
      <c r="Y51" s="17" t="s">
        <v>2061</v>
      </c>
      <c r="Z51" s="17">
        <v>0.3</v>
      </c>
      <c r="AA51" s="17"/>
      <c r="AB51" s="17" t="s">
        <v>1724</v>
      </c>
      <c r="AC51" s="20" t="s">
        <v>2062</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2063</v>
      </c>
      <c r="H52" s="17" t="s">
        <v>1710</v>
      </c>
      <c r="I52" s="17"/>
      <c r="J52" s="17"/>
      <c r="K52" s="17"/>
      <c r="L52" s="17"/>
      <c r="M52" s="18"/>
      <c r="N52" s="17"/>
      <c r="O52" s="18"/>
      <c r="P52" s="19"/>
      <c r="Q52" s="17" t="s">
        <v>2064</v>
      </c>
      <c r="R52" s="17" t="s">
        <v>1719</v>
      </c>
      <c r="S52" s="17" t="s">
        <v>52</v>
      </c>
      <c r="T52" s="17">
        <v>1</v>
      </c>
      <c r="U52" s="17" t="s">
        <v>1720</v>
      </c>
      <c r="V52" s="17" t="s">
        <v>2065</v>
      </c>
      <c r="W52" s="17" t="s">
        <v>1857</v>
      </c>
      <c r="X52" s="70">
        <v>46028.555555555547</v>
      </c>
      <c r="Y52" s="17"/>
      <c r="Z52" s="17">
        <v>0.3</v>
      </c>
      <c r="AA52" s="17"/>
      <c r="AB52" s="17" t="s">
        <v>1724</v>
      </c>
      <c r="AC52" s="20" t="s">
        <v>2066</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2067</v>
      </c>
      <c r="H53" s="17" t="s">
        <v>1710</v>
      </c>
      <c r="I53" s="17"/>
      <c r="J53" s="17"/>
      <c r="K53" s="17"/>
      <c r="L53" s="17"/>
      <c r="M53" s="18"/>
      <c r="N53" s="17"/>
      <c r="O53" s="18"/>
      <c r="P53" s="19"/>
      <c r="Q53" s="17" t="s">
        <v>2068</v>
      </c>
      <c r="R53" s="17" t="s">
        <v>1719</v>
      </c>
      <c r="S53" s="17" t="s">
        <v>52</v>
      </c>
      <c r="T53" s="17">
        <v>1</v>
      </c>
      <c r="U53" s="17" t="s">
        <v>1720</v>
      </c>
      <c r="V53" s="17" t="s">
        <v>2069</v>
      </c>
      <c r="W53" s="17" t="s">
        <v>2070</v>
      </c>
      <c r="X53" s="70">
        <v>46028.579861111109</v>
      </c>
      <c r="Y53" s="17"/>
      <c r="Z53" s="17">
        <v>0.4</v>
      </c>
      <c r="AA53" s="17"/>
      <c r="AB53" s="17" t="s">
        <v>1724</v>
      </c>
      <c r="AC53" s="20" t="s">
        <v>2071</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2072</v>
      </c>
      <c r="H54" s="17" t="s">
        <v>1710</v>
      </c>
      <c r="I54" s="17"/>
      <c r="J54" s="17"/>
      <c r="K54" s="17"/>
      <c r="L54" s="17"/>
      <c r="M54" s="18"/>
      <c r="N54" s="17"/>
      <c r="O54" s="18"/>
      <c r="P54" s="19"/>
      <c r="Q54" s="17" t="s">
        <v>2073</v>
      </c>
      <c r="R54" s="17" t="s">
        <v>1719</v>
      </c>
      <c r="S54" s="17" t="s">
        <v>52</v>
      </c>
      <c r="T54" s="17">
        <v>1</v>
      </c>
      <c r="U54" s="17" t="s">
        <v>1720</v>
      </c>
      <c r="V54" s="17" t="s">
        <v>2074</v>
      </c>
      <c r="W54" s="17" t="s">
        <v>2075</v>
      </c>
      <c r="X54" s="70">
        <v>46028.604861111111</v>
      </c>
      <c r="Y54" s="17"/>
      <c r="Z54" s="17">
        <v>0.4</v>
      </c>
      <c r="AA54" s="17"/>
      <c r="AB54" s="17" t="s">
        <v>1724</v>
      </c>
      <c r="AC54" s="20" t="s">
        <v>2076</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2077</v>
      </c>
      <c r="H55" s="17" t="s">
        <v>1710</v>
      </c>
      <c r="I55" s="17"/>
      <c r="J55" s="17"/>
      <c r="K55" s="17"/>
      <c r="L55" s="17"/>
      <c r="M55" s="18"/>
      <c r="N55" s="17"/>
      <c r="O55" s="18"/>
      <c r="P55" s="19"/>
      <c r="Q55" s="17" t="s">
        <v>2078</v>
      </c>
      <c r="R55" s="17" t="s">
        <v>1719</v>
      </c>
      <c r="S55" s="17" t="s">
        <v>52</v>
      </c>
      <c r="T55" s="17">
        <v>1</v>
      </c>
      <c r="U55" s="17" t="s">
        <v>1720</v>
      </c>
      <c r="V55" s="17" t="s">
        <v>2079</v>
      </c>
      <c r="W55" s="17" t="s">
        <v>2080</v>
      </c>
      <c r="X55" s="70">
        <v>46028.640277777777</v>
      </c>
      <c r="Y55" s="17"/>
      <c r="Z55" s="17">
        <v>0.4</v>
      </c>
      <c r="AA55" s="17"/>
      <c r="AB55" s="17" t="s">
        <v>1724</v>
      </c>
      <c r="AC55" s="20" t="s">
        <v>2081</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2082</v>
      </c>
      <c r="H56" s="17" t="s">
        <v>1710</v>
      </c>
      <c r="I56" s="17"/>
      <c r="J56" s="17"/>
      <c r="K56" s="17"/>
      <c r="L56" s="17"/>
      <c r="M56" s="18"/>
      <c r="N56" s="17"/>
      <c r="O56" s="18"/>
      <c r="P56" s="19"/>
      <c r="Q56" s="17" t="s">
        <v>2083</v>
      </c>
      <c r="R56" s="17" t="s">
        <v>1719</v>
      </c>
      <c r="S56" s="17" t="s">
        <v>52</v>
      </c>
      <c r="T56" s="17">
        <v>1</v>
      </c>
      <c r="U56" s="17" t="s">
        <v>1720</v>
      </c>
      <c r="V56" s="17" t="s">
        <v>2084</v>
      </c>
      <c r="W56" s="17" t="s">
        <v>2085</v>
      </c>
      <c r="X56" s="70">
        <v>46028.659722222219</v>
      </c>
      <c r="Y56" s="17"/>
      <c r="Z56" s="17">
        <v>0.3</v>
      </c>
      <c r="AA56" s="17"/>
      <c r="AB56" s="17" t="s">
        <v>1724</v>
      </c>
      <c r="AC56" s="20" t="s">
        <v>2086</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2087</v>
      </c>
      <c r="H57" s="17" t="s">
        <v>1710</v>
      </c>
      <c r="I57" s="17"/>
      <c r="J57" s="17"/>
      <c r="K57" s="17"/>
      <c r="L57" s="17"/>
      <c r="M57" s="18"/>
      <c r="N57" s="17"/>
      <c r="O57" s="18"/>
      <c r="P57" s="19"/>
      <c r="Q57" s="17" t="s">
        <v>2088</v>
      </c>
      <c r="R57" s="17" t="s">
        <v>1719</v>
      </c>
      <c r="S57" s="17" t="s">
        <v>52</v>
      </c>
      <c r="T57" s="17">
        <v>1</v>
      </c>
      <c r="U57" s="17" t="s">
        <v>1720</v>
      </c>
      <c r="V57" s="17" t="s">
        <v>2089</v>
      </c>
      <c r="W57" s="17" t="s">
        <v>2090</v>
      </c>
      <c r="X57" s="70">
        <v>46028.680555555547</v>
      </c>
      <c r="Y57" s="17"/>
      <c r="Z57" s="17">
        <v>0.3</v>
      </c>
      <c r="AA57" s="17"/>
      <c r="AB57" s="17" t="s">
        <v>1724</v>
      </c>
      <c r="AC57" s="20" t="s">
        <v>2091</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2092</v>
      </c>
      <c r="E58" s="17" t="s">
        <v>1727</v>
      </c>
      <c r="F58" s="17">
        <v>5451</v>
      </c>
      <c r="G58" s="17" t="s">
        <v>2093</v>
      </c>
      <c r="H58" s="17" t="s">
        <v>1991</v>
      </c>
      <c r="I58" s="17" t="s">
        <v>2094</v>
      </c>
      <c r="J58" s="17" t="s">
        <v>2095</v>
      </c>
      <c r="K58" s="17" t="s">
        <v>1713</v>
      </c>
      <c r="L58" s="17" t="s">
        <v>1886</v>
      </c>
      <c r="M58" s="18" t="s">
        <v>1887</v>
      </c>
      <c r="N58" s="17" t="s">
        <v>1888</v>
      </c>
      <c r="O58" s="18" t="s">
        <v>1889</v>
      </c>
      <c r="P58" s="19" t="s">
        <v>2096</v>
      </c>
      <c r="Q58" s="17" t="s">
        <v>2097</v>
      </c>
      <c r="R58" s="17" t="s">
        <v>1719</v>
      </c>
      <c r="S58" s="17" t="s">
        <v>195</v>
      </c>
      <c r="T58" s="17">
        <v>1</v>
      </c>
      <c r="U58" s="17" t="s">
        <v>1720</v>
      </c>
      <c r="V58" s="17" t="s">
        <v>2098</v>
      </c>
      <c r="W58" s="17" t="s">
        <v>2099</v>
      </c>
      <c r="X58" s="70">
        <v>46030.417361111111</v>
      </c>
      <c r="Y58" s="17" t="s">
        <v>2100</v>
      </c>
      <c r="Z58" s="17">
        <v>0.5</v>
      </c>
      <c r="AA58" s="17"/>
      <c r="AB58" s="17" t="s">
        <v>1724</v>
      </c>
      <c r="AC58" s="20" t="s">
        <v>2101</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2055</v>
      </c>
      <c r="H59" s="17" t="s">
        <v>1991</v>
      </c>
      <c r="I59" s="17"/>
      <c r="J59" s="17"/>
      <c r="K59" s="17"/>
      <c r="L59" s="17"/>
      <c r="M59" s="18"/>
      <c r="N59" s="17"/>
      <c r="O59" s="18"/>
      <c r="P59" s="19"/>
      <c r="Q59" s="17" t="s">
        <v>2058</v>
      </c>
      <c r="R59" s="17" t="s">
        <v>1719</v>
      </c>
      <c r="S59" s="17" t="s">
        <v>195</v>
      </c>
      <c r="T59" s="17">
        <v>1</v>
      </c>
      <c r="U59" s="17" t="s">
        <v>1720</v>
      </c>
      <c r="V59" s="17" t="s">
        <v>2102</v>
      </c>
      <c r="W59" s="17" t="s">
        <v>2060</v>
      </c>
      <c r="X59" s="70">
        <v>46029.465277777781</v>
      </c>
      <c r="Y59" s="17"/>
      <c r="Z59" s="17">
        <v>0.3</v>
      </c>
      <c r="AA59" s="17"/>
      <c r="AB59" s="17" t="s">
        <v>1724</v>
      </c>
      <c r="AC59" s="20" t="s">
        <v>2103</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2104</v>
      </c>
      <c r="F60" s="17">
        <v>2540</v>
      </c>
      <c r="G60" s="17" t="s">
        <v>2043</v>
      </c>
      <c r="H60" s="17" t="s">
        <v>1771</v>
      </c>
      <c r="I60" s="17"/>
      <c r="J60" s="17"/>
      <c r="K60" s="17"/>
      <c r="L60" s="17"/>
      <c r="M60" s="18"/>
      <c r="N60" s="17"/>
      <c r="O60" s="18"/>
      <c r="P60" s="19"/>
      <c r="Q60" s="17" t="s">
        <v>2046</v>
      </c>
      <c r="R60" s="17" t="s">
        <v>1719</v>
      </c>
      <c r="S60" s="17" t="s">
        <v>52</v>
      </c>
      <c r="T60" s="17">
        <v>1</v>
      </c>
      <c r="U60" s="17" t="s">
        <v>1720</v>
      </c>
      <c r="V60" s="17" t="s">
        <v>2105</v>
      </c>
      <c r="W60" s="17" t="s">
        <v>2106</v>
      </c>
      <c r="X60" s="70">
        <v>46029.520833333343</v>
      </c>
      <c r="Y60" s="17"/>
      <c r="Z60" s="17">
        <v>0.3</v>
      </c>
      <c r="AA60" s="17"/>
      <c r="AB60" s="17" t="s">
        <v>1724</v>
      </c>
      <c r="AC60" s="20" t="s">
        <v>2107</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2031</v>
      </c>
      <c r="H61" s="17" t="s">
        <v>1786</v>
      </c>
      <c r="I61" s="17"/>
      <c r="J61" s="17"/>
      <c r="K61" s="17"/>
      <c r="L61" s="17"/>
      <c r="M61" s="18"/>
      <c r="N61" s="17"/>
      <c r="O61" s="18"/>
      <c r="P61" s="19"/>
      <c r="Q61" s="17" t="s">
        <v>2037</v>
      </c>
      <c r="R61" s="17" t="s">
        <v>1719</v>
      </c>
      <c r="S61" s="17" t="s">
        <v>566</v>
      </c>
      <c r="T61" s="17">
        <v>1</v>
      </c>
      <c r="U61" s="17" t="s">
        <v>1720</v>
      </c>
      <c r="V61" s="17" t="s">
        <v>2108</v>
      </c>
      <c r="W61" s="17" t="s">
        <v>2109</v>
      </c>
      <c r="X61" s="70">
        <v>46029.611111111109</v>
      </c>
      <c r="Y61" s="17"/>
      <c r="Z61" s="17">
        <v>0.3</v>
      </c>
      <c r="AA61" s="17"/>
      <c r="AB61" s="17" t="s">
        <v>1724</v>
      </c>
      <c r="AC61" s="20" t="s">
        <v>2110</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2111</v>
      </c>
      <c r="E62" s="17" t="s">
        <v>1727</v>
      </c>
      <c r="F62" s="17" t="s">
        <v>2112</v>
      </c>
      <c r="G62" s="17" t="s">
        <v>2113</v>
      </c>
      <c r="H62" s="17" t="s">
        <v>1991</v>
      </c>
      <c r="I62" s="17" t="s">
        <v>2114</v>
      </c>
      <c r="J62" s="17" t="s">
        <v>2095</v>
      </c>
      <c r="K62" s="17" t="s">
        <v>1744</v>
      </c>
      <c r="L62" s="17" t="s">
        <v>1789</v>
      </c>
      <c r="M62" s="18" t="s">
        <v>1790</v>
      </c>
      <c r="N62" s="17" t="s">
        <v>1791</v>
      </c>
      <c r="O62" s="18" t="s">
        <v>1792</v>
      </c>
      <c r="P62" s="19" t="s">
        <v>2115</v>
      </c>
      <c r="Q62" s="17" t="s">
        <v>2116</v>
      </c>
      <c r="R62" s="17" t="s">
        <v>1719</v>
      </c>
      <c r="S62" s="17" t="s">
        <v>195</v>
      </c>
      <c r="T62" s="17">
        <v>1</v>
      </c>
      <c r="U62" s="17" t="s">
        <v>1720</v>
      </c>
      <c r="V62" s="17" t="s">
        <v>2117</v>
      </c>
      <c r="W62" s="17" t="s">
        <v>2118</v>
      </c>
      <c r="X62" s="70">
        <v>46030.451388888891</v>
      </c>
      <c r="Y62" s="17" t="s">
        <v>2119</v>
      </c>
      <c r="Z62" s="17">
        <v>0.6</v>
      </c>
      <c r="AA62" s="17"/>
      <c r="AB62" s="17" t="s">
        <v>1724</v>
      </c>
      <c r="AC62" s="20" t="s">
        <v>2120</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2093</v>
      </c>
      <c r="H63" s="17" t="s">
        <v>1991</v>
      </c>
      <c r="I63" s="17"/>
      <c r="J63" s="17"/>
      <c r="K63" s="17"/>
      <c r="L63" s="17"/>
      <c r="M63" s="18"/>
      <c r="N63" s="17"/>
      <c r="O63" s="18"/>
      <c r="P63" s="19"/>
      <c r="Q63" s="17" t="s">
        <v>2097</v>
      </c>
      <c r="R63" s="17" t="s">
        <v>1719</v>
      </c>
      <c r="S63" s="17" t="s">
        <v>195</v>
      </c>
      <c r="T63" s="17">
        <v>1</v>
      </c>
      <c r="U63" s="17" t="s">
        <v>1720</v>
      </c>
      <c r="V63" s="17" t="s">
        <v>2121</v>
      </c>
      <c r="W63" s="17" t="s">
        <v>2122</v>
      </c>
      <c r="X63" s="70">
        <v>46030.416666666657</v>
      </c>
      <c r="Y63" s="17"/>
      <c r="Z63" s="17">
        <v>0.5</v>
      </c>
      <c r="AA63" s="17"/>
      <c r="AB63" s="17" t="s">
        <v>1724</v>
      </c>
      <c r="AC63" s="20" t="s">
        <v>2123</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2112</v>
      </c>
      <c r="G64" s="17" t="s">
        <v>2113</v>
      </c>
      <c r="H64" s="17" t="s">
        <v>1991</v>
      </c>
      <c r="I64" s="17"/>
      <c r="J64" s="17"/>
      <c r="K64" s="17"/>
      <c r="L64" s="17"/>
      <c r="M64" s="18"/>
      <c r="N64" s="17"/>
      <c r="O64" s="18"/>
      <c r="P64" s="19"/>
      <c r="Q64" s="17" t="s">
        <v>2116</v>
      </c>
      <c r="R64" s="17" t="s">
        <v>1719</v>
      </c>
      <c r="S64" s="17" t="s">
        <v>195</v>
      </c>
      <c r="T64" s="17">
        <v>1</v>
      </c>
      <c r="U64" s="17" t="s">
        <v>1720</v>
      </c>
      <c r="V64" s="17" t="s">
        <v>2124</v>
      </c>
      <c r="W64" s="17" t="s">
        <v>2118</v>
      </c>
      <c r="X64" s="70">
        <v>46030.451388888891</v>
      </c>
      <c r="Y64" s="17"/>
      <c r="Z64" s="17">
        <v>0.6</v>
      </c>
      <c r="AA64" s="17"/>
      <c r="AB64" s="17" t="s">
        <v>1724</v>
      </c>
      <c r="AC64" s="20" t="s">
        <v>2125</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2126</v>
      </c>
      <c r="H65" s="17" t="s">
        <v>2127</v>
      </c>
      <c r="I65" s="17"/>
      <c r="J65" s="17"/>
      <c r="K65" s="17"/>
      <c r="L65" s="17"/>
      <c r="M65" s="18"/>
      <c r="N65" s="17"/>
      <c r="O65" s="18"/>
      <c r="P65" s="19"/>
      <c r="Q65" s="17" t="s">
        <v>2128</v>
      </c>
      <c r="R65" s="17" t="s">
        <v>1719</v>
      </c>
      <c r="S65" s="17" t="s">
        <v>52</v>
      </c>
      <c r="T65" s="17">
        <v>1</v>
      </c>
      <c r="U65" s="17" t="s">
        <v>1720</v>
      </c>
      <c r="V65" s="17" t="s">
        <v>2129</v>
      </c>
      <c r="W65" s="17" t="s">
        <v>2130</v>
      </c>
      <c r="X65" s="70">
        <v>46030.495833333327</v>
      </c>
      <c r="Y65" s="17"/>
      <c r="Z65" s="17">
        <v>0.9</v>
      </c>
      <c r="AA65" s="17"/>
      <c r="AB65" s="17" t="s">
        <v>1724</v>
      </c>
      <c r="AC65" s="20" t="s">
        <v>2131</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2132</v>
      </c>
      <c r="H66" s="17" t="s">
        <v>2127</v>
      </c>
      <c r="I66" s="17"/>
      <c r="J66" s="17"/>
      <c r="K66" s="17"/>
      <c r="L66" s="17"/>
      <c r="M66" s="18"/>
      <c r="N66" s="17"/>
      <c r="O66" s="18"/>
      <c r="P66" s="19"/>
      <c r="Q66" s="17" t="s">
        <v>2133</v>
      </c>
      <c r="R66" s="17" t="s">
        <v>1719</v>
      </c>
      <c r="S66" s="17" t="s">
        <v>52</v>
      </c>
      <c r="T66" s="17">
        <v>1</v>
      </c>
      <c r="U66" s="17" t="s">
        <v>1720</v>
      </c>
      <c r="V66" s="17" t="s">
        <v>2134</v>
      </c>
      <c r="W66" s="17" t="s">
        <v>2135</v>
      </c>
      <c r="X66" s="70">
        <v>46030.534722222219</v>
      </c>
      <c r="Y66" s="17"/>
      <c r="Z66" s="17">
        <v>0.6</v>
      </c>
      <c r="AA66" s="17"/>
      <c r="AB66" s="17" t="s">
        <v>1724</v>
      </c>
      <c r="AC66" s="20" t="s">
        <v>2136</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2137</v>
      </c>
      <c r="H67" s="17" t="s">
        <v>2127</v>
      </c>
      <c r="I67" s="17"/>
      <c r="J67" s="17"/>
      <c r="K67" s="17"/>
      <c r="L67" s="17"/>
      <c r="M67" s="18"/>
      <c r="N67" s="17"/>
      <c r="O67" s="18"/>
      <c r="P67" s="19"/>
      <c r="Q67" s="17" t="s">
        <v>2138</v>
      </c>
      <c r="R67" s="17" t="s">
        <v>1719</v>
      </c>
      <c r="S67" s="17" t="s">
        <v>52</v>
      </c>
      <c r="T67" s="17">
        <v>1</v>
      </c>
      <c r="U67" s="17" t="s">
        <v>1720</v>
      </c>
      <c r="V67" s="17" t="s">
        <v>2139</v>
      </c>
      <c r="W67" s="17" t="s">
        <v>2140</v>
      </c>
      <c r="X67" s="70">
        <v>46030.563888888893</v>
      </c>
      <c r="Y67" s="17"/>
      <c r="Z67" s="17">
        <v>0.5</v>
      </c>
      <c r="AA67" s="17"/>
      <c r="AB67" s="17" t="s">
        <v>1724</v>
      </c>
      <c r="AC67" s="20" t="s">
        <v>2141</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2142</v>
      </c>
      <c r="H68" s="17" t="s">
        <v>2127</v>
      </c>
      <c r="I68" s="17"/>
      <c r="J68" s="17"/>
      <c r="K68" s="17"/>
      <c r="L68" s="17"/>
      <c r="M68" s="18"/>
      <c r="N68" s="17"/>
      <c r="O68" s="18"/>
      <c r="P68" s="19"/>
      <c r="Q68" s="17" t="s">
        <v>2143</v>
      </c>
      <c r="R68" s="17" t="s">
        <v>1719</v>
      </c>
      <c r="S68" s="17" t="s">
        <v>52</v>
      </c>
      <c r="T68" s="17">
        <v>1</v>
      </c>
      <c r="U68" s="17" t="s">
        <v>1720</v>
      </c>
      <c r="V68" s="17" t="s">
        <v>2144</v>
      </c>
      <c r="W68" s="17" t="s">
        <v>2145</v>
      </c>
      <c r="X68" s="70">
        <v>46030.582638888889</v>
      </c>
      <c r="Y68" s="17"/>
      <c r="Z68" s="17">
        <v>0.4</v>
      </c>
      <c r="AA68" s="17"/>
      <c r="AB68" s="17" t="s">
        <v>1724</v>
      </c>
      <c r="AC68" s="20" t="s">
        <v>2146</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2147</v>
      </c>
      <c r="H69" s="17" t="s">
        <v>2127</v>
      </c>
      <c r="I69" s="17"/>
      <c r="J69" s="17"/>
      <c r="K69" s="17"/>
      <c r="L69" s="17"/>
      <c r="M69" s="18"/>
      <c r="N69" s="17"/>
      <c r="O69" s="18"/>
      <c r="P69" s="19"/>
      <c r="Q69" s="17" t="s">
        <v>2148</v>
      </c>
      <c r="R69" s="17" t="s">
        <v>1719</v>
      </c>
      <c r="S69" s="17" t="s">
        <v>52</v>
      </c>
      <c r="T69" s="17">
        <v>1</v>
      </c>
      <c r="U69" s="17" t="s">
        <v>1720</v>
      </c>
      <c r="V69" s="17" t="s">
        <v>2149</v>
      </c>
      <c r="W69" s="17" t="s">
        <v>2150</v>
      </c>
      <c r="X69" s="70">
        <v>46030.597222222219</v>
      </c>
      <c r="Y69" s="17"/>
      <c r="Z69" s="17">
        <v>0.3</v>
      </c>
      <c r="AA69" s="17"/>
      <c r="AB69" s="17" t="s">
        <v>1724</v>
      </c>
      <c r="AC69" s="20" t="s">
        <v>2151</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2152</v>
      </c>
      <c r="G70" s="17" t="s">
        <v>2153</v>
      </c>
      <c r="H70" s="17" t="s">
        <v>2127</v>
      </c>
      <c r="I70" s="17"/>
      <c r="J70" s="17"/>
      <c r="K70" s="17"/>
      <c r="L70" s="17"/>
      <c r="M70" s="18"/>
      <c r="N70" s="17"/>
      <c r="O70" s="18"/>
      <c r="P70" s="19"/>
      <c r="Q70" s="17" t="s">
        <v>2154</v>
      </c>
      <c r="R70" s="17" t="s">
        <v>1719</v>
      </c>
      <c r="S70" s="17" t="s">
        <v>52</v>
      </c>
      <c r="T70" s="17">
        <v>1</v>
      </c>
      <c r="U70" s="17" t="s">
        <v>1720</v>
      </c>
      <c r="V70" s="17" t="s">
        <v>2155</v>
      </c>
      <c r="W70" s="17" t="s">
        <v>2156</v>
      </c>
      <c r="X70" s="70">
        <v>46030.614583333343</v>
      </c>
      <c r="Y70" s="17"/>
      <c r="Z70" s="17">
        <v>0.2</v>
      </c>
      <c r="AA70" s="17"/>
      <c r="AB70" s="17" t="s">
        <v>1724</v>
      </c>
      <c r="AC70" s="20" t="s">
        <v>2123</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2157</v>
      </c>
      <c r="E71" s="17" t="s">
        <v>1727</v>
      </c>
      <c r="F71" s="17">
        <v>4196</v>
      </c>
      <c r="G71" s="17" t="s">
        <v>1964</v>
      </c>
      <c r="H71" s="17" t="s">
        <v>1759</v>
      </c>
      <c r="I71" s="17" t="s">
        <v>2158</v>
      </c>
      <c r="J71" s="17" t="s">
        <v>1712</v>
      </c>
      <c r="K71" s="17" t="s">
        <v>1713</v>
      </c>
      <c r="L71" s="17" t="s">
        <v>1714</v>
      </c>
      <c r="M71" s="18" t="s">
        <v>1715</v>
      </c>
      <c r="N71" s="17">
        <v>2307</v>
      </c>
      <c r="O71" s="18" t="s">
        <v>1974</v>
      </c>
      <c r="P71" s="19" t="s">
        <v>2159</v>
      </c>
      <c r="Q71" s="17" t="s">
        <v>1967</v>
      </c>
      <c r="R71" s="17" t="s">
        <v>1719</v>
      </c>
      <c r="S71" s="17" t="s">
        <v>566</v>
      </c>
      <c r="T71" s="17">
        <v>1</v>
      </c>
      <c r="U71" s="17" t="s">
        <v>1720</v>
      </c>
      <c r="V71" s="17" t="s">
        <v>2160</v>
      </c>
      <c r="W71" s="17" t="s">
        <v>2161</v>
      </c>
      <c r="X71" s="70">
        <v>46031.541666666657</v>
      </c>
      <c r="Y71" s="17" t="s">
        <v>2162</v>
      </c>
      <c r="Z71" s="17">
        <v>2</v>
      </c>
      <c r="AA71" s="17"/>
      <c r="AB71" s="17" t="s">
        <v>1724</v>
      </c>
      <c r="AC71" s="20" t="s">
        <v>2163</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2164</v>
      </c>
      <c r="E72" s="17" t="s">
        <v>1727</v>
      </c>
      <c r="F72" s="17">
        <v>4191</v>
      </c>
      <c r="G72" s="17" t="s">
        <v>2165</v>
      </c>
      <c r="H72" s="17" t="s">
        <v>1759</v>
      </c>
      <c r="I72" s="17" t="s">
        <v>2166</v>
      </c>
      <c r="J72" s="17" t="s">
        <v>1712</v>
      </c>
      <c r="K72" s="17" t="s">
        <v>1744</v>
      </c>
      <c r="L72" s="17" t="s">
        <v>1734</v>
      </c>
      <c r="M72" s="18" t="s">
        <v>1735</v>
      </c>
      <c r="N72" s="17">
        <v>2501</v>
      </c>
      <c r="O72" s="18" t="s">
        <v>1736</v>
      </c>
      <c r="P72" s="19" t="s">
        <v>2167</v>
      </c>
      <c r="Q72" s="17" t="s">
        <v>2168</v>
      </c>
      <c r="R72" s="17" t="s">
        <v>1719</v>
      </c>
      <c r="S72" s="17" t="s">
        <v>566</v>
      </c>
      <c r="T72" s="17">
        <v>1</v>
      </c>
      <c r="U72" s="17" t="s">
        <v>1720</v>
      </c>
      <c r="V72" s="17" t="s">
        <v>2169</v>
      </c>
      <c r="W72" s="17" t="s">
        <v>2170</v>
      </c>
      <c r="X72" s="70">
        <v>46031.645833333343</v>
      </c>
      <c r="Y72" s="17" t="s">
        <v>2171</v>
      </c>
      <c r="Z72" s="17">
        <v>0.3</v>
      </c>
      <c r="AA72" s="17"/>
      <c r="AB72" s="17" t="s">
        <v>1724</v>
      </c>
      <c r="AC72" s="20" t="s">
        <v>2172</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2173</v>
      </c>
      <c r="G73" s="17" t="s">
        <v>2174</v>
      </c>
      <c r="H73" s="17" t="s">
        <v>2127</v>
      </c>
      <c r="I73" s="17"/>
      <c r="J73" s="17"/>
      <c r="K73" s="17"/>
      <c r="L73" s="17"/>
      <c r="M73" s="18"/>
      <c r="N73" s="17"/>
      <c r="O73" s="18"/>
      <c r="P73" s="19"/>
      <c r="Q73" s="17" t="s">
        <v>2175</v>
      </c>
      <c r="R73" s="17" t="s">
        <v>1719</v>
      </c>
      <c r="S73" s="17" t="s">
        <v>52</v>
      </c>
      <c r="T73" s="17">
        <v>1</v>
      </c>
      <c r="U73" s="17" t="s">
        <v>1720</v>
      </c>
      <c r="V73" s="17" t="s">
        <v>2176</v>
      </c>
      <c r="W73" s="17" t="s">
        <v>2177</v>
      </c>
      <c r="X73" s="70">
        <v>46030.634027777778</v>
      </c>
      <c r="Y73" s="17"/>
      <c r="Z73" s="17">
        <v>0.2</v>
      </c>
      <c r="AA73" s="17"/>
      <c r="AB73" s="17" t="s">
        <v>1724</v>
      </c>
      <c r="AC73" s="20" t="s">
        <v>2123</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2178</v>
      </c>
      <c r="H74" s="17" t="s">
        <v>2127</v>
      </c>
      <c r="I74" s="17"/>
      <c r="J74" s="17"/>
      <c r="K74" s="17"/>
      <c r="L74" s="17"/>
      <c r="M74" s="18"/>
      <c r="N74" s="17"/>
      <c r="O74" s="18"/>
      <c r="P74" s="19"/>
      <c r="Q74" s="17" t="s">
        <v>2179</v>
      </c>
      <c r="R74" s="17" t="s">
        <v>1719</v>
      </c>
      <c r="S74" s="17" t="s">
        <v>52</v>
      </c>
      <c r="T74" s="17">
        <v>1</v>
      </c>
      <c r="U74" s="17" t="s">
        <v>1720</v>
      </c>
      <c r="V74" s="17" t="s">
        <v>2180</v>
      </c>
      <c r="W74" s="17" t="s">
        <v>2181</v>
      </c>
      <c r="X74" s="70">
        <v>46030.661111111112</v>
      </c>
      <c r="Y74" s="17"/>
      <c r="Z74" s="17">
        <v>0.4</v>
      </c>
      <c r="AA74" s="17"/>
      <c r="AB74" s="17" t="s">
        <v>1724</v>
      </c>
      <c r="AC74" s="20" t="s">
        <v>2182</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1741</v>
      </c>
      <c r="H75" s="17" t="s">
        <v>1742</v>
      </c>
      <c r="I75" s="17"/>
      <c r="J75" s="17"/>
      <c r="K75" s="17"/>
      <c r="L75" s="17"/>
      <c r="M75" s="18"/>
      <c r="N75" s="17"/>
      <c r="O75" s="18"/>
      <c r="P75" s="19"/>
      <c r="Q75" s="17" t="s">
        <v>1750</v>
      </c>
      <c r="R75" s="17" t="s">
        <v>1719</v>
      </c>
      <c r="S75" s="17" t="s">
        <v>206</v>
      </c>
      <c r="T75" s="17">
        <v>1</v>
      </c>
      <c r="U75" s="17" t="s">
        <v>1720</v>
      </c>
      <c r="V75" s="17" t="s">
        <v>2183</v>
      </c>
      <c r="W75" s="17" t="s">
        <v>2177</v>
      </c>
      <c r="X75" s="70">
        <v>46030.645833333343</v>
      </c>
      <c r="Y75" s="17"/>
      <c r="Z75" s="17">
        <v>0.5</v>
      </c>
      <c r="AA75" s="17"/>
      <c r="AB75" s="17" t="s">
        <v>1724</v>
      </c>
      <c r="AC75" s="20" t="s">
        <v>2184</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1741</v>
      </c>
      <c r="H76" s="17" t="s">
        <v>1742</v>
      </c>
      <c r="I76" s="17"/>
      <c r="J76" s="17"/>
      <c r="K76" s="17"/>
      <c r="L76" s="17"/>
      <c r="M76" s="18"/>
      <c r="N76" s="17"/>
      <c r="O76" s="18"/>
      <c r="P76" s="19"/>
      <c r="Q76" s="17" t="s">
        <v>1750</v>
      </c>
      <c r="R76" s="17" t="s">
        <v>1719</v>
      </c>
      <c r="S76" s="17" t="s">
        <v>566</v>
      </c>
      <c r="T76" s="17">
        <v>1</v>
      </c>
      <c r="U76" s="17" t="s">
        <v>1720</v>
      </c>
      <c r="V76" s="17" t="s">
        <v>2185</v>
      </c>
      <c r="W76" s="17" t="s">
        <v>2177</v>
      </c>
      <c r="X76" s="70">
        <v>46030.645833333343</v>
      </c>
      <c r="Y76" s="17"/>
      <c r="Z76" s="17">
        <v>0.5</v>
      </c>
      <c r="AA76" s="17"/>
      <c r="AB76" s="17" t="s">
        <v>1724</v>
      </c>
      <c r="AC76" s="20" t="s">
        <v>2186</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2187</v>
      </c>
      <c r="H77" s="17" t="s">
        <v>2188</v>
      </c>
      <c r="I77" s="17"/>
      <c r="J77" s="17"/>
      <c r="K77" s="17"/>
      <c r="L77" s="17"/>
      <c r="M77" s="18"/>
      <c r="N77" s="17"/>
      <c r="O77" s="18"/>
      <c r="P77" s="19"/>
      <c r="Q77" s="17" t="s">
        <v>2189</v>
      </c>
      <c r="R77" s="17" t="s">
        <v>1719</v>
      </c>
      <c r="S77" s="17" t="s">
        <v>52</v>
      </c>
      <c r="T77" s="17">
        <v>1</v>
      </c>
      <c r="U77" s="17" t="s">
        <v>1720</v>
      </c>
      <c r="V77" s="17" t="s">
        <v>2190</v>
      </c>
      <c r="W77" s="17" t="s">
        <v>2191</v>
      </c>
      <c r="X77" s="70">
        <v>46031.4375</v>
      </c>
      <c r="Y77" s="17"/>
      <c r="Z77" s="17">
        <v>1</v>
      </c>
      <c r="AA77" s="17"/>
      <c r="AB77" s="17" t="s">
        <v>1724</v>
      </c>
      <c r="AC77" s="20" t="s">
        <v>2192</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2193</v>
      </c>
      <c r="H78" s="17" t="s">
        <v>2188</v>
      </c>
      <c r="I78" s="17"/>
      <c r="J78" s="17"/>
      <c r="K78" s="17"/>
      <c r="L78" s="17"/>
      <c r="M78" s="18"/>
      <c r="N78" s="17"/>
      <c r="O78" s="18"/>
      <c r="P78" s="19"/>
      <c r="Q78" s="17" t="s">
        <v>2194</v>
      </c>
      <c r="R78" s="17" t="s">
        <v>1719</v>
      </c>
      <c r="S78" s="17" t="s">
        <v>52</v>
      </c>
      <c r="T78" s="17">
        <v>1</v>
      </c>
      <c r="U78" s="17" t="s">
        <v>1720</v>
      </c>
      <c r="V78" s="17" t="s">
        <v>2195</v>
      </c>
      <c r="W78" s="17" t="s">
        <v>2161</v>
      </c>
      <c r="X78" s="70">
        <v>46031.478472222218</v>
      </c>
      <c r="Y78" s="17"/>
      <c r="Z78" s="17">
        <v>0.5</v>
      </c>
      <c r="AA78" s="17"/>
      <c r="AB78" s="17" t="s">
        <v>1724</v>
      </c>
      <c r="AC78" s="20" t="s">
        <v>2196</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2197</v>
      </c>
      <c r="E79" s="17" t="s">
        <v>1727</v>
      </c>
      <c r="F79" s="17">
        <v>4196</v>
      </c>
      <c r="G79" s="17" t="s">
        <v>1964</v>
      </c>
      <c r="H79" s="17" t="s">
        <v>1759</v>
      </c>
      <c r="I79" s="17" t="s">
        <v>2198</v>
      </c>
      <c r="J79" s="17" t="s">
        <v>1788</v>
      </c>
      <c r="K79" s="17" t="s">
        <v>1744</v>
      </c>
      <c r="L79" s="17" t="s">
        <v>1714</v>
      </c>
      <c r="M79" s="18" t="s">
        <v>1715</v>
      </c>
      <c r="N79" s="17">
        <v>2307</v>
      </c>
      <c r="O79" s="18" t="s">
        <v>1974</v>
      </c>
      <c r="P79" s="19" t="s">
        <v>2199</v>
      </c>
      <c r="Q79" s="17" t="s">
        <v>1967</v>
      </c>
      <c r="R79" s="17" t="s">
        <v>1719</v>
      </c>
      <c r="S79" s="17" t="s">
        <v>566</v>
      </c>
      <c r="T79" s="17">
        <v>1</v>
      </c>
      <c r="U79" s="17" t="s">
        <v>1720</v>
      </c>
      <c r="V79" s="17" t="s">
        <v>2200</v>
      </c>
      <c r="W79" s="17" t="s">
        <v>2201</v>
      </c>
      <c r="X79" s="70">
        <v>46031.625</v>
      </c>
      <c r="Y79" s="17" t="s">
        <v>2202</v>
      </c>
      <c r="Z79" s="17">
        <v>2</v>
      </c>
      <c r="AA79" s="17"/>
      <c r="AB79" s="17" t="s">
        <v>1724</v>
      </c>
      <c r="AC79" s="20" t="s">
        <v>2203</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1964</v>
      </c>
      <c r="H80" s="17" t="s">
        <v>1759</v>
      </c>
      <c r="I80" s="17"/>
      <c r="J80" s="17"/>
      <c r="K80" s="17"/>
      <c r="L80" s="17"/>
      <c r="M80" s="18"/>
      <c r="N80" s="17"/>
      <c r="O80" s="18"/>
      <c r="P80" s="19"/>
      <c r="Q80" s="17" t="s">
        <v>1967</v>
      </c>
      <c r="R80" s="17" t="s">
        <v>1719</v>
      </c>
      <c r="S80" s="17" t="s">
        <v>206</v>
      </c>
      <c r="T80" s="17">
        <v>1</v>
      </c>
      <c r="U80" s="17" t="s">
        <v>1720</v>
      </c>
      <c r="V80" s="17" t="s">
        <v>2204</v>
      </c>
      <c r="W80" s="17" t="s">
        <v>2161</v>
      </c>
      <c r="X80" s="70">
        <v>46031.541666666657</v>
      </c>
      <c r="Y80" s="17"/>
      <c r="Z80" s="17">
        <v>2</v>
      </c>
      <c r="AA80" s="17"/>
      <c r="AB80" s="17" t="s">
        <v>1724</v>
      </c>
      <c r="AC80" s="20" t="s">
        <v>2205</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1964</v>
      </c>
      <c r="H81" s="17" t="s">
        <v>1759</v>
      </c>
      <c r="I81" s="17"/>
      <c r="J81" s="17"/>
      <c r="K81" s="17"/>
      <c r="L81" s="17"/>
      <c r="M81" s="18"/>
      <c r="N81" s="17"/>
      <c r="O81" s="18"/>
      <c r="P81" s="19"/>
      <c r="Q81" s="17" t="s">
        <v>1967</v>
      </c>
      <c r="R81" s="17" t="s">
        <v>1719</v>
      </c>
      <c r="S81" s="17" t="s">
        <v>566</v>
      </c>
      <c r="T81" s="17">
        <v>1</v>
      </c>
      <c r="U81" s="17" t="s">
        <v>1720</v>
      </c>
      <c r="V81" s="17" t="s">
        <v>2206</v>
      </c>
      <c r="W81" s="17" t="s">
        <v>2207</v>
      </c>
      <c r="X81" s="70">
        <v>46031.625</v>
      </c>
      <c r="Y81" s="17"/>
      <c r="Z81" s="17">
        <v>0.3</v>
      </c>
      <c r="AA81" s="17"/>
      <c r="AB81" s="17" t="s">
        <v>1724</v>
      </c>
      <c r="AC81" s="20" t="s">
        <v>2208</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2165</v>
      </c>
      <c r="H82" s="17" t="s">
        <v>1759</v>
      </c>
      <c r="I82" s="17"/>
      <c r="J82" s="17"/>
      <c r="K82" s="17"/>
      <c r="L82" s="17"/>
      <c r="M82" s="18"/>
      <c r="N82" s="17"/>
      <c r="O82" s="18"/>
      <c r="P82" s="19"/>
      <c r="Q82" s="17" t="s">
        <v>2168</v>
      </c>
      <c r="R82" s="17" t="s">
        <v>1719</v>
      </c>
      <c r="S82" s="17" t="s">
        <v>566</v>
      </c>
      <c r="T82" s="17">
        <v>1</v>
      </c>
      <c r="U82" s="17" t="s">
        <v>1720</v>
      </c>
      <c r="V82" s="17" t="s">
        <v>2209</v>
      </c>
      <c r="W82" s="17" t="s">
        <v>2210</v>
      </c>
      <c r="X82" s="70">
        <v>46031.652777777781</v>
      </c>
      <c r="Y82" s="17"/>
      <c r="Z82" s="17">
        <v>0.3</v>
      </c>
      <c r="AA82" s="17"/>
      <c r="AB82" s="17" t="s">
        <v>1724</v>
      </c>
      <c r="AC82" s="20" t="s">
        <v>2211</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2165</v>
      </c>
      <c r="H83" s="17" t="s">
        <v>1759</v>
      </c>
      <c r="I83" s="17"/>
      <c r="J83" s="17"/>
      <c r="K83" s="17"/>
      <c r="L83" s="17"/>
      <c r="M83" s="18"/>
      <c r="N83" s="17"/>
      <c r="O83" s="18"/>
      <c r="P83" s="19"/>
      <c r="Q83" s="17" t="s">
        <v>2168</v>
      </c>
      <c r="R83" s="17" t="s">
        <v>1719</v>
      </c>
      <c r="S83" s="17" t="s">
        <v>566</v>
      </c>
      <c r="T83" s="17">
        <v>1</v>
      </c>
      <c r="U83" s="17" t="s">
        <v>1720</v>
      </c>
      <c r="V83" s="17" t="s">
        <v>2212</v>
      </c>
      <c r="W83" s="17" t="s">
        <v>2210</v>
      </c>
      <c r="X83" s="70">
        <v>46031.652777777781</v>
      </c>
      <c r="Y83" s="17"/>
      <c r="Z83" s="17">
        <v>0.3</v>
      </c>
      <c r="AA83" s="17"/>
      <c r="AB83" s="17" t="s">
        <v>1724</v>
      </c>
      <c r="AC83" s="20" t="s">
        <v>2211</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2213</v>
      </c>
      <c r="E84" s="17" t="s">
        <v>1727</v>
      </c>
      <c r="F84" s="17">
        <v>3017</v>
      </c>
      <c r="G84" s="17" t="s">
        <v>1940</v>
      </c>
      <c r="H84" s="17" t="s">
        <v>1941</v>
      </c>
      <c r="I84" s="17" t="s">
        <v>2214</v>
      </c>
      <c r="J84" s="17" t="s">
        <v>1788</v>
      </c>
      <c r="K84" s="17" t="s">
        <v>1713</v>
      </c>
      <c r="L84" s="17" t="s">
        <v>1789</v>
      </c>
      <c r="M84" s="18" t="s">
        <v>1790</v>
      </c>
      <c r="N84" s="17" t="s">
        <v>1791</v>
      </c>
      <c r="O84" s="18" t="s">
        <v>1792</v>
      </c>
      <c r="P84" s="19" t="s">
        <v>2215</v>
      </c>
      <c r="Q84" s="17" t="s">
        <v>1946</v>
      </c>
      <c r="R84" s="17" t="s">
        <v>1719</v>
      </c>
      <c r="S84" s="17" t="s">
        <v>52</v>
      </c>
      <c r="T84" s="17">
        <v>1</v>
      </c>
      <c r="U84" s="17" t="s">
        <v>1720</v>
      </c>
      <c r="V84" s="17" t="s">
        <v>2216</v>
      </c>
      <c r="W84" s="17" t="s">
        <v>2217</v>
      </c>
      <c r="X84" s="70">
        <v>46034.4375</v>
      </c>
      <c r="Y84" s="17" t="s">
        <v>2218</v>
      </c>
      <c r="Z84" s="17">
        <v>0.5</v>
      </c>
      <c r="AA84" s="17"/>
      <c r="AB84" s="17" t="s">
        <v>1724</v>
      </c>
      <c r="AC84" s="20" t="s">
        <v>2219</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2220</v>
      </c>
      <c r="H85" s="17" t="s">
        <v>1941</v>
      </c>
      <c r="I85" s="17"/>
      <c r="J85" s="17"/>
      <c r="K85" s="17"/>
      <c r="L85" s="17"/>
      <c r="M85" s="18"/>
      <c r="N85" s="17"/>
      <c r="O85" s="18"/>
      <c r="P85" s="19"/>
      <c r="Q85" s="17" t="s">
        <v>2221</v>
      </c>
      <c r="R85" s="17" t="s">
        <v>1719</v>
      </c>
      <c r="S85" s="17" t="s">
        <v>52</v>
      </c>
      <c r="T85" s="17">
        <v>1</v>
      </c>
      <c r="U85" s="17" t="s">
        <v>1720</v>
      </c>
      <c r="V85" s="17" t="s">
        <v>2222</v>
      </c>
      <c r="W85" s="17" t="s">
        <v>2223</v>
      </c>
      <c r="X85" s="70">
        <v>46031.768750000003</v>
      </c>
      <c r="Y85" s="17"/>
      <c r="Z85" s="17">
        <v>4.5</v>
      </c>
      <c r="AA85" s="17"/>
      <c r="AB85" s="17" t="s">
        <v>1724</v>
      </c>
      <c r="AC85" s="20" t="s">
        <v>2224</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2225</v>
      </c>
      <c r="E86" s="17" t="s">
        <v>1727</v>
      </c>
      <c r="F86" s="17">
        <v>4210</v>
      </c>
      <c r="G86" s="17" t="s">
        <v>2226</v>
      </c>
      <c r="H86" s="17" t="s">
        <v>1759</v>
      </c>
      <c r="I86" s="17" t="s">
        <v>2227</v>
      </c>
      <c r="J86" s="17" t="s">
        <v>1862</v>
      </c>
      <c r="K86" s="17" t="s">
        <v>1713</v>
      </c>
      <c r="L86" s="17" t="s">
        <v>1789</v>
      </c>
      <c r="M86" s="18" t="s">
        <v>1790</v>
      </c>
      <c r="N86" s="17" t="s">
        <v>1791</v>
      </c>
      <c r="O86" s="18" t="s">
        <v>1792</v>
      </c>
      <c r="P86" s="19" t="s">
        <v>2228</v>
      </c>
      <c r="Q86" s="17" t="s">
        <v>2229</v>
      </c>
      <c r="R86" s="17" t="s">
        <v>1719</v>
      </c>
      <c r="S86" s="17" t="s">
        <v>566</v>
      </c>
      <c r="T86" s="17">
        <v>1</v>
      </c>
      <c r="U86" s="17" t="s">
        <v>1720</v>
      </c>
      <c r="V86" s="17" t="s">
        <v>2230</v>
      </c>
      <c r="W86" s="17" t="s">
        <v>2231</v>
      </c>
      <c r="X86" s="70">
        <v>46034.5625</v>
      </c>
      <c r="Y86" s="17" t="s">
        <v>2232</v>
      </c>
      <c r="Z86" s="17">
        <v>0.5</v>
      </c>
      <c r="AA86" s="17"/>
      <c r="AB86" s="17" t="s">
        <v>1724</v>
      </c>
      <c r="AC86" s="20" t="s">
        <v>2233</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2234</v>
      </c>
      <c r="E87" s="17" t="s">
        <v>1727</v>
      </c>
      <c r="F87" s="17">
        <v>2375</v>
      </c>
      <c r="G87" s="17" t="s">
        <v>1980</v>
      </c>
      <c r="H87" s="17" t="s">
        <v>1941</v>
      </c>
      <c r="I87" s="17" t="s">
        <v>2235</v>
      </c>
      <c r="J87" s="17" t="s">
        <v>1788</v>
      </c>
      <c r="K87" s="17" t="s">
        <v>1849</v>
      </c>
      <c r="L87" s="17" t="s">
        <v>1910</v>
      </c>
      <c r="M87" s="18" t="s">
        <v>1911</v>
      </c>
      <c r="N87" s="17" t="s">
        <v>1912</v>
      </c>
      <c r="O87" s="18" t="s">
        <v>1913</v>
      </c>
      <c r="P87" s="19" t="s">
        <v>2236</v>
      </c>
      <c r="Q87" s="17" t="s">
        <v>1981</v>
      </c>
      <c r="R87" s="17" t="s">
        <v>1719</v>
      </c>
      <c r="S87" s="17" t="s">
        <v>52</v>
      </c>
      <c r="T87" s="17">
        <v>1</v>
      </c>
      <c r="U87" s="17" t="s">
        <v>1720</v>
      </c>
      <c r="V87" s="17" t="s">
        <v>2237</v>
      </c>
      <c r="W87" s="17" t="s">
        <v>2238</v>
      </c>
      <c r="X87" s="70">
        <v>46034.673611111109</v>
      </c>
      <c r="Y87" s="17" t="s">
        <v>2232</v>
      </c>
      <c r="Z87" s="17">
        <v>2.2000000000000002</v>
      </c>
      <c r="AA87" s="17"/>
      <c r="AB87" s="17" t="s">
        <v>1724</v>
      </c>
      <c r="AC87" s="20" t="s">
        <v>2239</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2240</v>
      </c>
      <c r="E88" s="17" t="s">
        <v>1727</v>
      </c>
      <c r="F88" s="17">
        <v>2375</v>
      </c>
      <c r="G88" s="17" t="s">
        <v>1980</v>
      </c>
      <c r="H88" s="17" t="s">
        <v>1941</v>
      </c>
      <c r="I88" s="17" t="s">
        <v>2241</v>
      </c>
      <c r="J88" s="17" t="s">
        <v>1862</v>
      </c>
      <c r="K88" s="17" t="s">
        <v>1713</v>
      </c>
      <c r="L88" s="17" t="s">
        <v>1910</v>
      </c>
      <c r="M88" s="18" t="s">
        <v>1911</v>
      </c>
      <c r="N88" s="17" t="s">
        <v>1912</v>
      </c>
      <c r="O88" s="18" t="s">
        <v>1913</v>
      </c>
      <c r="P88" s="19" t="s">
        <v>2242</v>
      </c>
      <c r="Q88" s="17" t="s">
        <v>1981</v>
      </c>
      <c r="R88" s="17" t="s">
        <v>1719</v>
      </c>
      <c r="S88" s="17" t="s">
        <v>52</v>
      </c>
      <c r="T88" s="17">
        <v>1</v>
      </c>
      <c r="U88" s="17" t="s">
        <v>1720</v>
      </c>
      <c r="V88" s="17" t="s">
        <v>2243</v>
      </c>
      <c r="W88" s="17" t="s">
        <v>2238</v>
      </c>
      <c r="X88" s="70">
        <v>46034.673611111109</v>
      </c>
      <c r="Y88" s="17" t="s">
        <v>2232</v>
      </c>
      <c r="Z88" s="17">
        <v>2.2000000000000002</v>
      </c>
      <c r="AA88" s="17"/>
      <c r="AB88" s="17" t="s">
        <v>1724</v>
      </c>
      <c r="AC88" s="20" t="s">
        <v>2244</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2245</v>
      </c>
      <c r="E89" s="17" t="s">
        <v>1727</v>
      </c>
      <c r="F89" s="17">
        <v>2375</v>
      </c>
      <c r="G89" s="17" t="s">
        <v>1980</v>
      </c>
      <c r="H89" s="17" t="s">
        <v>1941</v>
      </c>
      <c r="I89" s="17" t="s">
        <v>2246</v>
      </c>
      <c r="J89" s="17" t="s">
        <v>1862</v>
      </c>
      <c r="K89" s="17" t="s">
        <v>1713</v>
      </c>
      <c r="L89" s="17" t="s">
        <v>1714</v>
      </c>
      <c r="M89" s="18" t="s">
        <v>1715</v>
      </c>
      <c r="N89" s="17">
        <v>2304</v>
      </c>
      <c r="O89" s="18" t="s">
        <v>2247</v>
      </c>
      <c r="P89" s="19" t="s">
        <v>2248</v>
      </c>
      <c r="Q89" s="17" t="s">
        <v>1981</v>
      </c>
      <c r="R89" s="17" t="s">
        <v>1719</v>
      </c>
      <c r="S89" s="17" t="s">
        <v>52</v>
      </c>
      <c r="T89" s="17">
        <v>1</v>
      </c>
      <c r="U89" s="17" t="s">
        <v>1720</v>
      </c>
      <c r="V89" s="17" t="s">
        <v>2249</v>
      </c>
      <c r="W89" s="17" t="s">
        <v>2238</v>
      </c>
      <c r="X89" s="70">
        <v>46034.673611111109</v>
      </c>
      <c r="Y89" s="17" t="s">
        <v>2232</v>
      </c>
      <c r="Z89" s="17">
        <v>2.2000000000000002</v>
      </c>
      <c r="AA89" s="17"/>
      <c r="AB89" s="17" t="s">
        <v>1724</v>
      </c>
      <c r="AC89" s="20" t="s">
        <v>2250</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2251</v>
      </c>
      <c r="E90" s="17" t="s">
        <v>1727</v>
      </c>
      <c r="F90" s="17">
        <v>2375</v>
      </c>
      <c r="G90" s="17" t="s">
        <v>1980</v>
      </c>
      <c r="H90" s="17" t="s">
        <v>1941</v>
      </c>
      <c r="I90" s="17" t="s">
        <v>2252</v>
      </c>
      <c r="J90" s="17" t="s">
        <v>1862</v>
      </c>
      <c r="K90" s="17" t="s">
        <v>1713</v>
      </c>
      <c r="L90" s="17" t="s">
        <v>1714</v>
      </c>
      <c r="M90" s="18" t="s">
        <v>1715</v>
      </c>
      <c r="N90" s="17">
        <v>2304</v>
      </c>
      <c r="O90" s="18" t="s">
        <v>2247</v>
      </c>
      <c r="P90" s="19" t="s">
        <v>2253</v>
      </c>
      <c r="Q90" s="17" t="s">
        <v>1981</v>
      </c>
      <c r="R90" s="17" t="s">
        <v>1719</v>
      </c>
      <c r="S90" s="17" t="s">
        <v>52</v>
      </c>
      <c r="T90" s="17">
        <v>1</v>
      </c>
      <c r="U90" s="17" t="s">
        <v>1720</v>
      </c>
      <c r="V90" s="17" t="s">
        <v>2254</v>
      </c>
      <c r="W90" s="17" t="s">
        <v>2238</v>
      </c>
      <c r="X90" s="70">
        <v>46034.673611111109</v>
      </c>
      <c r="Y90" s="17" t="s">
        <v>2232</v>
      </c>
      <c r="Z90" s="17">
        <v>2.2000000000000002</v>
      </c>
      <c r="AA90" s="17"/>
      <c r="AB90" s="17" t="s">
        <v>1724</v>
      </c>
      <c r="AC90" s="20" t="s">
        <v>2255</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2256</v>
      </c>
      <c r="E91" s="17" t="s">
        <v>1727</v>
      </c>
      <c r="F91" s="17">
        <v>3770</v>
      </c>
      <c r="G91" s="17" t="s">
        <v>2257</v>
      </c>
      <c r="H91" s="17" t="s">
        <v>1805</v>
      </c>
      <c r="I91" s="17" t="s">
        <v>2258</v>
      </c>
      <c r="J91" s="17" t="s">
        <v>1862</v>
      </c>
      <c r="K91" s="17" t="s">
        <v>1744</v>
      </c>
      <c r="L91" s="17" t="s">
        <v>1714</v>
      </c>
      <c r="M91" s="18" t="s">
        <v>1715</v>
      </c>
      <c r="N91" s="17">
        <v>2307</v>
      </c>
      <c r="O91" s="18" t="s">
        <v>1974</v>
      </c>
      <c r="P91" s="19" t="s">
        <v>2259</v>
      </c>
      <c r="Q91" s="17" t="s">
        <v>2260</v>
      </c>
      <c r="R91" s="17" t="s">
        <v>1719</v>
      </c>
      <c r="S91" s="17" t="s">
        <v>206</v>
      </c>
      <c r="T91" s="17">
        <v>1</v>
      </c>
      <c r="U91" s="17" t="s">
        <v>1720</v>
      </c>
      <c r="V91" s="17" t="s">
        <v>2261</v>
      </c>
      <c r="W91" s="17" t="s">
        <v>2262</v>
      </c>
      <c r="X91" s="70">
        <v>46034.479166666657</v>
      </c>
      <c r="Y91" s="17" t="s">
        <v>2232</v>
      </c>
      <c r="Z91" s="17">
        <v>0.5</v>
      </c>
      <c r="AA91" s="17"/>
      <c r="AB91" s="17" t="s">
        <v>1724</v>
      </c>
      <c r="AC91" s="20" t="s">
        <v>2263</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2264</v>
      </c>
      <c r="E92" s="17" t="s">
        <v>1727</v>
      </c>
      <c r="F92" s="17">
        <v>3052</v>
      </c>
      <c r="G92" s="17" t="s">
        <v>2265</v>
      </c>
      <c r="H92" s="17" t="s">
        <v>1742</v>
      </c>
      <c r="I92" s="17" t="s">
        <v>2266</v>
      </c>
      <c r="J92" s="17" t="s">
        <v>1862</v>
      </c>
      <c r="K92" s="17" t="s">
        <v>1744</v>
      </c>
      <c r="L92" s="17" t="s">
        <v>1734</v>
      </c>
      <c r="M92" s="18" t="s">
        <v>1735</v>
      </c>
      <c r="N92" s="17">
        <v>2503</v>
      </c>
      <c r="O92" s="18" t="s">
        <v>2267</v>
      </c>
      <c r="P92" s="19" t="s">
        <v>2268</v>
      </c>
      <c r="Q92" s="17" t="s">
        <v>2269</v>
      </c>
      <c r="R92" s="17" t="s">
        <v>1719</v>
      </c>
      <c r="S92" s="17" t="s">
        <v>206</v>
      </c>
      <c r="T92" s="17">
        <v>1</v>
      </c>
      <c r="U92" s="17" t="s">
        <v>1720</v>
      </c>
      <c r="V92" s="17" t="s">
        <v>2270</v>
      </c>
      <c r="W92" s="17" t="s">
        <v>2271</v>
      </c>
      <c r="X92" s="70">
        <v>46034.416666666657</v>
      </c>
      <c r="Y92" s="17" t="s">
        <v>2232</v>
      </c>
      <c r="Z92" s="17">
        <v>0.5</v>
      </c>
      <c r="AA92" s="17"/>
      <c r="AB92" s="17" t="s">
        <v>1724</v>
      </c>
      <c r="AC92" s="20" t="s">
        <v>2272</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2273</v>
      </c>
      <c r="E93" s="17" t="s">
        <v>1708</v>
      </c>
      <c r="F93" s="17">
        <v>2201</v>
      </c>
      <c r="G93" s="17" t="s">
        <v>2274</v>
      </c>
      <c r="H93" s="17" t="s">
        <v>1771</v>
      </c>
      <c r="I93" s="17" t="s">
        <v>2275</v>
      </c>
      <c r="J93" s="17" t="s">
        <v>1899</v>
      </c>
      <c r="K93" s="17" t="s">
        <v>1713</v>
      </c>
      <c r="L93" s="17" t="s">
        <v>1930</v>
      </c>
      <c r="M93" s="18" t="s">
        <v>1931</v>
      </c>
      <c r="N93" s="17">
        <v>2401</v>
      </c>
      <c r="O93" s="18" t="s">
        <v>1944</v>
      </c>
      <c r="P93" s="19" t="s">
        <v>2276</v>
      </c>
      <c r="Q93" s="17" t="s">
        <v>2277</v>
      </c>
      <c r="R93" s="17" t="s">
        <v>1719</v>
      </c>
      <c r="S93" s="17" t="s">
        <v>52</v>
      </c>
      <c r="T93" s="17">
        <v>1</v>
      </c>
      <c r="U93" s="17" t="s">
        <v>1720</v>
      </c>
      <c r="V93" s="17" t="s">
        <v>2278</v>
      </c>
      <c r="W93" s="17" t="s">
        <v>2279</v>
      </c>
      <c r="X93" s="70">
        <v>46033.628472222219</v>
      </c>
      <c r="Y93" s="17" t="s">
        <v>2280</v>
      </c>
      <c r="Z93" s="17">
        <v>2.1</v>
      </c>
      <c r="AA93" s="17"/>
      <c r="AB93" s="17" t="s">
        <v>1724</v>
      </c>
      <c r="AC93" s="20" t="s">
        <v>2281</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2220</v>
      </c>
      <c r="H94" s="17" t="s">
        <v>1941</v>
      </c>
      <c r="I94" s="17"/>
      <c r="J94" s="17"/>
      <c r="K94" s="17"/>
      <c r="L94" s="17"/>
      <c r="M94" s="18"/>
      <c r="N94" s="17"/>
      <c r="O94" s="18"/>
      <c r="P94" s="19"/>
      <c r="Q94" s="17" t="s">
        <v>2221</v>
      </c>
      <c r="R94" s="17" t="s">
        <v>1719</v>
      </c>
      <c r="S94" s="17" t="s">
        <v>206</v>
      </c>
      <c r="T94" s="17">
        <v>1</v>
      </c>
      <c r="U94" s="17" t="s">
        <v>1720</v>
      </c>
      <c r="V94" s="17" t="s">
        <v>2282</v>
      </c>
      <c r="W94" s="17" t="s">
        <v>2283</v>
      </c>
      <c r="X94" s="70">
        <v>46033.791666666657</v>
      </c>
      <c r="Y94" s="17"/>
      <c r="Z94" s="17">
        <v>1</v>
      </c>
      <c r="AA94" s="17"/>
      <c r="AB94" s="17" t="s">
        <v>1724</v>
      </c>
      <c r="AC94" s="20" t="s">
        <v>2284</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2220</v>
      </c>
      <c r="H95" s="17" t="s">
        <v>1941</v>
      </c>
      <c r="I95" s="17"/>
      <c r="J95" s="17"/>
      <c r="K95" s="17"/>
      <c r="L95" s="17"/>
      <c r="M95" s="18"/>
      <c r="N95" s="17"/>
      <c r="O95" s="18"/>
      <c r="P95" s="19"/>
      <c r="Q95" s="17" t="s">
        <v>2221</v>
      </c>
      <c r="R95" s="17" t="s">
        <v>1719</v>
      </c>
      <c r="S95" s="17" t="s">
        <v>52</v>
      </c>
      <c r="T95" s="17">
        <v>1</v>
      </c>
      <c r="U95" s="17" t="s">
        <v>1720</v>
      </c>
      <c r="V95" s="17" t="s">
        <v>2285</v>
      </c>
      <c r="W95" s="17" t="s">
        <v>2283</v>
      </c>
      <c r="X95" s="70">
        <v>46033.79583333333</v>
      </c>
      <c r="Y95" s="17"/>
      <c r="Z95" s="17">
        <v>1.1000000000000001</v>
      </c>
      <c r="AA95" s="17"/>
      <c r="AB95" s="17" t="s">
        <v>1724</v>
      </c>
      <c r="AC95" s="20" t="s">
        <v>2286</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2287</v>
      </c>
      <c r="E96" s="17" t="s">
        <v>1727</v>
      </c>
      <c r="F96" s="17" t="s">
        <v>2288</v>
      </c>
      <c r="G96" s="17" t="s">
        <v>2289</v>
      </c>
      <c r="H96" s="17" t="s">
        <v>1742</v>
      </c>
      <c r="I96" s="17" t="s">
        <v>2290</v>
      </c>
      <c r="J96" s="17" t="s">
        <v>1929</v>
      </c>
      <c r="K96" s="17" t="s">
        <v>1713</v>
      </c>
      <c r="L96" s="17" t="s">
        <v>1789</v>
      </c>
      <c r="M96" s="18" t="s">
        <v>1790</v>
      </c>
      <c r="N96" s="17" t="s">
        <v>1791</v>
      </c>
      <c r="O96" s="18" t="s">
        <v>1792</v>
      </c>
      <c r="P96" s="19" t="s">
        <v>2291</v>
      </c>
      <c r="Q96" s="17" t="s">
        <v>2292</v>
      </c>
      <c r="R96" s="17" t="s">
        <v>1719</v>
      </c>
      <c r="S96" s="17" t="s">
        <v>206</v>
      </c>
      <c r="T96" s="17">
        <v>1</v>
      </c>
      <c r="U96" s="17" t="s">
        <v>1720</v>
      </c>
      <c r="V96" s="17" t="s">
        <v>2293</v>
      </c>
      <c r="W96" s="17" t="s">
        <v>2294</v>
      </c>
      <c r="X96" s="70">
        <v>46034.645833333343</v>
      </c>
      <c r="Y96" s="17" t="s">
        <v>2295</v>
      </c>
      <c r="Z96" s="17">
        <v>0.5</v>
      </c>
      <c r="AA96" s="17"/>
      <c r="AB96" s="17" t="s">
        <v>1724</v>
      </c>
      <c r="AC96" s="20" t="s">
        <v>1819</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2265</v>
      </c>
      <c r="H97" s="17" t="s">
        <v>1742</v>
      </c>
      <c r="I97" s="17"/>
      <c r="J97" s="17"/>
      <c r="K97" s="17"/>
      <c r="L97" s="17"/>
      <c r="M97" s="18"/>
      <c r="N97" s="17"/>
      <c r="O97" s="18"/>
      <c r="P97" s="19"/>
      <c r="Q97" s="17" t="s">
        <v>2269</v>
      </c>
      <c r="R97" s="17" t="s">
        <v>1719</v>
      </c>
      <c r="S97" s="17" t="s">
        <v>206</v>
      </c>
      <c r="T97" s="17">
        <v>1</v>
      </c>
      <c r="U97" s="17" t="s">
        <v>1720</v>
      </c>
      <c r="V97" s="17" t="s">
        <v>2296</v>
      </c>
      <c r="W97" s="17" t="s">
        <v>2217</v>
      </c>
      <c r="X97" s="70">
        <v>46034.4375</v>
      </c>
      <c r="Y97" s="17"/>
      <c r="Z97" s="17">
        <v>0.5</v>
      </c>
      <c r="AA97" s="17"/>
      <c r="AB97" s="17" t="s">
        <v>1724</v>
      </c>
      <c r="AC97" s="20" t="s">
        <v>2297</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2257</v>
      </c>
      <c r="H98" s="17" t="s">
        <v>1805</v>
      </c>
      <c r="I98" s="17"/>
      <c r="J98" s="17"/>
      <c r="K98" s="17"/>
      <c r="L98" s="17"/>
      <c r="M98" s="18"/>
      <c r="N98" s="17"/>
      <c r="O98" s="18"/>
      <c r="P98" s="19"/>
      <c r="Q98" s="17" t="s">
        <v>2260</v>
      </c>
      <c r="R98" s="17" t="s">
        <v>1719</v>
      </c>
      <c r="S98" s="17" t="s">
        <v>206</v>
      </c>
      <c r="T98" s="17">
        <v>1</v>
      </c>
      <c r="U98" s="17" t="s">
        <v>1720</v>
      </c>
      <c r="V98" s="17" t="s">
        <v>2298</v>
      </c>
      <c r="W98" s="17" t="s">
        <v>2299</v>
      </c>
      <c r="X98" s="70">
        <v>46034.5</v>
      </c>
      <c r="Y98" s="17"/>
      <c r="Z98" s="17">
        <v>0.5</v>
      </c>
      <c r="AA98" s="17"/>
      <c r="AB98" s="17" t="s">
        <v>1724</v>
      </c>
      <c r="AC98" s="20" t="s">
        <v>2300</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2301</v>
      </c>
      <c r="E99" s="17" t="s">
        <v>1727</v>
      </c>
      <c r="F99" s="17" t="s">
        <v>2302</v>
      </c>
      <c r="G99" s="17" t="s">
        <v>2303</v>
      </c>
      <c r="H99" s="17" t="s">
        <v>1759</v>
      </c>
      <c r="I99" s="17" t="s">
        <v>2304</v>
      </c>
      <c r="J99" s="17" t="s">
        <v>1929</v>
      </c>
      <c r="K99" s="17" t="s">
        <v>1744</v>
      </c>
      <c r="L99" s="17" t="s">
        <v>1789</v>
      </c>
      <c r="M99" s="18" t="s">
        <v>1790</v>
      </c>
      <c r="N99" s="17" t="s">
        <v>1791</v>
      </c>
      <c r="O99" s="18" t="s">
        <v>1792</v>
      </c>
      <c r="P99" s="19" t="s">
        <v>2305</v>
      </c>
      <c r="Q99" s="17" t="s">
        <v>2306</v>
      </c>
      <c r="R99" s="17" t="s">
        <v>1719</v>
      </c>
      <c r="S99" s="17" t="s">
        <v>566</v>
      </c>
      <c r="T99" s="17">
        <v>1</v>
      </c>
      <c r="U99" s="17" t="s">
        <v>1720</v>
      </c>
      <c r="V99" s="17" t="s">
        <v>2307</v>
      </c>
      <c r="W99" s="17" t="s">
        <v>2308</v>
      </c>
      <c r="X99" s="70">
        <v>46034.611111111109</v>
      </c>
      <c r="Y99" s="17" t="s">
        <v>2309</v>
      </c>
      <c r="Z99" s="17">
        <v>0.6</v>
      </c>
      <c r="AA99" s="17"/>
      <c r="AB99" s="17" t="s">
        <v>1724</v>
      </c>
      <c r="AC99" s="20" t="s">
        <v>2310</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2226</v>
      </c>
      <c r="H100" s="17" t="s">
        <v>1759</v>
      </c>
      <c r="I100" s="17"/>
      <c r="J100" s="17"/>
      <c r="K100" s="17"/>
      <c r="L100" s="17"/>
      <c r="M100" s="18"/>
      <c r="N100" s="17"/>
      <c r="O100" s="18"/>
      <c r="P100" s="19"/>
      <c r="Q100" s="17" t="s">
        <v>2229</v>
      </c>
      <c r="R100" s="17" t="s">
        <v>1719</v>
      </c>
      <c r="S100" s="17" t="s">
        <v>566</v>
      </c>
      <c r="T100" s="17">
        <v>1</v>
      </c>
      <c r="U100" s="17" t="s">
        <v>1720</v>
      </c>
      <c r="V100" s="17" t="s">
        <v>2311</v>
      </c>
      <c r="W100" s="17" t="s">
        <v>2312</v>
      </c>
      <c r="X100" s="70">
        <v>46034.576388888891</v>
      </c>
      <c r="Y100" s="17"/>
      <c r="Z100" s="17">
        <v>0.3</v>
      </c>
      <c r="AA100" s="17"/>
      <c r="AB100" s="17" t="s">
        <v>1724</v>
      </c>
      <c r="AC100" s="20" t="s">
        <v>2313</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2302</v>
      </c>
      <c r="G101" s="17" t="s">
        <v>2303</v>
      </c>
      <c r="H101" s="17" t="s">
        <v>1759</v>
      </c>
      <c r="I101" s="17"/>
      <c r="J101" s="17"/>
      <c r="K101" s="17"/>
      <c r="L101" s="17"/>
      <c r="M101" s="18"/>
      <c r="N101" s="17"/>
      <c r="O101" s="18"/>
      <c r="P101" s="19"/>
      <c r="Q101" s="17" t="s">
        <v>2306</v>
      </c>
      <c r="R101" s="17" t="s">
        <v>1719</v>
      </c>
      <c r="S101" s="17" t="s">
        <v>566</v>
      </c>
      <c r="T101" s="17">
        <v>1</v>
      </c>
      <c r="U101" s="17" t="s">
        <v>1720</v>
      </c>
      <c r="V101" s="17" t="s">
        <v>2314</v>
      </c>
      <c r="W101" s="17" t="s">
        <v>2315</v>
      </c>
      <c r="X101" s="70">
        <v>46034.614583333343</v>
      </c>
      <c r="Y101" s="17"/>
      <c r="Z101" s="17">
        <v>0.3</v>
      </c>
      <c r="AA101" s="17"/>
      <c r="AB101" s="17" t="s">
        <v>1724</v>
      </c>
      <c r="AC101" s="20" t="s">
        <v>2316</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2288</v>
      </c>
      <c r="G102" s="17" t="s">
        <v>2289</v>
      </c>
      <c r="H102" s="17" t="s">
        <v>1742</v>
      </c>
      <c r="I102" s="17"/>
      <c r="J102" s="17"/>
      <c r="K102" s="17"/>
      <c r="L102" s="17"/>
      <c r="M102" s="18"/>
      <c r="N102" s="17"/>
      <c r="O102" s="18"/>
      <c r="P102" s="19"/>
      <c r="Q102" s="17" t="s">
        <v>2292</v>
      </c>
      <c r="R102" s="17" t="s">
        <v>1719</v>
      </c>
      <c r="S102" s="17" t="s">
        <v>206</v>
      </c>
      <c r="T102" s="17">
        <v>1</v>
      </c>
      <c r="U102" s="17" t="s">
        <v>1720</v>
      </c>
      <c r="V102" s="17" t="s">
        <v>2317</v>
      </c>
      <c r="W102" s="17" t="s">
        <v>2318</v>
      </c>
      <c r="X102" s="70">
        <v>46034.666666666657</v>
      </c>
      <c r="Y102" s="17"/>
      <c r="Z102" s="17">
        <v>0.5</v>
      </c>
      <c r="AA102" s="17"/>
      <c r="AB102" s="17" t="s">
        <v>1724</v>
      </c>
      <c r="AC102" s="20" t="s">
        <v>2319</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2320</v>
      </c>
      <c r="E103" s="17" t="s">
        <v>1727</v>
      </c>
      <c r="F103" s="17">
        <v>4191</v>
      </c>
      <c r="G103" s="17" t="s">
        <v>2165</v>
      </c>
      <c r="H103" s="17" t="s">
        <v>1759</v>
      </c>
      <c r="I103" s="17" t="s">
        <v>2321</v>
      </c>
      <c r="J103" s="17" t="s">
        <v>1929</v>
      </c>
      <c r="K103" s="17" t="s">
        <v>1744</v>
      </c>
      <c r="L103" s="17" t="s">
        <v>1910</v>
      </c>
      <c r="M103" s="18" t="s">
        <v>1911</v>
      </c>
      <c r="N103" s="17" t="s">
        <v>1912</v>
      </c>
      <c r="O103" s="18" t="s">
        <v>1913</v>
      </c>
      <c r="P103" s="19" t="s">
        <v>2322</v>
      </c>
      <c r="Q103" s="17" t="s">
        <v>2168</v>
      </c>
      <c r="R103" s="17" t="s">
        <v>1719</v>
      </c>
      <c r="S103" s="17" t="s">
        <v>566</v>
      </c>
      <c r="T103" s="17">
        <v>1</v>
      </c>
      <c r="U103" s="17" t="s">
        <v>1720</v>
      </c>
      <c r="V103" s="17" t="s">
        <v>2323</v>
      </c>
      <c r="W103" s="17" t="s">
        <v>2324</v>
      </c>
      <c r="X103" s="70">
        <v>46035.649305555547</v>
      </c>
      <c r="Y103" s="17" t="s">
        <v>2325</v>
      </c>
      <c r="Z103" s="17">
        <v>0.3</v>
      </c>
      <c r="AA103" s="17"/>
      <c r="AB103" s="17" t="s">
        <v>1724</v>
      </c>
      <c r="AC103" s="20" t="s">
        <v>2326</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2327</v>
      </c>
      <c r="E104" s="17" t="s">
        <v>1708</v>
      </c>
      <c r="F104" s="17">
        <v>4155</v>
      </c>
      <c r="G104" s="17" t="s">
        <v>2328</v>
      </c>
      <c r="H104" s="17" t="s">
        <v>1759</v>
      </c>
      <c r="I104" s="17" t="s">
        <v>2329</v>
      </c>
      <c r="J104" s="17" t="s">
        <v>2033</v>
      </c>
      <c r="K104" s="17" t="s">
        <v>1713</v>
      </c>
      <c r="L104" s="17" t="s">
        <v>1930</v>
      </c>
      <c r="M104" s="18" t="s">
        <v>1931</v>
      </c>
      <c r="N104" s="17">
        <v>2401</v>
      </c>
      <c r="O104" s="18" t="s">
        <v>1944</v>
      </c>
      <c r="P104" s="19" t="s">
        <v>2330</v>
      </c>
      <c r="Q104" s="17" t="s">
        <v>2331</v>
      </c>
      <c r="R104" s="17" t="s">
        <v>1719</v>
      </c>
      <c r="S104" s="17" t="s">
        <v>206</v>
      </c>
      <c r="T104" s="17">
        <v>1</v>
      </c>
      <c r="U104" s="17" t="s">
        <v>1720</v>
      </c>
      <c r="V104" s="17" t="s">
        <v>2332</v>
      </c>
      <c r="W104" s="17" t="s">
        <v>2333</v>
      </c>
      <c r="X104" s="70">
        <v>46035.479166666657</v>
      </c>
      <c r="Y104" s="17" t="s">
        <v>2334</v>
      </c>
      <c r="Z104" s="17">
        <v>1.5</v>
      </c>
      <c r="AA104" s="17"/>
      <c r="AB104" s="17" t="s">
        <v>1724</v>
      </c>
      <c r="AC104" s="20" t="s">
        <v>2335</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2336</v>
      </c>
      <c r="H105" s="17" t="s">
        <v>1812</v>
      </c>
      <c r="I105" s="17"/>
      <c r="J105" s="17"/>
      <c r="K105" s="17"/>
      <c r="L105" s="17"/>
      <c r="M105" s="18"/>
      <c r="N105" s="17"/>
      <c r="O105" s="18"/>
      <c r="P105" s="19"/>
      <c r="Q105" s="17" t="s">
        <v>2337</v>
      </c>
      <c r="R105" s="17" t="s">
        <v>1719</v>
      </c>
      <c r="S105" s="17" t="s">
        <v>52</v>
      </c>
      <c r="T105" s="17">
        <v>1</v>
      </c>
      <c r="U105" s="17" t="s">
        <v>1720</v>
      </c>
      <c r="V105" s="17" t="s">
        <v>2338</v>
      </c>
      <c r="W105" s="17" t="s">
        <v>2333</v>
      </c>
      <c r="X105" s="70">
        <v>46035.46597222222</v>
      </c>
      <c r="Y105" s="17"/>
      <c r="Z105" s="17">
        <v>1.2</v>
      </c>
      <c r="AA105" s="17"/>
      <c r="AB105" s="17" t="s">
        <v>1724</v>
      </c>
      <c r="AC105" s="20" t="s">
        <v>2339</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2340</v>
      </c>
      <c r="E106" s="17" t="s">
        <v>1727</v>
      </c>
      <c r="F106" s="17">
        <v>4609</v>
      </c>
      <c r="G106" s="17" t="s">
        <v>2341</v>
      </c>
      <c r="H106" s="17" t="s">
        <v>1897</v>
      </c>
      <c r="I106" s="17" t="s">
        <v>2342</v>
      </c>
      <c r="J106" s="17" t="s">
        <v>2033</v>
      </c>
      <c r="K106" s="17" t="s">
        <v>1744</v>
      </c>
      <c r="L106" s="17" t="s">
        <v>1773</v>
      </c>
      <c r="M106" s="18" t="s">
        <v>1774</v>
      </c>
      <c r="N106" s="17">
        <v>5804</v>
      </c>
      <c r="O106" s="18" t="s">
        <v>2035</v>
      </c>
      <c r="P106" s="19" t="s">
        <v>2343</v>
      </c>
      <c r="Q106" s="17" t="s">
        <v>2344</v>
      </c>
      <c r="R106" s="17" t="s">
        <v>1719</v>
      </c>
      <c r="S106" s="17" t="s">
        <v>206</v>
      </c>
      <c r="T106" s="17">
        <v>1</v>
      </c>
      <c r="U106" s="17" t="s">
        <v>1720</v>
      </c>
      <c r="V106" s="17" t="s">
        <v>2345</v>
      </c>
      <c r="W106" s="17" t="s">
        <v>2232</v>
      </c>
      <c r="X106" s="70">
        <v>46035.583333333343</v>
      </c>
      <c r="Y106" s="17" t="s">
        <v>2346</v>
      </c>
      <c r="Z106" s="17">
        <v>1</v>
      </c>
      <c r="AA106" s="17"/>
      <c r="AB106" s="17" t="s">
        <v>1724</v>
      </c>
      <c r="AC106" s="20" t="s">
        <v>2347</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2341</v>
      </c>
      <c r="H107" s="17" t="s">
        <v>1897</v>
      </c>
      <c r="I107" s="17"/>
      <c r="J107" s="17"/>
      <c r="K107" s="17"/>
      <c r="L107" s="17"/>
      <c r="M107" s="18"/>
      <c r="N107" s="17"/>
      <c r="O107" s="18"/>
      <c r="P107" s="19"/>
      <c r="Q107" s="17" t="s">
        <v>2344</v>
      </c>
      <c r="R107" s="17" t="s">
        <v>1719</v>
      </c>
      <c r="S107" s="17" t="s">
        <v>206</v>
      </c>
      <c r="T107" s="17">
        <v>1</v>
      </c>
      <c r="U107" s="17" t="s">
        <v>1720</v>
      </c>
      <c r="V107" s="17" t="s">
        <v>2348</v>
      </c>
      <c r="W107" s="17" t="s">
        <v>2349</v>
      </c>
      <c r="X107" s="70">
        <v>46035.604166666657</v>
      </c>
      <c r="Y107" s="17"/>
      <c r="Z107" s="17">
        <v>0.5</v>
      </c>
      <c r="AA107" s="17"/>
      <c r="AB107" s="17" t="s">
        <v>1724</v>
      </c>
      <c r="AC107" s="20" t="s">
        <v>2350</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2351</v>
      </c>
      <c r="H108" s="17" t="s">
        <v>2127</v>
      </c>
      <c r="I108" s="17"/>
      <c r="J108" s="17"/>
      <c r="K108" s="17"/>
      <c r="L108" s="17"/>
      <c r="M108" s="18"/>
      <c r="N108" s="17"/>
      <c r="O108" s="18"/>
      <c r="P108" s="19"/>
      <c r="Q108" s="17" t="s">
        <v>2352</v>
      </c>
      <c r="R108" s="17" t="s">
        <v>1719</v>
      </c>
      <c r="S108" s="17" t="s">
        <v>52</v>
      </c>
      <c r="T108" s="17">
        <v>1</v>
      </c>
      <c r="U108" s="17" t="s">
        <v>1720</v>
      </c>
      <c r="V108" s="17" t="s">
        <v>2353</v>
      </c>
      <c r="W108" s="17" t="s">
        <v>2354</v>
      </c>
      <c r="X108" s="70">
        <v>46035.646527777782</v>
      </c>
      <c r="Y108" s="17"/>
      <c r="Z108" s="17">
        <v>0.5</v>
      </c>
      <c r="AA108" s="17"/>
      <c r="AB108" s="17" t="s">
        <v>1724</v>
      </c>
      <c r="AC108" s="20" t="s">
        <v>2355</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2356</v>
      </c>
      <c r="H109" s="17" t="s">
        <v>2127</v>
      </c>
      <c r="I109" s="17"/>
      <c r="J109" s="17"/>
      <c r="K109" s="17"/>
      <c r="L109" s="17"/>
      <c r="M109" s="18"/>
      <c r="N109" s="17"/>
      <c r="O109" s="18"/>
      <c r="P109" s="19"/>
      <c r="Q109" s="17" t="s">
        <v>2357</v>
      </c>
      <c r="R109" s="17" t="s">
        <v>1719</v>
      </c>
      <c r="S109" s="17" t="s">
        <v>52</v>
      </c>
      <c r="T109" s="17">
        <v>1</v>
      </c>
      <c r="U109" s="17" t="s">
        <v>1720</v>
      </c>
      <c r="V109" s="17" t="s">
        <v>2358</v>
      </c>
      <c r="W109" s="17" t="s">
        <v>2359</v>
      </c>
      <c r="X109" s="70">
        <v>46035.666666666657</v>
      </c>
      <c r="Y109" s="17"/>
      <c r="Z109" s="17">
        <v>0.3</v>
      </c>
      <c r="AA109" s="17"/>
      <c r="AB109" s="17" t="s">
        <v>1724</v>
      </c>
      <c r="AC109" s="20" t="s">
        <v>2360</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2361</v>
      </c>
      <c r="H110" s="17" t="s">
        <v>2127</v>
      </c>
      <c r="I110" s="17"/>
      <c r="J110" s="17"/>
      <c r="K110" s="17"/>
      <c r="L110" s="17"/>
      <c r="M110" s="18"/>
      <c r="N110" s="17"/>
      <c r="O110" s="18"/>
      <c r="P110" s="19"/>
      <c r="Q110" s="17" t="s">
        <v>2362</v>
      </c>
      <c r="R110" s="17" t="s">
        <v>1719</v>
      </c>
      <c r="S110" s="17" t="s">
        <v>52</v>
      </c>
      <c r="T110" s="17">
        <v>1</v>
      </c>
      <c r="U110" s="17" t="s">
        <v>1720</v>
      </c>
      <c r="V110" s="17" t="s">
        <v>2363</v>
      </c>
      <c r="W110" s="17" t="s">
        <v>2364</v>
      </c>
      <c r="X110" s="70">
        <v>46035.6875</v>
      </c>
      <c r="Y110" s="17"/>
      <c r="Z110" s="17">
        <v>0.5</v>
      </c>
      <c r="AA110" s="17"/>
      <c r="AB110" s="17" t="s">
        <v>1724</v>
      </c>
      <c r="AC110" s="20" t="s">
        <v>2365</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2366</v>
      </c>
      <c r="E111" s="17" t="s">
        <v>1727</v>
      </c>
      <c r="F111" s="17">
        <v>5428</v>
      </c>
      <c r="G111" s="17" t="s">
        <v>2367</v>
      </c>
      <c r="H111" s="17" t="s">
        <v>1759</v>
      </c>
      <c r="I111" s="17" t="s">
        <v>2368</v>
      </c>
      <c r="J111" s="17" t="s">
        <v>2033</v>
      </c>
      <c r="K111" s="17" t="s">
        <v>1744</v>
      </c>
      <c r="L111" s="17" t="s">
        <v>1789</v>
      </c>
      <c r="M111" s="18" t="s">
        <v>1790</v>
      </c>
      <c r="N111" s="17" t="s">
        <v>1791</v>
      </c>
      <c r="O111" s="18" t="s">
        <v>1792</v>
      </c>
      <c r="P111" s="19" t="s">
        <v>2369</v>
      </c>
      <c r="Q111" s="17" t="s">
        <v>2370</v>
      </c>
      <c r="R111" s="17" t="s">
        <v>1719</v>
      </c>
      <c r="S111" s="17" t="s">
        <v>566</v>
      </c>
      <c r="T111" s="17">
        <v>1</v>
      </c>
      <c r="U111" s="17" t="s">
        <v>1720</v>
      </c>
      <c r="V111" s="17" t="s">
        <v>2371</v>
      </c>
      <c r="W111" s="17" t="s">
        <v>2372</v>
      </c>
      <c r="X111" s="70">
        <v>46035.791666666657</v>
      </c>
      <c r="Y111" s="17" t="s">
        <v>2373</v>
      </c>
      <c r="Z111" s="17">
        <v>0.5</v>
      </c>
      <c r="AA111" s="17"/>
      <c r="AB111" s="17" t="s">
        <v>1724</v>
      </c>
      <c r="AC111" s="20" t="s">
        <v>2374</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2375</v>
      </c>
      <c r="E112" s="17" t="s">
        <v>1708</v>
      </c>
      <c r="F112" s="17">
        <v>5428</v>
      </c>
      <c r="G112" s="17" t="s">
        <v>2367</v>
      </c>
      <c r="H112" s="17" t="s">
        <v>1759</v>
      </c>
      <c r="I112" s="17" t="s">
        <v>2376</v>
      </c>
      <c r="J112" s="17" t="s">
        <v>2033</v>
      </c>
      <c r="K112" s="17" t="s">
        <v>1744</v>
      </c>
      <c r="L112" s="17" t="s">
        <v>1930</v>
      </c>
      <c r="M112" s="18" t="s">
        <v>1931</v>
      </c>
      <c r="N112" s="17">
        <v>2405</v>
      </c>
      <c r="O112" s="18" t="s">
        <v>1932</v>
      </c>
      <c r="P112" s="19" t="s">
        <v>2377</v>
      </c>
      <c r="Q112" s="17" t="s">
        <v>2370</v>
      </c>
      <c r="R112" s="17" t="s">
        <v>1719</v>
      </c>
      <c r="S112" s="17" t="s">
        <v>566</v>
      </c>
      <c r="T112" s="17">
        <v>1</v>
      </c>
      <c r="U112" s="17" t="s">
        <v>1720</v>
      </c>
      <c r="V112" s="17" t="s">
        <v>2378</v>
      </c>
      <c r="W112" s="17" t="s">
        <v>2379</v>
      </c>
      <c r="X112" s="70">
        <v>46035.770833333343</v>
      </c>
      <c r="Y112" s="17" t="s">
        <v>2380</v>
      </c>
      <c r="Z112" s="17">
        <v>2</v>
      </c>
      <c r="AA112" s="17"/>
      <c r="AB112" s="17" t="s">
        <v>1724</v>
      </c>
      <c r="AC112" s="20" t="s">
        <v>2381</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2382</v>
      </c>
      <c r="E113" s="17" t="s">
        <v>1727</v>
      </c>
      <c r="F113" s="17">
        <v>4514</v>
      </c>
      <c r="G113" s="17" t="s">
        <v>2351</v>
      </c>
      <c r="H113" s="17" t="s">
        <v>2127</v>
      </c>
      <c r="I113" s="17" t="s">
        <v>2383</v>
      </c>
      <c r="J113" s="17" t="s">
        <v>2033</v>
      </c>
      <c r="K113" s="17" t="s">
        <v>1744</v>
      </c>
      <c r="L113" s="17" t="s">
        <v>1850</v>
      </c>
      <c r="M113" s="18" t="s">
        <v>1851</v>
      </c>
      <c r="N113" s="17">
        <v>5903</v>
      </c>
      <c r="O113" s="18" t="s">
        <v>1852</v>
      </c>
      <c r="P113" s="19" t="s">
        <v>2384</v>
      </c>
      <c r="Q113" s="17" t="s">
        <v>2352</v>
      </c>
      <c r="R113" s="17" t="s">
        <v>1719</v>
      </c>
      <c r="S113" s="17" t="s">
        <v>52</v>
      </c>
      <c r="T113" s="17">
        <v>1</v>
      </c>
      <c r="U113" s="17" t="s">
        <v>1720</v>
      </c>
      <c r="V113" s="17" t="s">
        <v>2385</v>
      </c>
      <c r="W113" s="17" t="s">
        <v>2386</v>
      </c>
      <c r="X113" s="70">
        <v>46036.565972222219</v>
      </c>
      <c r="Y113" s="17" t="s">
        <v>2387</v>
      </c>
      <c r="Z113" s="17">
        <v>0.5</v>
      </c>
      <c r="AA113" s="17"/>
      <c r="AB113" s="17" t="s">
        <v>1724</v>
      </c>
      <c r="AC113" s="20" t="s">
        <v>2388</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2367</v>
      </c>
      <c r="H114" s="17" t="s">
        <v>1759</v>
      </c>
      <c r="I114" s="17"/>
      <c r="J114" s="17"/>
      <c r="K114" s="17"/>
      <c r="L114" s="17"/>
      <c r="M114" s="18"/>
      <c r="N114" s="17"/>
      <c r="O114" s="18"/>
      <c r="P114" s="19"/>
      <c r="Q114" s="17" t="s">
        <v>2370</v>
      </c>
      <c r="R114" s="17" t="s">
        <v>1719</v>
      </c>
      <c r="S114" s="17" t="s">
        <v>566</v>
      </c>
      <c r="T114" s="17">
        <v>1</v>
      </c>
      <c r="U114" s="17" t="s">
        <v>1720</v>
      </c>
      <c r="V114" s="17" t="s">
        <v>2389</v>
      </c>
      <c r="W114" s="17" t="s">
        <v>2390</v>
      </c>
      <c r="X114" s="70">
        <v>46035.6875</v>
      </c>
      <c r="Y114" s="17"/>
      <c r="Z114" s="17">
        <v>0.3</v>
      </c>
      <c r="AA114" s="17"/>
      <c r="AB114" s="17" t="s">
        <v>1724</v>
      </c>
      <c r="AC114" s="20" t="s">
        <v>2123</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2391</v>
      </c>
      <c r="E115" s="17" t="s">
        <v>1727</v>
      </c>
      <c r="F115" s="17">
        <v>3358</v>
      </c>
      <c r="G115" s="17" t="s">
        <v>2392</v>
      </c>
      <c r="H115" s="17" t="s">
        <v>1742</v>
      </c>
      <c r="I115" s="17" t="s">
        <v>2393</v>
      </c>
      <c r="J115" s="17" t="s">
        <v>2095</v>
      </c>
      <c r="K115" s="17" t="s">
        <v>1943</v>
      </c>
      <c r="L115" s="17" t="s">
        <v>1714</v>
      </c>
      <c r="M115" s="18" t="s">
        <v>1715</v>
      </c>
      <c r="N115" s="17">
        <v>2304</v>
      </c>
      <c r="O115" s="18" t="s">
        <v>2247</v>
      </c>
      <c r="P115" s="19" t="s">
        <v>2394</v>
      </c>
      <c r="Q115" s="17" t="s">
        <v>2395</v>
      </c>
      <c r="R115" s="17" t="s">
        <v>1719</v>
      </c>
      <c r="S115" s="17" t="s">
        <v>206</v>
      </c>
      <c r="T115" s="17">
        <v>1</v>
      </c>
      <c r="U115" s="17" t="s">
        <v>1720</v>
      </c>
      <c r="V115" s="17" t="s">
        <v>2396</v>
      </c>
      <c r="W115" s="17" t="s">
        <v>2397</v>
      </c>
      <c r="X115" s="70">
        <v>46036.479166666657</v>
      </c>
      <c r="Y115" s="17" t="s">
        <v>2398</v>
      </c>
      <c r="Z115" s="17">
        <v>0.5</v>
      </c>
      <c r="AA115" s="17"/>
      <c r="AB115" s="17" t="s">
        <v>1724</v>
      </c>
      <c r="AC115" s="20" t="s">
        <v>2399</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2400</v>
      </c>
      <c r="E116" s="17" t="s">
        <v>1727</v>
      </c>
      <c r="F116" s="17">
        <v>3358</v>
      </c>
      <c r="G116" s="17" t="s">
        <v>2392</v>
      </c>
      <c r="H116" s="17" t="s">
        <v>1742</v>
      </c>
      <c r="I116" s="17" t="s">
        <v>2401</v>
      </c>
      <c r="J116" s="17" t="s">
        <v>2095</v>
      </c>
      <c r="K116" s="17" t="s">
        <v>1713</v>
      </c>
      <c r="L116" s="17" t="s">
        <v>1714</v>
      </c>
      <c r="M116" s="18" t="s">
        <v>1715</v>
      </c>
      <c r="N116" s="17">
        <v>2307</v>
      </c>
      <c r="O116" s="18" t="s">
        <v>1974</v>
      </c>
      <c r="P116" s="19" t="s">
        <v>2402</v>
      </c>
      <c r="Q116" s="17" t="s">
        <v>2395</v>
      </c>
      <c r="R116" s="17" t="s">
        <v>1719</v>
      </c>
      <c r="S116" s="17" t="s">
        <v>206</v>
      </c>
      <c r="T116" s="17">
        <v>1</v>
      </c>
      <c r="U116" s="17" t="s">
        <v>1720</v>
      </c>
      <c r="V116" s="17" t="s">
        <v>2403</v>
      </c>
      <c r="W116" s="17" t="s">
        <v>2404</v>
      </c>
      <c r="X116" s="70">
        <v>46036.458333333343</v>
      </c>
      <c r="Y116" s="17" t="s">
        <v>2405</v>
      </c>
      <c r="Z116" s="17">
        <v>0.5</v>
      </c>
      <c r="AA116" s="17"/>
      <c r="AB116" s="17" t="s">
        <v>1724</v>
      </c>
      <c r="AC116" s="20" t="s">
        <v>2406</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2407</v>
      </c>
      <c r="E117" s="17" t="s">
        <v>1727</v>
      </c>
      <c r="F117" s="17">
        <v>4312</v>
      </c>
      <c r="G117" s="17" t="s">
        <v>2408</v>
      </c>
      <c r="H117" s="17" t="s">
        <v>1759</v>
      </c>
      <c r="I117" s="17" t="s">
        <v>2409</v>
      </c>
      <c r="J117" s="17" t="s">
        <v>2095</v>
      </c>
      <c r="K117" s="17" t="s">
        <v>1713</v>
      </c>
      <c r="L117" s="17" t="s">
        <v>1714</v>
      </c>
      <c r="M117" s="18" t="s">
        <v>1715</v>
      </c>
      <c r="N117" s="17">
        <v>2304</v>
      </c>
      <c r="O117" s="18" t="s">
        <v>2247</v>
      </c>
      <c r="P117" s="19" t="s">
        <v>2410</v>
      </c>
      <c r="Q117" s="17" t="s">
        <v>2411</v>
      </c>
      <c r="R117" s="17" t="s">
        <v>1719</v>
      </c>
      <c r="S117" s="17" t="s">
        <v>566</v>
      </c>
      <c r="T117" s="17">
        <v>1</v>
      </c>
      <c r="U117" s="17" t="s">
        <v>1720</v>
      </c>
      <c r="V117" s="17" t="s">
        <v>2412</v>
      </c>
      <c r="W117" s="17" t="s">
        <v>2413</v>
      </c>
      <c r="X117" s="70">
        <v>46036.451388888891</v>
      </c>
      <c r="Y117" s="17" t="s">
        <v>2414</v>
      </c>
      <c r="Z117" s="17">
        <v>0.3</v>
      </c>
      <c r="AA117" s="17"/>
      <c r="AB117" s="17" t="s">
        <v>1724</v>
      </c>
      <c r="AC117" s="20" t="s">
        <v>2415</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2408</v>
      </c>
      <c r="H118" s="17" t="s">
        <v>1759</v>
      </c>
      <c r="I118" s="17"/>
      <c r="J118" s="17"/>
      <c r="K118" s="17"/>
      <c r="L118" s="17"/>
      <c r="M118" s="18"/>
      <c r="N118" s="17"/>
      <c r="O118" s="18"/>
      <c r="P118" s="19"/>
      <c r="Q118" s="17" t="s">
        <v>2411</v>
      </c>
      <c r="R118" s="17" t="s">
        <v>1719</v>
      </c>
      <c r="S118" s="17" t="s">
        <v>566</v>
      </c>
      <c r="T118" s="17">
        <v>1</v>
      </c>
      <c r="U118" s="17" t="s">
        <v>1720</v>
      </c>
      <c r="V118" s="17" t="s">
        <v>2416</v>
      </c>
      <c r="W118" s="17" t="s">
        <v>2417</v>
      </c>
      <c r="X118" s="70">
        <v>46036.458333333343</v>
      </c>
      <c r="Y118" s="17"/>
      <c r="Z118" s="17">
        <v>0.3</v>
      </c>
      <c r="AA118" s="17"/>
      <c r="AB118" s="17" t="s">
        <v>1724</v>
      </c>
      <c r="AC118" s="20" t="s">
        <v>2418</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2419</v>
      </c>
      <c r="E119" s="17" t="s">
        <v>1727</v>
      </c>
      <c r="F119" s="17">
        <v>5457</v>
      </c>
      <c r="G119" s="17" t="s">
        <v>2420</v>
      </c>
      <c r="H119" s="17" t="s">
        <v>1759</v>
      </c>
      <c r="I119" s="17" t="s">
        <v>2421</v>
      </c>
      <c r="J119" s="17" t="s">
        <v>2095</v>
      </c>
      <c r="K119" s="17" t="s">
        <v>1713</v>
      </c>
      <c r="L119" s="17" t="s">
        <v>1789</v>
      </c>
      <c r="M119" s="18" t="s">
        <v>1790</v>
      </c>
      <c r="N119" s="17" t="s">
        <v>1791</v>
      </c>
      <c r="O119" s="18" t="s">
        <v>1792</v>
      </c>
      <c r="P119" s="19" t="s">
        <v>2422</v>
      </c>
      <c r="Q119" s="17" t="s">
        <v>2423</v>
      </c>
      <c r="R119" s="17" t="s">
        <v>1719</v>
      </c>
      <c r="S119" s="17" t="s">
        <v>566</v>
      </c>
      <c r="T119" s="17">
        <v>1</v>
      </c>
      <c r="U119" s="17" t="s">
        <v>1720</v>
      </c>
      <c r="V119" s="17" t="s">
        <v>2424</v>
      </c>
      <c r="W119" s="17" t="s">
        <v>2425</v>
      </c>
      <c r="X119" s="70">
        <v>46036.791666666657</v>
      </c>
      <c r="Y119" s="17" t="s">
        <v>2426</v>
      </c>
      <c r="Z119" s="17">
        <v>0.3</v>
      </c>
      <c r="AA119" s="17"/>
      <c r="AB119" s="17" t="s">
        <v>1724</v>
      </c>
      <c r="AC119" s="20" t="s">
        <v>2427</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2392</v>
      </c>
      <c r="H120" s="17" t="s">
        <v>1742</v>
      </c>
      <c r="I120" s="17"/>
      <c r="J120" s="17"/>
      <c r="K120" s="17"/>
      <c r="L120" s="17"/>
      <c r="M120" s="18"/>
      <c r="N120" s="17"/>
      <c r="O120" s="18"/>
      <c r="P120" s="19"/>
      <c r="Q120" s="17" t="s">
        <v>2395</v>
      </c>
      <c r="R120" s="17" t="s">
        <v>1719</v>
      </c>
      <c r="S120" s="17" t="s">
        <v>206</v>
      </c>
      <c r="T120" s="17">
        <v>1</v>
      </c>
      <c r="U120" s="17" t="s">
        <v>1720</v>
      </c>
      <c r="V120" s="17" t="s">
        <v>2428</v>
      </c>
      <c r="W120" s="17" t="s">
        <v>2429</v>
      </c>
      <c r="X120" s="70">
        <v>46036.5</v>
      </c>
      <c r="Y120" s="17"/>
      <c r="Z120" s="17">
        <v>0.5</v>
      </c>
      <c r="AA120" s="17"/>
      <c r="AB120" s="17" t="s">
        <v>1724</v>
      </c>
      <c r="AC120" s="20" t="s">
        <v>2430</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2431</v>
      </c>
      <c r="E121" s="17" t="s">
        <v>1727</v>
      </c>
      <c r="F121" s="17">
        <v>2442</v>
      </c>
      <c r="G121" s="17" t="s">
        <v>1709</v>
      </c>
      <c r="H121" s="17" t="s">
        <v>1710</v>
      </c>
      <c r="I121" s="17" t="s">
        <v>2432</v>
      </c>
      <c r="J121" s="17" t="s">
        <v>2095</v>
      </c>
      <c r="K121" s="17" t="s">
        <v>1713</v>
      </c>
      <c r="L121" s="17" t="s">
        <v>1900</v>
      </c>
      <c r="M121" s="18" t="s">
        <v>1901</v>
      </c>
      <c r="N121" s="17">
        <v>6004</v>
      </c>
      <c r="O121" s="18" t="s">
        <v>1716</v>
      </c>
      <c r="P121" s="19" t="s">
        <v>2433</v>
      </c>
      <c r="Q121" s="17" t="s">
        <v>1718</v>
      </c>
      <c r="R121" s="17" t="s">
        <v>1719</v>
      </c>
      <c r="S121" s="17" t="s">
        <v>52</v>
      </c>
      <c r="T121" s="17">
        <v>1</v>
      </c>
      <c r="U121" s="17" t="s">
        <v>1720</v>
      </c>
      <c r="V121" s="17" t="s">
        <v>2434</v>
      </c>
      <c r="W121" s="17" t="s">
        <v>2435</v>
      </c>
      <c r="X121" s="70">
        <v>46036.693055555559</v>
      </c>
      <c r="Y121" s="17" t="s">
        <v>2436</v>
      </c>
      <c r="Z121" s="17">
        <v>0.6</v>
      </c>
      <c r="AA121" s="17"/>
      <c r="AB121" s="17" t="s">
        <v>1724</v>
      </c>
      <c r="AC121" s="20" t="s">
        <v>2437</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2438</v>
      </c>
      <c r="H122" s="17" t="s">
        <v>2127</v>
      </c>
      <c r="I122" s="17"/>
      <c r="J122" s="17"/>
      <c r="K122" s="17"/>
      <c r="L122" s="17"/>
      <c r="M122" s="18"/>
      <c r="N122" s="17"/>
      <c r="O122" s="18"/>
      <c r="P122" s="19"/>
      <c r="Q122" s="17" t="s">
        <v>2439</v>
      </c>
      <c r="R122" s="17" t="s">
        <v>1719</v>
      </c>
      <c r="S122" s="17" t="s">
        <v>52</v>
      </c>
      <c r="T122" s="17">
        <v>1</v>
      </c>
      <c r="U122" s="17" t="s">
        <v>1720</v>
      </c>
      <c r="V122" s="17" t="s">
        <v>2440</v>
      </c>
      <c r="W122" s="17" t="s">
        <v>2441</v>
      </c>
      <c r="X122" s="70">
        <v>46036.604861111111</v>
      </c>
      <c r="Y122" s="17"/>
      <c r="Z122" s="17">
        <v>0.4</v>
      </c>
      <c r="AA122" s="17"/>
      <c r="AB122" s="17" t="s">
        <v>1724</v>
      </c>
      <c r="AC122" s="20" t="s">
        <v>2442</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2443</v>
      </c>
      <c r="E123" s="17" t="s">
        <v>1727</v>
      </c>
      <c r="F123" s="17">
        <v>4316</v>
      </c>
      <c r="G123" s="17" t="s">
        <v>1825</v>
      </c>
      <c r="H123" s="17" t="s">
        <v>1805</v>
      </c>
      <c r="I123" s="17" t="s">
        <v>2444</v>
      </c>
      <c r="J123" s="17" t="s">
        <v>2095</v>
      </c>
      <c r="K123" s="17" t="s">
        <v>1744</v>
      </c>
      <c r="L123" s="17" t="s">
        <v>1734</v>
      </c>
      <c r="M123" s="18" t="s">
        <v>1735</v>
      </c>
      <c r="N123" s="17">
        <v>2501</v>
      </c>
      <c r="O123" s="18" t="s">
        <v>1736</v>
      </c>
      <c r="P123" s="19" t="s">
        <v>2445</v>
      </c>
      <c r="Q123" s="17" t="s">
        <v>1826</v>
      </c>
      <c r="R123" s="17" t="s">
        <v>1719</v>
      </c>
      <c r="S123" s="17" t="s">
        <v>206</v>
      </c>
      <c r="T123" s="17">
        <v>1</v>
      </c>
      <c r="U123" s="17" t="s">
        <v>1720</v>
      </c>
      <c r="V123" s="17" t="s">
        <v>2446</v>
      </c>
      <c r="W123" s="17" t="s">
        <v>2447</v>
      </c>
      <c r="X123" s="70">
        <v>46037.6875</v>
      </c>
      <c r="Y123" s="17" t="s">
        <v>2448</v>
      </c>
      <c r="Z123" s="17">
        <v>0.5</v>
      </c>
      <c r="AA123" s="17"/>
      <c r="AB123" s="17" t="s">
        <v>1724</v>
      </c>
      <c r="AC123" s="20" t="s">
        <v>2449</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2450</v>
      </c>
      <c r="E124" s="17" t="s">
        <v>1727</v>
      </c>
      <c r="F124" s="17">
        <v>4210</v>
      </c>
      <c r="G124" s="17" t="s">
        <v>2226</v>
      </c>
      <c r="H124" s="17" t="s">
        <v>1759</v>
      </c>
      <c r="I124" s="17" t="s">
        <v>2451</v>
      </c>
      <c r="J124" s="17" t="s">
        <v>2095</v>
      </c>
      <c r="K124" s="17" t="s">
        <v>1744</v>
      </c>
      <c r="L124" s="17" t="s">
        <v>1886</v>
      </c>
      <c r="M124" s="18" t="s">
        <v>1887</v>
      </c>
      <c r="N124" s="17" t="s">
        <v>1888</v>
      </c>
      <c r="O124" s="18" t="s">
        <v>1889</v>
      </c>
      <c r="P124" s="19" t="s">
        <v>2452</v>
      </c>
      <c r="Q124" s="17" t="s">
        <v>2229</v>
      </c>
      <c r="R124" s="17" t="s">
        <v>1719</v>
      </c>
      <c r="S124" s="17" t="s">
        <v>195</v>
      </c>
      <c r="T124" s="17">
        <v>1</v>
      </c>
      <c r="U124" s="17" t="s">
        <v>1720</v>
      </c>
      <c r="V124" s="17" t="s">
        <v>2453</v>
      </c>
      <c r="W124" s="17" t="s">
        <v>2454</v>
      </c>
      <c r="X124" s="70">
        <v>46037.712500000001</v>
      </c>
      <c r="Y124" s="17" t="s">
        <v>2455</v>
      </c>
      <c r="Z124" s="17">
        <v>1.4</v>
      </c>
      <c r="AA124" s="17"/>
      <c r="AB124" s="17" t="s">
        <v>1724</v>
      </c>
      <c r="AC124" s="20" t="s">
        <v>2456</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2420</v>
      </c>
      <c r="H125" s="17" t="s">
        <v>1759</v>
      </c>
      <c r="I125" s="17"/>
      <c r="J125" s="17"/>
      <c r="K125" s="17"/>
      <c r="L125" s="17"/>
      <c r="M125" s="18"/>
      <c r="N125" s="17"/>
      <c r="O125" s="18"/>
      <c r="P125" s="19"/>
      <c r="Q125" s="17" t="s">
        <v>2423</v>
      </c>
      <c r="R125" s="17" t="s">
        <v>1719</v>
      </c>
      <c r="S125" s="17" t="s">
        <v>566</v>
      </c>
      <c r="T125" s="17">
        <v>1</v>
      </c>
      <c r="U125" s="17" t="s">
        <v>1720</v>
      </c>
      <c r="V125" s="17" t="s">
        <v>2457</v>
      </c>
      <c r="W125" s="17" t="s">
        <v>2458</v>
      </c>
      <c r="X125" s="70">
        <v>46036.805555555547</v>
      </c>
      <c r="Y125" s="17"/>
      <c r="Z125" s="17">
        <v>0.4</v>
      </c>
      <c r="AA125" s="17"/>
      <c r="AB125" s="17" t="s">
        <v>1724</v>
      </c>
      <c r="AC125" s="20" t="s">
        <v>2123</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2459</v>
      </c>
      <c r="H126" s="17" t="s">
        <v>1759</v>
      </c>
      <c r="I126" s="17"/>
      <c r="J126" s="17"/>
      <c r="K126" s="17"/>
      <c r="L126" s="17"/>
      <c r="M126" s="18"/>
      <c r="N126" s="17"/>
      <c r="O126" s="18"/>
      <c r="P126" s="19"/>
      <c r="Q126" s="17" t="s">
        <v>2460</v>
      </c>
      <c r="R126" s="17" t="s">
        <v>1719</v>
      </c>
      <c r="S126" s="17" t="s">
        <v>206</v>
      </c>
      <c r="T126" s="17">
        <v>1</v>
      </c>
      <c r="U126" s="17" t="s">
        <v>1720</v>
      </c>
      <c r="V126" s="17" t="s">
        <v>2461</v>
      </c>
      <c r="W126" s="17" t="s">
        <v>2462</v>
      </c>
      <c r="X126" s="70">
        <v>46037.645833333343</v>
      </c>
      <c r="Y126" s="17"/>
      <c r="Z126" s="17">
        <v>4.5</v>
      </c>
      <c r="AA126" s="17"/>
      <c r="AB126" s="17" t="s">
        <v>1724</v>
      </c>
      <c r="AC126" s="20" t="s">
        <v>2463</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2459</v>
      </c>
      <c r="H127" s="17" t="s">
        <v>1759</v>
      </c>
      <c r="I127" s="17"/>
      <c r="J127" s="17"/>
      <c r="K127" s="17"/>
      <c r="L127" s="17"/>
      <c r="M127" s="18"/>
      <c r="N127" s="17"/>
      <c r="O127" s="18"/>
      <c r="P127" s="19"/>
      <c r="Q127" s="17" t="s">
        <v>2460</v>
      </c>
      <c r="R127" s="17" t="s">
        <v>1719</v>
      </c>
      <c r="S127" s="17" t="s">
        <v>566</v>
      </c>
      <c r="T127" s="17">
        <v>1</v>
      </c>
      <c r="U127" s="17" t="s">
        <v>1720</v>
      </c>
      <c r="V127" s="17" t="s">
        <v>2464</v>
      </c>
      <c r="W127" s="17" t="s">
        <v>2462</v>
      </c>
      <c r="X127" s="70">
        <v>46037.645833333343</v>
      </c>
      <c r="Y127" s="17"/>
      <c r="Z127" s="17">
        <v>4.5</v>
      </c>
      <c r="AA127" s="17"/>
      <c r="AB127" s="17" t="s">
        <v>1724</v>
      </c>
      <c r="AC127" s="20" t="s">
        <v>2465</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2466</v>
      </c>
      <c r="E128" s="17" t="s">
        <v>1727</v>
      </c>
      <c r="F128" s="17">
        <v>2303</v>
      </c>
      <c r="G128" s="17" t="s">
        <v>2467</v>
      </c>
      <c r="H128" s="17" t="s">
        <v>1759</v>
      </c>
      <c r="I128" s="17" t="s">
        <v>2468</v>
      </c>
      <c r="J128" s="17" t="s">
        <v>1712</v>
      </c>
      <c r="K128" s="17" t="s">
        <v>1744</v>
      </c>
      <c r="L128" s="17" t="s">
        <v>1714</v>
      </c>
      <c r="M128" s="18" t="s">
        <v>1715</v>
      </c>
      <c r="N128" s="17">
        <v>2305</v>
      </c>
      <c r="O128" s="18" t="s">
        <v>2469</v>
      </c>
      <c r="P128" s="19" t="s">
        <v>2470</v>
      </c>
      <c r="Q128" s="17" t="s">
        <v>2471</v>
      </c>
      <c r="R128" s="17" t="s">
        <v>1719</v>
      </c>
      <c r="S128" s="17" t="s">
        <v>566</v>
      </c>
      <c r="T128" s="17">
        <v>1</v>
      </c>
      <c r="U128" s="17" t="s">
        <v>1720</v>
      </c>
      <c r="V128" s="17" t="s">
        <v>2472</v>
      </c>
      <c r="W128" s="17" t="s">
        <v>2473</v>
      </c>
      <c r="X128" s="70">
        <v>46038.649305555547</v>
      </c>
      <c r="Y128" s="17" t="s">
        <v>2474</v>
      </c>
      <c r="Z128" s="17">
        <v>0.2</v>
      </c>
      <c r="AA128" s="17"/>
      <c r="AB128" s="17" t="s">
        <v>1724</v>
      </c>
      <c r="AC128" s="20" t="s">
        <v>2475</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2476</v>
      </c>
      <c r="E129" s="17" t="s">
        <v>1727</v>
      </c>
      <c r="F129" s="17">
        <v>4153</v>
      </c>
      <c r="G129" s="17" t="s">
        <v>2477</v>
      </c>
      <c r="H129" s="17" t="s">
        <v>1812</v>
      </c>
      <c r="I129" s="17" t="s">
        <v>2478</v>
      </c>
      <c r="J129" s="17" t="s">
        <v>1788</v>
      </c>
      <c r="K129" s="17" t="s">
        <v>1943</v>
      </c>
      <c r="L129" s="17" t="s">
        <v>1714</v>
      </c>
      <c r="M129" s="18" t="s">
        <v>1715</v>
      </c>
      <c r="N129" s="17">
        <v>2305</v>
      </c>
      <c r="O129" s="18" t="s">
        <v>2469</v>
      </c>
      <c r="P129" s="19" t="s">
        <v>2479</v>
      </c>
      <c r="Q129" s="17" t="s">
        <v>2480</v>
      </c>
      <c r="R129" s="17" t="s">
        <v>1719</v>
      </c>
      <c r="S129" s="17" t="s">
        <v>206</v>
      </c>
      <c r="T129" s="17">
        <v>1</v>
      </c>
      <c r="U129" s="17" t="s">
        <v>1720</v>
      </c>
      <c r="V129" s="17" t="s">
        <v>2481</v>
      </c>
      <c r="W129" s="17" t="s">
        <v>2482</v>
      </c>
      <c r="X129" s="70">
        <v>46038.638888888891</v>
      </c>
      <c r="Y129" s="17" t="s">
        <v>2483</v>
      </c>
      <c r="Z129" s="17">
        <v>0.8</v>
      </c>
      <c r="AA129" s="17"/>
      <c r="AB129" s="17" t="s">
        <v>1724</v>
      </c>
      <c r="AC129" s="20" t="s">
        <v>2484</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2485</v>
      </c>
      <c r="E130" s="17" t="s">
        <v>1708</v>
      </c>
      <c r="F130" s="17">
        <v>5428</v>
      </c>
      <c r="G130" s="17" t="s">
        <v>2367</v>
      </c>
      <c r="H130" s="17" t="s">
        <v>1759</v>
      </c>
      <c r="I130" s="17" t="s">
        <v>2486</v>
      </c>
      <c r="J130" s="17" t="s">
        <v>1788</v>
      </c>
      <c r="K130" s="17" t="s">
        <v>1713</v>
      </c>
      <c r="L130" s="17" t="s">
        <v>1930</v>
      </c>
      <c r="M130" s="18" t="s">
        <v>1931</v>
      </c>
      <c r="N130" s="17">
        <v>2405</v>
      </c>
      <c r="O130" s="18" t="s">
        <v>1932</v>
      </c>
      <c r="P130" s="19" t="s">
        <v>2487</v>
      </c>
      <c r="Q130" s="17" t="s">
        <v>2370</v>
      </c>
      <c r="R130" s="17" t="s">
        <v>1719</v>
      </c>
      <c r="S130" s="17" t="s">
        <v>566</v>
      </c>
      <c r="T130" s="17">
        <v>1</v>
      </c>
      <c r="U130" s="17" t="s">
        <v>1720</v>
      </c>
      <c r="V130" s="17" t="s">
        <v>2488</v>
      </c>
      <c r="W130" s="17" t="s">
        <v>2489</v>
      </c>
      <c r="X130" s="70">
        <v>46038.631944444453</v>
      </c>
      <c r="Y130" s="17" t="s">
        <v>2490</v>
      </c>
      <c r="Z130" s="17">
        <v>2.2000000000000002</v>
      </c>
      <c r="AA130" s="17"/>
      <c r="AB130" s="17" t="s">
        <v>1724</v>
      </c>
      <c r="AC130" s="20" t="s">
        <v>2491</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2492</v>
      </c>
      <c r="G131" s="17" t="s">
        <v>2493</v>
      </c>
      <c r="H131" s="17" t="s">
        <v>1742</v>
      </c>
      <c r="I131" s="17"/>
      <c r="J131" s="17"/>
      <c r="K131" s="17"/>
      <c r="L131" s="17"/>
      <c r="M131" s="18"/>
      <c r="N131" s="17"/>
      <c r="O131" s="18"/>
      <c r="P131" s="19"/>
      <c r="Q131" s="17" t="s">
        <v>2494</v>
      </c>
      <c r="R131" s="17" t="s">
        <v>1719</v>
      </c>
      <c r="S131" s="17" t="s">
        <v>566</v>
      </c>
      <c r="T131" s="17">
        <v>1</v>
      </c>
      <c r="U131" s="17" t="s">
        <v>1720</v>
      </c>
      <c r="V131" s="17" t="s">
        <v>2495</v>
      </c>
      <c r="W131" s="17" t="s">
        <v>2496</v>
      </c>
      <c r="X131" s="70">
        <v>46038.4375</v>
      </c>
      <c r="Y131" s="17"/>
      <c r="Z131" s="17">
        <v>0.5</v>
      </c>
      <c r="AA131" s="17"/>
      <c r="AB131" s="17" t="s">
        <v>1724</v>
      </c>
      <c r="AC131" s="20" t="s">
        <v>2497</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2492</v>
      </c>
      <c r="G132" s="17" t="s">
        <v>2493</v>
      </c>
      <c r="H132" s="17" t="s">
        <v>1742</v>
      </c>
      <c r="I132" s="17"/>
      <c r="J132" s="17"/>
      <c r="K132" s="17"/>
      <c r="L132" s="17"/>
      <c r="M132" s="18"/>
      <c r="N132" s="17"/>
      <c r="O132" s="18"/>
      <c r="P132" s="19"/>
      <c r="Q132" s="17" t="s">
        <v>2494</v>
      </c>
      <c r="R132" s="17" t="s">
        <v>1719</v>
      </c>
      <c r="S132" s="17" t="s">
        <v>206</v>
      </c>
      <c r="T132" s="17">
        <v>1</v>
      </c>
      <c r="U132" s="17" t="s">
        <v>1720</v>
      </c>
      <c r="V132" s="17" t="s">
        <v>2498</v>
      </c>
      <c r="W132" s="17" t="s">
        <v>2496</v>
      </c>
      <c r="X132" s="70">
        <v>46038.4375</v>
      </c>
      <c r="Y132" s="17"/>
      <c r="Z132" s="17">
        <v>0.5</v>
      </c>
      <c r="AA132" s="17"/>
      <c r="AB132" s="17" t="s">
        <v>1724</v>
      </c>
      <c r="AC132" s="20" t="s">
        <v>2499</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2467</v>
      </c>
      <c r="H133" s="17" t="s">
        <v>1759</v>
      </c>
      <c r="I133" s="17"/>
      <c r="J133" s="17"/>
      <c r="K133" s="17"/>
      <c r="L133" s="17"/>
      <c r="M133" s="18"/>
      <c r="N133" s="17"/>
      <c r="O133" s="18"/>
      <c r="P133" s="19"/>
      <c r="Q133" s="17" t="s">
        <v>2471</v>
      </c>
      <c r="R133" s="17" t="s">
        <v>1719</v>
      </c>
      <c r="S133" s="17" t="s">
        <v>566</v>
      </c>
      <c r="T133" s="17">
        <v>1</v>
      </c>
      <c r="U133" s="17" t="s">
        <v>1720</v>
      </c>
      <c r="V133" s="17" t="s">
        <v>2500</v>
      </c>
      <c r="W133" s="17" t="s">
        <v>2501</v>
      </c>
      <c r="X133" s="70">
        <v>46038.663194444453</v>
      </c>
      <c r="Y133" s="17"/>
      <c r="Z133" s="17">
        <v>0.3</v>
      </c>
      <c r="AA133" s="17"/>
      <c r="AB133" s="17" t="s">
        <v>1724</v>
      </c>
      <c r="AC133" s="20" t="s">
        <v>2502</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2503</v>
      </c>
      <c r="E134" s="17" t="s">
        <v>1727</v>
      </c>
      <c r="F134" s="17" t="s">
        <v>2302</v>
      </c>
      <c r="G134" s="17" t="s">
        <v>2303</v>
      </c>
      <c r="H134" s="17" t="s">
        <v>1759</v>
      </c>
      <c r="I134" s="17" t="s">
        <v>2504</v>
      </c>
      <c r="J134" s="17" t="s">
        <v>1788</v>
      </c>
      <c r="K134" s="17" t="s">
        <v>1744</v>
      </c>
      <c r="L134" s="17" t="s">
        <v>2505</v>
      </c>
      <c r="M134" s="18" t="s">
        <v>2506</v>
      </c>
      <c r="N134" s="17">
        <v>3402</v>
      </c>
      <c r="O134" s="18" t="s">
        <v>2507</v>
      </c>
      <c r="P134" s="19" t="s">
        <v>2508</v>
      </c>
      <c r="Q134" s="17" t="s">
        <v>2306</v>
      </c>
      <c r="R134" s="17" t="s">
        <v>1719</v>
      </c>
      <c r="S134" s="17" t="s">
        <v>566</v>
      </c>
      <c r="T134" s="17">
        <v>1</v>
      </c>
      <c r="U134" s="17" t="s">
        <v>1720</v>
      </c>
      <c r="V134" s="17" t="s">
        <v>2509</v>
      </c>
      <c r="W134" s="17" t="s">
        <v>2510</v>
      </c>
      <c r="X134" s="70">
        <v>46041.694444444453</v>
      </c>
      <c r="Y134" s="17" t="s">
        <v>2511</v>
      </c>
      <c r="Z134" s="17">
        <v>0.7</v>
      </c>
      <c r="AA134" s="17"/>
      <c r="AB134" s="17" t="s">
        <v>1724</v>
      </c>
      <c r="AC134" s="20" t="s">
        <v>2512</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2513</v>
      </c>
      <c r="E135" s="17" t="s">
        <v>1727</v>
      </c>
      <c r="F135" s="17">
        <v>4153</v>
      </c>
      <c r="G135" s="17" t="s">
        <v>2477</v>
      </c>
      <c r="H135" s="17" t="s">
        <v>1812</v>
      </c>
      <c r="I135" s="17" t="s">
        <v>2514</v>
      </c>
      <c r="J135" s="17" t="s">
        <v>1862</v>
      </c>
      <c r="K135" s="17" t="s">
        <v>1713</v>
      </c>
      <c r="L135" s="17" t="s">
        <v>1714</v>
      </c>
      <c r="M135" s="18" t="s">
        <v>1715</v>
      </c>
      <c r="N135" s="17">
        <v>2305</v>
      </c>
      <c r="O135" s="18" t="s">
        <v>2469</v>
      </c>
      <c r="P135" s="19" t="s">
        <v>2515</v>
      </c>
      <c r="Q135" s="17" t="s">
        <v>2480</v>
      </c>
      <c r="R135" s="17" t="s">
        <v>1719</v>
      </c>
      <c r="S135" s="17" t="s">
        <v>52</v>
      </c>
      <c r="T135" s="17">
        <v>1</v>
      </c>
      <c r="U135" s="17" t="s">
        <v>1720</v>
      </c>
      <c r="V135" s="17" t="s">
        <v>2516</v>
      </c>
      <c r="W135" s="17" t="s">
        <v>2517</v>
      </c>
      <c r="X135" s="70">
        <v>46041.521527777782</v>
      </c>
      <c r="Y135" s="17" t="s">
        <v>2518</v>
      </c>
      <c r="Z135" s="17">
        <v>0.5</v>
      </c>
      <c r="AA135" s="17"/>
      <c r="AB135" s="17" t="s">
        <v>1724</v>
      </c>
      <c r="AC135" s="20" t="s">
        <v>2519</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2520</v>
      </c>
      <c r="E136" s="17" t="s">
        <v>1727</v>
      </c>
      <c r="F136" s="17">
        <v>5074</v>
      </c>
      <c r="G136" s="17" t="s">
        <v>2063</v>
      </c>
      <c r="H136" s="17" t="s">
        <v>1710</v>
      </c>
      <c r="I136" s="17" t="s">
        <v>2521</v>
      </c>
      <c r="J136" s="17" t="s">
        <v>1899</v>
      </c>
      <c r="K136" s="17" t="s">
        <v>1744</v>
      </c>
      <c r="L136" s="17" t="s">
        <v>1910</v>
      </c>
      <c r="M136" s="18" t="s">
        <v>1911</v>
      </c>
      <c r="N136" s="17" t="s">
        <v>1912</v>
      </c>
      <c r="O136" s="18" t="s">
        <v>1913</v>
      </c>
      <c r="P136" s="19" t="s">
        <v>2522</v>
      </c>
      <c r="Q136" s="17" t="s">
        <v>2064</v>
      </c>
      <c r="R136" s="17" t="s">
        <v>1719</v>
      </c>
      <c r="S136" s="17" t="s">
        <v>52</v>
      </c>
      <c r="T136" s="17">
        <v>1</v>
      </c>
      <c r="U136" s="17" t="s">
        <v>1720</v>
      </c>
      <c r="V136" s="17" t="s">
        <v>2523</v>
      </c>
      <c r="W136" s="17" t="s">
        <v>2524</v>
      </c>
      <c r="X136" s="70">
        <v>46041.458333333343</v>
      </c>
      <c r="Y136" s="17" t="s">
        <v>2518</v>
      </c>
      <c r="Z136" s="17">
        <v>1</v>
      </c>
      <c r="AA136" s="17"/>
      <c r="AB136" s="17" t="s">
        <v>1724</v>
      </c>
      <c r="AC136" s="20" t="s">
        <v>2525</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2526</v>
      </c>
      <c r="H137" s="17" t="s">
        <v>1786</v>
      </c>
      <c r="I137" s="17"/>
      <c r="J137" s="17"/>
      <c r="K137" s="17"/>
      <c r="L137" s="17"/>
      <c r="M137" s="18"/>
      <c r="N137" s="17"/>
      <c r="O137" s="18"/>
      <c r="P137" s="19"/>
      <c r="Q137" s="17" t="s">
        <v>2527</v>
      </c>
      <c r="R137" s="17" t="s">
        <v>1719</v>
      </c>
      <c r="S137" s="17" t="s">
        <v>566</v>
      </c>
      <c r="T137" s="17">
        <v>1</v>
      </c>
      <c r="U137" s="17" t="s">
        <v>1720</v>
      </c>
      <c r="V137" s="17" t="s">
        <v>2528</v>
      </c>
      <c r="W137" s="17" t="s">
        <v>2529</v>
      </c>
      <c r="X137" s="70">
        <v>46041.399305555547</v>
      </c>
      <c r="Y137" s="17"/>
      <c r="Z137" s="17">
        <v>0.3</v>
      </c>
      <c r="AA137" s="17"/>
      <c r="AB137" s="17" t="s">
        <v>1724</v>
      </c>
      <c r="AC137" s="20" t="s">
        <v>2530</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2531</v>
      </c>
      <c r="H138" s="17" t="s">
        <v>1786</v>
      </c>
      <c r="I138" s="17"/>
      <c r="J138" s="17"/>
      <c r="K138" s="17"/>
      <c r="L138" s="17"/>
      <c r="M138" s="18"/>
      <c r="N138" s="17"/>
      <c r="O138" s="18"/>
      <c r="P138" s="19"/>
      <c r="Q138" s="17" t="s">
        <v>2532</v>
      </c>
      <c r="R138" s="17" t="s">
        <v>1719</v>
      </c>
      <c r="S138" s="17" t="s">
        <v>566</v>
      </c>
      <c r="T138" s="17">
        <v>1</v>
      </c>
      <c r="U138" s="17" t="s">
        <v>1720</v>
      </c>
      <c r="V138" s="17" t="s">
        <v>2533</v>
      </c>
      <c r="W138" s="17" t="s">
        <v>2534</v>
      </c>
      <c r="X138" s="70">
        <v>46041.418749999997</v>
      </c>
      <c r="Y138" s="17"/>
      <c r="Z138" s="17">
        <v>0.3</v>
      </c>
      <c r="AA138" s="17"/>
      <c r="AB138" s="17" t="s">
        <v>1724</v>
      </c>
      <c r="AC138" s="20" t="s">
        <v>2535</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2536</v>
      </c>
      <c r="H139" s="17" t="s">
        <v>1786</v>
      </c>
      <c r="I139" s="17"/>
      <c r="J139" s="17"/>
      <c r="K139" s="17"/>
      <c r="L139" s="17"/>
      <c r="M139" s="18"/>
      <c r="N139" s="17"/>
      <c r="O139" s="18"/>
      <c r="P139" s="19"/>
      <c r="Q139" s="17" t="s">
        <v>2537</v>
      </c>
      <c r="R139" s="17" t="s">
        <v>1719</v>
      </c>
      <c r="S139" s="17" t="s">
        <v>566</v>
      </c>
      <c r="T139" s="17">
        <v>1</v>
      </c>
      <c r="U139" s="17" t="s">
        <v>1720</v>
      </c>
      <c r="V139" s="17" t="s">
        <v>2538</v>
      </c>
      <c r="W139" s="17" t="s">
        <v>2539</v>
      </c>
      <c r="X139" s="70">
        <v>46041.442361111112</v>
      </c>
      <c r="Y139" s="17"/>
      <c r="Z139" s="17">
        <v>0.4</v>
      </c>
      <c r="AA139" s="17"/>
      <c r="AB139" s="17" t="s">
        <v>1724</v>
      </c>
      <c r="AC139" s="20" t="s">
        <v>2540</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2541</v>
      </c>
      <c r="E140" s="17" t="s">
        <v>1727</v>
      </c>
      <c r="F140" s="17">
        <v>2303</v>
      </c>
      <c r="G140" s="17" t="s">
        <v>2467</v>
      </c>
      <c r="H140" s="17" t="s">
        <v>1759</v>
      </c>
      <c r="I140" s="17" t="s">
        <v>2542</v>
      </c>
      <c r="J140" s="17" t="s">
        <v>1929</v>
      </c>
      <c r="K140" s="17" t="s">
        <v>1713</v>
      </c>
      <c r="L140" s="17" t="s">
        <v>1714</v>
      </c>
      <c r="M140" s="18" t="s">
        <v>1715</v>
      </c>
      <c r="N140" s="17">
        <v>2305</v>
      </c>
      <c r="O140" s="18" t="s">
        <v>2469</v>
      </c>
      <c r="P140" s="19" t="s">
        <v>2543</v>
      </c>
      <c r="Q140" s="17" t="s">
        <v>2471</v>
      </c>
      <c r="R140" s="17" t="s">
        <v>1719</v>
      </c>
      <c r="S140" s="17" t="s">
        <v>566</v>
      </c>
      <c r="T140" s="17">
        <v>1</v>
      </c>
      <c r="U140" s="17" t="s">
        <v>1720</v>
      </c>
      <c r="V140" s="17" t="s">
        <v>2544</v>
      </c>
      <c r="W140" s="17" t="s">
        <v>2545</v>
      </c>
      <c r="X140" s="70">
        <v>46041.642361111109</v>
      </c>
      <c r="Y140" s="17" t="s">
        <v>2546</v>
      </c>
      <c r="Z140" s="17">
        <v>0.4</v>
      </c>
      <c r="AA140" s="17"/>
      <c r="AB140" s="17" t="s">
        <v>1724</v>
      </c>
      <c r="AC140" s="20" t="s">
        <v>2547</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2548</v>
      </c>
      <c r="G141" s="17" t="s">
        <v>2549</v>
      </c>
      <c r="H141" s="17" t="s">
        <v>1786</v>
      </c>
      <c r="I141" s="17"/>
      <c r="J141" s="17"/>
      <c r="K141" s="17"/>
      <c r="L141" s="17"/>
      <c r="M141" s="18"/>
      <c r="N141" s="17"/>
      <c r="O141" s="18"/>
      <c r="P141" s="19"/>
      <c r="Q141" s="17" t="s">
        <v>2550</v>
      </c>
      <c r="R141" s="17" t="s">
        <v>1719</v>
      </c>
      <c r="S141" s="17" t="s">
        <v>566</v>
      </c>
      <c r="T141" s="17">
        <v>1</v>
      </c>
      <c r="U141" s="17" t="s">
        <v>1720</v>
      </c>
      <c r="V141" s="17" t="s">
        <v>2551</v>
      </c>
      <c r="W141" s="17" t="s">
        <v>2552</v>
      </c>
      <c r="X141" s="70">
        <v>46041.465277777781</v>
      </c>
      <c r="Y141" s="17"/>
      <c r="Z141" s="17">
        <v>0.4</v>
      </c>
      <c r="AA141" s="17"/>
      <c r="AB141" s="17" t="s">
        <v>1724</v>
      </c>
      <c r="AC141" s="20" t="s">
        <v>2553</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2554</v>
      </c>
      <c r="H142" s="17" t="s">
        <v>1786</v>
      </c>
      <c r="I142" s="17"/>
      <c r="J142" s="17"/>
      <c r="K142" s="17"/>
      <c r="L142" s="17"/>
      <c r="M142" s="18"/>
      <c r="N142" s="17"/>
      <c r="O142" s="18"/>
      <c r="P142" s="19"/>
      <c r="Q142" s="17" t="s">
        <v>2555</v>
      </c>
      <c r="R142" s="17" t="s">
        <v>1719</v>
      </c>
      <c r="S142" s="17" t="s">
        <v>566</v>
      </c>
      <c r="T142" s="17">
        <v>1</v>
      </c>
      <c r="U142" s="17" t="s">
        <v>1720</v>
      </c>
      <c r="V142" s="17" t="s">
        <v>2556</v>
      </c>
      <c r="W142" s="17" t="s">
        <v>2557</v>
      </c>
      <c r="X142" s="70">
        <v>46041.486805555563</v>
      </c>
      <c r="Y142" s="17"/>
      <c r="Z142" s="17">
        <v>0.3</v>
      </c>
      <c r="AA142" s="17"/>
      <c r="AB142" s="17" t="s">
        <v>1724</v>
      </c>
      <c r="AC142" s="20" t="s">
        <v>2558</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2559</v>
      </c>
      <c r="H143" s="17" t="s">
        <v>1786</v>
      </c>
      <c r="I143" s="17"/>
      <c r="J143" s="17"/>
      <c r="K143" s="17"/>
      <c r="L143" s="17"/>
      <c r="M143" s="18"/>
      <c r="N143" s="17"/>
      <c r="O143" s="18"/>
      <c r="P143" s="19"/>
      <c r="Q143" s="17" t="s">
        <v>2560</v>
      </c>
      <c r="R143" s="17" t="s">
        <v>1719</v>
      </c>
      <c r="S143" s="17" t="s">
        <v>566</v>
      </c>
      <c r="T143" s="17">
        <v>1</v>
      </c>
      <c r="U143" s="17" t="s">
        <v>1720</v>
      </c>
      <c r="V143" s="17" t="s">
        <v>2561</v>
      </c>
      <c r="W143" s="17" t="s">
        <v>2562</v>
      </c>
      <c r="X143" s="70">
        <v>46041.51458333333</v>
      </c>
      <c r="Y143" s="17"/>
      <c r="Z143" s="17">
        <v>0.4</v>
      </c>
      <c r="AA143" s="17"/>
      <c r="AB143" s="17" t="s">
        <v>1724</v>
      </c>
      <c r="AC143" s="20" t="s">
        <v>2123</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2477</v>
      </c>
      <c r="H144" s="17" t="s">
        <v>1812</v>
      </c>
      <c r="I144" s="17"/>
      <c r="J144" s="17"/>
      <c r="K144" s="17"/>
      <c r="L144" s="17"/>
      <c r="M144" s="18"/>
      <c r="N144" s="17"/>
      <c r="O144" s="18"/>
      <c r="P144" s="19"/>
      <c r="Q144" s="17" t="s">
        <v>2480</v>
      </c>
      <c r="R144" s="17" t="s">
        <v>1719</v>
      </c>
      <c r="S144" s="17" t="s">
        <v>52</v>
      </c>
      <c r="T144" s="17">
        <v>1</v>
      </c>
      <c r="U144" s="17" t="s">
        <v>1720</v>
      </c>
      <c r="V144" s="17" t="s">
        <v>2563</v>
      </c>
      <c r="W144" s="17" t="s">
        <v>2564</v>
      </c>
      <c r="X144" s="70">
        <v>46041.541666666657</v>
      </c>
      <c r="Y144" s="17"/>
      <c r="Z144" s="17">
        <v>0.3</v>
      </c>
      <c r="AA144" s="17"/>
      <c r="AB144" s="17" t="s">
        <v>1724</v>
      </c>
      <c r="AC144" s="20" t="s">
        <v>2565</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2566</v>
      </c>
      <c r="H145" s="17" t="s">
        <v>1812</v>
      </c>
      <c r="I145" s="17"/>
      <c r="J145" s="17"/>
      <c r="K145" s="17"/>
      <c r="L145" s="17"/>
      <c r="M145" s="18"/>
      <c r="N145" s="17"/>
      <c r="O145" s="18"/>
      <c r="P145" s="19"/>
      <c r="Q145" s="17" t="s">
        <v>2567</v>
      </c>
      <c r="R145" s="17" t="s">
        <v>1719</v>
      </c>
      <c r="S145" s="17" t="s">
        <v>52</v>
      </c>
      <c r="T145" s="17">
        <v>1</v>
      </c>
      <c r="U145" s="17" t="s">
        <v>1720</v>
      </c>
      <c r="V145" s="17" t="s">
        <v>2568</v>
      </c>
      <c r="W145" s="17" t="s">
        <v>2569</v>
      </c>
      <c r="X145" s="70">
        <v>46041.590277777781</v>
      </c>
      <c r="Y145" s="17"/>
      <c r="Z145" s="17">
        <v>0.7</v>
      </c>
      <c r="AA145" s="17"/>
      <c r="AB145" s="17" t="s">
        <v>1724</v>
      </c>
      <c r="AC145" s="20" t="s">
        <v>2570</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2571</v>
      </c>
      <c r="H146" s="17" t="s">
        <v>2572</v>
      </c>
      <c r="I146" s="17"/>
      <c r="J146" s="17"/>
      <c r="K146" s="17"/>
      <c r="L146" s="17"/>
      <c r="M146" s="18"/>
      <c r="N146" s="17"/>
      <c r="O146" s="18"/>
      <c r="P146" s="19"/>
      <c r="Q146" s="17" t="s">
        <v>2573</v>
      </c>
      <c r="R146" s="17" t="s">
        <v>1719</v>
      </c>
      <c r="S146" s="17" t="s">
        <v>52</v>
      </c>
      <c r="T146" s="17">
        <v>1</v>
      </c>
      <c r="U146" s="17" t="s">
        <v>1720</v>
      </c>
      <c r="V146" s="17" t="s">
        <v>2574</v>
      </c>
      <c r="W146" s="17" t="s">
        <v>2575</v>
      </c>
      <c r="X146" s="70">
        <v>46041.611111111109</v>
      </c>
      <c r="Y146" s="17"/>
      <c r="Z146" s="17">
        <v>0.3</v>
      </c>
      <c r="AA146" s="17"/>
      <c r="AB146" s="17" t="s">
        <v>1724</v>
      </c>
      <c r="AC146" s="20" t="s">
        <v>2576</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2577</v>
      </c>
      <c r="H147" s="17" t="s">
        <v>2572</v>
      </c>
      <c r="I147" s="17"/>
      <c r="J147" s="17"/>
      <c r="K147" s="17"/>
      <c r="L147" s="17"/>
      <c r="M147" s="18"/>
      <c r="N147" s="17"/>
      <c r="O147" s="18"/>
      <c r="P147" s="19"/>
      <c r="Q147" s="17" t="s">
        <v>2578</v>
      </c>
      <c r="R147" s="17" t="s">
        <v>1719</v>
      </c>
      <c r="S147" s="17" t="s">
        <v>52</v>
      </c>
      <c r="T147" s="17">
        <v>1</v>
      </c>
      <c r="U147" s="17" t="s">
        <v>1720</v>
      </c>
      <c r="V147" s="17" t="s">
        <v>2579</v>
      </c>
      <c r="W147" s="17" t="s">
        <v>2580</v>
      </c>
      <c r="X147" s="70">
        <v>46041.645833333343</v>
      </c>
      <c r="Y147" s="17"/>
      <c r="Z147" s="17">
        <v>0.3</v>
      </c>
      <c r="AA147" s="17"/>
      <c r="AB147" s="17" t="s">
        <v>1724</v>
      </c>
      <c r="AC147" s="20" t="s">
        <v>2581</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2582</v>
      </c>
      <c r="H148" s="17" t="s">
        <v>2572</v>
      </c>
      <c r="I148" s="17"/>
      <c r="J148" s="17"/>
      <c r="K148" s="17"/>
      <c r="L148" s="17"/>
      <c r="M148" s="18"/>
      <c r="N148" s="17"/>
      <c r="O148" s="18"/>
      <c r="P148" s="19"/>
      <c r="Q148" s="17" t="s">
        <v>2583</v>
      </c>
      <c r="R148" s="17" t="s">
        <v>1719</v>
      </c>
      <c r="S148" s="17" t="s">
        <v>52</v>
      </c>
      <c r="T148" s="17">
        <v>1</v>
      </c>
      <c r="U148" s="17" t="s">
        <v>1720</v>
      </c>
      <c r="V148" s="17" t="s">
        <v>2584</v>
      </c>
      <c r="W148" s="17" t="s">
        <v>2510</v>
      </c>
      <c r="X148" s="70">
        <v>46041.680555555547</v>
      </c>
      <c r="Y148" s="17"/>
      <c r="Z148" s="17">
        <v>0.3</v>
      </c>
      <c r="AA148" s="17"/>
      <c r="AB148" s="17" t="s">
        <v>1724</v>
      </c>
      <c r="AC148" s="20" t="s">
        <v>2585</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2586</v>
      </c>
      <c r="H149" s="17" t="s">
        <v>1812</v>
      </c>
      <c r="I149" s="17"/>
      <c r="J149" s="17"/>
      <c r="K149" s="17"/>
      <c r="L149" s="17"/>
      <c r="M149" s="18"/>
      <c r="N149" s="17"/>
      <c r="O149" s="18"/>
      <c r="P149" s="19"/>
      <c r="Q149" s="17" t="s">
        <v>2587</v>
      </c>
      <c r="R149" s="17" t="s">
        <v>1719</v>
      </c>
      <c r="S149" s="17" t="s">
        <v>52</v>
      </c>
      <c r="T149" s="17">
        <v>1</v>
      </c>
      <c r="U149" s="17" t="s">
        <v>1720</v>
      </c>
      <c r="V149" s="17" t="s">
        <v>2588</v>
      </c>
      <c r="W149" s="17" t="s">
        <v>2589</v>
      </c>
      <c r="X149" s="70">
        <v>46041.702777777777</v>
      </c>
      <c r="Y149" s="17"/>
      <c r="Z149" s="17">
        <v>0.4</v>
      </c>
      <c r="AA149" s="17"/>
      <c r="AB149" s="17" t="s">
        <v>1724</v>
      </c>
      <c r="AC149" s="20" t="s">
        <v>2590</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2591</v>
      </c>
      <c r="E150" s="17" t="s">
        <v>1727</v>
      </c>
      <c r="F150" s="17" t="s">
        <v>2592</v>
      </c>
      <c r="G150" s="17" t="s">
        <v>2593</v>
      </c>
      <c r="H150" s="17" t="s">
        <v>1759</v>
      </c>
      <c r="I150" s="17" t="s">
        <v>2594</v>
      </c>
      <c r="J150" s="17" t="s">
        <v>1929</v>
      </c>
      <c r="K150" s="17" t="s">
        <v>1744</v>
      </c>
      <c r="L150" s="17" t="s">
        <v>1850</v>
      </c>
      <c r="M150" s="18" t="s">
        <v>1851</v>
      </c>
      <c r="N150" s="17">
        <v>5901</v>
      </c>
      <c r="O150" s="18" t="s">
        <v>2595</v>
      </c>
      <c r="P150" s="19" t="s">
        <v>2596</v>
      </c>
      <c r="Q150" s="17" t="s">
        <v>2597</v>
      </c>
      <c r="R150" s="17" t="s">
        <v>1719</v>
      </c>
      <c r="S150" s="17" t="s">
        <v>566</v>
      </c>
      <c r="T150" s="17">
        <v>1</v>
      </c>
      <c r="U150" s="17" t="s">
        <v>1720</v>
      </c>
      <c r="V150" s="17" t="s">
        <v>2598</v>
      </c>
      <c r="W150" s="17" t="s">
        <v>2599</v>
      </c>
      <c r="X150" s="70">
        <v>46042.59375</v>
      </c>
      <c r="Y150" s="17" t="s">
        <v>2600</v>
      </c>
      <c r="Z150" s="17">
        <v>0.3</v>
      </c>
      <c r="AA150" s="17"/>
      <c r="AB150" s="17" t="s">
        <v>1724</v>
      </c>
      <c r="AC150" s="20" t="s">
        <v>2601</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2602</v>
      </c>
      <c r="E151" s="17" t="s">
        <v>1727</v>
      </c>
      <c r="F151" s="17">
        <v>2209</v>
      </c>
      <c r="G151" s="17" t="s">
        <v>2006</v>
      </c>
      <c r="H151" s="17" t="s">
        <v>1759</v>
      </c>
      <c r="I151" s="17" t="s">
        <v>2603</v>
      </c>
      <c r="J151" s="17" t="s">
        <v>2033</v>
      </c>
      <c r="K151" s="17" t="s">
        <v>1713</v>
      </c>
      <c r="L151" s="17" t="s">
        <v>1910</v>
      </c>
      <c r="M151" s="18" t="s">
        <v>1911</v>
      </c>
      <c r="N151" s="17" t="s">
        <v>1912</v>
      </c>
      <c r="O151" s="18" t="s">
        <v>1913</v>
      </c>
      <c r="P151" s="19" t="s">
        <v>2604</v>
      </c>
      <c r="Q151" s="17" t="s">
        <v>2011</v>
      </c>
      <c r="R151" s="17" t="s">
        <v>1719</v>
      </c>
      <c r="S151" s="17" t="s">
        <v>566</v>
      </c>
      <c r="T151" s="17">
        <v>1</v>
      </c>
      <c r="U151" s="17" t="s">
        <v>1720</v>
      </c>
      <c r="V151" s="17" t="s">
        <v>2605</v>
      </c>
      <c r="W151" s="17" t="s">
        <v>2606</v>
      </c>
      <c r="X151" s="70">
        <v>46042.635416666657</v>
      </c>
      <c r="Y151" s="17" t="s">
        <v>2607</v>
      </c>
      <c r="Z151" s="17">
        <v>0.1</v>
      </c>
      <c r="AA151" s="17"/>
      <c r="AB151" s="17" t="s">
        <v>1724</v>
      </c>
      <c r="AC151" s="20" t="s">
        <v>2608</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2609</v>
      </c>
      <c r="E152" s="17" t="s">
        <v>1708</v>
      </c>
      <c r="F152" s="17">
        <v>2014</v>
      </c>
      <c r="G152" s="17" t="s">
        <v>2610</v>
      </c>
      <c r="H152" s="17" t="s">
        <v>1759</v>
      </c>
      <c r="I152" s="17" t="s">
        <v>2611</v>
      </c>
      <c r="J152" s="17" t="s">
        <v>2033</v>
      </c>
      <c r="K152" s="17" t="s">
        <v>1713</v>
      </c>
      <c r="L152" s="17" t="s">
        <v>1930</v>
      </c>
      <c r="M152" s="18" t="s">
        <v>1931</v>
      </c>
      <c r="N152" s="17">
        <v>2401</v>
      </c>
      <c r="O152" s="18" t="s">
        <v>1944</v>
      </c>
      <c r="P152" s="19" t="s">
        <v>2612</v>
      </c>
      <c r="Q152" s="17" t="s">
        <v>2613</v>
      </c>
      <c r="R152" s="17" t="s">
        <v>1719</v>
      </c>
      <c r="S152" s="17" t="s">
        <v>566</v>
      </c>
      <c r="T152" s="17">
        <v>1</v>
      </c>
      <c r="U152" s="17" t="s">
        <v>1720</v>
      </c>
      <c r="V152" s="17" t="s">
        <v>2614</v>
      </c>
      <c r="W152" s="17" t="s">
        <v>2615</v>
      </c>
      <c r="X152" s="70">
        <v>46042.513888888891</v>
      </c>
      <c r="Y152" s="17" t="s">
        <v>2616</v>
      </c>
      <c r="Z152" s="17">
        <v>0.3</v>
      </c>
      <c r="AA152" s="17"/>
      <c r="AB152" s="17" t="s">
        <v>1724</v>
      </c>
      <c r="AC152" s="20" t="s">
        <v>2617</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2610</v>
      </c>
      <c r="H153" s="17" t="s">
        <v>1759</v>
      </c>
      <c r="I153" s="17"/>
      <c r="J153" s="17"/>
      <c r="K153" s="17"/>
      <c r="L153" s="17"/>
      <c r="M153" s="18"/>
      <c r="N153" s="17"/>
      <c r="O153" s="18"/>
      <c r="P153" s="19"/>
      <c r="Q153" s="17" t="s">
        <v>2613</v>
      </c>
      <c r="R153" s="17" t="s">
        <v>1719</v>
      </c>
      <c r="S153" s="17" t="s">
        <v>566</v>
      </c>
      <c r="T153" s="17">
        <v>1</v>
      </c>
      <c r="U153" s="17" t="s">
        <v>1720</v>
      </c>
      <c r="V153" s="17" t="s">
        <v>2618</v>
      </c>
      <c r="W153" s="17" t="s">
        <v>2619</v>
      </c>
      <c r="X153" s="70">
        <v>46042.525000000001</v>
      </c>
      <c r="Y153" s="17"/>
      <c r="Z153" s="17">
        <v>0.4</v>
      </c>
      <c r="AA153" s="17"/>
      <c r="AB153" s="17" t="s">
        <v>1724</v>
      </c>
      <c r="AC153" s="20" t="s">
        <v>2620</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2621</v>
      </c>
      <c r="E154" s="17" t="s">
        <v>1708</v>
      </c>
      <c r="F154" s="17">
        <v>5457</v>
      </c>
      <c r="G154" s="17" t="s">
        <v>2420</v>
      </c>
      <c r="H154" s="17" t="s">
        <v>1759</v>
      </c>
      <c r="I154" s="17" t="s">
        <v>2622</v>
      </c>
      <c r="J154" s="17" t="s">
        <v>2033</v>
      </c>
      <c r="K154" s="17" t="s">
        <v>1744</v>
      </c>
      <c r="L154" s="17" t="s">
        <v>1930</v>
      </c>
      <c r="M154" s="18" t="s">
        <v>1931</v>
      </c>
      <c r="N154" s="17">
        <v>2401</v>
      </c>
      <c r="O154" s="18" t="s">
        <v>1944</v>
      </c>
      <c r="P154" s="19" t="s">
        <v>2623</v>
      </c>
      <c r="Q154" s="17" t="s">
        <v>2423</v>
      </c>
      <c r="R154" s="17" t="s">
        <v>1719</v>
      </c>
      <c r="S154" s="17" t="s">
        <v>206</v>
      </c>
      <c r="T154" s="17">
        <v>1</v>
      </c>
      <c r="U154" s="17" t="s">
        <v>1720</v>
      </c>
      <c r="V154" s="17" t="s">
        <v>2624</v>
      </c>
      <c r="W154" s="17" t="s">
        <v>2625</v>
      </c>
      <c r="X154" s="70">
        <v>46042.576388888891</v>
      </c>
      <c r="Y154" s="17" t="s">
        <v>2626</v>
      </c>
      <c r="Z154" s="17">
        <v>0.5</v>
      </c>
      <c r="AA154" s="17"/>
      <c r="AB154" s="17" t="s">
        <v>1724</v>
      </c>
      <c r="AC154" s="20" t="s">
        <v>2627</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2592</v>
      </c>
      <c r="G155" s="17" t="s">
        <v>2593</v>
      </c>
      <c r="H155" s="17" t="s">
        <v>1759</v>
      </c>
      <c r="I155" s="17"/>
      <c r="J155" s="17"/>
      <c r="K155" s="17"/>
      <c r="L155" s="17"/>
      <c r="M155" s="18"/>
      <c r="N155" s="17"/>
      <c r="O155" s="18"/>
      <c r="P155" s="19"/>
      <c r="Q155" s="17" t="s">
        <v>2597</v>
      </c>
      <c r="R155" s="17" t="s">
        <v>1719</v>
      </c>
      <c r="S155" s="17" t="s">
        <v>566</v>
      </c>
      <c r="T155" s="17">
        <v>1</v>
      </c>
      <c r="U155" s="17" t="s">
        <v>1720</v>
      </c>
      <c r="V155" s="17" t="s">
        <v>2628</v>
      </c>
      <c r="W155" s="17" t="s">
        <v>2629</v>
      </c>
      <c r="X155" s="70">
        <v>46042.607638888891</v>
      </c>
      <c r="Y155" s="17"/>
      <c r="Z155" s="17">
        <v>0.3</v>
      </c>
      <c r="AA155" s="17"/>
      <c r="AB155" s="17" t="s">
        <v>1724</v>
      </c>
      <c r="AC155" s="20" t="s">
        <v>2630</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2006</v>
      </c>
      <c r="H156" s="17" t="s">
        <v>1759</v>
      </c>
      <c r="I156" s="17"/>
      <c r="J156" s="17"/>
      <c r="K156" s="17"/>
      <c r="L156" s="17"/>
      <c r="M156" s="18"/>
      <c r="N156" s="17"/>
      <c r="O156" s="18"/>
      <c r="P156" s="19"/>
      <c r="Q156" s="17" t="s">
        <v>2011</v>
      </c>
      <c r="R156" s="17" t="s">
        <v>1719</v>
      </c>
      <c r="S156" s="17" t="s">
        <v>566</v>
      </c>
      <c r="T156" s="17">
        <v>1</v>
      </c>
      <c r="U156" s="17" t="s">
        <v>1720</v>
      </c>
      <c r="V156" s="17" t="s">
        <v>2631</v>
      </c>
      <c r="W156" s="17" t="s">
        <v>2632</v>
      </c>
      <c r="X156" s="70">
        <v>46042.628472222219</v>
      </c>
      <c r="Y156" s="17"/>
      <c r="Z156" s="17">
        <v>0.3</v>
      </c>
      <c r="AA156" s="17"/>
      <c r="AB156" s="17" t="s">
        <v>1724</v>
      </c>
      <c r="AC156" s="20" t="s">
        <v>2633</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2634</v>
      </c>
      <c r="H157" s="17" t="s">
        <v>1927</v>
      </c>
      <c r="I157" s="17"/>
      <c r="J157" s="17"/>
      <c r="K157" s="17"/>
      <c r="L157" s="17"/>
      <c r="M157" s="18"/>
      <c r="N157" s="17"/>
      <c r="O157" s="18"/>
      <c r="P157" s="19"/>
      <c r="Q157" s="17" t="s">
        <v>2635</v>
      </c>
      <c r="R157" s="17" t="s">
        <v>1719</v>
      </c>
      <c r="S157" s="17" t="s">
        <v>566</v>
      </c>
      <c r="T157" s="17">
        <v>1</v>
      </c>
      <c r="U157" s="17" t="s">
        <v>1720</v>
      </c>
      <c r="V157" s="17" t="s">
        <v>2636</v>
      </c>
      <c r="W157" s="17" t="s">
        <v>2637</v>
      </c>
      <c r="X157" s="70">
        <v>46042.659722222219</v>
      </c>
      <c r="Y157" s="17"/>
      <c r="Z157" s="17">
        <v>0.3</v>
      </c>
      <c r="AA157" s="17"/>
      <c r="AB157" s="17" t="s">
        <v>1724</v>
      </c>
      <c r="AC157" s="20" t="s">
        <v>2638</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2639</v>
      </c>
      <c r="H158" s="17" t="s">
        <v>1927</v>
      </c>
      <c r="I158" s="17"/>
      <c r="J158" s="17"/>
      <c r="K158" s="17"/>
      <c r="L158" s="17"/>
      <c r="M158" s="18"/>
      <c r="N158" s="17"/>
      <c r="O158" s="18"/>
      <c r="P158" s="19"/>
      <c r="Q158" s="17" t="s">
        <v>2640</v>
      </c>
      <c r="R158" s="17" t="s">
        <v>1719</v>
      </c>
      <c r="S158" s="17" t="s">
        <v>566</v>
      </c>
      <c r="T158" s="17">
        <v>1</v>
      </c>
      <c r="U158" s="17" t="s">
        <v>1720</v>
      </c>
      <c r="V158" s="17" t="s">
        <v>2641</v>
      </c>
      <c r="W158" s="17" t="s">
        <v>2642</v>
      </c>
      <c r="X158" s="70">
        <v>46042.675000000003</v>
      </c>
      <c r="Y158" s="17"/>
      <c r="Z158" s="17">
        <v>0.3</v>
      </c>
      <c r="AA158" s="17"/>
      <c r="AB158" s="17" t="s">
        <v>1724</v>
      </c>
      <c r="AC158" s="20" t="s">
        <v>2643</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2644</v>
      </c>
      <c r="H159" s="17" t="s">
        <v>1927</v>
      </c>
      <c r="I159" s="17"/>
      <c r="J159" s="17"/>
      <c r="K159" s="17"/>
      <c r="L159" s="17"/>
      <c r="M159" s="18"/>
      <c r="N159" s="17"/>
      <c r="O159" s="18"/>
      <c r="P159" s="19"/>
      <c r="Q159" s="17" t="s">
        <v>2645</v>
      </c>
      <c r="R159" s="17" t="s">
        <v>1719</v>
      </c>
      <c r="S159" s="17" t="s">
        <v>566</v>
      </c>
      <c r="T159" s="17">
        <v>1</v>
      </c>
      <c r="U159" s="17" t="s">
        <v>1720</v>
      </c>
      <c r="V159" s="17" t="s">
        <v>2646</v>
      </c>
      <c r="W159" s="17" t="s">
        <v>2647</v>
      </c>
      <c r="X159" s="70">
        <v>46042.694444444453</v>
      </c>
      <c r="Y159" s="17"/>
      <c r="Z159" s="17">
        <v>0.3</v>
      </c>
      <c r="AA159" s="17"/>
      <c r="AB159" s="17" t="s">
        <v>1724</v>
      </c>
      <c r="AC159" s="20" t="s">
        <v>2648</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2649</v>
      </c>
      <c r="H160" s="17" t="s">
        <v>1927</v>
      </c>
      <c r="I160" s="17"/>
      <c r="J160" s="17"/>
      <c r="K160" s="17"/>
      <c r="L160" s="17"/>
      <c r="M160" s="18"/>
      <c r="N160" s="17"/>
      <c r="O160" s="18"/>
      <c r="P160" s="19"/>
      <c r="Q160" s="17" t="s">
        <v>2650</v>
      </c>
      <c r="R160" s="17" t="s">
        <v>1719</v>
      </c>
      <c r="S160" s="17" t="s">
        <v>566</v>
      </c>
      <c r="T160" s="17">
        <v>1</v>
      </c>
      <c r="U160" s="17" t="s">
        <v>1720</v>
      </c>
      <c r="V160" s="17" t="s">
        <v>2651</v>
      </c>
      <c r="W160" s="17" t="s">
        <v>2652</v>
      </c>
      <c r="X160" s="70">
        <v>46042.715277777781</v>
      </c>
      <c r="Y160" s="17"/>
      <c r="Z160" s="17">
        <v>0.3</v>
      </c>
      <c r="AA160" s="17"/>
      <c r="AB160" s="17" t="s">
        <v>1724</v>
      </c>
      <c r="AC160" s="20" t="s">
        <v>2653</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2654</v>
      </c>
      <c r="H161" s="17" t="s">
        <v>1786</v>
      </c>
      <c r="I161" s="17"/>
      <c r="J161" s="17"/>
      <c r="K161" s="17"/>
      <c r="L161" s="17"/>
      <c r="M161" s="18"/>
      <c r="N161" s="17"/>
      <c r="O161" s="18"/>
      <c r="P161" s="19"/>
      <c r="Q161" s="17" t="s">
        <v>2655</v>
      </c>
      <c r="R161" s="17" t="s">
        <v>1719</v>
      </c>
      <c r="S161" s="17" t="s">
        <v>566</v>
      </c>
      <c r="T161" s="17">
        <v>1</v>
      </c>
      <c r="U161" s="17" t="s">
        <v>1720</v>
      </c>
      <c r="V161" s="17" t="s">
        <v>2656</v>
      </c>
      <c r="W161" s="17" t="s">
        <v>2657</v>
      </c>
      <c r="X161" s="70">
        <v>46042.739583333343</v>
      </c>
      <c r="Y161" s="17"/>
      <c r="Z161" s="17">
        <v>0.4</v>
      </c>
      <c r="AA161" s="17"/>
      <c r="AB161" s="17" t="s">
        <v>1724</v>
      </c>
      <c r="AC161" s="20" t="s">
        <v>2658</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2659</v>
      </c>
      <c r="H162" s="17" t="s">
        <v>1771</v>
      </c>
      <c r="I162" s="17"/>
      <c r="J162" s="17"/>
      <c r="K162" s="17"/>
      <c r="L162" s="17"/>
      <c r="M162" s="18"/>
      <c r="N162" s="17"/>
      <c r="O162" s="18"/>
      <c r="P162" s="19"/>
      <c r="Q162" s="17" t="s">
        <v>2660</v>
      </c>
      <c r="R162" s="17" t="s">
        <v>1719</v>
      </c>
      <c r="S162" s="17" t="s">
        <v>52</v>
      </c>
      <c r="T162" s="17">
        <v>1</v>
      </c>
      <c r="U162" s="17" t="s">
        <v>1720</v>
      </c>
      <c r="V162" s="17" t="s">
        <v>2661</v>
      </c>
      <c r="W162" s="17" t="s">
        <v>2662</v>
      </c>
      <c r="X162" s="70">
        <v>46043.576388888891</v>
      </c>
      <c r="Y162" s="17"/>
      <c r="Z162" s="17">
        <v>0.3</v>
      </c>
      <c r="AA162" s="17"/>
      <c r="AB162" s="17" t="s">
        <v>1724</v>
      </c>
      <c r="AC162" s="20" t="s">
        <v>2663</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2664</v>
      </c>
      <c r="E163" s="17" t="s">
        <v>1727</v>
      </c>
      <c r="F163" s="17">
        <v>4191</v>
      </c>
      <c r="G163" s="17" t="s">
        <v>2165</v>
      </c>
      <c r="H163" s="17" t="s">
        <v>1759</v>
      </c>
      <c r="I163" s="17" t="s">
        <v>2665</v>
      </c>
      <c r="J163" s="17" t="s">
        <v>2033</v>
      </c>
      <c r="K163" s="17" t="s">
        <v>1849</v>
      </c>
      <c r="L163" s="17" t="s">
        <v>2666</v>
      </c>
      <c r="M163" s="18" t="s">
        <v>2667</v>
      </c>
      <c r="N163" s="17">
        <v>2901</v>
      </c>
      <c r="O163" s="18" t="s">
        <v>1913</v>
      </c>
      <c r="P163" s="19" t="s">
        <v>2668</v>
      </c>
      <c r="Q163" s="17" t="s">
        <v>2168</v>
      </c>
      <c r="R163" s="17" t="s">
        <v>1719</v>
      </c>
      <c r="S163" s="17" t="s">
        <v>566</v>
      </c>
      <c r="T163" s="17">
        <v>1</v>
      </c>
      <c r="U163" s="17" t="s">
        <v>1720</v>
      </c>
      <c r="V163" s="17" t="s">
        <v>2669</v>
      </c>
      <c r="W163" s="17" t="s">
        <v>2670</v>
      </c>
      <c r="X163" s="70">
        <v>46043.663194444453</v>
      </c>
      <c r="Y163" s="17" t="s">
        <v>2671</v>
      </c>
      <c r="Z163" s="17">
        <v>0.3</v>
      </c>
      <c r="AA163" s="17"/>
      <c r="AB163" s="17" t="s">
        <v>1724</v>
      </c>
      <c r="AC163" s="20" t="s">
        <v>2672</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2673</v>
      </c>
      <c r="E164" s="17" t="s">
        <v>1727</v>
      </c>
      <c r="F164" s="17">
        <v>4191</v>
      </c>
      <c r="G164" s="17" t="s">
        <v>2165</v>
      </c>
      <c r="H164" s="17" t="s">
        <v>1759</v>
      </c>
      <c r="I164" s="17" t="s">
        <v>2674</v>
      </c>
      <c r="J164" s="17" t="s">
        <v>2033</v>
      </c>
      <c r="K164" s="17" t="s">
        <v>1849</v>
      </c>
      <c r="L164" s="17" t="s">
        <v>1930</v>
      </c>
      <c r="M164" s="18" t="s">
        <v>1931</v>
      </c>
      <c r="N164" s="17">
        <v>2402</v>
      </c>
      <c r="O164" s="18" t="s">
        <v>2675</v>
      </c>
      <c r="P164" s="19" t="s">
        <v>2676</v>
      </c>
      <c r="Q164" s="17" t="s">
        <v>2168</v>
      </c>
      <c r="R164" s="17" t="s">
        <v>1719</v>
      </c>
      <c r="S164" s="17" t="s">
        <v>566</v>
      </c>
      <c r="T164" s="17">
        <v>1</v>
      </c>
      <c r="U164" s="17" t="s">
        <v>1720</v>
      </c>
      <c r="V164" s="17" t="s">
        <v>2677</v>
      </c>
      <c r="W164" s="17" t="s">
        <v>2678</v>
      </c>
      <c r="X164" s="70">
        <v>46043.677777777782</v>
      </c>
      <c r="Y164" s="17" t="s">
        <v>2679</v>
      </c>
      <c r="Z164" s="17">
        <v>0.4</v>
      </c>
      <c r="AA164" s="17"/>
      <c r="AB164" s="17" t="s">
        <v>1724</v>
      </c>
      <c r="AC164" s="20" t="s">
        <v>2680</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2681</v>
      </c>
      <c r="G165" s="17" t="s">
        <v>2682</v>
      </c>
      <c r="H165" s="17" t="s">
        <v>1771</v>
      </c>
      <c r="I165" s="17"/>
      <c r="J165" s="17"/>
      <c r="K165" s="17"/>
      <c r="L165" s="17"/>
      <c r="M165" s="18"/>
      <c r="N165" s="17"/>
      <c r="O165" s="18"/>
      <c r="P165" s="19"/>
      <c r="Q165" s="17" t="s">
        <v>2683</v>
      </c>
      <c r="R165" s="17" t="s">
        <v>1719</v>
      </c>
      <c r="S165" s="17" t="s">
        <v>52</v>
      </c>
      <c r="T165" s="17">
        <v>1</v>
      </c>
      <c r="U165" s="17" t="s">
        <v>1720</v>
      </c>
      <c r="V165" s="17" t="s">
        <v>2684</v>
      </c>
      <c r="W165" s="17" t="s">
        <v>2685</v>
      </c>
      <c r="X165" s="70">
        <v>46043.631944444453</v>
      </c>
      <c r="Y165" s="17"/>
      <c r="Z165" s="17">
        <v>0.2</v>
      </c>
      <c r="AA165" s="17"/>
      <c r="AB165" s="17" t="s">
        <v>1724</v>
      </c>
      <c r="AC165" s="20" t="s">
        <v>2123</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2686</v>
      </c>
      <c r="H166" s="17" t="s">
        <v>1759</v>
      </c>
      <c r="I166" s="17"/>
      <c r="J166" s="17"/>
      <c r="K166" s="17"/>
      <c r="L166" s="17"/>
      <c r="M166" s="18"/>
      <c r="N166" s="17"/>
      <c r="O166" s="18"/>
      <c r="P166" s="19"/>
      <c r="Q166" s="17" t="s">
        <v>2687</v>
      </c>
      <c r="R166" s="17" t="s">
        <v>1719</v>
      </c>
      <c r="S166" s="17" t="s">
        <v>566</v>
      </c>
      <c r="T166" s="17">
        <v>1</v>
      </c>
      <c r="U166" s="17" t="s">
        <v>1720</v>
      </c>
      <c r="V166" s="17" t="s">
        <v>2688</v>
      </c>
      <c r="W166" s="17" t="s">
        <v>2689</v>
      </c>
      <c r="X166" s="70">
        <v>46043.645833333343</v>
      </c>
      <c r="Y166" s="17"/>
      <c r="Z166" s="17">
        <v>4.5</v>
      </c>
      <c r="AA166" s="17"/>
      <c r="AB166" s="17" t="s">
        <v>1724</v>
      </c>
      <c r="AC166" s="20" t="s">
        <v>2690</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2686</v>
      </c>
      <c r="H167" s="17" t="s">
        <v>1759</v>
      </c>
      <c r="I167" s="17"/>
      <c r="J167" s="17"/>
      <c r="K167" s="17"/>
      <c r="L167" s="17"/>
      <c r="M167" s="18"/>
      <c r="N167" s="17"/>
      <c r="O167" s="18"/>
      <c r="P167" s="19"/>
      <c r="Q167" s="17" t="s">
        <v>2687</v>
      </c>
      <c r="R167" s="17" t="s">
        <v>1719</v>
      </c>
      <c r="S167" s="17" t="s">
        <v>206</v>
      </c>
      <c r="T167" s="17">
        <v>1</v>
      </c>
      <c r="U167" s="17" t="s">
        <v>1720</v>
      </c>
      <c r="V167" s="17" t="s">
        <v>2691</v>
      </c>
      <c r="W167" s="17" t="s">
        <v>2689</v>
      </c>
      <c r="X167" s="70">
        <v>46043.645833333343</v>
      </c>
      <c r="Y167" s="17"/>
      <c r="Z167" s="17">
        <v>4.5</v>
      </c>
      <c r="AA167" s="17"/>
      <c r="AB167" s="17" t="s">
        <v>1724</v>
      </c>
      <c r="AC167" s="20" t="s">
        <v>2692</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2693</v>
      </c>
      <c r="H168" s="17" t="s">
        <v>1771</v>
      </c>
      <c r="I168" s="17"/>
      <c r="J168" s="17"/>
      <c r="K168" s="17"/>
      <c r="L168" s="17"/>
      <c r="M168" s="18"/>
      <c r="N168" s="17"/>
      <c r="O168" s="18"/>
      <c r="P168" s="19"/>
      <c r="Q168" s="17" t="s">
        <v>2694</v>
      </c>
      <c r="R168" s="17" t="s">
        <v>1719</v>
      </c>
      <c r="S168" s="17" t="s">
        <v>52</v>
      </c>
      <c r="T168" s="17">
        <v>1</v>
      </c>
      <c r="U168" s="17" t="s">
        <v>1720</v>
      </c>
      <c r="V168" s="17" t="s">
        <v>2695</v>
      </c>
      <c r="W168" s="17" t="s">
        <v>2696</v>
      </c>
      <c r="X168" s="70">
        <v>46043.659722222219</v>
      </c>
      <c r="Y168" s="17"/>
      <c r="Z168" s="17">
        <v>0.3</v>
      </c>
      <c r="AA168" s="17"/>
      <c r="AB168" s="17" t="s">
        <v>1724</v>
      </c>
      <c r="AC168" s="20" t="s">
        <v>2123</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2697</v>
      </c>
      <c r="G169" s="17" t="s">
        <v>2698</v>
      </c>
      <c r="H169" s="17" t="s">
        <v>1771</v>
      </c>
      <c r="I169" s="17"/>
      <c r="J169" s="17"/>
      <c r="K169" s="17"/>
      <c r="L169" s="17"/>
      <c r="M169" s="18"/>
      <c r="N169" s="17"/>
      <c r="O169" s="18"/>
      <c r="P169" s="19"/>
      <c r="Q169" s="17" t="s">
        <v>2699</v>
      </c>
      <c r="R169" s="17" t="s">
        <v>1719</v>
      </c>
      <c r="S169" s="17" t="s">
        <v>52</v>
      </c>
      <c r="T169" s="17">
        <v>1</v>
      </c>
      <c r="U169" s="17" t="s">
        <v>1720</v>
      </c>
      <c r="V169" s="17" t="s">
        <v>2700</v>
      </c>
      <c r="W169" s="17" t="s">
        <v>2701</v>
      </c>
      <c r="X169" s="70">
        <v>46043.680555555547</v>
      </c>
      <c r="Y169" s="17"/>
      <c r="Z169" s="17">
        <v>0.3</v>
      </c>
      <c r="AA169" s="17"/>
      <c r="AB169" s="17" t="s">
        <v>1724</v>
      </c>
      <c r="AC169" s="20" t="s">
        <v>2123</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2702</v>
      </c>
      <c r="E170" s="17" t="s">
        <v>1727</v>
      </c>
      <c r="F170" s="17" t="s">
        <v>2703</v>
      </c>
      <c r="G170" s="17" t="s">
        <v>2704</v>
      </c>
      <c r="H170" s="17" t="s">
        <v>1759</v>
      </c>
      <c r="I170" s="17" t="s">
        <v>2705</v>
      </c>
      <c r="J170" s="17" t="s">
        <v>2095</v>
      </c>
      <c r="K170" s="17" t="s">
        <v>1744</v>
      </c>
      <c r="L170" s="17" t="s">
        <v>1714</v>
      </c>
      <c r="M170" s="18" t="s">
        <v>1715</v>
      </c>
      <c r="N170" s="17">
        <v>2308</v>
      </c>
      <c r="O170" s="18" t="s">
        <v>1932</v>
      </c>
      <c r="P170" s="19" t="s">
        <v>2706</v>
      </c>
      <c r="Q170" s="17" t="s">
        <v>2707</v>
      </c>
      <c r="R170" s="17" t="s">
        <v>1719</v>
      </c>
      <c r="S170" s="17" t="s">
        <v>566</v>
      </c>
      <c r="T170" s="17">
        <v>1</v>
      </c>
      <c r="U170" s="17" t="s">
        <v>1720</v>
      </c>
      <c r="V170" s="17" t="s">
        <v>2708</v>
      </c>
      <c r="W170" s="17" t="s">
        <v>2709</v>
      </c>
      <c r="X170" s="70">
        <v>46044.444444444453</v>
      </c>
      <c r="Y170" s="17" t="s">
        <v>2710</v>
      </c>
      <c r="Z170" s="17">
        <v>0.7</v>
      </c>
      <c r="AA170" s="17"/>
      <c r="AB170" s="17" t="s">
        <v>1724</v>
      </c>
      <c r="AC170" s="20" t="s">
        <v>2711</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2712</v>
      </c>
      <c r="E171" s="17" t="s">
        <v>1727</v>
      </c>
      <c r="F171" s="17" t="s">
        <v>2592</v>
      </c>
      <c r="G171" s="17" t="s">
        <v>2593</v>
      </c>
      <c r="H171" s="17" t="s">
        <v>1759</v>
      </c>
      <c r="I171" s="17" t="s">
        <v>2713</v>
      </c>
      <c r="J171" s="17" t="s">
        <v>2095</v>
      </c>
      <c r="K171" s="17" t="s">
        <v>1744</v>
      </c>
      <c r="L171" s="17" t="s">
        <v>1714</v>
      </c>
      <c r="M171" s="18" t="s">
        <v>1715</v>
      </c>
      <c r="N171" s="17">
        <v>2308</v>
      </c>
      <c r="O171" s="18" t="s">
        <v>1932</v>
      </c>
      <c r="P171" s="19" t="s">
        <v>2706</v>
      </c>
      <c r="Q171" s="17" t="s">
        <v>2597</v>
      </c>
      <c r="R171" s="17" t="s">
        <v>1719</v>
      </c>
      <c r="S171" s="17" t="s">
        <v>566</v>
      </c>
      <c r="T171" s="17">
        <v>1</v>
      </c>
      <c r="U171" s="17" t="s">
        <v>1720</v>
      </c>
      <c r="V171" s="17" t="s">
        <v>2714</v>
      </c>
      <c r="W171" s="17" t="s">
        <v>2715</v>
      </c>
      <c r="X171" s="70">
        <v>46044.51666666667</v>
      </c>
      <c r="Y171" s="17" t="s">
        <v>2716</v>
      </c>
      <c r="Z171" s="17">
        <v>0.7</v>
      </c>
      <c r="AA171" s="17"/>
      <c r="AB171" s="17" t="s">
        <v>1724</v>
      </c>
      <c r="AC171" s="20" t="s">
        <v>2717</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2718</v>
      </c>
      <c r="E172" s="17" t="s">
        <v>1727</v>
      </c>
      <c r="F172" s="17">
        <v>4352</v>
      </c>
      <c r="G172" s="17" t="s">
        <v>2719</v>
      </c>
      <c r="H172" s="17" t="s">
        <v>1759</v>
      </c>
      <c r="I172" s="17" t="s">
        <v>2720</v>
      </c>
      <c r="J172" s="17" t="s">
        <v>1712</v>
      </c>
      <c r="K172" s="17" t="s">
        <v>1713</v>
      </c>
      <c r="L172" s="17" t="s">
        <v>1714</v>
      </c>
      <c r="M172" s="18" t="s">
        <v>1715</v>
      </c>
      <c r="N172" s="17">
        <v>2308</v>
      </c>
      <c r="O172" s="18" t="s">
        <v>1932</v>
      </c>
      <c r="P172" s="19" t="s">
        <v>2721</v>
      </c>
      <c r="Q172" s="17" t="s">
        <v>2722</v>
      </c>
      <c r="R172" s="17" t="s">
        <v>1719</v>
      </c>
      <c r="S172" s="17" t="s">
        <v>566</v>
      </c>
      <c r="T172" s="17">
        <v>1</v>
      </c>
      <c r="U172" s="17" t="s">
        <v>1720</v>
      </c>
      <c r="V172" s="17" t="s">
        <v>2723</v>
      </c>
      <c r="W172" s="17" t="s">
        <v>2724</v>
      </c>
      <c r="X172" s="70">
        <v>46044.61041666667</v>
      </c>
      <c r="Y172" s="17" t="s">
        <v>2725</v>
      </c>
      <c r="Z172" s="17">
        <v>0.7</v>
      </c>
      <c r="AA172" s="17"/>
      <c r="AB172" s="17" t="s">
        <v>1724</v>
      </c>
      <c r="AC172" s="20" t="s">
        <v>2726</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2727</v>
      </c>
      <c r="E173" s="17" t="s">
        <v>1727</v>
      </c>
      <c r="F173" s="17">
        <v>4241</v>
      </c>
      <c r="G173" s="17" t="s">
        <v>2728</v>
      </c>
      <c r="H173" s="17" t="s">
        <v>1759</v>
      </c>
      <c r="I173" s="17" t="s">
        <v>2729</v>
      </c>
      <c r="J173" s="17" t="s">
        <v>1712</v>
      </c>
      <c r="K173" s="17" t="s">
        <v>1943</v>
      </c>
      <c r="L173" s="17" t="s">
        <v>1910</v>
      </c>
      <c r="M173" s="18" t="s">
        <v>1911</v>
      </c>
      <c r="N173" s="17" t="s">
        <v>1912</v>
      </c>
      <c r="O173" s="18" t="s">
        <v>1913</v>
      </c>
      <c r="P173" s="19" t="s">
        <v>2730</v>
      </c>
      <c r="Q173" s="17" t="s">
        <v>2731</v>
      </c>
      <c r="R173" s="17" t="s">
        <v>1719</v>
      </c>
      <c r="S173" s="17" t="s">
        <v>566</v>
      </c>
      <c r="T173" s="17">
        <v>1</v>
      </c>
      <c r="U173" s="17" t="s">
        <v>1720</v>
      </c>
      <c r="V173" s="17" t="s">
        <v>2732</v>
      </c>
      <c r="W173" s="17" t="s">
        <v>2733</v>
      </c>
      <c r="X173" s="70">
        <v>46044.5625</v>
      </c>
      <c r="Y173" s="17" t="s">
        <v>2734</v>
      </c>
      <c r="Z173" s="17">
        <v>0.3</v>
      </c>
      <c r="AA173" s="17"/>
      <c r="AB173" s="17" t="s">
        <v>1724</v>
      </c>
      <c r="AC173" s="20" t="s">
        <v>2735</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2736</v>
      </c>
      <c r="E174" s="17" t="s">
        <v>1727</v>
      </c>
      <c r="F174" s="17">
        <v>4241</v>
      </c>
      <c r="G174" s="17" t="s">
        <v>2728</v>
      </c>
      <c r="H174" s="17" t="s">
        <v>1759</v>
      </c>
      <c r="I174" s="17" t="s">
        <v>2737</v>
      </c>
      <c r="J174" s="17" t="s">
        <v>1712</v>
      </c>
      <c r="K174" s="17" t="s">
        <v>1713</v>
      </c>
      <c r="L174" s="17" t="s">
        <v>1910</v>
      </c>
      <c r="M174" s="18" t="s">
        <v>1911</v>
      </c>
      <c r="N174" s="17" t="s">
        <v>1912</v>
      </c>
      <c r="O174" s="18" t="s">
        <v>1913</v>
      </c>
      <c r="P174" s="19" t="s">
        <v>2738</v>
      </c>
      <c r="Q174" s="17" t="s">
        <v>2731</v>
      </c>
      <c r="R174" s="17" t="s">
        <v>1719</v>
      </c>
      <c r="S174" s="17" t="s">
        <v>566</v>
      </c>
      <c r="T174" s="17">
        <v>1</v>
      </c>
      <c r="U174" s="17" t="s">
        <v>1720</v>
      </c>
      <c r="V174" s="17" t="s">
        <v>2739</v>
      </c>
      <c r="W174" s="17" t="s">
        <v>2740</v>
      </c>
      <c r="X174" s="70">
        <v>46044.569444444453</v>
      </c>
      <c r="Y174" s="17" t="s">
        <v>2734</v>
      </c>
      <c r="Z174" s="17">
        <v>0.3</v>
      </c>
      <c r="AA174" s="17"/>
      <c r="AB174" s="17" t="s">
        <v>1724</v>
      </c>
      <c r="AC174" s="20" t="s">
        <v>2741</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2742</v>
      </c>
      <c r="E175" s="17" t="s">
        <v>1727</v>
      </c>
      <c r="F175" s="17">
        <v>5245</v>
      </c>
      <c r="G175" s="17" t="s">
        <v>2743</v>
      </c>
      <c r="H175" s="17" t="s">
        <v>1759</v>
      </c>
      <c r="I175" s="17" t="s">
        <v>2744</v>
      </c>
      <c r="J175" s="17" t="s">
        <v>1712</v>
      </c>
      <c r="K175" s="17" t="s">
        <v>1713</v>
      </c>
      <c r="L175" s="17" t="s">
        <v>1734</v>
      </c>
      <c r="M175" s="18" t="s">
        <v>1735</v>
      </c>
      <c r="N175" s="17">
        <v>2501</v>
      </c>
      <c r="O175" s="18" t="s">
        <v>1736</v>
      </c>
      <c r="P175" s="19" t="s">
        <v>2745</v>
      </c>
      <c r="Q175" s="17" t="s">
        <v>2746</v>
      </c>
      <c r="R175" s="17" t="s">
        <v>1719</v>
      </c>
      <c r="S175" s="17" t="s">
        <v>566</v>
      </c>
      <c r="T175" s="17">
        <v>1</v>
      </c>
      <c r="U175" s="17" t="s">
        <v>1720</v>
      </c>
      <c r="V175" s="17" t="s">
        <v>2747</v>
      </c>
      <c r="W175" s="17" t="s">
        <v>2748</v>
      </c>
      <c r="X175" s="70">
        <v>46044.663194444453</v>
      </c>
      <c r="Y175" s="17" t="s">
        <v>2749</v>
      </c>
      <c r="Z175" s="17">
        <v>0.3</v>
      </c>
      <c r="AA175" s="17"/>
      <c r="AB175" s="17" t="s">
        <v>1724</v>
      </c>
      <c r="AC175" s="20" t="s">
        <v>2750</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2751</v>
      </c>
      <c r="E176" s="17" t="s">
        <v>1727</v>
      </c>
      <c r="F176" s="17">
        <v>2390</v>
      </c>
      <c r="G176" s="17" t="s">
        <v>2752</v>
      </c>
      <c r="H176" s="17" t="s">
        <v>1805</v>
      </c>
      <c r="I176" s="17" t="s">
        <v>2753</v>
      </c>
      <c r="J176" s="17" t="s">
        <v>1712</v>
      </c>
      <c r="K176" s="17" t="s">
        <v>1713</v>
      </c>
      <c r="L176" s="17" t="s">
        <v>1734</v>
      </c>
      <c r="M176" s="18" t="s">
        <v>1735</v>
      </c>
      <c r="N176" s="17">
        <v>2501</v>
      </c>
      <c r="O176" s="18" t="s">
        <v>1736</v>
      </c>
      <c r="P176" s="19" t="s">
        <v>2754</v>
      </c>
      <c r="Q176" s="17" t="s">
        <v>2755</v>
      </c>
      <c r="R176" s="17" t="s">
        <v>1719</v>
      </c>
      <c r="S176" s="17" t="s">
        <v>206</v>
      </c>
      <c r="T176" s="17">
        <v>1</v>
      </c>
      <c r="U176" s="17" t="s">
        <v>1720</v>
      </c>
      <c r="V176" s="17" t="s">
        <v>2756</v>
      </c>
      <c r="W176" s="17" t="s">
        <v>2757</v>
      </c>
      <c r="X176" s="70">
        <v>46044.479166666657</v>
      </c>
      <c r="Y176" s="17" t="s">
        <v>2758</v>
      </c>
      <c r="Z176" s="17">
        <v>0.5</v>
      </c>
      <c r="AA176" s="17"/>
      <c r="AB176" s="17" t="s">
        <v>1724</v>
      </c>
      <c r="AC176" s="20" t="s">
        <v>2759</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2703</v>
      </c>
      <c r="G177" s="17" t="s">
        <v>2704</v>
      </c>
      <c r="H177" s="17" t="s">
        <v>1759</v>
      </c>
      <c r="I177" s="17"/>
      <c r="J177" s="17"/>
      <c r="K177" s="17"/>
      <c r="L177" s="17"/>
      <c r="M177" s="18"/>
      <c r="N177" s="17"/>
      <c r="O177" s="18"/>
      <c r="P177" s="19"/>
      <c r="Q177" s="17" t="s">
        <v>2707</v>
      </c>
      <c r="R177" s="17" t="s">
        <v>1719</v>
      </c>
      <c r="S177" s="17" t="s">
        <v>566</v>
      </c>
      <c r="T177" s="17">
        <v>1</v>
      </c>
      <c r="U177" s="17" t="s">
        <v>1720</v>
      </c>
      <c r="V177" s="17" t="s">
        <v>2760</v>
      </c>
      <c r="W177" s="17" t="s">
        <v>2761</v>
      </c>
      <c r="X177" s="70">
        <v>46044.416666666657</v>
      </c>
      <c r="Y177" s="17"/>
      <c r="Z177" s="17">
        <v>0.3</v>
      </c>
      <c r="AA177" s="17"/>
      <c r="AB177" s="17" t="s">
        <v>1724</v>
      </c>
      <c r="AC177" s="20" t="s">
        <v>2762</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2752</v>
      </c>
      <c r="H178" s="17" t="s">
        <v>1805</v>
      </c>
      <c r="I178" s="17"/>
      <c r="J178" s="17"/>
      <c r="K178" s="17"/>
      <c r="L178" s="17"/>
      <c r="M178" s="18"/>
      <c r="N178" s="17"/>
      <c r="O178" s="18"/>
      <c r="P178" s="19"/>
      <c r="Q178" s="17" t="s">
        <v>2755</v>
      </c>
      <c r="R178" s="17" t="s">
        <v>1719</v>
      </c>
      <c r="S178" s="17" t="s">
        <v>206</v>
      </c>
      <c r="T178" s="17">
        <v>1</v>
      </c>
      <c r="U178" s="17" t="s">
        <v>1720</v>
      </c>
      <c r="V178" s="17" t="s">
        <v>2763</v>
      </c>
      <c r="W178" s="17" t="s">
        <v>2764</v>
      </c>
      <c r="X178" s="70">
        <v>46044.5</v>
      </c>
      <c r="Y178" s="17"/>
      <c r="Z178" s="17">
        <v>0.5</v>
      </c>
      <c r="AA178" s="17"/>
      <c r="AB178" s="17" t="s">
        <v>1724</v>
      </c>
      <c r="AC178" s="20" t="s">
        <v>2765</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2766</v>
      </c>
      <c r="H179" s="17" t="s">
        <v>1941</v>
      </c>
      <c r="I179" s="17"/>
      <c r="J179" s="17"/>
      <c r="K179" s="17"/>
      <c r="L179" s="17"/>
      <c r="M179" s="18"/>
      <c r="N179" s="17"/>
      <c r="O179" s="18"/>
      <c r="P179" s="19"/>
      <c r="Q179" s="17" t="s">
        <v>2767</v>
      </c>
      <c r="R179" s="17" t="s">
        <v>1719</v>
      </c>
      <c r="S179" s="17" t="s">
        <v>52</v>
      </c>
      <c r="T179" s="17">
        <v>1</v>
      </c>
      <c r="U179" s="17" t="s">
        <v>1720</v>
      </c>
      <c r="V179" s="17" t="s">
        <v>2768</v>
      </c>
      <c r="W179" s="17" t="s">
        <v>2769</v>
      </c>
      <c r="X179" s="70">
        <v>46044.529166666667</v>
      </c>
      <c r="Y179" s="17"/>
      <c r="Z179" s="17">
        <v>0.7</v>
      </c>
      <c r="AA179" s="17"/>
      <c r="AB179" s="17" t="s">
        <v>1724</v>
      </c>
      <c r="AC179" s="20" t="s">
        <v>2770</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2771</v>
      </c>
      <c r="H180" s="17" t="s">
        <v>1941</v>
      </c>
      <c r="I180" s="17"/>
      <c r="J180" s="17"/>
      <c r="K180" s="17"/>
      <c r="L180" s="17"/>
      <c r="M180" s="18"/>
      <c r="N180" s="17"/>
      <c r="O180" s="18"/>
      <c r="P180" s="19"/>
      <c r="Q180" s="17" t="s">
        <v>2772</v>
      </c>
      <c r="R180" s="17" t="s">
        <v>1719</v>
      </c>
      <c r="S180" s="17" t="s">
        <v>52</v>
      </c>
      <c r="T180" s="17">
        <v>1</v>
      </c>
      <c r="U180" s="17" t="s">
        <v>1720</v>
      </c>
      <c r="V180" s="17" t="s">
        <v>2773</v>
      </c>
      <c r="W180" s="17" t="s">
        <v>2774</v>
      </c>
      <c r="X180" s="70">
        <v>46044.576388888891</v>
      </c>
      <c r="Y180" s="17"/>
      <c r="Z180" s="17">
        <v>0.3</v>
      </c>
      <c r="AA180" s="17"/>
      <c r="AB180" s="17" t="s">
        <v>1724</v>
      </c>
      <c r="AC180" s="20" t="s">
        <v>2775</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2728</v>
      </c>
      <c r="H181" s="17" t="s">
        <v>1759</v>
      </c>
      <c r="I181" s="17"/>
      <c r="J181" s="17"/>
      <c r="K181" s="17"/>
      <c r="L181" s="17"/>
      <c r="M181" s="18"/>
      <c r="N181" s="17"/>
      <c r="O181" s="18"/>
      <c r="P181" s="19"/>
      <c r="Q181" s="17" t="s">
        <v>2731</v>
      </c>
      <c r="R181" s="17" t="s">
        <v>1719</v>
      </c>
      <c r="S181" s="17" t="s">
        <v>566</v>
      </c>
      <c r="T181" s="17">
        <v>1</v>
      </c>
      <c r="U181" s="17" t="s">
        <v>1720</v>
      </c>
      <c r="V181" s="17" t="s">
        <v>2776</v>
      </c>
      <c r="W181" s="17" t="s">
        <v>2777</v>
      </c>
      <c r="X181" s="70">
        <v>46044.548611111109</v>
      </c>
      <c r="Y181" s="17"/>
      <c r="Z181" s="17">
        <v>0.3</v>
      </c>
      <c r="AA181" s="17"/>
      <c r="AB181" s="17" t="s">
        <v>1724</v>
      </c>
      <c r="AC181" s="20" t="s">
        <v>2778</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2779</v>
      </c>
      <c r="H182" s="17" t="s">
        <v>1941</v>
      </c>
      <c r="I182" s="17"/>
      <c r="J182" s="17"/>
      <c r="K182" s="17"/>
      <c r="L182" s="17"/>
      <c r="M182" s="18"/>
      <c r="N182" s="17"/>
      <c r="O182" s="18"/>
      <c r="P182" s="19"/>
      <c r="Q182" s="17" t="s">
        <v>2780</v>
      </c>
      <c r="R182" s="17" t="s">
        <v>1719</v>
      </c>
      <c r="S182" s="17" t="s">
        <v>52</v>
      </c>
      <c r="T182" s="17">
        <v>1</v>
      </c>
      <c r="U182" s="17" t="s">
        <v>1720</v>
      </c>
      <c r="V182" s="17" t="s">
        <v>2781</v>
      </c>
      <c r="W182" s="17" t="s">
        <v>2782</v>
      </c>
      <c r="X182" s="70">
        <v>46044.604166666657</v>
      </c>
      <c r="Y182" s="17"/>
      <c r="Z182" s="17">
        <v>0.3</v>
      </c>
      <c r="AA182" s="17"/>
      <c r="AB182" s="17" t="s">
        <v>1724</v>
      </c>
      <c r="AC182" s="20" t="s">
        <v>2783</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2719</v>
      </c>
      <c r="H183" s="17" t="s">
        <v>1759</v>
      </c>
      <c r="I183" s="17"/>
      <c r="J183" s="17"/>
      <c r="K183" s="17"/>
      <c r="L183" s="17"/>
      <c r="M183" s="18"/>
      <c r="N183" s="17"/>
      <c r="O183" s="18"/>
      <c r="P183" s="19"/>
      <c r="Q183" s="17" t="s">
        <v>2722</v>
      </c>
      <c r="R183" s="17" t="s">
        <v>1719</v>
      </c>
      <c r="S183" s="17" t="s">
        <v>566</v>
      </c>
      <c r="T183" s="17">
        <v>1</v>
      </c>
      <c r="U183" s="17" t="s">
        <v>1720</v>
      </c>
      <c r="V183" s="17" t="s">
        <v>2784</v>
      </c>
      <c r="W183" s="17" t="s">
        <v>2785</v>
      </c>
      <c r="X183" s="70">
        <v>46044.625694444447</v>
      </c>
      <c r="Y183" s="17"/>
      <c r="Z183" s="17">
        <v>0.4</v>
      </c>
      <c r="AA183" s="17"/>
      <c r="AB183" s="17" t="s">
        <v>1724</v>
      </c>
      <c r="AC183" s="20" t="s">
        <v>2786</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2787</v>
      </c>
      <c r="H184" s="17" t="s">
        <v>1941</v>
      </c>
      <c r="I184" s="17"/>
      <c r="J184" s="17"/>
      <c r="K184" s="17"/>
      <c r="L184" s="17"/>
      <c r="M184" s="18"/>
      <c r="N184" s="17"/>
      <c r="O184" s="18"/>
      <c r="P184" s="19"/>
      <c r="Q184" s="17" t="s">
        <v>2788</v>
      </c>
      <c r="R184" s="17" t="s">
        <v>1719</v>
      </c>
      <c r="S184" s="17" t="s">
        <v>52</v>
      </c>
      <c r="T184" s="17">
        <v>1</v>
      </c>
      <c r="U184" s="17" t="s">
        <v>1720</v>
      </c>
      <c r="V184" s="17" t="s">
        <v>2789</v>
      </c>
      <c r="W184" s="17" t="s">
        <v>2790</v>
      </c>
      <c r="X184" s="70">
        <v>46044.660416666673</v>
      </c>
      <c r="Y184" s="17"/>
      <c r="Z184" s="17">
        <v>0.4</v>
      </c>
      <c r="AA184" s="17"/>
      <c r="AB184" s="17" t="s">
        <v>1724</v>
      </c>
      <c r="AC184" s="20" t="s">
        <v>2791</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2792</v>
      </c>
      <c r="H185" s="17" t="s">
        <v>1941</v>
      </c>
      <c r="I185" s="17"/>
      <c r="J185" s="17"/>
      <c r="K185" s="17"/>
      <c r="L185" s="17"/>
      <c r="M185" s="18"/>
      <c r="N185" s="17"/>
      <c r="O185" s="18"/>
      <c r="P185" s="19"/>
      <c r="Q185" s="17" t="s">
        <v>2793</v>
      </c>
      <c r="R185" s="17" t="s">
        <v>1719</v>
      </c>
      <c r="S185" s="17" t="s">
        <v>52</v>
      </c>
      <c r="T185" s="17">
        <v>1</v>
      </c>
      <c r="U185" s="17" t="s">
        <v>1720</v>
      </c>
      <c r="V185" s="17" t="s">
        <v>2794</v>
      </c>
      <c r="W185" s="17" t="s">
        <v>2785</v>
      </c>
      <c r="X185" s="70">
        <v>46044.625</v>
      </c>
      <c r="Y185" s="17"/>
      <c r="Z185" s="17">
        <v>0.3</v>
      </c>
      <c r="AA185" s="17"/>
      <c r="AB185" s="17" t="s">
        <v>1724</v>
      </c>
      <c r="AC185" s="20" t="s">
        <v>1756</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2743</v>
      </c>
      <c r="H186" s="17" t="s">
        <v>1759</v>
      </c>
      <c r="I186" s="17"/>
      <c r="J186" s="17"/>
      <c r="K186" s="17"/>
      <c r="L186" s="17"/>
      <c r="M186" s="18"/>
      <c r="N186" s="17"/>
      <c r="O186" s="18"/>
      <c r="P186" s="19"/>
      <c r="Q186" s="17" t="s">
        <v>2746</v>
      </c>
      <c r="R186" s="17" t="s">
        <v>1719</v>
      </c>
      <c r="S186" s="17" t="s">
        <v>566</v>
      </c>
      <c r="T186" s="17">
        <v>1</v>
      </c>
      <c r="U186" s="17" t="s">
        <v>1720</v>
      </c>
      <c r="V186" s="17" t="s">
        <v>2795</v>
      </c>
      <c r="W186" s="17" t="s">
        <v>2796</v>
      </c>
      <c r="X186" s="70">
        <v>46044.651388888888</v>
      </c>
      <c r="Y186" s="17"/>
      <c r="Z186" s="17">
        <v>0.3</v>
      </c>
      <c r="AA186" s="17"/>
      <c r="AB186" s="17" t="s">
        <v>1724</v>
      </c>
      <c r="AC186" s="20" t="s">
        <v>2797</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2798</v>
      </c>
      <c r="H187" s="17" t="s">
        <v>1941</v>
      </c>
      <c r="I187" s="17"/>
      <c r="J187" s="17"/>
      <c r="K187" s="17"/>
      <c r="L187" s="17"/>
      <c r="M187" s="18"/>
      <c r="N187" s="17"/>
      <c r="O187" s="18"/>
      <c r="P187" s="19"/>
      <c r="Q187" s="17" t="s">
        <v>2799</v>
      </c>
      <c r="R187" s="17" t="s">
        <v>1719</v>
      </c>
      <c r="S187" s="17" t="s">
        <v>52</v>
      </c>
      <c r="T187" s="17">
        <v>1</v>
      </c>
      <c r="U187" s="17" t="s">
        <v>1720</v>
      </c>
      <c r="V187" s="17" t="s">
        <v>2800</v>
      </c>
      <c r="W187" s="17" t="s">
        <v>2801</v>
      </c>
      <c r="X187" s="70">
        <v>46044.680555555547</v>
      </c>
      <c r="Y187" s="17"/>
      <c r="Z187" s="17">
        <v>0.3</v>
      </c>
      <c r="AA187" s="17"/>
      <c r="AB187" s="17" t="s">
        <v>1724</v>
      </c>
      <c r="AC187" s="20" t="s">
        <v>2802</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2686</v>
      </c>
      <c r="H188" s="17" t="s">
        <v>1759</v>
      </c>
      <c r="I188" s="17"/>
      <c r="J188" s="17"/>
      <c r="K188" s="17"/>
      <c r="L188" s="17"/>
      <c r="M188" s="18"/>
      <c r="N188" s="17"/>
      <c r="O188" s="18"/>
      <c r="P188" s="19"/>
      <c r="Q188" s="17" t="s">
        <v>2687</v>
      </c>
      <c r="R188" s="17" t="s">
        <v>1719</v>
      </c>
      <c r="S188" s="17" t="s">
        <v>566</v>
      </c>
      <c r="T188" s="17">
        <v>1</v>
      </c>
      <c r="U188" s="17" t="s">
        <v>1720</v>
      </c>
      <c r="V188" s="17" t="s">
        <v>2803</v>
      </c>
      <c r="W188" s="17" t="s">
        <v>2801</v>
      </c>
      <c r="X188" s="70">
        <v>46044.677083333343</v>
      </c>
      <c r="Y188" s="17"/>
      <c r="Z188" s="17">
        <v>0.3</v>
      </c>
      <c r="AA188" s="17"/>
      <c r="AB188" s="17" t="s">
        <v>1724</v>
      </c>
      <c r="AC188" s="20" t="s">
        <v>2804</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2805</v>
      </c>
      <c r="H189" s="17" t="s">
        <v>1742</v>
      </c>
      <c r="I189" s="17"/>
      <c r="J189" s="17"/>
      <c r="K189" s="17"/>
      <c r="L189" s="17"/>
      <c r="M189" s="18"/>
      <c r="N189" s="17"/>
      <c r="O189" s="18"/>
      <c r="P189" s="19"/>
      <c r="Q189" s="17" t="s">
        <v>2806</v>
      </c>
      <c r="R189" s="17" t="s">
        <v>1719</v>
      </c>
      <c r="S189" s="17" t="s">
        <v>206</v>
      </c>
      <c r="T189" s="17">
        <v>1</v>
      </c>
      <c r="U189" s="17" t="s">
        <v>1720</v>
      </c>
      <c r="V189" s="17" t="s">
        <v>2807</v>
      </c>
      <c r="W189" s="17" t="s">
        <v>2808</v>
      </c>
      <c r="X189" s="70">
        <v>46045.479166666657</v>
      </c>
      <c r="Y189" s="17"/>
      <c r="Z189" s="17">
        <v>0.5</v>
      </c>
      <c r="AA189" s="17"/>
      <c r="AB189" s="17" t="s">
        <v>1724</v>
      </c>
      <c r="AC189" s="20" t="s">
        <v>2499</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2809</v>
      </c>
      <c r="E190" s="17" t="s">
        <v>1727</v>
      </c>
      <c r="F190" s="17">
        <v>2062</v>
      </c>
      <c r="G190" s="17" t="s">
        <v>2810</v>
      </c>
      <c r="H190" s="17" t="s">
        <v>1786</v>
      </c>
      <c r="I190" s="17" t="s">
        <v>2811</v>
      </c>
      <c r="J190" s="17" t="s">
        <v>1712</v>
      </c>
      <c r="K190" s="17" t="s">
        <v>1744</v>
      </c>
      <c r="L190" s="17" t="s">
        <v>1789</v>
      </c>
      <c r="M190" s="18" t="s">
        <v>1790</v>
      </c>
      <c r="N190" s="17" t="s">
        <v>2812</v>
      </c>
      <c r="O190" s="18" t="s">
        <v>2813</v>
      </c>
      <c r="P190" s="19" t="s">
        <v>2814</v>
      </c>
      <c r="Q190" s="17" t="s">
        <v>2815</v>
      </c>
      <c r="R190" s="17" t="s">
        <v>1719</v>
      </c>
      <c r="S190" s="17" t="s">
        <v>566</v>
      </c>
      <c r="T190" s="17">
        <v>1</v>
      </c>
      <c r="U190" s="17" t="s">
        <v>1720</v>
      </c>
      <c r="V190" s="17" t="s">
        <v>2816</v>
      </c>
      <c r="W190" s="17" t="s">
        <v>2817</v>
      </c>
      <c r="X190" s="70">
        <v>46045.673611111109</v>
      </c>
      <c r="Y190" s="17" t="s">
        <v>2818</v>
      </c>
      <c r="Z190" s="17">
        <v>0.3</v>
      </c>
      <c r="AA190" s="17"/>
      <c r="AB190" s="17" t="s">
        <v>1724</v>
      </c>
      <c r="AC190" s="20" t="s">
        <v>2819</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2820</v>
      </c>
      <c r="E191" s="17" t="s">
        <v>1727</v>
      </c>
      <c r="F191" s="17">
        <v>4125</v>
      </c>
      <c r="G191" s="17" t="s">
        <v>2821</v>
      </c>
      <c r="H191" s="17" t="s">
        <v>1897</v>
      </c>
      <c r="I191" s="17" t="s">
        <v>2822</v>
      </c>
      <c r="J191" s="17" t="s">
        <v>1788</v>
      </c>
      <c r="K191" s="17" t="s">
        <v>1744</v>
      </c>
      <c r="L191" s="17" t="s">
        <v>1714</v>
      </c>
      <c r="M191" s="18" t="s">
        <v>1715</v>
      </c>
      <c r="N191" s="17">
        <v>2308</v>
      </c>
      <c r="O191" s="18" t="s">
        <v>1932</v>
      </c>
      <c r="P191" s="19" t="s">
        <v>2823</v>
      </c>
      <c r="Q191" s="17" t="s">
        <v>2824</v>
      </c>
      <c r="R191" s="17" t="s">
        <v>1719</v>
      </c>
      <c r="S191" s="17" t="s">
        <v>206</v>
      </c>
      <c r="T191" s="17">
        <v>1</v>
      </c>
      <c r="U191" s="17" t="s">
        <v>1720</v>
      </c>
      <c r="V191" s="17" t="s">
        <v>2825</v>
      </c>
      <c r="W191" s="17" t="s">
        <v>2826</v>
      </c>
      <c r="X191" s="70">
        <v>46045.6875</v>
      </c>
      <c r="Y191" s="17" t="s">
        <v>2827</v>
      </c>
      <c r="Z191" s="17">
        <v>0.5</v>
      </c>
      <c r="AA191" s="17"/>
      <c r="AB191" s="17" t="s">
        <v>1724</v>
      </c>
      <c r="AC191" s="20" t="s">
        <v>2828</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2829</v>
      </c>
      <c r="E192" s="17" t="s">
        <v>1727</v>
      </c>
      <c r="F192" s="17">
        <v>4701</v>
      </c>
      <c r="G192" s="17" t="s">
        <v>2830</v>
      </c>
      <c r="H192" s="17" t="s">
        <v>1742</v>
      </c>
      <c r="I192" s="17" t="s">
        <v>2831</v>
      </c>
      <c r="J192" s="17" t="s">
        <v>1788</v>
      </c>
      <c r="K192" s="17" t="s">
        <v>1744</v>
      </c>
      <c r="L192" s="17" t="s">
        <v>1900</v>
      </c>
      <c r="M192" s="18" t="s">
        <v>1901</v>
      </c>
      <c r="N192" s="17">
        <v>6001</v>
      </c>
      <c r="O192" s="18" t="s">
        <v>2595</v>
      </c>
      <c r="P192" s="19" t="s">
        <v>2832</v>
      </c>
      <c r="Q192" s="17" t="s">
        <v>2833</v>
      </c>
      <c r="R192" s="17" t="s">
        <v>1719</v>
      </c>
      <c r="S192" s="17" t="s">
        <v>206</v>
      </c>
      <c r="T192" s="17">
        <v>1</v>
      </c>
      <c r="U192" s="17" t="s">
        <v>1720</v>
      </c>
      <c r="V192" s="17" t="s">
        <v>2834</v>
      </c>
      <c r="W192" s="17" t="s">
        <v>2835</v>
      </c>
      <c r="X192" s="70">
        <v>46045.722222222219</v>
      </c>
      <c r="Y192" s="17" t="s">
        <v>2836</v>
      </c>
      <c r="Z192" s="17">
        <v>0.3</v>
      </c>
      <c r="AA192" s="17"/>
      <c r="AB192" s="17" t="s">
        <v>1724</v>
      </c>
      <c r="AC192" s="20" t="s">
        <v>2837</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2810</v>
      </c>
      <c r="H193" s="17" t="s">
        <v>1786</v>
      </c>
      <c r="I193" s="17"/>
      <c r="J193" s="17"/>
      <c r="K193" s="17"/>
      <c r="L193" s="17"/>
      <c r="M193" s="18"/>
      <c r="N193" s="17"/>
      <c r="O193" s="18"/>
      <c r="P193" s="19"/>
      <c r="Q193" s="17" t="s">
        <v>2815</v>
      </c>
      <c r="R193" s="17" t="s">
        <v>1719</v>
      </c>
      <c r="S193" s="17" t="s">
        <v>566</v>
      </c>
      <c r="T193" s="17">
        <v>1</v>
      </c>
      <c r="U193" s="17" t="s">
        <v>1720</v>
      </c>
      <c r="V193" s="17" t="s">
        <v>2838</v>
      </c>
      <c r="W193" s="17" t="s">
        <v>2839</v>
      </c>
      <c r="X193" s="70">
        <v>46045.684027777781</v>
      </c>
      <c r="Y193" s="17"/>
      <c r="Z193" s="17">
        <v>0.3</v>
      </c>
      <c r="AA193" s="17"/>
      <c r="AB193" s="17" t="s">
        <v>1724</v>
      </c>
      <c r="AC193" s="20" t="s">
        <v>2840</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2810</v>
      </c>
      <c r="H194" s="17" t="s">
        <v>1786</v>
      </c>
      <c r="I194" s="17"/>
      <c r="J194" s="17"/>
      <c r="K194" s="17"/>
      <c r="L194" s="17"/>
      <c r="M194" s="18"/>
      <c r="N194" s="17"/>
      <c r="O194" s="18"/>
      <c r="P194" s="19"/>
      <c r="Q194" s="17" t="s">
        <v>2815</v>
      </c>
      <c r="R194" s="17" t="s">
        <v>1719</v>
      </c>
      <c r="S194" s="17" t="s">
        <v>566</v>
      </c>
      <c r="T194" s="17">
        <v>1</v>
      </c>
      <c r="U194" s="17" t="s">
        <v>1720</v>
      </c>
      <c r="V194" s="17" t="s">
        <v>2841</v>
      </c>
      <c r="W194" s="17" t="s">
        <v>2839</v>
      </c>
      <c r="X194" s="70">
        <v>46045.684027777781</v>
      </c>
      <c r="Y194" s="17"/>
      <c r="Z194" s="17">
        <v>0.3</v>
      </c>
      <c r="AA194" s="17"/>
      <c r="AB194" s="17" t="s">
        <v>1724</v>
      </c>
      <c r="AC194" s="20" t="s">
        <v>2840</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2821</v>
      </c>
      <c r="H195" s="17" t="s">
        <v>1897</v>
      </c>
      <c r="I195" s="17"/>
      <c r="J195" s="17"/>
      <c r="K195" s="17"/>
      <c r="L195" s="17"/>
      <c r="M195" s="18"/>
      <c r="N195" s="17"/>
      <c r="O195" s="18"/>
      <c r="P195" s="19"/>
      <c r="Q195" s="17" t="s">
        <v>2824</v>
      </c>
      <c r="R195" s="17" t="s">
        <v>1719</v>
      </c>
      <c r="S195" s="17" t="s">
        <v>206</v>
      </c>
      <c r="T195" s="17">
        <v>1</v>
      </c>
      <c r="U195" s="17" t="s">
        <v>1720</v>
      </c>
      <c r="V195" s="17" t="s">
        <v>2842</v>
      </c>
      <c r="W195" s="17" t="s">
        <v>2843</v>
      </c>
      <c r="X195" s="70">
        <v>46045.701388888891</v>
      </c>
      <c r="Y195" s="17"/>
      <c r="Z195" s="17">
        <v>0.3</v>
      </c>
      <c r="AA195" s="17"/>
      <c r="AB195" s="17" t="s">
        <v>1724</v>
      </c>
      <c r="AC195" s="20" t="s">
        <v>2844</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2845</v>
      </c>
      <c r="E196" s="17" t="s">
        <v>1727</v>
      </c>
      <c r="F196" s="17" t="s">
        <v>2846</v>
      </c>
      <c r="G196" s="17" t="s">
        <v>2847</v>
      </c>
      <c r="H196" s="17" t="s">
        <v>1786</v>
      </c>
      <c r="I196" s="17" t="s">
        <v>2848</v>
      </c>
      <c r="J196" s="17" t="s">
        <v>1788</v>
      </c>
      <c r="K196" s="17" t="s">
        <v>1744</v>
      </c>
      <c r="L196" s="17" t="s">
        <v>1850</v>
      </c>
      <c r="M196" s="18" t="s">
        <v>1851</v>
      </c>
      <c r="N196" s="17">
        <v>5902</v>
      </c>
      <c r="O196" s="18" t="s">
        <v>2849</v>
      </c>
      <c r="P196" s="19" t="s">
        <v>2850</v>
      </c>
      <c r="Q196" s="17" t="s">
        <v>2851</v>
      </c>
      <c r="R196" s="17" t="s">
        <v>1719</v>
      </c>
      <c r="S196" s="17" t="s">
        <v>566</v>
      </c>
      <c r="T196" s="17">
        <v>1</v>
      </c>
      <c r="U196" s="17" t="s">
        <v>1720</v>
      </c>
      <c r="V196" s="17" t="s">
        <v>2852</v>
      </c>
      <c r="W196" s="17" t="s">
        <v>2853</v>
      </c>
      <c r="X196" s="70">
        <v>46045.731249999997</v>
      </c>
      <c r="Y196" s="17" t="s">
        <v>2854</v>
      </c>
      <c r="Z196" s="17">
        <v>0.2</v>
      </c>
      <c r="AA196" s="17"/>
      <c r="AB196" s="17" t="s">
        <v>1724</v>
      </c>
      <c r="AC196" s="20" t="s">
        <v>2855</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2830</v>
      </c>
      <c r="H197" s="17" t="s">
        <v>1742</v>
      </c>
      <c r="I197" s="17"/>
      <c r="J197" s="17"/>
      <c r="K197" s="17"/>
      <c r="L197" s="17"/>
      <c r="M197" s="18"/>
      <c r="N197" s="17"/>
      <c r="O197" s="18"/>
      <c r="P197" s="19"/>
      <c r="Q197" s="17" t="s">
        <v>2833</v>
      </c>
      <c r="R197" s="17" t="s">
        <v>1719</v>
      </c>
      <c r="S197" s="17" t="s">
        <v>206</v>
      </c>
      <c r="T197" s="17">
        <v>1</v>
      </c>
      <c r="U197" s="17" t="s">
        <v>1720</v>
      </c>
      <c r="V197" s="17" t="s">
        <v>2856</v>
      </c>
      <c r="W197" s="17" t="s">
        <v>2853</v>
      </c>
      <c r="X197" s="70">
        <v>46045.736111111109</v>
      </c>
      <c r="Y197" s="17"/>
      <c r="Z197" s="17">
        <v>0.3</v>
      </c>
      <c r="AA197" s="17"/>
      <c r="AB197" s="17" t="s">
        <v>1724</v>
      </c>
      <c r="AC197" s="20" t="s">
        <v>2857</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2846</v>
      </c>
      <c r="G198" s="17" t="s">
        <v>2847</v>
      </c>
      <c r="H198" s="17" t="s">
        <v>1786</v>
      </c>
      <c r="I198" s="17"/>
      <c r="J198" s="17"/>
      <c r="K198" s="17"/>
      <c r="L198" s="17"/>
      <c r="M198" s="18"/>
      <c r="N198" s="17"/>
      <c r="O198" s="18"/>
      <c r="P198" s="19"/>
      <c r="Q198" s="17" t="s">
        <v>2851</v>
      </c>
      <c r="R198" s="17" t="s">
        <v>1719</v>
      </c>
      <c r="S198" s="17" t="s">
        <v>566</v>
      </c>
      <c r="T198" s="17">
        <v>1</v>
      </c>
      <c r="U198" s="17" t="s">
        <v>1720</v>
      </c>
      <c r="V198" s="17" t="s">
        <v>2858</v>
      </c>
      <c r="W198" s="17" t="s">
        <v>2835</v>
      </c>
      <c r="X198" s="70">
        <v>46045.722222222219</v>
      </c>
      <c r="Y198" s="17"/>
      <c r="Z198" s="17">
        <v>0.3</v>
      </c>
      <c r="AA198" s="17"/>
      <c r="AB198" s="17" t="s">
        <v>1724</v>
      </c>
      <c r="AC198" s="20" t="s">
        <v>2859</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2860</v>
      </c>
      <c r="E199" s="17" t="s">
        <v>1708</v>
      </c>
      <c r="F199" s="17">
        <v>3569</v>
      </c>
      <c r="G199" s="17" t="s">
        <v>2861</v>
      </c>
      <c r="H199" s="17" t="s">
        <v>1786</v>
      </c>
      <c r="I199" s="17" t="s">
        <v>2862</v>
      </c>
      <c r="J199" s="17" t="s">
        <v>1862</v>
      </c>
      <c r="K199" s="17" t="s">
        <v>1713</v>
      </c>
      <c r="L199" s="17" t="s">
        <v>1789</v>
      </c>
      <c r="M199" s="18" t="s">
        <v>1790</v>
      </c>
      <c r="N199" s="17" t="s">
        <v>2863</v>
      </c>
      <c r="O199" s="18" t="s">
        <v>2864</v>
      </c>
      <c r="P199" s="19" t="s">
        <v>2865</v>
      </c>
      <c r="Q199" s="17" t="s">
        <v>2866</v>
      </c>
      <c r="R199" s="17" t="s">
        <v>1719</v>
      </c>
      <c r="S199" s="17" t="s">
        <v>566</v>
      </c>
      <c r="T199" s="17">
        <v>1</v>
      </c>
      <c r="U199" s="17" t="s">
        <v>1720</v>
      </c>
      <c r="V199" s="17" t="s">
        <v>2867</v>
      </c>
      <c r="W199" s="17" t="s">
        <v>2868</v>
      </c>
      <c r="X199" s="70">
        <v>46046.477777777778</v>
      </c>
      <c r="Y199" s="17" t="s">
        <v>2869</v>
      </c>
      <c r="Z199" s="17">
        <v>0.3</v>
      </c>
      <c r="AA199" s="17"/>
      <c r="AB199" s="17" t="s">
        <v>1724</v>
      </c>
      <c r="AC199" s="20" t="s">
        <v>2870</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2861</v>
      </c>
      <c r="H200" s="17" t="s">
        <v>1786</v>
      </c>
      <c r="I200" s="17"/>
      <c r="J200" s="17"/>
      <c r="K200" s="17"/>
      <c r="L200" s="17"/>
      <c r="M200" s="18"/>
      <c r="N200" s="17"/>
      <c r="O200" s="18"/>
      <c r="P200" s="19"/>
      <c r="Q200" s="17" t="s">
        <v>2866</v>
      </c>
      <c r="R200" s="17" t="s">
        <v>1719</v>
      </c>
      <c r="S200" s="17" t="s">
        <v>566</v>
      </c>
      <c r="T200" s="17">
        <v>1</v>
      </c>
      <c r="U200" s="17" t="s">
        <v>1720</v>
      </c>
      <c r="V200" s="17" t="s">
        <v>2871</v>
      </c>
      <c r="W200" s="17" t="s">
        <v>2872</v>
      </c>
      <c r="X200" s="70">
        <v>46046.475694444453</v>
      </c>
      <c r="Y200" s="17"/>
      <c r="Z200" s="17">
        <v>0.3</v>
      </c>
      <c r="AA200" s="17"/>
      <c r="AB200" s="17" t="s">
        <v>1724</v>
      </c>
      <c r="AC200" s="20" t="s">
        <v>2873</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2874</v>
      </c>
      <c r="E201" s="17" t="s">
        <v>1708</v>
      </c>
      <c r="F201" s="17">
        <v>4208</v>
      </c>
      <c r="G201" s="17" t="s">
        <v>2875</v>
      </c>
      <c r="H201" s="17" t="s">
        <v>1742</v>
      </c>
      <c r="I201" s="17" t="s">
        <v>2876</v>
      </c>
      <c r="J201" s="17" t="s">
        <v>1862</v>
      </c>
      <c r="K201" s="17" t="s">
        <v>1713</v>
      </c>
      <c r="L201" s="17" t="s">
        <v>1930</v>
      </c>
      <c r="M201" s="18" t="s">
        <v>1931</v>
      </c>
      <c r="N201" s="17">
        <v>2405</v>
      </c>
      <c r="O201" s="18" t="s">
        <v>1932</v>
      </c>
      <c r="P201" s="19" t="s">
        <v>2877</v>
      </c>
      <c r="Q201" s="17" t="s">
        <v>2878</v>
      </c>
      <c r="R201" s="17" t="s">
        <v>1719</v>
      </c>
      <c r="S201" s="17" t="s">
        <v>206</v>
      </c>
      <c r="T201" s="17">
        <v>1</v>
      </c>
      <c r="U201" s="17" t="s">
        <v>1720</v>
      </c>
      <c r="V201" s="17" t="s">
        <v>2879</v>
      </c>
      <c r="W201" s="17" t="s">
        <v>2880</v>
      </c>
      <c r="X201" s="70">
        <v>46046.659722222219</v>
      </c>
      <c r="Y201" s="17" t="s">
        <v>2881</v>
      </c>
      <c r="Z201" s="17">
        <v>3.3</v>
      </c>
      <c r="AA201" s="17"/>
      <c r="AB201" s="17" t="s">
        <v>1724</v>
      </c>
      <c r="AC201" s="20" t="s">
        <v>2882</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2883</v>
      </c>
      <c r="E202" s="17" t="s">
        <v>1727</v>
      </c>
      <c r="F202" s="17">
        <v>4155</v>
      </c>
      <c r="G202" s="17" t="s">
        <v>2328</v>
      </c>
      <c r="H202" s="17" t="s">
        <v>1759</v>
      </c>
      <c r="I202" s="17" t="s">
        <v>2884</v>
      </c>
      <c r="J202" s="17" t="s">
        <v>1862</v>
      </c>
      <c r="K202" s="17" t="s">
        <v>1744</v>
      </c>
      <c r="L202" s="17" t="s">
        <v>1900</v>
      </c>
      <c r="M202" s="18" t="s">
        <v>1901</v>
      </c>
      <c r="N202" s="17">
        <v>6004</v>
      </c>
      <c r="O202" s="18" t="s">
        <v>1716</v>
      </c>
      <c r="P202" s="19" t="s">
        <v>2885</v>
      </c>
      <c r="Q202" s="17" t="s">
        <v>2331</v>
      </c>
      <c r="R202" s="17" t="s">
        <v>1719</v>
      </c>
      <c r="S202" s="17" t="s">
        <v>566</v>
      </c>
      <c r="T202" s="17">
        <v>1</v>
      </c>
      <c r="U202" s="17" t="s">
        <v>1720</v>
      </c>
      <c r="V202" s="17" t="s">
        <v>2886</v>
      </c>
      <c r="W202" s="17" t="s">
        <v>2887</v>
      </c>
      <c r="X202" s="70">
        <v>46048.705555555563</v>
      </c>
      <c r="Y202" s="17" t="s">
        <v>2888</v>
      </c>
      <c r="Z202" s="17">
        <v>0.2</v>
      </c>
      <c r="AA202" s="17"/>
      <c r="AB202" s="17" t="s">
        <v>1724</v>
      </c>
      <c r="AC202" s="20" t="s">
        <v>2889</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2890</v>
      </c>
      <c r="H203" s="17" t="s">
        <v>1759</v>
      </c>
      <c r="I203" s="17"/>
      <c r="J203" s="17"/>
      <c r="K203" s="17"/>
      <c r="L203" s="17"/>
      <c r="M203" s="18"/>
      <c r="N203" s="17"/>
      <c r="O203" s="18"/>
      <c r="P203" s="19"/>
      <c r="Q203" s="17" t="s">
        <v>2891</v>
      </c>
      <c r="R203" s="17" t="s">
        <v>1719</v>
      </c>
      <c r="S203" s="17" t="s">
        <v>52</v>
      </c>
      <c r="T203" s="17">
        <v>1</v>
      </c>
      <c r="U203" s="17" t="s">
        <v>1720</v>
      </c>
      <c r="V203" s="17" t="s">
        <v>2892</v>
      </c>
      <c r="W203" s="17" t="s">
        <v>2893</v>
      </c>
      <c r="X203" s="70">
        <v>46048.592361111107</v>
      </c>
      <c r="Y203" s="17"/>
      <c r="Z203" s="17">
        <v>3.2</v>
      </c>
      <c r="AA203" s="17"/>
      <c r="AB203" s="17" t="s">
        <v>1724</v>
      </c>
      <c r="AC203" s="20" t="s">
        <v>2894</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2890</v>
      </c>
      <c r="H204" s="17" t="s">
        <v>1759</v>
      </c>
      <c r="I204" s="17"/>
      <c r="J204" s="17"/>
      <c r="K204" s="17"/>
      <c r="L204" s="17"/>
      <c r="M204" s="18"/>
      <c r="N204" s="17"/>
      <c r="O204" s="18"/>
      <c r="P204" s="19"/>
      <c r="Q204" s="17" t="s">
        <v>2891</v>
      </c>
      <c r="R204" s="17" t="s">
        <v>1719</v>
      </c>
      <c r="S204" s="17" t="s">
        <v>566</v>
      </c>
      <c r="T204" s="17">
        <v>1</v>
      </c>
      <c r="U204" s="17" t="s">
        <v>1720</v>
      </c>
      <c r="V204" s="17" t="s">
        <v>2895</v>
      </c>
      <c r="W204" s="17" t="s">
        <v>2893</v>
      </c>
      <c r="X204" s="70">
        <v>46048.583333333343</v>
      </c>
      <c r="Y204" s="17"/>
      <c r="Z204" s="17">
        <v>3</v>
      </c>
      <c r="AA204" s="17"/>
      <c r="AB204" s="17"/>
      <c r="AC204" s="20" t="s">
        <v>2896</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2328</v>
      </c>
      <c r="H205" s="17" t="s">
        <v>1759</v>
      </c>
      <c r="I205" s="17"/>
      <c r="J205" s="17"/>
      <c r="K205" s="17"/>
      <c r="L205" s="17"/>
      <c r="M205" s="18"/>
      <c r="N205" s="17"/>
      <c r="O205" s="18"/>
      <c r="P205" s="19"/>
      <c r="Q205" s="17" t="s">
        <v>2331</v>
      </c>
      <c r="R205" s="17" t="s">
        <v>1719</v>
      </c>
      <c r="S205" s="17" t="s">
        <v>566</v>
      </c>
      <c r="T205" s="17">
        <v>1</v>
      </c>
      <c r="U205" s="17" t="s">
        <v>1720</v>
      </c>
      <c r="V205" s="17" t="s">
        <v>2897</v>
      </c>
      <c r="W205" s="17" t="s">
        <v>2898</v>
      </c>
      <c r="X205" s="70">
        <v>46048.704861111109</v>
      </c>
      <c r="Y205" s="17"/>
      <c r="Z205" s="17">
        <v>0.3</v>
      </c>
      <c r="AA205" s="17"/>
      <c r="AB205" s="17" t="s">
        <v>1724</v>
      </c>
      <c r="AC205" s="20" t="s">
        <v>2899</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2900</v>
      </c>
      <c r="E206" s="17" t="s">
        <v>1727</v>
      </c>
      <c r="F206" s="17">
        <v>3785</v>
      </c>
      <c r="G206" s="17" t="s">
        <v>1847</v>
      </c>
      <c r="H206" s="17" t="s">
        <v>1742</v>
      </c>
      <c r="I206" s="17" t="s">
        <v>2901</v>
      </c>
      <c r="J206" s="17" t="s">
        <v>1929</v>
      </c>
      <c r="K206" s="17" t="s">
        <v>1713</v>
      </c>
      <c r="L206" s="17" t="s">
        <v>1714</v>
      </c>
      <c r="M206" s="18" t="s">
        <v>1715</v>
      </c>
      <c r="N206" s="17">
        <v>2304</v>
      </c>
      <c r="O206" s="18" t="s">
        <v>2247</v>
      </c>
      <c r="P206" s="19" t="s">
        <v>2902</v>
      </c>
      <c r="Q206" s="17" t="s">
        <v>1854</v>
      </c>
      <c r="R206" s="17" t="s">
        <v>1719</v>
      </c>
      <c r="S206" s="17" t="s">
        <v>206</v>
      </c>
      <c r="T206" s="17">
        <v>1</v>
      </c>
      <c r="U206" s="17" t="s">
        <v>1720</v>
      </c>
      <c r="V206" s="17" t="s">
        <v>2903</v>
      </c>
      <c r="W206" s="17" t="s">
        <v>2904</v>
      </c>
      <c r="X206" s="70">
        <v>46049.416666666657</v>
      </c>
      <c r="Y206" s="17" t="s">
        <v>2905</v>
      </c>
      <c r="Z206" s="17">
        <v>1</v>
      </c>
      <c r="AA206" s="17"/>
      <c r="AB206" s="17" t="s">
        <v>1724</v>
      </c>
      <c r="AC206" s="20" t="s">
        <v>2906</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2907</v>
      </c>
      <c r="E207" s="17" t="s">
        <v>1727</v>
      </c>
      <c r="F207" s="17">
        <v>2201</v>
      </c>
      <c r="G207" s="17" t="s">
        <v>2274</v>
      </c>
      <c r="H207" s="17" t="s">
        <v>1771</v>
      </c>
      <c r="I207" s="17" t="s">
        <v>2908</v>
      </c>
      <c r="J207" s="17" t="s">
        <v>1929</v>
      </c>
      <c r="K207" s="17" t="s">
        <v>1713</v>
      </c>
      <c r="L207" s="17" t="s">
        <v>1910</v>
      </c>
      <c r="M207" s="18" t="s">
        <v>1911</v>
      </c>
      <c r="N207" s="17" t="s">
        <v>1912</v>
      </c>
      <c r="O207" s="18" t="s">
        <v>1913</v>
      </c>
      <c r="P207" s="19" t="s">
        <v>2909</v>
      </c>
      <c r="Q207" s="17" t="s">
        <v>2277</v>
      </c>
      <c r="R207" s="17" t="s">
        <v>1719</v>
      </c>
      <c r="S207" s="17" t="s">
        <v>52</v>
      </c>
      <c r="T207" s="17">
        <v>1</v>
      </c>
      <c r="U207" s="17" t="s">
        <v>2910</v>
      </c>
      <c r="V207" s="17" t="s">
        <v>2911</v>
      </c>
      <c r="W207" s="17" t="s">
        <v>2912</v>
      </c>
      <c r="X207" s="70">
        <v>46049.625</v>
      </c>
      <c r="Y207" s="17" t="s">
        <v>2913</v>
      </c>
      <c r="Z207" s="17">
        <v>0.5</v>
      </c>
      <c r="AA207" s="17"/>
      <c r="AB207" s="17" t="s">
        <v>1724</v>
      </c>
      <c r="AC207" s="20" t="s">
        <v>2914</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2915</v>
      </c>
      <c r="E208" s="17" t="s">
        <v>1708</v>
      </c>
      <c r="F208" s="17" t="s">
        <v>2916</v>
      </c>
      <c r="G208" s="17" t="s">
        <v>2917</v>
      </c>
      <c r="H208" s="17" t="s">
        <v>1771</v>
      </c>
      <c r="I208" s="17" t="s">
        <v>2918</v>
      </c>
      <c r="J208" s="17" t="s">
        <v>2033</v>
      </c>
      <c r="K208" s="17" t="s">
        <v>1713</v>
      </c>
      <c r="L208" s="17" t="s">
        <v>1930</v>
      </c>
      <c r="M208" s="18" t="s">
        <v>1931</v>
      </c>
      <c r="N208" s="17">
        <v>2405</v>
      </c>
      <c r="O208" s="18" t="s">
        <v>1932</v>
      </c>
      <c r="P208" s="19" t="s">
        <v>2919</v>
      </c>
      <c r="Q208" s="17" t="s">
        <v>2920</v>
      </c>
      <c r="R208" s="17" t="s">
        <v>1719</v>
      </c>
      <c r="S208" s="17" t="s">
        <v>52</v>
      </c>
      <c r="T208" s="17">
        <v>1</v>
      </c>
      <c r="U208" s="17" t="s">
        <v>1720</v>
      </c>
      <c r="V208" s="17" t="s">
        <v>2921</v>
      </c>
      <c r="W208" s="17" t="s">
        <v>2922</v>
      </c>
      <c r="X208" s="70">
        <v>46049.541666666657</v>
      </c>
      <c r="Y208" s="17" t="s">
        <v>2923</v>
      </c>
      <c r="Z208" s="17">
        <v>2</v>
      </c>
      <c r="AA208" s="17"/>
      <c r="AB208" s="17" t="s">
        <v>1724</v>
      </c>
      <c r="AC208" s="20" t="s">
        <v>2924</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2925</v>
      </c>
      <c r="E209" s="17" t="s">
        <v>1727</v>
      </c>
      <c r="F209" s="17">
        <v>4748</v>
      </c>
      <c r="G209" s="17" t="s">
        <v>2926</v>
      </c>
      <c r="H209" s="17" t="s">
        <v>1786</v>
      </c>
      <c r="I209" s="17" t="s">
        <v>2927</v>
      </c>
      <c r="J209" s="17" t="s">
        <v>2033</v>
      </c>
      <c r="K209" s="17" t="s">
        <v>1713</v>
      </c>
      <c r="L209" s="17" t="s">
        <v>1714</v>
      </c>
      <c r="M209" s="18" t="s">
        <v>1715</v>
      </c>
      <c r="N209" s="17">
        <v>2305</v>
      </c>
      <c r="O209" s="18" t="s">
        <v>2469</v>
      </c>
      <c r="P209" s="19" t="s">
        <v>2928</v>
      </c>
      <c r="Q209" s="17" t="s">
        <v>2929</v>
      </c>
      <c r="R209" s="17" t="s">
        <v>1719</v>
      </c>
      <c r="S209" s="17" t="s">
        <v>566</v>
      </c>
      <c r="T209" s="17">
        <v>1</v>
      </c>
      <c r="U209" s="17" t="s">
        <v>1720</v>
      </c>
      <c r="V209" s="17" t="s">
        <v>2930</v>
      </c>
      <c r="W209" s="17" t="s">
        <v>2931</v>
      </c>
      <c r="X209" s="70">
        <v>46049.645833333343</v>
      </c>
      <c r="Y209" s="17" t="s">
        <v>2932</v>
      </c>
      <c r="Z209" s="17">
        <v>0.2</v>
      </c>
      <c r="AA209" s="17"/>
      <c r="AB209" s="17" t="s">
        <v>1724</v>
      </c>
      <c r="AC209" s="20" t="s">
        <v>2933</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2916</v>
      </c>
      <c r="G210" s="17" t="s">
        <v>2917</v>
      </c>
      <c r="H210" s="17" t="s">
        <v>1771</v>
      </c>
      <c r="I210" s="17"/>
      <c r="J210" s="17"/>
      <c r="K210" s="17"/>
      <c r="L210" s="17"/>
      <c r="M210" s="18"/>
      <c r="N210" s="17"/>
      <c r="O210" s="18"/>
      <c r="P210" s="19"/>
      <c r="Q210" s="17" t="s">
        <v>2920</v>
      </c>
      <c r="R210" s="17" t="s">
        <v>1719</v>
      </c>
      <c r="S210" s="17" t="s">
        <v>52</v>
      </c>
      <c r="T210" s="17">
        <v>1</v>
      </c>
      <c r="U210" s="17" t="s">
        <v>1720</v>
      </c>
      <c r="V210" s="17" t="s">
        <v>2934</v>
      </c>
      <c r="W210" s="17" t="s">
        <v>2888</v>
      </c>
      <c r="X210" s="70">
        <v>46049.570138888892</v>
      </c>
      <c r="Y210" s="17"/>
      <c r="Z210" s="17">
        <v>0.7</v>
      </c>
      <c r="AA210" s="17"/>
      <c r="AB210" s="17" t="s">
        <v>1724</v>
      </c>
      <c r="AC210" s="20" t="s">
        <v>2935</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2926</v>
      </c>
      <c r="H211" s="17" t="s">
        <v>1786</v>
      </c>
      <c r="I211" s="17"/>
      <c r="J211" s="17"/>
      <c r="K211" s="17"/>
      <c r="L211" s="17"/>
      <c r="M211" s="18"/>
      <c r="N211" s="17"/>
      <c r="O211" s="18"/>
      <c r="P211" s="19"/>
      <c r="Q211" s="17" t="s">
        <v>2929</v>
      </c>
      <c r="R211" s="17" t="s">
        <v>1719</v>
      </c>
      <c r="S211" s="17" t="s">
        <v>566</v>
      </c>
      <c r="T211" s="17">
        <v>1</v>
      </c>
      <c r="U211" s="17" t="s">
        <v>1720</v>
      </c>
      <c r="V211" s="17" t="s">
        <v>2936</v>
      </c>
      <c r="W211" s="17" t="s">
        <v>2937</v>
      </c>
      <c r="X211" s="70">
        <v>46049.659722222219</v>
      </c>
      <c r="Y211" s="17"/>
      <c r="Z211" s="17">
        <v>0.3</v>
      </c>
      <c r="AA211" s="17"/>
      <c r="AB211" s="17" t="s">
        <v>1724</v>
      </c>
      <c r="AC211" s="20" t="s">
        <v>2938</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2939</v>
      </c>
      <c r="E212" s="17" t="s">
        <v>1727</v>
      </c>
      <c r="F212" s="17">
        <v>2201</v>
      </c>
      <c r="G212" s="17" t="s">
        <v>2274</v>
      </c>
      <c r="H212" s="17" t="s">
        <v>1771</v>
      </c>
      <c r="I212" s="17" t="s">
        <v>2940</v>
      </c>
      <c r="J212" s="17" t="s">
        <v>2033</v>
      </c>
      <c r="K212" s="17" t="s">
        <v>1744</v>
      </c>
      <c r="L212" s="17" t="s">
        <v>1910</v>
      </c>
      <c r="M212" s="18" t="s">
        <v>1911</v>
      </c>
      <c r="N212" s="17" t="s">
        <v>1912</v>
      </c>
      <c r="O212" s="18" t="s">
        <v>1913</v>
      </c>
      <c r="P212" s="19" t="s">
        <v>2941</v>
      </c>
      <c r="Q212" s="17" t="s">
        <v>2277</v>
      </c>
      <c r="R212" s="17" t="s">
        <v>1719</v>
      </c>
      <c r="S212" s="17" t="s">
        <v>52</v>
      </c>
      <c r="T212" s="17">
        <v>1</v>
      </c>
      <c r="U212" s="17" t="s">
        <v>1720</v>
      </c>
      <c r="V212" s="17" t="s">
        <v>2942</v>
      </c>
      <c r="W212" s="17" t="s">
        <v>2943</v>
      </c>
      <c r="X212" s="70">
        <v>46049.708333333343</v>
      </c>
      <c r="Y212" s="17" t="s">
        <v>2944</v>
      </c>
      <c r="Z212" s="17">
        <v>1</v>
      </c>
      <c r="AA212" s="17"/>
      <c r="AB212" s="17" t="s">
        <v>1724</v>
      </c>
      <c r="AC212" s="20" t="s">
        <v>2945</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2274</v>
      </c>
      <c r="H213" s="17" t="s">
        <v>1771</v>
      </c>
      <c r="I213" s="17"/>
      <c r="J213" s="17"/>
      <c r="K213" s="17"/>
      <c r="L213" s="17"/>
      <c r="M213" s="18"/>
      <c r="N213" s="17"/>
      <c r="O213" s="18"/>
      <c r="P213" s="19"/>
      <c r="Q213" s="17" t="s">
        <v>2277</v>
      </c>
      <c r="R213" s="17" t="s">
        <v>1719</v>
      </c>
      <c r="S213" s="17" t="s">
        <v>52</v>
      </c>
      <c r="T213" s="17">
        <v>1</v>
      </c>
      <c r="U213" s="17" t="s">
        <v>1720</v>
      </c>
      <c r="V213" s="17" t="s">
        <v>2946</v>
      </c>
      <c r="W213" s="17" t="s">
        <v>2947</v>
      </c>
      <c r="X213" s="70">
        <v>46049.729166666657</v>
      </c>
      <c r="Y213" s="17"/>
      <c r="Z213" s="17">
        <v>0.5</v>
      </c>
      <c r="AA213" s="17"/>
      <c r="AB213" s="17" t="s">
        <v>1724</v>
      </c>
      <c r="AC213" s="20" t="s">
        <v>2948</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2949</v>
      </c>
      <c r="E214" s="17" t="s">
        <v>1727</v>
      </c>
      <c r="F214" s="17" t="s">
        <v>2703</v>
      </c>
      <c r="G214" s="17" t="s">
        <v>2704</v>
      </c>
      <c r="H214" s="17" t="s">
        <v>1759</v>
      </c>
      <c r="I214" s="17" t="s">
        <v>2950</v>
      </c>
      <c r="J214" s="17" t="s">
        <v>2095</v>
      </c>
      <c r="K214" s="17" t="s">
        <v>1713</v>
      </c>
      <c r="L214" s="17" t="s">
        <v>1900</v>
      </c>
      <c r="M214" s="18" t="s">
        <v>1901</v>
      </c>
      <c r="N214" s="17">
        <v>6003</v>
      </c>
      <c r="O214" s="18" t="s">
        <v>1852</v>
      </c>
      <c r="P214" s="19" t="s">
        <v>2951</v>
      </c>
      <c r="Q214" s="17" t="s">
        <v>2707</v>
      </c>
      <c r="R214" s="17" t="s">
        <v>1719</v>
      </c>
      <c r="S214" s="17" t="s">
        <v>566</v>
      </c>
      <c r="T214" s="17">
        <v>1</v>
      </c>
      <c r="U214" s="17" t="s">
        <v>1720</v>
      </c>
      <c r="V214" s="17" t="s">
        <v>2952</v>
      </c>
      <c r="W214" s="17" t="s">
        <v>2953</v>
      </c>
      <c r="X214" s="70">
        <v>46050.558333333327</v>
      </c>
      <c r="Y214" s="17" t="s">
        <v>2954</v>
      </c>
      <c r="Z214" s="17">
        <v>0.4</v>
      </c>
      <c r="AA214" s="17"/>
      <c r="AB214" s="17" t="s">
        <v>1724</v>
      </c>
      <c r="AC214" s="20" t="s">
        <v>2955</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2956</v>
      </c>
      <c r="H215" s="17" t="s">
        <v>1742</v>
      </c>
      <c r="I215" s="17"/>
      <c r="J215" s="17"/>
      <c r="K215" s="17"/>
      <c r="L215" s="17"/>
      <c r="M215" s="18"/>
      <c r="N215" s="17"/>
      <c r="O215" s="18"/>
      <c r="P215" s="19"/>
      <c r="Q215" s="17" t="s">
        <v>2957</v>
      </c>
      <c r="R215" s="17" t="s">
        <v>1719</v>
      </c>
      <c r="S215" s="17" t="s">
        <v>206</v>
      </c>
      <c r="T215" s="17">
        <v>1</v>
      </c>
      <c r="U215" s="17" t="s">
        <v>1720</v>
      </c>
      <c r="V215" s="17" t="s">
        <v>2958</v>
      </c>
      <c r="W215" s="17" t="s">
        <v>2959</v>
      </c>
      <c r="X215" s="70">
        <v>46050.458333333343</v>
      </c>
      <c r="Y215" s="17"/>
      <c r="Z215" s="17">
        <v>0.5</v>
      </c>
      <c r="AA215" s="17"/>
      <c r="AB215" s="17" t="s">
        <v>1724</v>
      </c>
      <c r="AC215" s="20" t="s">
        <v>2960</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2961</v>
      </c>
      <c r="G216" s="17" t="s">
        <v>2962</v>
      </c>
      <c r="H216" s="17" t="s">
        <v>1742</v>
      </c>
      <c r="I216" s="17"/>
      <c r="J216" s="17"/>
      <c r="K216" s="17"/>
      <c r="L216" s="17"/>
      <c r="M216" s="18"/>
      <c r="N216" s="17"/>
      <c r="O216" s="18"/>
      <c r="P216" s="19"/>
      <c r="Q216" s="17" t="s">
        <v>2963</v>
      </c>
      <c r="R216" s="17" t="s">
        <v>1719</v>
      </c>
      <c r="S216" s="17" t="s">
        <v>206</v>
      </c>
      <c r="T216" s="17">
        <v>1</v>
      </c>
      <c r="U216" s="17" t="s">
        <v>1720</v>
      </c>
      <c r="V216" s="17" t="s">
        <v>2964</v>
      </c>
      <c r="W216" s="17" t="s">
        <v>2965</v>
      </c>
      <c r="X216" s="70">
        <v>46050.479166666657</v>
      </c>
      <c r="Y216" s="17"/>
      <c r="Z216" s="17">
        <v>0.3</v>
      </c>
      <c r="AA216" s="17"/>
      <c r="AB216" s="17" t="s">
        <v>1724</v>
      </c>
      <c r="AC216" s="20" t="s">
        <v>2123</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2966</v>
      </c>
      <c r="G217" s="17" t="s">
        <v>2967</v>
      </c>
      <c r="H217" s="17" t="s">
        <v>1786</v>
      </c>
      <c r="I217" s="17"/>
      <c r="J217" s="17"/>
      <c r="K217" s="17"/>
      <c r="L217" s="17"/>
      <c r="M217" s="18"/>
      <c r="N217" s="17"/>
      <c r="O217" s="18"/>
      <c r="P217" s="19"/>
      <c r="Q217" s="17" t="s">
        <v>2968</v>
      </c>
      <c r="R217" s="17" t="s">
        <v>1719</v>
      </c>
      <c r="S217" s="17" t="s">
        <v>566</v>
      </c>
      <c r="T217" s="17">
        <v>1</v>
      </c>
      <c r="U217" s="17" t="s">
        <v>1720</v>
      </c>
      <c r="V217" s="17" t="s">
        <v>2969</v>
      </c>
      <c r="W217" s="17" t="s">
        <v>2970</v>
      </c>
      <c r="X217" s="70">
        <v>46050.486111111109</v>
      </c>
      <c r="Y217" s="17"/>
      <c r="Z217" s="17">
        <v>0.4</v>
      </c>
      <c r="AA217" s="17"/>
      <c r="AB217" s="17" t="s">
        <v>1724</v>
      </c>
      <c r="AC217" s="20" t="s">
        <v>2971</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2972</v>
      </c>
      <c r="G218" s="17" t="s">
        <v>2973</v>
      </c>
      <c r="H218" s="17" t="s">
        <v>1786</v>
      </c>
      <c r="I218" s="17"/>
      <c r="J218" s="17"/>
      <c r="K218" s="17"/>
      <c r="L218" s="17"/>
      <c r="M218" s="18"/>
      <c r="N218" s="17"/>
      <c r="O218" s="18"/>
      <c r="P218" s="19"/>
      <c r="Q218" s="17" t="s">
        <v>2974</v>
      </c>
      <c r="R218" s="17" t="s">
        <v>1719</v>
      </c>
      <c r="S218" s="17" t="s">
        <v>566</v>
      </c>
      <c r="T218" s="17">
        <v>1</v>
      </c>
      <c r="U218" s="17" t="s">
        <v>1720</v>
      </c>
      <c r="V218" s="17" t="s">
        <v>2975</v>
      </c>
      <c r="W218" s="17" t="s">
        <v>2976</v>
      </c>
      <c r="X218" s="70">
        <v>46050.511111111111</v>
      </c>
      <c r="Y218" s="17"/>
      <c r="Z218" s="17">
        <v>0.4</v>
      </c>
      <c r="AA218" s="17"/>
      <c r="AB218" s="17" t="s">
        <v>1724</v>
      </c>
      <c r="AC218" s="20" t="s">
        <v>2123</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2977</v>
      </c>
      <c r="G219" s="17" t="s">
        <v>2978</v>
      </c>
      <c r="H219" s="17" t="s">
        <v>1759</v>
      </c>
      <c r="I219" s="17"/>
      <c r="J219" s="17"/>
      <c r="K219" s="17"/>
      <c r="L219" s="17"/>
      <c r="M219" s="18"/>
      <c r="N219" s="17"/>
      <c r="O219" s="18"/>
      <c r="P219" s="19"/>
      <c r="Q219" s="17" t="s">
        <v>2979</v>
      </c>
      <c r="R219" s="17" t="s">
        <v>1719</v>
      </c>
      <c r="S219" s="17" t="s">
        <v>566</v>
      </c>
      <c r="T219" s="17">
        <v>1</v>
      </c>
      <c r="U219" s="17" t="s">
        <v>1720</v>
      </c>
      <c r="V219" s="17" t="s">
        <v>2980</v>
      </c>
      <c r="W219" s="17" t="s">
        <v>2981</v>
      </c>
      <c r="X219" s="70">
        <v>46051.463888888888</v>
      </c>
      <c r="Y219" s="17"/>
      <c r="Z219" s="17">
        <v>0.4</v>
      </c>
      <c r="AA219" s="17"/>
      <c r="AB219" s="17" t="s">
        <v>1724</v>
      </c>
      <c r="AC219" s="20" t="s">
        <v>2982</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2983</v>
      </c>
      <c r="H220" s="17" t="s">
        <v>1759</v>
      </c>
      <c r="I220" s="17"/>
      <c r="J220" s="17"/>
      <c r="K220" s="17"/>
      <c r="L220" s="17"/>
      <c r="M220" s="18"/>
      <c r="N220" s="17"/>
      <c r="O220" s="18"/>
      <c r="P220" s="19"/>
      <c r="Q220" s="17" t="s">
        <v>2984</v>
      </c>
      <c r="R220" s="17" t="s">
        <v>1719</v>
      </c>
      <c r="S220" s="17" t="s">
        <v>566</v>
      </c>
      <c r="T220" s="17">
        <v>1</v>
      </c>
      <c r="U220" s="17" t="s">
        <v>1720</v>
      </c>
      <c r="V220" s="17" t="s">
        <v>2985</v>
      </c>
      <c r="W220" s="17" t="s">
        <v>2986</v>
      </c>
      <c r="X220" s="70">
        <v>46051.484027777777</v>
      </c>
      <c r="Y220" s="17"/>
      <c r="Z220" s="17">
        <v>0.4</v>
      </c>
      <c r="AA220" s="17"/>
      <c r="AB220" s="17" t="s">
        <v>1724</v>
      </c>
      <c r="AC220" s="20" t="s">
        <v>2987</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2988</v>
      </c>
      <c r="G221" s="17" t="s">
        <v>2989</v>
      </c>
      <c r="H221" s="17" t="s">
        <v>1759</v>
      </c>
      <c r="I221" s="17"/>
      <c r="J221" s="17"/>
      <c r="K221" s="17"/>
      <c r="L221" s="17"/>
      <c r="M221" s="18"/>
      <c r="N221" s="17"/>
      <c r="O221" s="18"/>
      <c r="P221" s="19"/>
      <c r="Q221" s="17" t="s">
        <v>2990</v>
      </c>
      <c r="R221" s="17" t="s">
        <v>1719</v>
      </c>
      <c r="S221" s="17" t="s">
        <v>566</v>
      </c>
      <c r="T221" s="17">
        <v>1</v>
      </c>
      <c r="U221" s="17" t="s">
        <v>1720</v>
      </c>
      <c r="V221" s="17" t="s">
        <v>2991</v>
      </c>
      <c r="W221" s="17" t="s">
        <v>2992</v>
      </c>
      <c r="X221" s="70">
        <v>46051.506249999999</v>
      </c>
      <c r="Y221" s="17"/>
      <c r="Z221" s="17">
        <v>0.4</v>
      </c>
      <c r="AA221" s="17"/>
      <c r="AB221" s="17" t="s">
        <v>1724</v>
      </c>
      <c r="AC221" s="20" t="s">
        <v>2993</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2994</v>
      </c>
      <c r="G222" s="17" t="s">
        <v>2995</v>
      </c>
      <c r="H222" s="17" t="s">
        <v>1742</v>
      </c>
      <c r="I222" s="17"/>
      <c r="J222" s="17"/>
      <c r="K222" s="17"/>
      <c r="L222" s="17"/>
      <c r="M222" s="18"/>
      <c r="N222" s="17"/>
      <c r="O222" s="18"/>
      <c r="P222" s="19"/>
      <c r="Q222" s="17" t="s">
        <v>2996</v>
      </c>
      <c r="R222" s="17" t="s">
        <v>1719</v>
      </c>
      <c r="S222" s="17" t="s">
        <v>206</v>
      </c>
      <c r="T222" s="17">
        <v>1</v>
      </c>
      <c r="U222" s="17" t="s">
        <v>1720</v>
      </c>
      <c r="V222" s="17" t="s">
        <v>2997</v>
      </c>
      <c r="W222" s="17" t="s">
        <v>2998</v>
      </c>
      <c r="X222" s="70">
        <v>46051.5625</v>
      </c>
      <c r="Y222" s="17"/>
      <c r="Z222" s="17">
        <v>0.5</v>
      </c>
      <c r="AA222" s="17"/>
      <c r="AB222" s="17" t="s">
        <v>1724</v>
      </c>
      <c r="AC222" s="20" t="s">
        <v>2123</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2999</v>
      </c>
      <c r="E223" s="17" t="s">
        <v>1727</v>
      </c>
      <c r="F223" s="17">
        <v>4715</v>
      </c>
      <c r="G223" s="17" t="s">
        <v>2142</v>
      </c>
      <c r="H223" s="17" t="s">
        <v>2127</v>
      </c>
      <c r="I223" s="17" t="s">
        <v>3000</v>
      </c>
      <c r="J223" s="17" t="s">
        <v>1712</v>
      </c>
      <c r="K223" s="17" t="s">
        <v>1713</v>
      </c>
      <c r="L223" s="17" t="s">
        <v>1850</v>
      </c>
      <c r="M223" s="18" t="s">
        <v>1851</v>
      </c>
      <c r="N223" s="17">
        <v>5901</v>
      </c>
      <c r="O223" s="18" t="s">
        <v>2595</v>
      </c>
      <c r="P223" s="19" t="s">
        <v>3001</v>
      </c>
      <c r="Q223" s="17" t="s">
        <v>2143</v>
      </c>
      <c r="R223" s="17" t="s">
        <v>1719</v>
      </c>
      <c r="S223" s="17" t="s">
        <v>52</v>
      </c>
      <c r="T223" s="17">
        <v>1</v>
      </c>
      <c r="U223" s="17" t="s">
        <v>1720</v>
      </c>
      <c r="V223" s="17" t="s">
        <v>3002</v>
      </c>
      <c r="W223" s="17" t="s">
        <v>3003</v>
      </c>
      <c r="X223" s="70">
        <v>46051.663194444453</v>
      </c>
      <c r="Y223" s="17" t="s">
        <v>3004</v>
      </c>
      <c r="Z223" s="17">
        <v>0.5</v>
      </c>
      <c r="AA223" s="17"/>
      <c r="AB223" s="17" t="s">
        <v>1724</v>
      </c>
      <c r="AC223" s="20" t="s">
        <v>3005</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3006</v>
      </c>
      <c r="H224" s="17" t="s">
        <v>1742</v>
      </c>
      <c r="I224" s="17"/>
      <c r="J224" s="17"/>
      <c r="K224" s="17"/>
      <c r="L224" s="17"/>
      <c r="M224" s="18"/>
      <c r="N224" s="17"/>
      <c r="O224" s="18"/>
      <c r="P224" s="19"/>
      <c r="Q224" s="17" t="s">
        <v>3007</v>
      </c>
      <c r="R224" s="17" t="s">
        <v>1719</v>
      </c>
      <c r="S224" s="17" t="s">
        <v>206</v>
      </c>
      <c r="T224" s="17">
        <v>1</v>
      </c>
      <c r="U224" s="17" t="s">
        <v>1720</v>
      </c>
      <c r="V224" s="17" t="s">
        <v>3008</v>
      </c>
      <c r="W224" s="17" t="s">
        <v>3009</v>
      </c>
      <c r="X224" s="70">
        <v>46051.583333333343</v>
      </c>
      <c r="Y224" s="17"/>
      <c r="Z224" s="17">
        <v>0.5</v>
      </c>
      <c r="AA224" s="17"/>
      <c r="AB224" s="17" t="s">
        <v>1724</v>
      </c>
      <c r="AC224" s="20" t="s">
        <v>3010</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3011</v>
      </c>
      <c r="H225" s="17" t="s">
        <v>1759</v>
      </c>
      <c r="I225" s="17"/>
      <c r="J225" s="17"/>
      <c r="K225" s="17"/>
      <c r="L225" s="17"/>
      <c r="M225" s="18"/>
      <c r="N225" s="17"/>
      <c r="O225" s="18"/>
      <c r="P225" s="19"/>
      <c r="Q225" s="17" t="s">
        <v>3012</v>
      </c>
      <c r="R225" s="17" t="s">
        <v>1719</v>
      </c>
      <c r="S225" s="17" t="s">
        <v>566</v>
      </c>
      <c r="T225" s="17">
        <v>1</v>
      </c>
      <c r="U225" s="17" t="s">
        <v>1720</v>
      </c>
      <c r="V225" s="17" t="s">
        <v>3013</v>
      </c>
      <c r="W225" s="17" t="s">
        <v>3014</v>
      </c>
      <c r="X225" s="70">
        <v>46051.666666666657</v>
      </c>
      <c r="Y225" s="17"/>
      <c r="Z225" s="17">
        <v>0.3</v>
      </c>
      <c r="AA225" s="17"/>
      <c r="AB225" s="17" t="s">
        <v>1724</v>
      </c>
      <c r="AC225" s="20" t="s">
        <v>3015</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3016</v>
      </c>
      <c r="G226" s="17" t="s">
        <v>3017</v>
      </c>
      <c r="H226" s="17" t="s">
        <v>1759</v>
      </c>
      <c r="I226" s="17"/>
      <c r="J226" s="17"/>
      <c r="K226" s="17"/>
      <c r="L226" s="17"/>
      <c r="M226" s="18"/>
      <c r="N226" s="17"/>
      <c r="O226" s="18"/>
      <c r="P226" s="19"/>
      <c r="Q226" s="17" t="s">
        <v>3018</v>
      </c>
      <c r="R226" s="17" t="s">
        <v>1719</v>
      </c>
      <c r="S226" s="17" t="s">
        <v>566</v>
      </c>
      <c r="T226" s="17">
        <v>1</v>
      </c>
      <c r="U226" s="17" t="s">
        <v>1720</v>
      </c>
      <c r="V226" s="17" t="s">
        <v>3019</v>
      </c>
      <c r="W226" s="17" t="s">
        <v>3020</v>
      </c>
      <c r="X226" s="70">
        <v>46051.6875</v>
      </c>
      <c r="Y226" s="17"/>
      <c r="Z226" s="17">
        <v>0.3</v>
      </c>
      <c r="AA226" s="17"/>
      <c r="AB226" s="17" t="s">
        <v>1724</v>
      </c>
      <c r="AC226" s="20" t="s">
        <v>3021</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2571</v>
      </c>
      <c r="H227" s="17" t="s">
        <v>2572</v>
      </c>
      <c r="I227" s="17"/>
      <c r="J227" s="17"/>
      <c r="K227" s="17"/>
      <c r="L227" s="17"/>
      <c r="M227" s="18"/>
      <c r="N227" s="17"/>
      <c r="O227" s="18"/>
      <c r="P227" s="19"/>
      <c r="Q227" s="17" t="s">
        <v>2573</v>
      </c>
      <c r="R227" s="17" t="s">
        <v>1719</v>
      </c>
      <c r="S227" s="17" t="s">
        <v>52</v>
      </c>
      <c r="T227" s="17">
        <v>1</v>
      </c>
      <c r="U227" s="17" t="s">
        <v>1720</v>
      </c>
      <c r="V227" s="17" t="s">
        <v>3022</v>
      </c>
      <c r="W227" s="17" t="s">
        <v>3023</v>
      </c>
      <c r="X227" s="70">
        <v>46052.499305555553</v>
      </c>
      <c r="Y227" s="17"/>
      <c r="Z227" s="17">
        <v>1</v>
      </c>
      <c r="AA227" s="17"/>
      <c r="AB227" s="17" t="s">
        <v>1724</v>
      </c>
      <c r="AC227" s="20" t="s">
        <v>3024</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3025</v>
      </c>
      <c r="H228" s="17" t="s">
        <v>3026</v>
      </c>
      <c r="I228" s="17"/>
      <c r="J228" s="17"/>
      <c r="K228" s="17"/>
      <c r="L228" s="17"/>
      <c r="M228" s="18"/>
      <c r="N228" s="17"/>
      <c r="O228" s="18"/>
      <c r="P228" s="19"/>
      <c r="Q228" s="17" t="s">
        <v>3027</v>
      </c>
      <c r="R228" s="17" t="s">
        <v>1719</v>
      </c>
      <c r="S228" s="17" t="s">
        <v>566</v>
      </c>
      <c r="T228" s="17">
        <v>1</v>
      </c>
      <c r="U228" s="17" t="s">
        <v>1720</v>
      </c>
      <c r="V228" s="17" t="s">
        <v>3028</v>
      </c>
      <c r="W228" s="17" t="s">
        <v>3029</v>
      </c>
      <c r="X228" s="70">
        <v>45995.631944444453</v>
      </c>
      <c r="Y228" s="17"/>
      <c r="Z228" s="17">
        <v>0.3</v>
      </c>
      <c r="AA228" s="17"/>
      <c r="AB228" s="17" t="s">
        <v>1724</v>
      </c>
      <c r="AC228" s="20" t="s">
        <v>3030</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3031</v>
      </c>
      <c r="E229" s="17" t="s">
        <v>1727</v>
      </c>
      <c r="F229" s="17">
        <v>3883</v>
      </c>
      <c r="G229" s="17" t="s">
        <v>2031</v>
      </c>
      <c r="H229" s="17" t="s">
        <v>1786</v>
      </c>
      <c r="I229" s="17" t="s">
        <v>3032</v>
      </c>
      <c r="J229" s="17" t="s">
        <v>2095</v>
      </c>
      <c r="K229" s="17" t="s">
        <v>1744</v>
      </c>
      <c r="L229" s="17" t="s">
        <v>2505</v>
      </c>
      <c r="M229" s="18" t="s">
        <v>2506</v>
      </c>
      <c r="N229" s="17">
        <v>3404</v>
      </c>
      <c r="O229" s="18" t="s">
        <v>3033</v>
      </c>
      <c r="P229" s="19" t="s">
        <v>3034</v>
      </c>
      <c r="Q229" s="17" t="s">
        <v>2037</v>
      </c>
      <c r="R229" s="17" t="s">
        <v>1719</v>
      </c>
      <c r="S229" s="17" t="s">
        <v>566</v>
      </c>
      <c r="T229" s="17">
        <v>1</v>
      </c>
      <c r="U229" s="17" t="s">
        <v>1720</v>
      </c>
      <c r="V229" s="17" t="s">
        <v>3035</v>
      </c>
      <c r="W229" s="17" t="s">
        <v>3036</v>
      </c>
      <c r="X229" s="70">
        <v>46001.583333333343</v>
      </c>
      <c r="Y229" s="17" t="s">
        <v>3037</v>
      </c>
      <c r="Z229" s="17">
        <v>0.5</v>
      </c>
      <c r="AA229" s="17"/>
      <c r="AB229" s="17" t="s">
        <v>1724</v>
      </c>
      <c r="AC229" s="20" t="s">
        <v>3038</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2031</v>
      </c>
      <c r="H230" s="17" t="s">
        <v>1786</v>
      </c>
      <c r="I230" s="17"/>
      <c r="J230" s="17"/>
      <c r="K230" s="17"/>
      <c r="L230" s="17"/>
      <c r="M230" s="18"/>
      <c r="N230" s="17"/>
      <c r="O230" s="18"/>
      <c r="P230" s="19"/>
      <c r="Q230" s="17" t="s">
        <v>2037</v>
      </c>
      <c r="R230" s="17" t="s">
        <v>1719</v>
      </c>
      <c r="S230" s="17" t="s">
        <v>566</v>
      </c>
      <c r="T230" s="17">
        <v>1</v>
      </c>
      <c r="U230" s="17" t="s">
        <v>1720</v>
      </c>
      <c r="V230" s="17" t="s">
        <v>3039</v>
      </c>
      <c r="W230" s="17" t="s">
        <v>3036</v>
      </c>
      <c r="X230" s="70">
        <v>46001.583333333343</v>
      </c>
      <c r="Y230" s="17"/>
      <c r="Z230" s="17">
        <v>0.5</v>
      </c>
      <c r="AA230" s="17"/>
      <c r="AB230" s="17" t="s">
        <v>1724</v>
      </c>
      <c r="AC230" s="20" t="s">
        <v>3030</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3040</v>
      </c>
      <c r="E231" s="17" t="s">
        <v>1727</v>
      </c>
      <c r="F231" s="17">
        <v>3883</v>
      </c>
      <c r="G231" s="17" t="s">
        <v>2031</v>
      </c>
      <c r="H231" s="17" t="s">
        <v>1786</v>
      </c>
      <c r="I231" s="17" t="s">
        <v>3041</v>
      </c>
      <c r="J231" s="17" t="s">
        <v>2095</v>
      </c>
      <c r="K231" s="17" t="s">
        <v>1744</v>
      </c>
      <c r="L231" s="17" t="s">
        <v>2505</v>
      </c>
      <c r="M231" s="18" t="s">
        <v>2506</v>
      </c>
      <c r="N231" s="17">
        <v>3404</v>
      </c>
      <c r="O231" s="18" t="s">
        <v>3033</v>
      </c>
      <c r="P231" s="19" t="s">
        <v>3034</v>
      </c>
      <c r="Q231" s="17" t="s">
        <v>2037</v>
      </c>
      <c r="R231" s="17" t="s">
        <v>1719</v>
      </c>
      <c r="S231" s="17" t="s">
        <v>566</v>
      </c>
      <c r="T231" s="17">
        <v>1</v>
      </c>
      <c r="U231" s="17" t="s">
        <v>1720</v>
      </c>
      <c r="V231" s="17" t="s">
        <v>3042</v>
      </c>
      <c r="W231" s="17" t="s">
        <v>3036</v>
      </c>
      <c r="X231" s="70">
        <v>46001.583333333343</v>
      </c>
      <c r="Y231" s="17" t="s">
        <v>3043</v>
      </c>
      <c r="Z231" s="17">
        <v>0.5</v>
      </c>
      <c r="AA231" s="17"/>
      <c r="AB231" s="17" t="s">
        <v>1724</v>
      </c>
      <c r="AC231" s="20" t="s">
        <v>3038</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3044</v>
      </c>
      <c r="H232" s="17" t="s">
        <v>1786</v>
      </c>
      <c r="I232" s="17"/>
      <c r="J232" s="17"/>
      <c r="K232" s="17"/>
      <c r="L232" s="17"/>
      <c r="M232" s="18"/>
      <c r="N232" s="17"/>
      <c r="O232" s="18"/>
      <c r="P232" s="19"/>
      <c r="Q232" s="17" t="s">
        <v>3045</v>
      </c>
      <c r="R232" s="17" t="s">
        <v>1719</v>
      </c>
      <c r="S232" s="17" t="s">
        <v>566</v>
      </c>
      <c r="T232" s="17">
        <v>1</v>
      </c>
      <c r="U232" s="17" t="s">
        <v>1720</v>
      </c>
      <c r="V232" s="17" t="s">
        <v>3046</v>
      </c>
      <c r="W232" s="17" t="s">
        <v>3047</v>
      </c>
      <c r="X232" s="70">
        <v>46006.597222222219</v>
      </c>
      <c r="Y232" s="17"/>
      <c r="Z232" s="17">
        <v>0.3</v>
      </c>
      <c r="AA232" s="17"/>
      <c r="AB232" s="17" t="s">
        <v>1724</v>
      </c>
      <c r="AC232" s="20" t="s">
        <v>3030</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3048</v>
      </c>
      <c r="G233" s="17" t="s">
        <v>3049</v>
      </c>
      <c r="H233" s="17" t="s">
        <v>1786</v>
      </c>
      <c r="I233" s="17"/>
      <c r="J233" s="17"/>
      <c r="K233" s="17"/>
      <c r="L233" s="17"/>
      <c r="M233" s="18"/>
      <c r="N233" s="17"/>
      <c r="O233" s="18"/>
      <c r="P233" s="19"/>
      <c r="Q233" s="17" t="s">
        <v>3050</v>
      </c>
      <c r="R233" s="17" t="s">
        <v>1719</v>
      </c>
      <c r="S233" s="17" t="s">
        <v>566</v>
      </c>
      <c r="T233" s="17">
        <v>1</v>
      </c>
      <c r="U233" s="17" t="s">
        <v>1720</v>
      </c>
      <c r="V233" s="17" t="s">
        <v>3051</v>
      </c>
      <c r="W233" s="17" t="s">
        <v>3052</v>
      </c>
      <c r="X233" s="70">
        <v>46006.673611111109</v>
      </c>
      <c r="Y233" s="17"/>
      <c r="Z233" s="17">
        <v>0.3</v>
      </c>
      <c r="AA233" s="17"/>
      <c r="AB233" s="17" t="s">
        <v>1724</v>
      </c>
      <c r="AC233" s="20" t="s">
        <v>3053</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3054</v>
      </c>
      <c r="H234" s="17" t="s">
        <v>1786</v>
      </c>
      <c r="I234" s="17"/>
      <c r="J234" s="17"/>
      <c r="K234" s="17"/>
      <c r="L234" s="17"/>
      <c r="M234" s="18"/>
      <c r="N234" s="17"/>
      <c r="O234" s="18"/>
      <c r="P234" s="19"/>
      <c r="Q234" s="17" t="s">
        <v>3055</v>
      </c>
      <c r="R234" s="17" t="s">
        <v>1719</v>
      </c>
      <c r="S234" s="17" t="s">
        <v>566</v>
      </c>
      <c r="T234" s="17">
        <v>1</v>
      </c>
      <c r="U234" s="17" t="s">
        <v>1720</v>
      </c>
      <c r="V234" s="17" t="s">
        <v>3056</v>
      </c>
      <c r="W234" s="17" t="s">
        <v>3057</v>
      </c>
      <c r="X234" s="70">
        <v>46006.7</v>
      </c>
      <c r="Y234" s="17"/>
      <c r="Z234" s="17">
        <v>0.3</v>
      </c>
      <c r="AA234" s="17"/>
      <c r="AB234" s="17" t="s">
        <v>1724</v>
      </c>
      <c r="AC234" s="20" t="s">
        <v>3053</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2654</v>
      </c>
      <c r="H235" s="17" t="s">
        <v>1786</v>
      </c>
      <c r="I235" s="17"/>
      <c r="J235" s="17"/>
      <c r="K235" s="17"/>
      <c r="L235" s="17"/>
      <c r="M235" s="18"/>
      <c r="N235" s="17"/>
      <c r="O235" s="18"/>
      <c r="P235" s="19"/>
      <c r="Q235" s="17" t="s">
        <v>2655</v>
      </c>
      <c r="R235" s="17" t="s">
        <v>1719</v>
      </c>
      <c r="S235" s="17" t="s">
        <v>566</v>
      </c>
      <c r="T235" s="17">
        <v>1</v>
      </c>
      <c r="U235" s="17" t="s">
        <v>1720</v>
      </c>
      <c r="V235" s="17" t="s">
        <v>3058</v>
      </c>
      <c r="W235" s="17" t="s">
        <v>3059</v>
      </c>
      <c r="X235" s="70">
        <v>46007.712500000001</v>
      </c>
      <c r="Y235" s="17"/>
      <c r="Z235" s="17">
        <v>0.4</v>
      </c>
      <c r="AA235" s="17"/>
      <c r="AB235" s="17" t="s">
        <v>1724</v>
      </c>
      <c r="AC235" s="20" t="s">
        <v>3030</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3060</v>
      </c>
      <c r="E236" s="17" t="s">
        <v>1708</v>
      </c>
      <c r="F236" s="17">
        <v>3883</v>
      </c>
      <c r="G236" s="17" t="s">
        <v>2031</v>
      </c>
      <c r="H236" s="17" t="s">
        <v>1786</v>
      </c>
      <c r="I236" s="17" t="s">
        <v>3061</v>
      </c>
      <c r="J236" s="17" t="s">
        <v>2095</v>
      </c>
      <c r="K236" s="17" t="s">
        <v>1713</v>
      </c>
      <c r="L236" s="17" t="s">
        <v>1930</v>
      </c>
      <c r="M236" s="18" t="s">
        <v>1931</v>
      </c>
      <c r="N236" s="17">
        <v>2405</v>
      </c>
      <c r="O236" s="18" t="s">
        <v>1932</v>
      </c>
      <c r="P236" s="19" t="s">
        <v>3062</v>
      </c>
      <c r="Q236" s="17" t="s">
        <v>2037</v>
      </c>
      <c r="R236" s="17" t="s">
        <v>1719</v>
      </c>
      <c r="S236" s="17" t="s">
        <v>566</v>
      </c>
      <c r="T236" s="17">
        <v>1</v>
      </c>
      <c r="U236" s="17" t="s">
        <v>1720</v>
      </c>
      <c r="V236" s="17" t="s">
        <v>3063</v>
      </c>
      <c r="W236" s="17" t="s">
        <v>3064</v>
      </c>
      <c r="X236" s="70">
        <v>46008.583333333343</v>
      </c>
      <c r="Y236" s="17" t="s">
        <v>3065</v>
      </c>
      <c r="Z236" s="17">
        <v>2</v>
      </c>
      <c r="AA236" s="17"/>
      <c r="AB236" s="17" t="s">
        <v>1724</v>
      </c>
      <c r="AC236" s="20" t="s">
        <v>3066</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3067</v>
      </c>
      <c r="H237" s="17" t="s">
        <v>1786</v>
      </c>
      <c r="I237" s="17"/>
      <c r="J237" s="17"/>
      <c r="K237" s="17"/>
      <c r="L237" s="17"/>
      <c r="M237" s="18"/>
      <c r="N237" s="17"/>
      <c r="O237" s="18"/>
      <c r="P237" s="19"/>
      <c r="Q237" s="17" t="s">
        <v>3068</v>
      </c>
      <c r="R237" s="17" t="s">
        <v>1719</v>
      </c>
      <c r="S237" s="17" t="s">
        <v>566</v>
      </c>
      <c r="T237" s="17">
        <v>1</v>
      </c>
      <c r="U237" s="17" t="s">
        <v>1720</v>
      </c>
      <c r="V237" s="17" t="s">
        <v>3069</v>
      </c>
      <c r="W237" s="17" t="s">
        <v>3070</v>
      </c>
      <c r="X237" s="70">
        <v>46008.670138888891</v>
      </c>
      <c r="Y237" s="17"/>
      <c r="Z237" s="17">
        <v>0.3</v>
      </c>
      <c r="AA237" s="17"/>
      <c r="AB237" s="17" t="s">
        <v>1724</v>
      </c>
      <c r="AC237" s="20" t="s">
        <v>3030</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3071</v>
      </c>
      <c r="G238" s="17" t="s">
        <v>3072</v>
      </c>
      <c r="H238" s="17" t="s">
        <v>1786</v>
      </c>
      <c r="I238" s="17"/>
      <c r="J238" s="17"/>
      <c r="K238" s="17"/>
      <c r="L238" s="17"/>
      <c r="M238" s="18"/>
      <c r="N238" s="17"/>
      <c r="O238" s="18"/>
      <c r="P238" s="19"/>
      <c r="Q238" s="17" t="s">
        <v>3073</v>
      </c>
      <c r="R238" s="17" t="s">
        <v>1719</v>
      </c>
      <c r="S238" s="17" t="s">
        <v>566</v>
      </c>
      <c r="T238" s="17">
        <v>1</v>
      </c>
      <c r="U238" s="17" t="s">
        <v>1720</v>
      </c>
      <c r="V238" s="17" t="s">
        <v>3074</v>
      </c>
      <c r="W238" s="17" t="s">
        <v>3075</v>
      </c>
      <c r="X238" s="70">
        <v>46008.690972222219</v>
      </c>
      <c r="Y238" s="17"/>
      <c r="Z238" s="17">
        <v>0.3</v>
      </c>
      <c r="AA238" s="17"/>
      <c r="AB238" s="17" t="s">
        <v>1724</v>
      </c>
      <c r="AC238" s="20" t="s">
        <v>3030</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3076</v>
      </c>
      <c r="H239" s="17" t="s">
        <v>3026</v>
      </c>
      <c r="I239" s="17"/>
      <c r="J239" s="17"/>
      <c r="K239" s="17"/>
      <c r="L239" s="17"/>
      <c r="M239" s="18"/>
      <c r="N239" s="17"/>
      <c r="O239" s="18"/>
      <c r="P239" s="19"/>
      <c r="Q239" s="17" t="s">
        <v>3077</v>
      </c>
      <c r="R239" s="17" t="s">
        <v>1719</v>
      </c>
      <c r="S239" s="17" t="s">
        <v>566</v>
      </c>
      <c r="T239" s="17">
        <v>1</v>
      </c>
      <c r="U239" s="17" t="s">
        <v>1720</v>
      </c>
      <c r="V239" s="17" t="s">
        <v>3078</v>
      </c>
      <c r="W239" s="17" t="s">
        <v>3079</v>
      </c>
      <c r="X239" s="70">
        <v>46010.680555555547</v>
      </c>
      <c r="Y239" s="17"/>
      <c r="Z239" s="17">
        <v>0.3</v>
      </c>
      <c r="AA239" s="17"/>
      <c r="AB239" s="17" t="s">
        <v>1724</v>
      </c>
      <c r="AC239" s="20" t="s">
        <v>3080</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3081</v>
      </c>
      <c r="E240" s="17" t="s">
        <v>1727</v>
      </c>
      <c r="F240" s="17">
        <v>3082</v>
      </c>
      <c r="G240" s="17" t="s">
        <v>2644</v>
      </c>
      <c r="H240" s="17" t="s">
        <v>1927</v>
      </c>
      <c r="I240" s="17" t="s">
        <v>3082</v>
      </c>
      <c r="J240" s="17" t="s">
        <v>1899</v>
      </c>
      <c r="K240" s="17" t="s">
        <v>1744</v>
      </c>
      <c r="L240" s="17" t="s">
        <v>1910</v>
      </c>
      <c r="M240" s="18" t="s">
        <v>1911</v>
      </c>
      <c r="N240" s="17" t="s">
        <v>1912</v>
      </c>
      <c r="O240" s="18" t="s">
        <v>1913</v>
      </c>
      <c r="P240" s="19" t="s">
        <v>3083</v>
      </c>
      <c r="Q240" s="17" t="s">
        <v>2645</v>
      </c>
      <c r="R240" s="17" t="s">
        <v>1719</v>
      </c>
      <c r="S240" s="17" t="s">
        <v>566</v>
      </c>
      <c r="T240" s="17">
        <v>1</v>
      </c>
      <c r="U240" s="17" t="s">
        <v>1720</v>
      </c>
      <c r="V240" s="17" t="s">
        <v>3084</v>
      </c>
      <c r="W240" s="17" t="s">
        <v>3085</v>
      </c>
      <c r="X240" s="70">
        <v>46013.46875</v>
      </c>
      <c r="Y240" s="17" t="s">
        <v>3086</v>
      </c>
      <c r="Z240" s="17">
        <v>0.4</v>
      </c>
      <c r="AA240" s="17"/>
      <c r="AB240" s="17" t="s">
        <v>1724</v>
      </c>
      <c r="AC240" s="20" t="s">
        <v>3087</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3088</v>
      </c>
      <c r="E241" s="17" t="s">
        <v>1727</v>
      </c>
      <c r="F241" s="17">
        <v>3569</v>
      </c>
      <c r="G241" s="17" t="s">
        <v>2861</v>
      </c>
      <c r="H241" s="17" t="s">
        <v>1786</v>
      </c>
      <c r="I241" s="17" t="s">
        <v>3089</v>
      </c>
      <c r="J241" s="17" t="s">
        <v>1929</v>
      </c>
      <c r="K241" s="17" t="s">
        <v>1713</v>
      </c>
      <c r="L241" s="17" t="s">
        <v>1714</v>
      </c>
      <c r="M241" s="18" t="s">
        <v>1715</v>
      </c>
      <c r="N241" s="17">
        <v>2307</v>
      </c>
      <c r="O241" s="18" t="s">
        <v>1974</v>
      </c>
      <c r="P241" s="19" t="s">
        <v>3090</v>
      </c>
      <c r="Q241" s="17" t="s">
        <v>2866</v>
      </c>
      <c r="R241" s="17" t="s">
        <v>1719</v>
      </c>
      <c r="S241" s="17" t="s">
        <v>566</v>
      </c>
      <c r="T241" s="17">
        <v>1</v>
      </c>
      <c r="U241" s="17" t="s">
        <v>1720</v>
      </c>
      <c r="V241" s="17" t="s">
        <v>3091</v>
      </c>
      <c r="W241" s="17" t="s">
        <v>3092</v>
      </c>
      <c r="X241" s="70">
        <v>46013.599305555559</v>
      </c>
      <c r="Y241" s="17" t="s">
        <v>3093</v>
      </c>
      <c r="Z241" s="17">
        <v>0.4</v>
      </c>
      <c r="AA241" s="17"/>
      <c r="AB241" s="17" t="s">
        <v>1724</v>
      </c>
      <c r="AC241" s="20" t="s">
        <v>3094</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1926</v>
      </c>
      <c r="H242" s="17" t="s">
        <v>1927</v>
      </c>
      <c r="I242" s="17"/>
      <c r="J242" s="17"/>
      <c r="K242" s="17"/>
      <c r="L242" s="17"/>
      <c r="M242" s="18"/>
      <c r="N242" s="17"/>
      <c r="O242" s="18"/>
      <c r="P242" s="19"/>
      <c r="Q242" s="17" t="s">
        <v>1934</v>
      </c>
      <c r="R242" s="17" t="s">
        <v>1719</v>
      </c>
      <c r="S242" s="17" t="s">
        <v>566</v>
      </c>
      <c r="T242" s="17">
        <v>1</v>
      </c>
      <c r="U242" s="17" t="s">
        <v>1720</v>
      </c>
      <c r="V242" s="17" t="s">
        <v>3095</v>
      </c>
      <c r="W242" s="17" t="s">
        <v>3096</v>
      </c>
      <c r="X242" s="70">
        <v>46013.440972222219</v>
      </c>
      <c r="Y242" s="17"/>
      <c r="Z242" s="17">
        <v>0.6</v>
      </c>
      <c r="AA242" s="17"/>
      <c r="AB242" s="17" t="s">
        <v>1724</v>
      </c>
      <c r="AC242" s="20" t="s">
        <v>3030</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3097</v>
      </c>
      <c r="H243" s="17" t="s">
        <v>3026</v>
      </c>
      <c r="I243" s="17"/>
      <c r="J243" s="17"/>
      <c r="K243" s="17"/>
      <c r="L243" s="17"/>
      <c r="M243" s="18"/>
      <c r="N243" s="17"/>
      <c r="O243" s="18"/>
      <c r="P243" s="19"/>
      <c r="Q243" s="17" t="s">
        <v>3098</v>
      </c>
      <c r="R243" s="17" t="s">
        <v>1719</v>
      </c>
      <c r="S243" s="17" t="s">
        <v>566</v>
      </c>
      <c r="T243" s="17">
        <v>1</v>
      </c>
      <c r="U243" s="17" t="s">
        <v>1720</v>
      </c>
      <c r="V243" s="17" t="s">
        <v>3099</v>
      </c>
      <c r="W243" s="17" t="s">
        <v>3100</v>
      </c>
      <c r="X243" s="70">
        <v>46013.500694444447</v>
      </c>
      <c r="Y243" s="17"/>
      <c r="Z243" s="17">
        <v>0.5</v>
      </c>
      <c r="AA243" s="17"/>
      <c r="AB243" s="17" t="s">
        <v>1724</v>
      </c>
      <c r="AC243" s="20" t="s">
        <v>3030</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2861</v>
      </c>
      <c r="H244" s="17" t="s">
        <v>1786</v>
      </c>
      <c r="I244" s="17"/>
      <c r="J244" s="17"/>
      <c r="K244" s="17"/>
      <c r="L244" s="17"/>
      <c r="M244" s="18"/>
      <c r="N244" s="17"/>
      <c r="O244" s="18"/>
      <c r="P244" s="19"/>
      <c r="Q244" s="17" t="s">
        <v>2866</v>
      </c>
      <c r="R244" s="17" t="s">
        <v>1719</v>
      </c>
      <c r="S244" s="17" t="s">
        <v>566</v>
      </c>
      <c r="T244" s="17">
        <v>1</v>
      </c>
      <c r="U244" s="17" t="s">
        <v>1720</v>
      </c>
      <c r="V244" s="17" t="s">
        <v>3101</v>
      </c>
      <c r="W244" s="17" t="s">
        <v>3092</v>
      </c>
      <c r="X244" s="70">
        <v>46013.599305555559</v>
      </c>
      <c r="Y244" s="17"/>
      <c r="Z244" s="17">
        <v>0.4</v>
      </c>
      <c r="AA244" s="17"/>
      <c r="AB244" s="17" t="s">
        <v>1724</v>
      </c>
      <c r="AC244" s="20" t="s">
        <v>3030</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1785</v>
      </c>
      <c r="H245" s="17" t="s">
        <v>1786</v>
      </c>
      <c r="I245" s="17"/>
      <c r="J245" s="17"/>
      <c r="K245" s="17"/>
      <c r="L245" s="17"/>
      <c r="M245" s="18"/>
      <c r="N245" s="17"/>
      <c r="O245" s="18"/>
      <c r="P245" s="19"/>
      <c r="Q245" s="17" t="s">
        <v>1794</v>
      </c>
      <c r="R245" s="17" t="s">
        <v>1719</v>
      </c>
      <c r="S245" s="17" t="s">
        <v>566</v>
      </c>
      <c r="T245" s="17">
        <v>1</v>
      </c>
      <c r="U245" s="17" t="s">
        <v>1720</v>
      </c>
      <c r="V245" s="17" t="s">
        <v>3102</v>
      </c>
      <c r="W245" s="17" t="s">
        <v>3103</v>
      </c>
      <c r="X245" s="70">
        <v>46014.503472222219</v>
      </c>
      <c r="Y245" s="17"/>
      <c r="Z245" s="17">
        <v>0.3</v>
      </c>
      <c r="AA245" s="17"/>
      <c r="AB245" s="17" t="s">
        <v>1724</v>
      </c>
      <c r="AC245" s="20" t="s">
        <v>3104</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3105</v>
      </c>
      <c r="E246" s="17" t="s">
        <v>1727</v>
      </c>
      <c r="F246" s="17" t="s">
        <v>3106</v>
      </c>
      <c r="G246" s="17" t="s">
        <v>3107</v>
      </c>
      <c r="H246" s="17" t="s">
        <v>3026</v>
      </c>
      <c r="I246" s="17" t="s">
        <v>3108</v>
      </c>
      <c r="J246" s="17" t="s">
        <v>1712</v>
      </c>
      <c r="K246" s="17" t="s">
        <v>1849</v>
      </c>
      <c r="L246" s="17" t="s">
        <v>1714</v>
      </c>
      <c r="M246" s="18" t="s">
        <v>1715</v>
      </c>
      <c r="N246" s="17">
        <v>2306</v>
      </c>
      <c r="O246" s="18" t="s">
        <v>1716</v>
      </c>
      <c r="P246" s="19" t="s">
        <v>3109</v>
      </c>
      <c r="Q246" s="17" t="s">
        <v>3110</v>
      </c>
      <c r="R246" s="17" t="s">
        <v>1719</v>
      </c>
      <c r="S246" s="17" t="s">
        <v>566</v>
      </c>
      <c r="T246" s="17">
        <v>1</v>
      </c>
      <c r="U246" s="17" t="s">
        <v>1720</v>
      </c>
      <c r="V246" s="17" t="s">
        <v>3111</v>
      </c>
      <c r="W246" s="17" t="s">
        <v>3112</v>
      </c>
      <c r="X246" s="70">
        <v>46017.563888888893</v>
      </c>
      <c r="Y246" s="17" t="s">
        <v>3113</v>
      </c>
      <c r="Z246" s="17">
        <v>0.3</v>
      </c>
      <c r="AA246" s="17"/>
      <c r="AB246" s="17" t="s">
        <v>1724</v>
      </c>
      <c r="AC246" s="20" t="s">
        <v>3114</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2966</v>
      </c>
      <c r="G247" s="17" t="s">
        <v>2967</v>
      </c>
      <c r="H247" s="17" t="s">
        <v>1786</v>
      </c>
      <c r="I247" s="17"/>
      <c r="J247" s="17"/>
      <c r="K247" s="17"/>
      <c r="L247" s="17"/>
      <c r="M247" s="18"/>
      <c r="N247" s="17"/>
      <c r="O247" s="18"/>
      <c r="P247" s="19"/>
      <c r="Q247" s="17" t="s">
        <v>2968</v>
      </c>
      <c r="R247" s="17" t="s">
        <v>1719</v>
      </c>
      <c r="S247" s="17" t="s">
        <v>566</v>
      </c>
      <c r="T247" s="17">
        <v>1</v>
      </c>
      <c r="U247" s="17" t="s">
        <v>1720</v>
      </c>
      <c r="V247" s="17" t="s">
        <v>3115</v>
      </c>
      <c r="W247" s="17" t="s">
        <v>3116</v>
      </c>
      <c r="X247" s="70">
        <v>46017.673611111109</v>
      </c>
      <c r="Y247" s="17"/>
      <c r="Z247" s="17">
        <v>0.3</v>
      </c>
      <c r="AA247" s="17"/>
      <c r="AB247" s="17" t="s">
        <v>1724</v>
      </c>
      <c r="AC247" s="20" t="s">
        <v>3030</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3117</v>
      </c>
      <c r="G248" s="17" t="s">
        <v>3118</v>
      </c>
      <c r="H248" s="17" t="s">
        <v>1786</v>
      </c>
      <c r="I248" s="17"/>
      <c r="J248" s="17"/>
      <c r="K248" s="17"/>
      <c r="L248" s="17"/>
      <c r="M248" s="18"/>
      <c r="N248" s="17"/>
      <c r="O248" s="18"/>
      <c r="P248" s="19"/>
      <c r="Q248" s="17" t="s">
        <v>3119</v>
      </c>
      <c r="R248" s="17" t="s">
        <v>1719</v>
      </c>
      <c r="S248" s="17" t="s">
        <v>566</v>
      </c>
      <c r="T248" s="17">
        <v>1</v>
      </c>
      <c r="U248" s="17" t="s">
        <v>1720</v>
      </c>
      <c r="V248" s="17" t="s">
        <v>3120</v>
      </c>
      <c r="W248" s="17" t="s">
        <v>3121</v>
      </c>
      <c r="X248" s="70">
        <v>46017.697916666657</v>
      </c>
      <c r="Y248" s="17"/>
      <c r="Z248" s="17">
        <v>0.3</v>
      </c>
      <c r="AA248" s="17"/>
      <c r="AB248" s="17" t="s">
        <v>1724</v>
      </c>
      <c r="AC248" s="20" t="s">
        <v>3030</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3122</v>
      </c>
      <c r="E249" s="17" t="s">
        <v>1727</v>
      </c>
      <c r="F249" s="17" t="s">
        <v>3123</v>
      </c>
      <c r="G249" s="17" t="s">
        <v>3124</v>
      </c>
      <c r="H249" s="17" t="s">
        <v>1786</v>
      </c>
      <c r="I249" s="17" t="s">
        <v>3125</v>
      </c>
      <c r="J249" s="17" t="s">
        <v>1862</v>
      </c>
      <c r="K249" s="17" t="s">
        <v>1744</v>
      </c>
      <c r="L249" s="17" t="s">
        <v>1910</v>
      </c>
      <c r="M249" s="18" t="s">
        <v>1911</v>
      </c>
      <c r="N249" s="17" t="s">
        <v>1912</v>
      </c>
      <c r="O249" s="18" t="s">
        <v>1913</v>
      </c>
      <c r="P249" s="19" t="s">
        <v>3126</v>
      </c>
      <c r="Q249" s="17" t="s">
        <v>3127</v>
      </c>
      <c r="R249" s="17" t="s">
        <v>1719</v>
      </c>
      <c r="S249" s="17" t="s">
        <v>566</v>
      </c>
      <c r="T249" s="17">
        <v>1</v>
      </c>
      <c r="U249" s="17" t="s">
        <v>1720</v>
      </c>
      <c r="V249" s="17" t="s">
        <v>3128</v>
      </c>
      <c r="W249" s="17" t="s">
        <v>3129</v>
      </c>
      <c r="X249" s="70">
        <v>46020.715277777781</v>
      </c>
      <c r="Y249" s="17" t="s">
        <v>3130</v>
      </c>
      <c r="Z249" s="17">
        <v>0.3</v>
      </c>
      <c r="AA249" s="17"/>
      <c r="AB249" s="17" t="s">
        <v>1724</v>
      </c>
      <c r="AC249" s="20" t="s">
        <v>3131</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3132</v>
      </c>
      <c r="E250" s="17" t="s">
        <v>1727</v>
      </c>
      <c r="F250" s="17">
        <v>3785</v>
      </c>
      <c r="G250" s="17" t="s">
        <v>1847</v>
      </c>
      <c r="H250" s="17" t="s">
        <v>1742</v>
      </c>
      <c r="I250" s="17" t="s">
        <v>3133</v>
      </c>
      <c r="J250" s="17" t="s">
        <v>1929</v>
      </c>
      <c r="K250" s="17" t="s">
        <v>1849</v>
      </c>
      <c r="L250" s="17" t="s">
        <v>1850</v>
      </c>
      <c r="M250" s="18" t="s">
        <v>1851</v>
      </c>
      <c r="N250" s="17">
        <v>5903</v>
      </c>
      <c r="O250" s="18" t="s">
        <v>1852</v>
      </c>
      <c r="P250" s="19" t="s">
        <v>3134</v>
      </c>
      <c r="Q250" s="17" t="s">
        <v>1854</v>
      </c>
      <c r="R250" s="17" t="s">
        <v>1719</v>
      </c>
      <c r="S250" s="17" t="s">
        <v>206</v>
      </c>
      <c r="T250" s="17">
        <v>1</v>
      </c>
      <c r="U250" s="17" t="s">
        <v>1720</v>
      </c>
      <c r="V250" s="17" t="s">
        <v>3135</v>
      </c>
      <c r="W250" s="17" t="s">
        <v>3136</v>
      </c>
      <c r="X250" s="70">
        <v>46021.75</v>
      </c>
      <c r="Y250" s="17" t="s">
        <v>3137</v>
      </c>
      <c r="Z250" s="17">
        <v>0.5</v>
      </c>
      <c r="AA250" s="17"/>
      <c r="AB250" s="17" t="s">
        <v>1724</v>
      </c>
      <c r="AC250" s="20" t="s">
        <v>3138</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3139</v>
      </c>
      <c r="E251" s="17" t="s">
        <v>1727</v>
      </c>
      <c r="F251" s="17">
        <v>4388</v>
      </c>
      <c r="G251" s="17" t="s">
        <v>3140</v>
      </c>
      <c r="H251" s="17" t="s">
        <v>1759</v>
      </c>
      <c r="I251" s="17" t="s">
        <v>3141</v>
      </c>
      <c r="J251" s="17" t="s">
        <v>2033</v>
      </c>
      <c r="K251" s="17" t="s">
        <v>1713</v>
      </c>
      <c r="L251" s="17" t="s">
        <v>2666</v>
      </c>
      <c r="M251" s="18" t="s">
        <v>2667</v>
      </c>
      <c r="N251" s="17">
        <v>2902</v>
      </c>
      <c r="O251" s="18" t="s">
        <v>3142</v>
      </c>
      <c r="P251" s="19" t="s">
        <v>3143</v>
      </c>
      <c r="Q251" s="17" t="s">
        <v>3144</v>
      </c>
      <c r="R251" s="17" t="s">
        <v>1719</v>
      </c>
      <c r="S251" s="17" t="s">
        <v>52</v>
      </c>
      <c r="T251" s="17">
        <v>1</v>
      </c>
      <c r="U251" s="17" t="s">
        <v>1720</v>
      </c>
      <c r="V251" s="17" t="s">
        <v>3145</v>
      </c>
      <c r="W251" s="17" t="s">
        <v>3146</v>
      </c>
      <c r="X251" s="70">
        <v>46022.461805555547</v>
      </c>
      <c r="Y251" s="17" t="s">
        <v>3147</v>
      </c>
      <c r="Z251" s="17">
        <v>0.5</v>
      </c>
      <c r="AA251" s="17"/>
      <c r="AB251" s="17" t="s">
        <v>1724</v>
      </c>
      <c r="AC251" s="20" t="s">
        <v>3148</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3149</v>
      </c>
      <c r="E252" s="17" t="s">
        <v>1727</v>
      </c>
      <c r="F252" s="17">
        <v>4539</v>
      </c>
      <c r="G252" s="17" t="s">
        <v>3150</v>
      </c>
      <c r="H252" s="17" t="s">
        <v>1759</v>
      </c>
      <c r="I252" s="17" t="s">
        <v>3151</v>
      </c>
      <c r="J252" s="17" t="s">
        <v>2033</v>
      </c>
      <c r="K252" s="17" t="s">
        <v>1744</v>
      </c>
      <c r="L252" s="17" t="s">
        <v>2666</v>
      </c>
      <c r="M252" s="18" t="s">
        <v>2667</v>
      </c>
      <c r="N252" s="17">
        <v>2902</v>
      </c>
      <c r="O252" s="18" t="s">
        <v>3142</v>
      </c>
      <c r="P252" s="19" t="s">
        <v>3152</v>
      </c>
      <c r="Q252" s="17" t="s">
        <v>3153</v>
      </c>
      <c r="R252" s="17" t="s">
        <v>1719</v>
      </c>
      <c r="S252" s="17" t="s">
        <v>52</v>
      </c>
      <c r="T252" s="17">
        <v>1</v>
      </c>
      <c r="U252" s="17" t="s">
        <v>1720</v>
      </c>
      <c r="V252" s="17" t="s">
        <v>3154</v>
      </c>
      <c r="W252" s="17" t="s">
        <v>3155</v>
      </c>
      <c r="X252" s="70">
        <v>46022.493055555547</v>
      </c>
      <c r="Y252" s="17" t="s">
        <v>3156</v>
      </c>
      <c r="Z252" s="17">
        <v>0.5</v>
      </c>
      <c r="AA252" s="17"/>
      <c r="AB252" s="17" t="s">
        <v>1724</v>
      </c>
      <c r="AC252" s="20" t="s">
        <v>3157</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3158</v>
      </c>
      <c r="E253" s="17" t="s">
        <v>1708</v>
      </c>
      <c r="F253" s="17" t="s">
        <v>3016</v>
      </c>
      <c r="G253" s="17" t="s">
        <v>3017</v>
      </c>
      <c r="H253" s="17" t="s">
        <v>1759</v>
      </c>
      <c r="I253" s="17" t="s">
        <v>3159</v>
      </c>
      <c r="J253" s="17" t="s">
        <v>2095</v>
      </c>
      <c r="K253" s="17" t="s">
        <v>1744</v>
      </c>
      <c r="L253" s="17" t="s">
        <v>1930</v>
      </c>
      <c r="M253" s="18" t="s">
        <v>1931</v>
      </c>
      <c r="N253" s="17">
        <v>2401</v>
      </c>
      <c r="O253" s="18" t="s">
        <v>1944</v>
      </c>
      <c r="P253" s="19" t="s">
        <v>3160</v>
      </c>
      <c r="Q253" s="17" t="s">
        <v>3018</v>
      </c>
      <c r="R253" s="17" t="s">
        <v>1719</v>
      </c>
      <c r="S253" s="17" t="s">
        <v>52</v>
      </c>
      <c r="T253" s="17">
        <v>1</v>
      </c>
      <c r="U253" s="17" t="s">
        <v>1720</v>
      </c>
      <c r="V253" s="17" t="s">
        <v>3161</v>
      </c>
      <c r="W253" s="17" t="s">
        <v>3162</v>
      </c>
      <c r="X253" s="70">
        <v>46022.71875</v>
      </c>
      <c r="Y253" s="17" t="s">
        <v>3163</v>
      </c>
      <c r="Z253" s="17">
        <v>1.8</v>
      </c>
      <c r="AA253" s="17"/>
      <c r="AB253" s="17" t="s">
        <v>1724</v>
      </c>
      <c r="AC253" s="20" t="s">
        <v>3164</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2112</v>
      </c>
      <c r="G254" s="17" t="s">
        <v>2113</v>
      </c>
      <c r="H254" s="17" t="s">
        <v>1991</v>
      </c>
      <c r="I254" s="17"/>
      <c r="J254" s="17"/>
      <c r="K254" s="17"/>
      <c r="L254" s="17"/>
      <c r="M254" s="18"/>
      <c r="N254" s="17"/>
      <c r="O254" s="18"/>
      <c r="P254" s="19"/>
      <c r="Q254" s="17" t="s">
        <v>2116</v>
      </c>
      <c r="R254" s="17" t="s">
        <v>1719</v>
      </c>
      <c r="S254" s="17" t="s">
        <v>195</v>
      </c>
      <c r="T254" s="17">
        <v>1</v>
      </c>
      <c r="U254" s="17" t="s">
        <v>1720</v>
      </c>
      <c r="V254" s="17" t="s">
        <v>3165</v>
      </c>
      <c r="W254" s="17" t="s">
        <v>3166</v>
      </c>
      <c r="X254" s="70">
        <v>46022.677083333343</v>
      </c>
      <c r="Y254" s="17"/>
      <c r="Z254" s="17">
        <v>0.3</v>
      </c>
      <c r="AA254" s="17"/>
      <c r="AB254" s="17" t="s">
        <v>1724</v>
      </c>
      <c r="AC254" s="20" t="s">
        <v>3080</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3167</v>
      </c>
      <c r="E255" s="17" t="s">
        <v>1727</v>
      </c>
      <c r="F255" s="17">
        <v>5410</v>
      </c>
      <c r="G255" s="17" t="s">
        <v>3168</v>
      </c>
      <c r="H255" s="17" t="s">
        <v>1759</v>
      </c>
      <c r="I255" s="17" t="s">
        <v>3169</v>
      </c>
      <c r="J255" s="17" t="s">
        <v>1788</v>
      </c>
      <c r="K255" s="17" t="s">
        <v>1744</v>
      </c>
      <c r="L255" s="17" t="s">
        <v>1745</v>
      </c>
      <c r="M255" s="18" t="s">
        <v>1746</v>
      </c>
      <c r="N255" s="17" t="s">
        <v>2034</v>
      </c>
      <c r="O255" s="18" t="s">
        <v>2035</v>
      </c>
      <c r="P255" s="19" t="s">
        <v>3170</v>
      </c>
      <c r="Q255" s="17" t="s">
        <v>3171</v>
      </c>
      <c r="R255" s="17" t="s">
        <v>1719</v>
      </c>
      <c r="S255" s="17" t="s">
        <v>566</v>
      </c>
      <c r="T255" s="17">
        <v>1</v>
      </c>
      <c r="U255" s="17" t="s">
        <v>1720</v>
      </c>
      <c r="V255" s="17" t="s">
        <v>3172</v>
      </c>
      <c r="W255" s="17" t="s">
        <v>3173</v>
      </c>
      <c r="X255" s="70">
        <v>46055.461805555547</v>
      </c>
      <c r="Y255" s="17" t="s">
        <v>3174</v>
      </c>
      <c r="Z255" s="17">
        <v>0.3</v>
      </c>
      <c r="AA255" s="17"/>
      <c r="AB255" s="17" t="s">
        <v>1724</v>
      </c>
      <c r="AC255" s="20" t="s">
        <v>3175</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3176</v>
      </c>
      <c r="E256" s="17" t="s">
        <v>1727</v>
      </c>
      <c r="F256" s="17" t="s">
        <v>2966</v>
      </c>
      <c r="G256" s="17" t="s">
        <v>2967</v>
      </c>
      <c r="H256" s="17" t="s">
        <v>1786</v>
      </c>
      <c r="I256" s="17" t="s">
        <v>3177</v>
      </c>
      <c r="J256" s="17" t="s">
        <v>1788</v>
      </c>
      <c r="K256" s="17" t="s">
        <v>1849</v>
      </c>
      <c r="L256" s="17" t="s">
        <v>1714</v>
      </c>
      <c r="M256" s="18" t="s">
        <v>1715</v>
      </c>
      <c r="N256" s="17">
        <v>2305</v>
      </c>
      <c r="O256" s="18" t="s">
        <v>2469</v>
      </c>
      <c r="P256" s="19" t="s">
        <v>3178</v>
      </c>
      <c r="Q256" s="17" t="s">
        <v>2968</v>
      </c>
      <c r="R256" s="17" t="s">
        <v>1719</v>
      </c>
      <c r="S256" s="17" t="s">
        <v>566</v>
      </c>
      <c r="T256" s="17">
        <v>1</v>
      </c>
      <c r="U256" s="17" t="s">
        <v>1720</v>
      </c>
      <c r="V256" s="17" t="s">
        <v>3179</v>
      </c>
      <c r="W256" s="17" t="s">
        <v>3180</v>
      </c>
      <c r="X256" s="70">
        <v>46055.597222222219</v>
      </c>
      <c r="Y256" s="17" t="s">
        <v>3181</v>
      </c>
      <c r="Z256" s="17">
        <v>0.3</v>
      </c>
      <c r="AA256" s="17"/>
      <c r="AB256" s="17" t="s">
        <v>1724</v>
      </c>
      <c r="AC256" s="20" t="s">
        <v>3182</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3183</v>
      </c>
      <c r="E257" s="17" t="s">
        <v>1727</v>
      </c>
      <c r="F257" s="17" t="s">
        <v>2966</v>
      </c>
      <c r="G257" s="17" t="s">
        <v>2967</v>
      </c>
      <c r="H257" s="17" t="s">
        <v>1786</v>
      </c>
      <c r="I257" s="17" t="s">
        <v>3184</v>
      </c>
      <c r="J257" s="17" t="s">
        <v>1788</v>
      </c>
      <c r="K257" s="17" t="s">
        <v>1849</v>
      </c>
      <c r="L257" s="17" t="s">
        <v>1714</v>
      </c>
      <c r="M257" s="18" t="s">
        <v>1715</v>
      </c>
      <c r="N257" s="17">
        <v>2305</v>
      </c>
      <c r="O257" s="18" t="s">
        <v>2469</v>
      </c>
      <c r="P257" s="19" t="s">
        <v>3185</v>
      </c>
      <c r="Q257" s="17" t="s">
        <v>2968</v>
      </c>
      <c r="R257" s="17" t="s">
        <v>1719</v>
      </c>
      <c r="S257" s="17" t="s">
        <v>566</v>
      </c>
      <c r="T257" s="17">
        <v>1</v>
      </c>
      <c r="U257" s="17" t="s">
        <v>1720</v>
      </c>
      <c r="V257" s="17" t="s">
        <v>3186</v>
      </c>
      <c r="W257" s="17" t="s">
        <v>3187</v>
      </c>
      <c r="X257" s="70">
        <v>46055.607638888891</v>
      </c>
      <c r="Y257" s="17" t="s">
        <v>3188</v>
      </c>
      <c r="Z257" s="17">
        <v>0.3</v>
      </c>
      <c r="AA257" s="17"/>
      <c r="AB257" s="17" t="s">
        <v>1724</v>
      </c>
      <c r="AC257" s="20" t="s">
        <v>3189</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3190</v>
      </c>
      <c r="E258" s="17" t="s">
        <v>1727</v>
      </c>
      <c r="F258" s="17">
        <v>4573</v>
      </c>
      <c r="G258" s="17" t="s">
        <v>2536</v>
      </c>
      <c r="H258" s="17" t="s">
        <v>1786</v>
      </c>
      <c r="I258" s="17" t="s">
        <v>3191</v>
      </c>
      <c r="J258" s="17" t="s">
        <v>1899</v>
      </c>
      <c r="K258" s="17" t="s">
        <v>1744</v>
      </c>
      <c r="L258" s="17" t="s">
        <v>1789</v>
      </c>
      <c r="M258" s="18" t="s">
        <v>1790</v>
      </c>
      <c r="N258" s="17" t="s">
        <v>1791</v>
      </c>
      <c r="O258" s="18" t="s">
        <v>1792</v>
      </c>
      <c r="P258" s="19" t="s">
        <v>3192</v>
      </c>
      <c r="Q258" s="17" t="s">
        <v>2537</v>
      </c>
      <c r="R258" s="17" t="s">
        <v>1719</v>
      </c>
      <c r="S258" s="17" t="s">
        <v>566</v>
      </c>
      <c r="T258" s="17">
        <v>1</v>
      </c>
      <c r="U258" s="17" t="s">
        <v>1720</v>
      </c>
      <c r="V258" s="17" t="s">
        <v>3193</v>
      </c>
      <c r="W258" s="17" t="s">
        <v>3194</v>
      </c>
      <c r="X258" s="70">
        <v>46055.640277777777</v>
      </c>
      <c r="Y258" s="17" t="s">
        <v>3195</v>
      </c>
      <c r="Z258" s="17">
        <v>0.5</v>
      </c>
      <c r="AA258" s="17"/>
      <c r="AB258" s="17" t="s">
        <v>1724</v>
      </c>
      <c r="AC258" s="20" t="s">
        <v>3196</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3197</v>
      </c>
      <c r="E259" s="17" t="s">
        <v>1727</v>
      </c>
      <c r="F259" s="17">
        <v>4845</v>
      </c>
      <c r="G259" s="17" t="s">
        <v>3198</v>
      </c>
      <c r="H259" s="17" t="s">
        <v>3199</v>
      </c>
      <c r="I259" s="17" t="s">
        <v>3200</v>
      </c>
      <c r="J259" s="17" t="s">
        <v>1929</v>
      </c>
      <c r="K259" s="17" t="s">
        <v>1713</v>
      </c>
      <c r="L259" s="17" t="s">
        <v>1773</v>
      </c>
      <c r="M259" s="18" t="s">
        <v>1774</v>
      </c>
      <c r="N259" s="17">
        <v>5804</v>
      </c>
      <c r="O259" s="18" t="s">
        <v>2035</v>
      </c>
      <c r="P259" s="19" t="s">
        <v>3201</v>
      </c>
      <c r="Q259" s="17" t="s">
        <v>3202</v>
      </c>
      <c r="R259" s="17" t="s">
        <v>1719</v>
      </c>
      <c r="S259" s="17" t="s">
        <v>52</v>
      </c>
      <c r="T259" s="17">
        <v>1</v>
      </c>
      <c r="U259" s="17" t="s">
        <v>1720</v>
      </c>
      <c r="V259" s="17" t="s">
        <v>3203</v>
      </c>
      <c r="W259" s="17" t="s">
        <v>3180</v>
      </c>
      <c r="X259" s="70">
        <v>46055.604166666657</v>
      </c>
      <c r="Y259" s="17" t="s">
        <v>3204</v>
      </c>
      <c r="Z259" s="17">
        <v>0.5</v>
      </c>
      <c r="AA259" s="17"/>
      <c r="AB259" s="17" t="s">
        <v>1724</v>
      </c>
      <c r="AC259" s="20" t="s">
        <v>3205</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3168</v>
      </c>
      <c r="H260" s="17" t="s">
        <v>1759</v>
      </c>
      <c r="I260" s="17"/>
      <c r="J260" s="17"/>
      <c r="K260" s="17"/>
      <c r="L260" s="17"/>
      <c r="M260" s="18"/>
      <c r="N260" s="17"/>
      <c r="O260" s="18"/>
      <c r="P260" s="19"/>
      <c r="Q260" s="17" t="s">
        <v>3171</v>
      </c>
      <c r="R260" s="17" t="s">
        <v>1719</v>
      </c>
      <c r="S260" s="17" t="s">
        <v>566</v>
      </c>
      <c r="T260" s="17">
        <v>1</v>
      </c>
      <c r="U260" s="17" t="s">
        <v>1720</v>
      </c>
      <c r="V260" s="17" t="s">
        <v>3206</v>
      </c>
      <c r="W260" s="17" t="s">
        <v>3207</v>
      </c>
      <c r="X260" s="70">
        <v>46055.472222222219</v>
      </c>
      <c r="Y260" s="17"/>
      <c r="Z260" s="17">
        <v>0.3</v>
      </c>
      <c r="AA260" s="17"/>
      <c r="AB260" s="17" t="s">
        <v>1724</v>
      </c>
      <c r="AC260" s="20" t="s">
        <v>2123</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3208</v>
      </c>
      <c r="H261" s="17" t="s">
        <v>1812</v>
      </c>
      <c r="I261" s="17"/>
      <c r="J261" s="17"/>
      <c r="K261" s="17"/>
      <c r="L261" s="17"/>
      <c r="M261" s="18"/>
      <c r="N261" s="17"/>
      <c r="O261" s="18"/>
      <c r="P261" s="19"/>
      <c r="Q261" s="17" t="s">
        <v>3209</v>
      </c>
      <c r="R261" s="17" t="s">
        <v>1719</v>
      </c>
      <c r="S261" s="17" t="s">
        <v>52</v>
      </c>
      <c r="T261" s="17">
        <v>1</v>
      </c>
      <c r="U261" s="17" t="s">
        <v>1720</v>
      </c>
      <c r="V261" s="17" t="s">
        <v>3210</v>
      </c>
      <c r="W261" s="17" t="s">
        <v>3211</v>
      </c>
      <c r="X261" s="70">
        <v>46055.538194444453</v>
      </c>
      <c r="Y261" s="17"/>
      <c r="Z261" s="17">
        <v>0.4</v>
      </c>
      <c r="AA261" s="17"/>
      <c r="AB261" s="17" t="s">
        <v>1724</v>
      </c>
      <c r="AC261" s="20" t="s">
        <v>3212</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3213</v>
      </c>
      <c r="H262" s="17" t="s">
        <v>1742</v>
      </c>
      <c r="I262" s="17"/>
      <c r="J262" s="17"/>
      <c r="K262" s="17"/>
      <c r="L262" s="17"/>
      <c r="M262" s="18"/>
      <c r="N262" s="17"/>
      <c r="O262" s="18"/>
      <c r="P262" s="19"/>
      <c r="Q262" s="17" t="s">
        <v>3214</v>
      </c>
      <c r="R262" s="17" t="s">
        <v>1719</v>
      </c>
      <c r="S262" s="17" t="s">
        <v>206</v>
      </c>
      <c r="T262" s="17">
        <v>1</v>
      </c>
      <c r="U262" s="17" t="s">
        <v>1720</v>
      </c>
      <c r="V262" s="17" t="s">
        <v>3215</v>
      </c>
      <c r="W262" s="17" t="s">
        <v>3216</v>
      </c>
      <c r="X262" s="70">
        <v>46055.5625</v>
      </c>
      <c r="Y262" s="17"/>
      <c r="Z262" s="17">
        <v>2.5</v>
      </c>
      <c r="AA262" s="17"/>
      <c r="AB262" s="17" t="s">
        <v>1724</v>
      </c>
      <c r="AC262" s="20" t="s">
        <v>3217</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3198</v>
      </c>
      <c r="H263" s="17" t="s">
        <v>3199</v>
      </c>
      <c r="I263" s="17"/>
      <c r="J263" s="17"/>
      <c r="K263" s="17"/>
      <c r="L263" s="17"/>
      <c r="M263" s="18"/>
      <c r="N263" s="17"/>
      <c r="O263" s="18"/>
      <c r="P263" s="19"/>
      <c r="Q263" s="17" t="s">
        <v>3202</v>
      </c>
      <c r="R263" s="17" t="s">
        <v>1719</v>
      </c>
      <c r="S263" s="17" t="s">
        <v>52</v>
      </c>
      <c r="T263" s="17">
        <v>1</v>
      </c>
      <c r="U263" s="17" t="s">
        <v>1720</v>
      </c>
      <c r="V263" s="17" t="s">
        <v>3218</v>
      </c>
      <c r="W263" s="17" t="s">
        <v>3219</v>
      </c>
      <c r="X263" s="70">
        <v>46055.627083333333</v>
      </c>
      <c r="Y263" s="17"/>
      <c r="Z263" s="17">
        <v>0.6</v>
      </c>
      <c r="AA263" s="17"/>
      <c r="AB263" s="17" t="s">
        <v>1724</v>
      </c>
      <c r="AC263" s="20" t="s">
        <v>3220</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3221</v>
      </c>
      <c r="E264" s="17" t="s">
        <v>1727</v>
      </c>
      <c r="F264" s="17">
        <v>4770</v>
      </c>
      <c r="G264" s="17" t="s">
        <v>2559</v>
      </c>
      <c r="H264" s="17" t="s">
        <v>1786</v>
      </c>
      <c r="I264" s="17" t="s">
        <v>3222</v>
      </c>
      <c r="J264" s="17" t="s">
        <v>1929</v>
      </c>
      <c r="K264" s="17" t="s">
        <v>1744</v>
      </c>
      <c r="L264" s="17" t="s">
        <v>2505</v>
      </c>
      <c r="M264" s="18" t="s">
        <v>2506</v>
      </c>
      <c r="N264" s="17">
        <v>3404</v>
      </c>
      <c r="O264" s="18" t="s">
        <v>3033</v>
      </c>
      <c r="P264" s="19" t="s">
        <v>3223</v>
      </c>
      <c r="Q264" s="17" t="s">
        <v>2560</v>
      </c>
      <c r="R264" s="17" t="s">
        <v>1719</v>
      </c>
      <c r="S264" s="17" t="s">
        <v>566</v>
      </c>
      <c r="T264" s="17">
        <v>1</v>
      </c>
      <c r="U264" s="17" t="s">
        <v>1720</v>
      </c>
      <c r="V264" s="17" t="s">
        <v>3224</v>
      </c>
      <c r="W264" s="17" t="s">
        <v>3225</v>
      </c>
      <c r="X264" s="70">
        <v>46055.7</v>
      </c>
      <c r="Y264" s="17" t="s">
        <v>3226</v>
      </c>
      <c r="Z264" s="17">
        <v>0.6</v>
      </c>
      <c r="AA264" s="17"/>
      <c r="AB264" s="17" t="s">
        <v>1724</v>
      </c>
      <c r="AC264" s="20" t="s">
        <v>3227</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3228</v>
      </c>
      <c r="E265" s="17" t="s">
        <v>1727</v>
      </c>
      <c r="F265" s="17">
        <v>5197</v>
      </c>
      <c r="G265" s="17" t="s">
        <v>1896</v>
      </c>
      <c r="H265" s="17" t="s">
        <v>1897</v>
      </c>
      <c r="I265" s="17" t="s">
        <v>3229</v>
      </c>
      <c r="J265" s="17" t="s">
        <v>2033</v>
      </c>
      <c r="K265" s="17" t="s">
        <v>1713</v>
      </c>
      <c r="L265" s="17" t="s">
        <v>1900</v>
      </c>
      <c r="M265" s="18" t="s">
        <v>1901</v>
      </c>
      <c r="N265" s="17">
        <v>6001</v>
      </c>
      <c r="O265" s="18" t="s">
        <v>2595</v>
      </c>
      <c r="P265" s="19" t="s">
        <v>3230</v>
      </c>
      <c r="Q265" s="17" t="s">
        <v>1903</v>
      </c>
      <c r="R265" s="17" t="s">
        <v>1719</v>
      </c>
      <c r="S265" s="17" t="s">
        <v>206</v>
      </c>
      <c r="T265" s="17">
        <v>1</v>
      </c>
      <c r="U265" s="17" t="s">
        <v>1720</v>
      </c>
      <c r="V265" s="17" t="s">
        <v>3231</v>
      </c>
      <c r="W265" s="17" t="s">
        <v>3232</v>
      </c>
      <c r="X265" s="70">
        <v>46056.604166666657</v>
      </c>
      <c r="Y265" s="17" t="s">
        <v>3233</v>
      </c>
      <c r="Z265" s="17">
        <v>0.5</v>
      </c>
      <c r="AA265" s="17"/>
      <c r="AB265" s="17" t="s">
        <v>1724</v>
      </c>
      <c r="AC265" s="20" t="s">
        <v>3234</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3235</v>
      </c>
      <c r="H266" s="17" t="s">
        <v>1786</v>
      </c>
      <c r="I266" s="17"/>
      <c r="J266" s="17"/>
      <c r="K266" s="17"/>
      <c r="L266" s="17"/>
      <c r="M266" s="18"/>
      <c r="N266" s="17"/>
      <c r="O266" s="18"/>
      <c r="P266" s="19"/>
      <c r="Q266" s="17" t="s">
        <v>3236</v>
      </c>
      <c r="R266" s="17" t="s">
        <v>1719</v>
      </c>
      <c r="S266" s="17" t="s">
        <v>566</v>
      </c>
      <c r="T266" s="17">
        <v>1</v>
      </c>
      <c r="U266" s="17" t="s">
        <v>1720</v>
      </c>
      <c r="V266" s="17" t="s">
        <v>3237</v>
      </c>
      <c r="W266" s="17" t="s">
        <v>3238</v>
      </c>
      <c r="X266" s="70">
        <v>46056.472222222219</v>
      </c>
      <c r="Y266" s="17"/>
      <c r="Z266" s="17">
        <v>0.4</v>
      </c>
      <c r="AA266" s="17"/>
      <c r="AB266" s="17" t="s">
        <v>1724</v>
      </c>
      <c r="AC266" s="20" t="s">
        <v>3239</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3240</v>
      </c>
      <c r="H267" s="17" t="s">
        <v>1771</v>
      </c>
      <c r="I267" s="17"/>
      <c r="J267" s="17"/>
      <c r="K267" s="17"/>
      <c r="L267" s="17"/>
      <c r="M267" s="18"/>
      <c r="N267" s="17"/>
      <c r="O267" s="18"/>
      <c r="P267" s="19"/>
      <c r="Q267" s="17" t="s">
        <v>3241</v>
      </c>
      <c r="R267" s="17" t="s">
        <v>1719</v>
      </c>
      <c r="S267" s="17" t="s">
        <v>52</v>
      </c>
      <c r="T267" s="17">
        <v>1</v>
      </c>
      <c r="U267" s="17" t="s">
        <v>1720</v>
      </c>
      <c r="V267" s="17" t="s">
        <v>3242</v>
      </c>
      <c r="W267" s="17" t="s">
        <v>3243</v>
      </c>
      <c r="X267" s="70">
        <v>46056.625</v>
      </c>
      <c r="Y267" s="17"/>
      <c r="Z267" s="17">
        <v>0.3</v>
      </c>
      <c r="AA267" s="17"/>
      <c r="AB267" s="17" t="s">
        <v>1724</v>
      </c>
      <c r="AC267" s="20" t="s">
        <v>3244</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3245</v>
      </c>
      <c r="H268" s="17" t="s">
        <v>1941</v>
      </c>
      <c r="I268" s="17"/>
      <c r="J268" s="17"/>
      <c r="K268" s="17"/>
      <c r="L268" s="17"/>
      <c r="M268" s="18"/>
      <c r="N268" s="17"/>
      <c r="O268" s="18"/>
      <c r="P268" s="19"/>
      <c r="Q268" s="17" t="s">
        <v>3246</v>
      </c>
      <c r="R268" s="17" t="s">
        <v>1719</v>
      </c>
      <c r="S268" s="17" t="s">
        <v>52</v>
      </c>
      <c r="T268" s="17">
        <v>1</v>
      </c>
      <c r="U268" s="17" t="s">
        <v>1720</v>
      </c>
      <c r="V268" s="17" t="s">
        <v>3247</v>
      </c>
      <c r="W268" s="17" t="s">
        <v>3248</v>
      </c>
      <c r="X268" s="70">
        <v>46056.661805555559</v>
      </c>
      <c r="Y268" s="17"/>
      <c r="Z268" s="17">
        <v>0.5</v>
      </c>
      <c r="AA268" s="17"/>
      <c r="AB268" s="17" t="s">
        <v>1724</v>
      </c>
      <c r="AC268" s="20" t="s">
        <v>3249</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3250</v>
      </c>
      <c r="E269" s="17" t="s">
        <v>1727</v>
      </c>
      <c r="F269" s="17">
        <v>3052</v>
      </c>
      <c r="G269" s="17" t="s">
        <v>2265</v>
      </c>
      <c r="H269" s="17" t="s">
        <v>1742</v>
      </c>
      <c r="I269" s="17" t="s">
        <v>3251</v>
      </c>
      <c r="J269" s="17" t="s">
        <v>2095</v>
      </c>
      <c r="K269" s="17" t="s">
        <v>1713</v>
      </c>
      <c r="L269" s="17" t="s">
        <v>3252</v>
      </c>
      <c r="M269" s="18" t="s">
        <v>3253</v>
      </c>
      <c r="N269" s="17" t="s">
        <v>3254</v>
      </c>
      <c r="O269" s="18" t="s">
        <v>1913</v>
      </c>
      <c r="P269" s="19" t="s">
        <v>3255</v>
      </c>
      <c r="Q269" s="17" t="s">
        <v>2269</v>
      </c>
      <c r="R269" s="17" t="s">
        <v>1719</v>
      </c>
      <c r="S269" s="17" t="s">
        <v>206</v>
      </c>
      <c r="T269" s="17">
        <v>1</v>
      </c>
      <c r="U269" s="17" t="s">
        <v>1720</v>
      </c>
      <c r="V269" s="17" t="s">
        <v>3256</v>
      </c>
      <c r="W269" s="17" t="s">
        <v>3257</v>
      </c>
      <c r="X269" s="70">
        <v>46057.458333333343</v>
      </c>
      <c r="Y269" s="17" t="s">
        <v>3258</v>
      </c>
      <c r="Z269" s="17">
        <v>0.5</v>
      </c>
      <c r="AA269" s="17"/>
      <c r="AB269" s="17" t="s">
        <v>1724</v>
      </c>
      <c r="AC269" s="20" t="s">
        <v>3259</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3260</v>
      </c>
      <c r="E270" s="17" t="s">
        <v>1727</v>
      </c>
      <c r="F270" s="17">
        <v>2042</v>
      </c>
      <c r="G270" s="17" t="s">
        <v>3261</v>
      </c>
      <c r="H270" s="17" t="s">
        <v>1759</v>
      </c>
      <c r="I270" s="17" t="s">
        <v>3262</v>
      </c>
      <c r="J270" s="17" t="s">
        <v>2095</v>
      </c>
      <c r="K270" s="17" t="s">
        <v>1713</v>
      </c>
      <c r="L270" s="17" t="s">
        <v>1734</v>
      </c>
      <c r="M270" s="18" t="s">
        <v>1735</v>
      </c>
      <c r="N270" s="17">
        <v>2501</v>
      </c>
      <c r="O270" s="18" t="s">
        <v>1736</v>
      </c>
      <c r="P270" s="19" t="s">
        <v>3263</v>
      </c>
      <c r="Q270" s="17" t="s">
        <v>3264</v>
      </c>
      <c r="R270" s="17" t="s">
        <v>1719</v>
      </c>
      <c r="S270" s="17" t="s">
        <v>566</v>
      </c>
      <c r="T270" s="17">
        <v>1</v>
      </c>
      <c r="U270" s="17" t="s">
        <v>1720</v>
      </c>
      <c r="V270" s="17" t="s">
        <v>3265</v>
      </c>
      <c r="W270" s="17" t="s">
        <v>3266</v>
      </c>
      <c r="X270" s="70">
        <v>46057.642361111109</v>
      </c>
      <c r="Y270" s="17" t="s">
        <v>3267</v>
      </c>
      <c r="Z270" s="17">
        <v>0.6</v>
      </c>
      <c r="AA270" s="17"/>
      <c r="AB270" s="17" t="s">
        <v>1724</v>
      </c>
      <c r="AC270" s="20" t="s">
        <v>3268</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3269</v>
      </c>
      <c r="H271" s="17" t="s">
        <v>1941</v>
      </c>
      <c r="I271" s="17"/>
      <c r="J271" s="17"/>
      <c r="K271" s="17"/>
      <c r="L271" s="17"/>
      <c r="M271" s="18"/>
      <c r="N271" s="17"/>
      <c r="O271" s="18"/>
      <c r="P271" s="19"/>
      <c r="Q271" s="17" t="s">
        <v>3270</v>
      </c>
      <c r="R271" s="17" t="s">
        <v>1719</v>
      </c>
      <c r="S271" s="17" t="s">
        <v>52</v>
      </c>
      <c r="T271" s="17">
        <v>1</v>
      </c>
      <c r="U271" s="17" t="s">
        <v>1720</v>
      </c>
      <c r="V271" s="17" t="s">
        <v>3271</v>
      </c>
      <c r="W271" s="17" t="s">
        <v>3272</v>
      </c>
      <c r="X271" s="70">
        <v>46057.554166666669</v>
      </c>
      <c r="Y271" s="17"/>
      <c r="Z271" s="17">
        <v>0.3</v>
      </c>
      <c r="AA271" s="17"/>
      <c r="AB271" s="17" t="s">
        <v>1724</v>
      </c>
      <c r="AC271" s="20" t="s">
        <v>3273</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3274</v>
      </c>
      <c r="H272" s="17" t="s">
        <v>1941</v>
      </c>
      <c r="I272" s="17"/>
      <c r="J272" s="17"/>
      <c r="K272" s="17"/>
      <c r="L272" s="17"/>
      <c r="M272" s="18"/>
      <c r="N272" s="17"/>
      <c r="O272" s="18"/>
      <c r="P272" s="19"/>
      <c r="Q272" s="17" t="s">
        <v>3275</v>
      </c>
      <c r="R272" s="17" t="s">
        <v>1719</v>
      </c>
      <c r="S272" s="17" t="s">
        <v>52</v>
      </c>
      <c r="T272" s="17">
        <v>1</v>
      </c>
      <c r="U272" s="17" t="s">
        <v>1720</v>
      </c>
      <c r="V272" s="17" t="s">
        <v>3276</v>
      </c>
      <c r="W272" s="17" t="s">
        <v>3277</v>
      </c>
      <c r="X272" s="70">
        <v>46057.575694444437</v>
      </c>
      <c r="Y272" s="17"/>
      <c r="Z272" s="17">
        <v>0.3</v>
      </c>
      <c r="AA272" s="17"/>
      <c r="AB272" s="17" t="s">
        <v>1724</v>
      </c>
      <c r="AC272" s="20" t="s">
        <v>3278</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3279</v>
      </c>
      <c r="G273" s="17" t="s">
        <v>3280</v>
      </c>
      <c r="H273" s="17" t="s">
        <v>1941</v>
      </c>
      <c r="I273" s="17"/>
      <c r="J273" s="17"/>
      <c r="K273" s="17"/>
      <c r="L273" s="17"/>
      <c r="M273" s="18"/>
      <c r="N273" s="17"/>
      <c r="O273" s="18"/>
      <c r="P273" s="19"/>
      <c r="Q273" s="17" t="s">
        <v>3281</v>
      </c>
      <c r="R273" s="17" t="s">
        <v>1719</v>
      </c>
      <c r="S273" s="17" t="s">
        <v>52</v>
      </c>
      <c r="T273" s="17">
        <v>1</v>
      </c>
      <c r="U273" s="17" t="s">
        <v>1720</v>
      </c>
      <c r="V273" s="17" t="s">
        <v>3282</v>
      </c>
      <c r="W273" s="17" t="s">
        <v>3283</v>
      </c>
      <c r="X273" s="70">
        <v>46057.593055555553</v>
      </c>
      <c r="Y273" s="17"/>
      <c r="Z273" s="17">
        <v>0.2</v>
      </c>
      <c r="AA273" s="17"/>
      <c r="AB273" s="17" t="s">
        <v>1724</v>
      </c>
      <c r="AC273" s="20" t="s">
        <v>2123</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3274</v>
      </c>
      <c r="H274" s="17" t="s">
        <v>1941</v>
      </c>
      <c r="I274" s="17"/>
      <c r="J274" s="17"/>
      <c r="K274" s="17"/>
      <c r="L274" s="17"/>
      <c r="M274" s="18"/>
      <c r="N274" s="17"/>
      <c r="O274" s="18"/>
      <c r="P274" s="19"/>
      <c r="Q274" s="17" t="s">
        <v>3275</v>
      </c>
      <c r="R274" s="17" t="s">
        <v>1719</v>
      </c>
      <c r="S274" s="17" t="s">
        <v>52</v>
      </c>
      <c r="T274" s="17">
        <v>1</v>
      </c>
      <c r="U274" s="17" t="s">
        <v>1720</v>
      </c>
      <c r="V274" s="17" t="s">
        <v>3284</v>
      </c>
      <c r="W274" s="17" t="s">
        <v>3285</v>
      </c>
      <c r="X274" s="70">
        <v>46057.579861111109</v>
      </c>
      <c r="Y274" s="17"/>
      <c r="Z274" s="17">
        <v>0.1</v>
      </c>
      <c r="AA274" s="17"/>
      <c r="AB274" s="17" t="s">
        <v>1724</v>
      </c>
      <c r="AC274" s="20" t="s">
        <v>3286</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3287</v>
      </c>
      <c r="H275" s="17" t="s">
        <v>1941</v>
      </c>
      <c r="I275" s="17"/>
      <c r="J275" s="17"/>
      <c r="K275" s="17"/>
      <c r="L275" s="17"/>
      <c r="M275" s="18"/>
      <c r="N275" s="17"/>
      <c r="O275" s="18"/>
      <c r="P275" s="19"/>
      <c r="Q275" s="17" t="s">
        <v>3288</v>
      </c>
      <c r="R275" s="17" t="s">
        <v>1719</v>
      </c>
      <c r="S275" s="17" t="s">
        <v>52</v>
      </c>
      <c r="T275" s="17">
        <v>1</v>
      </c>
      <c r="U275" s="17" t="s">
        <v>1720</v>
      </c>
      <c r="V275" s="17" t="s">
        <v>3289</v>
      </c>
      <c r="W275" s="17" t="s">
        <v>3290</v>
      </c>
      <c r="X275" s="70">
        <v>46057.611805555563</v>
      </c>
      <c r="Y275" s="17"/>
      <c r="Z275" s="17">
        <v>0.4</v>
      </c>
      <c r="AA275" s="17"/>
      <c r="AB275" s="17" t="s">
        <v>1724</v>
      </c>
      <c r="AC275" s="20" t="s">
        <v>3291</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3292</v>
      </c>
      <c r="E276" s="17" t="s">
        <v>1727</v>
      </c>
      <c r="F276" s="17" t="s">
        <v>3293</v>
      </c>
      <c r="G276" s="17" t="s">
        <v>3294</v>
      </c>
      <c r="H276" s="17" t="s">
        <v>1991</v>
      </c>
      <c r="I276" s="17" t="s">
        <v>3295</v>
      </c>
      <c r="J276" s="17" t="s">
        <v>2095</v>
      </c>
      <c r="K276" s="17" t="s">
        <v>1744</v>
      </c>
      <c r="L276" s="17" t="s">
        <v>1910</v>
      </c>
      <c r="M276" s="18" t="s">
        <v>1911</v>
      </c>
      <c r="N276" s="17" t="s">
        <v>1912</v>
      </c>
      <c r="O276" s="18" t="s">
        <v>1913</v>
      </c>
      <c r="P276" s="19" t="s">
        <v>3296</v>
      </c>
      <c r="Q276" s="17" t="s">
        <v>3297</v>
      </c>
      <c r="R276" s="17" t="s">
        <v>1719</v>
      </c>
      <c r="S276" s="17" t="s">
        <v>195</v>
      </c>
      <c r="T276" s="17">
        <v>1</v>
      </c>
      <c r="U276" s="17" t="s">
        <v>1720</v>
      </c>
      <c r="V276" s="17" t="s">
        <v>3298</v>
      </c>
      <c r="W276" s="17" t="s">
        <v>3299</v>
      </c>
      <c r="X276" s="70">
        <v>46058.611111111109</v>
      </c>
      <c r="Y276" s="17" t="s">
        <v>3300</v>
      </c>
      <c r="Z276" s="17">
        <v>0.3</v>
      </c>
      <c r="AA276" s="17"/>
      <c r="AB276" s="17" t="s">
        <v>1724</v>
      </c>
      <c r="AC276" s="20" t="s">
        <v>3301</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3302</v>
      </c>
      <c r="H277" s="17" t="s">
        <v>1941</v>
      </c>
      <c r="I277" s="17"/>
      <c r="J277" s="17"/>
      <c r="K277" s="17"/>
      <c r="L277" s="17"/>
      <c r="M277" s="18"/>
      <c r="N277" s="17"/>
      <c r="O277" s="18"/>
      <c r="P277" s="19"/>
      <c r="Q277" s="17" t="s">
        <v>3303</v>
      </c>
      <c r="R277" s="17" t="s">
        <v>1719</v>
      </c>
      <c r="S277" s="17" t="s">
        <v>52</v>
      </c>
      <c r="T277" s="17">
        <v>1</v>
      </c>
      <c r="U277" s="17" t="s">
        <v>1720</v>
      </c>
      <c r="V277" s="17" t="s">
        <v>3304</v>
      </c>
      <c r="W277" s="17" t="s">
        <v>3305</v>
      </c>
      <c r="X277" s="70">
        <v>46057.638194444437</v>
      </c>
      <c r="Y277" s="17"/>
      <c r="Z277" s="17">
        <v>0.3</v>
      </c>
      <c r="AA277" s="17"/>
      <c r="AB277" s="17" t="s">
        <v>1724</v>
      </c>
      <c r="AC277" s="20" t="s">
        <v>3306</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3307</v>
      </c>
      <c r="G278" s="17" t="s">
        <v>3308</v>
      </c>
      <c r="H278" s="17" t="s">
        <v>1941</v>
      </c>
      <c r="I278" s="17"/>
      <c r="J278" s="17"/>
      <c r="K278" s="17"/>
      <c r="L278" s="17"/>
      <c r="M278" s="18"/>
      <c r="N278" s="17"/>
      <c r="O278" s="18"/>
      <c r="P278" s="19"/>
      <c r="Q278" s="17" t="s">
        <v>3309</v>
      </c>
      <c r="R278" s="17" t="s">
        <v>1719</v>
      </c>
      <c r="S278" s="17" t="s">
        <v>52</v>
      </c>
      <c r="T278" s="17">
        <v>1</v>
      </c>
      <c r="U278" s="17" t="s">
        <v>1720</v>
      </c>
      <c r="V278" s="17" t="s">
        <v>3310</v>
      </c>
      <c r="W278" s="17" t="s">
        <v>3311</v>
      </c>
      <c r="X278" s="70">
        <v>46057.652777777781</v>
      </c>
      <c r="Y278" s="17"/>
      <c r="Z278" s="17">
        <v>0.3</v>
      </c>
      <c r="AA278" s="17"/>
      <c r="AB278" s="17" t="s">
        <v>1724</v>
      </c>
      <c r="AC278" s="20" t="s">
        <v>2123</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3261</v>
      </c>
      <c r="H279" s="17" t="s">
        <v>1759</v>
      </c>
      <c r="I279" s="17"/>
      <c r="J279" s="17"/>
      <c r="K279" s="17"/>
      <c r="L279" s="17"/>
      <c r="M279" s="18"/>
      <c r="N279" s="17"/>
      <c r="O279" s="18"/>
      <c r="P279" s="19"/>
      <c r="Q279" s="17" t="s">
        <v>3264</v>
      </c>
      <c r="R279" s="17" t="s">
        <v>1719</v>
      </c>
      <c r="S279" s="17" t="s">
        <v>566</v>
      </c>
      <c r="T279" s="17">
        <v>1</v>
      </c>
      <c r="U279" s="17" t="s">
        <v>1720</v>
      </c>
      <c r="V279" s="17" t="s">
        <v>3312</v>
      </c>
      <c r="W279" s="17" t="s">
        <v>3313</v>
      </c>
      <c r="X279" s="70">
        <v>46057.618055555547</v>
      </c>
      <c r="Y279" s="17"/>
      <c r="Z279" s="17">
        <v>0.3</v>
      </c>
      <c r="AA279" s="17"/>
      <c r="AB279" s="17" t="s">
        <v>1724</v>
      </c>
      <c r="AC279" s="20" t="s">
        <v>3314</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3315</v>
      </c>
      <c r="E280" s="17" t="s">
        <v>1727</v>
      </c>
      <c r="F280" s="17">
        <v>2540</v>
      </c>
      <c r="G280" s="17" t="s">
        <v>2043</v>
      </c>
      <c r="H280" s="17" t="s">
        <v>1771</v>
      </c>
      <c r="I280" s="17" t="s">
        <v>3316</v>
      </c>
      <c r="J280" s="17" t="s">
        <v>2095</v>
      </c>
      <c r="K280" s="17" t="s">
        <v>1744</v>
      </c>
      <c r="L280" s="17" t="s">
        <v>1910</v>
      </c>
      <c r="M280" s="18" t="s">
        <v>1911</v>
      </c>
      <c r="N280" s="17" t="s">
        <v>1912</v>
      </c>
      <c r="O280" s="18" t="s">
        <v>1913</v>
      </c>
      <c r="P280" s="19" t="s">
        <v>3317</v>
      </c>
      <c r="Q280" s="17" t="s">
        <v>2046</v>
      </c>
      <c r="R280" s="17" t="s">
        <v>1719</v>
      </c>
      <c r="S280" s="17" t="s">
        <v>52</v>
      </c>
      <c r="T280" s="17">
        <v>1</v>
      </c>
      <c r="U280" s="17" t="s">
        <v>1720</v>
      </c>
      <c r="V280" s="17" t="s">
        <v>3318</v>
      </c>
      <c r="W280" s="17" t="s">
        <v>3319</v>
      </c>
      <c r="X280" s="70">
        <v>46058.625</v>
      </c>
      <c r="Y280" s="17" t="s">
        <v>3320</v>
      </c>
      <c r="Z280" s="17">
        <v>5</v>
      </c>
      <c r="AA280" s="17"/>
      <c r="AB280" s="17" t="s">
        <v>1724</v>
      </c>
      <c r="AC280" s="20" t="s">
        <v>3321</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3322</v>
      </c>
      <c r="E281" s="17" t="s">
        <v>1727</v>
      </c>
      <c r="F281" s="17">
        <v>2540</v>
      </c>
      <c r="G281" s="17" t="s">
        <v>2043</v>
      </c>
      <c r="H281" s="17" t="s">
        <v>1771</v>
      </c>
      <c r="I281" s="17" t="s">
        <v>3323</v>
      </c>
      <c r="J281" s="17" t="s">
        <v>2095</v>
      </c>
      <c r="K281" s="17" t="s">
        <v>1744</v>
      </c>
      <c r="L281" s="17" t="s">
        <v>1910</v>
      </c>
      <c r="M281" s="18" t="s">
        <v>1911</v>
      </c>
      <c r="N281" s="17" t="s">
        <v>1912</v>
      </c>
      <c r="O281" s="18" t="s">
        <v>1913</v>
      </c>
      <c r="P281" s="19" t="s">
        <v>3324</v>
      </c>
      <c r="Q281" s="17" t="s">
        <v>2046</v>
      </c>
      <c r="R281" s="17" t="s">
        <v>1719</v>
      </c>
      <c r="S281" s="17" t="s">
        <v>52</v>
      </c>
      <c r="T281" s="17">
        <v>1</v>
      </c>
      <c r="U281" s="17" t="s">
        <v>1720</v>
      </c>
      <c r="V281" s="17" t="s">
        <v>3325</v>
      </c>
      <c r="W281" s="17" t="s">
        <v>3319</v>
      </c>
      <c r="X281" s="70">
        <v>46058.625</v>
      </c>
      <c r="Y281" s="17" t="s">
        <v>3326</v>
      </c>
      <c r="Z281" s="17">
        <v>5</v>
      </c>
      <c r="AA281" s="17"/>
      <c r="AB281" s="17" t="s">
        <v>1724</v>
      </c>
      <c r="AC281" s="20" t="s">
        <v>3327</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3328</v>
      </c>
      <c r="H282" s="17" t="s">
        <v>1941</v>
      </c>
      <c r="I282" s="17"/>
      <c r="J282" s="17"/>
      <c r="K282" s="17"/>
      <c r="L282" s="17"/>
      <c r="M282" s="18"/>
      <c r="N282" s="17"/>
      <c r="O282" s="18"/>
      <c r="P282" s="19"/>
      <c r="Q282" s="17" t="s">
        <v>3329</v>
      </c>
      <c r="R282" s="17" t="s">
        <v>1719</v>
      </c>
      <c r="S282" s="17" t="s">
        <v>52</v>
      </c>
      <c r="T282" s="17">
        <v>1</v>
      </c>
      <c r="U282" s="17" t="s">
        <v>1720</v>
      </c>
      <c r="V282" s="17" t="s">
        <v>3330</v>
      </c>
      <c r="W282" s="17" t="s">
        <v>3331</v>
      </c>
      <c r="X282" s="70">
        <v>46057.697222222218</v>
      </c>
      <c r="Y282" s="17"/>
      <c r="Z282" s="17">
        <v>0.7</v>
      </c>
      <c r="AA282" s="17"/>
      <c r="AB282" s="17" t="s">
        <v>1724</v>
      </c>
      <c r="AC282" s="20" t="s">
        <v>3332</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3333</v>
      </c>
      <c r="E283" s="17" t="s">
        <v>1727</v>
      </c>
      <c r="F283" s="17">
        <v>4552</v>
      </c>
      <c r="G283" s="17" t="s">
        <v>3334</v>
      </c>
      <c r="H283" s="17" t="s">
        <v>1742</v>
      </c>
      <c r="I283" s="17" t="s">
        <v>3335</v>
      </c>
      <c r="J283" s="17" t="s">
        <v>2095</v>
      </c>
      <c r="K283" s="17" t="s">
        <v>1744</v>
      </c>
      <c r="L283" s="17" t="s">
        <v>2505</v>
      </c>
      <c r="M283" s="18" t="s">
        <v>2506</v>
      </c>
      <c r="N283" s="17">
        <v>3404</v>
      </c>
      <c r="O283" s="18" t="s">
        <v>3033</v>
      </c>
      <c r="P283" s="19" t="s">
        <v>3336</v>
      </c>
      <c r="Q283" s="17" t="s">
        <v>3337</v>
      </c>
      <c r="R283" s="17" t="s">
        <v>1719</v>
      </c>
      <c r="S283" s="17" t="s">
        <v>206</v>
      </c>
      <c r="T283" s="17">
        <v>1</v>
      </c>
      <c r="U283" s="17" t="s">
        <v>1720</v>
      </c>
      <c r="V283" s="17" t="s">
        <v>3338</v>
      </c>
      <c r="W283" s="17" t="s">
        <v>3331</v>
      </c>
      <c r="X283" s="70">
        <v>46057.708333333343</v>
      </c>
      <c r="Y283" s="17" t="s">
        <v>3339</v>
      </c>
      <c r="Z283" s="17">
        <v>1</v>
      </c>
      <c r="AA283" s="17"/>
      <c r="AB283" s="17" t="s">
        <v>1724</v>
      </c>
      <c r="AC283" s="20" t="s">
        <v>3340</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3334</v>
      </c>
      <c r="H284" s="17" t="s">
        <v>1742</v>
      </c>
      <c r="I284" s="17"/>
      <c r="J284" s="17"/>
      <c r="K284" s="17"/>
      <c r="L284" s="17"/>
      <c r="M284" s="18"/>
      <c r="N284" s="17"/>
      <c r="O284" s="18"/>
      <c r="P284" s="19"/>
      <c r="Q284" s="17" t="s">
        <v>3337</v>
      </c>
      <c r="R284" s="17" t="s">
        <v>1719</v>
      </c>
      <c r="S284" s="17" t="s">
        <v>206</v>
      </c>
      <c r="T284" s="17">
        <v>1</v>
      </c>
      <c r="U284" s="17" t="s">
        <v>1720</v>
      </c>
      <c r="V284" s="17" t="s">
        <v>3341</v>
      </c>
      <c r="W284" s="17" t="s">
        <v>3342</v>
      </c>
      <c r="X284" s="70">
        <v>46057.71875</v>
      </c>
      <c r="Y284" s="17"/>
      <c r="Z284" s="17">
        <v>0.3</v>
      </c>
      <c r="AA284" s="17"/>
      <c r="AB284" s="17" t="s">
        <v>1724</v>
      </c>
      <c r="AC284" s="20" t="s">
        <v>2123</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3067</v>
      </c>
      <c r="H285" s="17" t="s">
        <v>1786</v>
      </c>
      <c r="I285" s="17"/>
      <c r="J285" s="17"/>
      <c r="K285" s="17"/>
      <c r="L285" s="17"/>
      <c r="M285" s="18"/>
      <c r="N285" s="17"/>
      <c r="O285" s="18"/>
      <c r="P285" s="19"/>
      <c r="Q285" s="17" t="s">
        <v>3068</v>
      </c>
      <c r="R285" s="17" t="s">
        <v>1719</v>
      </c>
      <c r="S285" s="17" t="s">
        <v>566</v>
      </c>
      <c r="T285" s="17">
        <v>1</v>
      </c>
      <c r="U285" s="17" t="s">
        <v>1720</v>
      </c>
      <c r="V285" s="17" t="s">
        <v>3343</v>
      </c>
      <c r="W285" s="17" t="s">
        <v>3344</v>
      </c>
      <c r="X285" s="70">
        <v>46058.465277777781</v>
      </c>
      <c r="Y285" s="17"/>
      <c r="Z285" s="17">
        <v>0.4</v>
      </c>
      <c r="AA285" s="17"/>
      <c r="AB285" s="17" t="s">
        <v>1724</v>
      </c>
      <c r="AC285" s="20" t="s">
        <v>3345</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3346</v>
      </c>
      <c r="E286" s="17" t="s">
        <v>1727</v>
      </c>
      <c r="F286" s="17">
        <v>4804</v>
      </c>
      <c r="G286" s="17" t="s">
        <v>3347</v>
      </c>
      <c r="H286" s="17" t="s">
        <v>1759</v>
      </c>
      <c r="I286" s="17" t="s">
        <v>3348</v>
      </c>
      <c r="J286" s="17" t="s">
        <v>1712</v>
      </c>
      <c r="K286" s="17" t="s">
        <v>1744</v>
      </c>
      <c r="L286" s="17" t="s">
        <v>1714</v>
      </c>
      <c r="M286" s="18" t="s">
        <v>1715</v>
      </c>
      <c r="N286" s="17">
        <v>2307</v>
      </c>
      <c r="O286" s="18" t="s">
        <v>1974</v>
      </c>
      <c r="P286" s="19" t="s">
        <v>3349</v>
      </c>
      <c r="Q286" s="17" t="s">
        <v>3350</v>
      </c>
      <c r="R286" s="17" t="s">
        <v>1719</v>
      </c>
      <c r="S286" s="17" t="s">
        <v>566</v>
      </c>
      <c r="T286" s="17">
        <v>1</v>
      </c>
      <c r="U286" s="17" t="s">
        <v>1720</v>
      </c>
      <c r="V286" s="17" t="s">
        <v>3351</v>
      </c>
      <c r="W286" s="17" t="s">
        <v>3352</v>
      </c>
      <c r="X286" s="70">
        <v>46058.612500000003</v>
      </c>
      <c r="Y286" s="17" t="s">
        <v>3353</v>
      </c>
      <c r="Z286" s="17">
        <v>0.5</v>
      </c>
      <c r="AA286" s="17"/>
      <c r="AB286" s="17" t="s">
        <v>1724</v>
      </c>
      <c r="AC286" s="20" t="s">
        <v>3354</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3054</v>
      </c>
      <c r="H287" s="17" t="s">
        <v>1786</v>
      </c>
      <c r="I287" s="17"/>
      <c r="J287" s="17"/>
      <c r="K287" s="17"/>
      <c r="L287" s="17"/>
      <c r="M287" s="18"/>
      <c r="N287" s="17"/>
      <c r="O287" s="18"/>
      <c r="P287" s="19"/>
      <c r="Q287" s="17" t="s">
        <v>3055</v>
      </c>
      <c r="R287" s="17" t="s">
        <v>1719</v>
      </c>
      <c r="S287" s="17" t="s">
        <v>566</v>
      </c>
      <c r="T287" s="17">
        <v>1</v>
      </c>
      <c r="U287" s="17" t="s">
        <v>1720</v>
      </c>
      <c r="V287" s="17" t="s">
        <v>3355</v>
      </c>
      <c r="W287" s="17" t="s">
        <v>3356</v>
      </c>
      <c r="X287" s="70">
        <v>46058.489583333343</v>
      </c>
      <c r="Y287" s="17"/>
      <c r="Z287" s="17">
        <v>0.3</v>
      </c>
      <c r="AA287" s="17"/>
      <c r="AB287" s="17" t="s">
        <v>1724</v>
      </c>
      <c r="AC287" s="20" t="s">
        <v>3357</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3358</v>
      </c>
      <c r="H288" s="17" t="s">
        <v>1759</v>
      </c>
      <c r="I288" s="17"/>
      <c r="J288" s="17"/>
      <c r="K288" s="17"/>
      <c r="L288" s="17"/>
      <c r="M288" s="18"/>
      <c r="N288" s="17"/>
      <c r="O288" s="18"/>
      <c r="P288" s="19"/>
      <c r="Q288" s="17" t="s">
        <v>3359</v>
      </c>
      <c r="R288" s="17" t="s">
        <v>1719</v>
      </c>
      <c r="S288" s="17" t="s">
        <v>566</v>
      </c>
      <c r="T288" s="17">
        <v>1</v>
      </c>
      <c r="U288" s="17" t="s">
        <v>1720</v>
      </c>
      <c r="V288" s="17" t="s">
        <v>3360</v>
      </c>
      <c r="W288" s="17" t="s">
        <v>3361</v>
      </c>
      <c r="X288" s="70">
        <v>46058.545138888891</v>
      </c>
      <c r="Y288" s="17"/>
      <c r="Z288" s="17">
        <v>0.4</v>
      </c>
      <c r="AA288" s="17"/>
      <c r="AB288" s="17" t="s">
        <v>1724</v>
      </c>
      <c r="AC288" s="20" t="s">
        <v>3362</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3363</v>
      </c>
      <c r="H289" s="17" t="s">
        <v>1759</v>
      </c>
      <c r="I289" s="17"/>
      <c r="J289" s="17"/>
      <c r="K289" s="17"/>
      <c r="L289" s="17"/>
      <c r="M289" s="18"/>
      <c r="N289" s="17"/>
      <c r="O289" s="18"/>
      <c r="P289" s="19"/>
      <c r="Q289" s="17" t="s">
        <v>3364</v>
      </c>
      <c r="R289" s="17" t="s">
        <v>1719</v>
      </c>
      <c r="S289" s="17" t="s">
        <v>566</v>
      </c>
      <c r="T289" s="17">
        <v>1</v>
      </c>
      <c r="U289" s="17" t="s">
        <v>1720</v>
      </c>
      <c r="V289" s="17" t="s">
        <v>3365</v>
      </c>
      <c r="W289" s="17" t="s">
        <v>3366</v>
      </c>
      <c r="X289" s="70">
        <v>46058.569444444453</v>
      </c>
      <c r="Y289" s="17"/>
      <c r="Z289" s="17">
        <v>0.4</v>
      </c>
      <c r="AA289" s="17"/>
      <c r="AB289" s="17" t="s">
        <v>1724</v>
      </c>
      <c r="AC289" s="20" t="s">
        <v>3367</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1741</v>
      </c>
      <c r="H290" s="17" t="s">
        <v>1742</v>
      </c>
      <c r="I290" s="17"/>
      <c r="J290" s="17"/>
      <c r="K290" s="17"/>
      <c r="L290" s="17"/>
      <c r="M290" s="18"/>
      <c r="N290" s="17"/>
      <c r="O290" s="18"/>
      <c r="P290" s="19"/>
      <c r="Q290" s="17" t="s">
        <v>1750</v>
      </c>
      <c r="R290" s="17" t="s">
        <v>1719</v>
      </c>
      <c r="S290" s="17" t="s">
        <v>206</v>
      </c>
      <c r="T290" s="17">
        <v>1</v>
      </c>
      <c r="U290" s="17" t="s">
        <v>1720</v>
      </c>
      <c r="V290" s="17" t="s">
        <v>3368</v>
      </c>
      <c r="W290" s="17" t="s">
        <v>3369</v>
      </c>
      <c r="X290" s="70">
        <v>46058.583333333343</v>
      </c>
      <c r="Y290" s="17"/>
      <c r="Z290" s="17">
        <v>3</v>
      </c>
      <c r="AA290" s="17"/>
      <c r="AB290" s="17" t="s">
        <v>1724</v>
      </c>
      <c r="AC290" s="20" t="s">
        <v>3370</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3347</v>
      </c>
      <c r="H291" s="17" t="s">
        <v>1759</v>
      </c>
      <c r="I291" s="17"/>
      <c r="J291" s="17"/>
      <c r="K291" s="17"/>
      <c r="L291" s="17"/>
      <c r="M291" s="18"/>
      <c r="N291" s="17"/>
      <c r="O291" s="18"/>
      <c r="P291" s="19"/>
      <c r="Q291" s="17" t="s">
        <v>3350</v>
      </c>
      <c r="R291" s="17" t="s">
        <v>1719</v>
      </c>
      <c r="S291" s="17" t="s">
        <v>566</v>
      </c>
      <c r="T291" s="17">
        <v>1</v>
      </c>
      <c r="U291" s="17" t="s">
        <v>1720</v>
      </c>
      <c r="V291" s="17" t="s">
        <v>3371</v>
      </c>
      <c r="W291" s="17" t="s">
        <v>3372</v>
      </c>
      <c r="X291" s="70">
        <v>46058.59375</v>
      </c>
      <c r="Y291" s="17"/>
      <c r="Z291" s="17">
        <v>0.4</v>
      </c>
      <c r="AA291" s="17"/>
      <c r="AB291" s="17" t="s">
        <v>1724</v>
      </c>
      <c r="AC291" s="20" t="s">
        <v>3373</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3293</v>
      </c>
      <c r="G292" s="17" t="s">
        <v>3294</v>
      </c>
      <c r="H292" s="17" t="s">
        <v>1991</v>
      </c>
      <c r="I292" s="17"/>
      <c r="J292" s="17"/>
      <c r="K292" s="17"/>
      <c r="L292" s="17"/>
      <c r="M292" s="18"/>
      <c r="N292" s="17"/>
      <c r="O292" s="18"/>
      <c r="P292" s="19"/>
      <c r="Q292" s="17" t="s">
        <v>3297</v>
      </c>
      <c r="R292" s="17" t="s">
        <v>1719</v>
      </c>
      <c r="S292" s="17" t="s">
        <v>195</v>
      </c>
      <c r="T292" s="17">
        <v>1</v>
      </c>
      <c r="U292" s="17" t="s">
        <v>1720</v>
      </c>
      <c r="V292" s="17" t="s">
        <v>3374</v>
      </c>
      <c r="W292" s="17" t="s">
        <v>3375</v>
      </c>
      <c r="X292" s="70">
        <v>46058.587500000001</v>
      </c>
      <c r="Y292" s="17"/>
      <c r="Z292" s="17">
        <v>0.3</v>
      </c>
      <c r="AA292" s="17"/>
      <c r="AB292" s="17" t="s">
        <v>1724</v>
      </c>
      <c r="AC292" s="20" t="s">
        <v>2123</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3376</v>
      </c>
      <c r="E293" s="17" t="s">
        <v>1727</v>
      </c>
      <c r="F293" s="17">
        <v>5428</v>
      </c>
      <c r="G293" s="17" t="s">
        <v>2367</v>
      </c>
      <c r="H293" s="17" t="s">
        <v>1759</v>
      </c>
      <c r="I293" s="17" t="s">
        <v>3377</v>
      </c>
      <c r="J293" s="17" t="s">
        <v>1712</v>
      </c>
      <c r="K293" s="17" t="s">
        <v>1744</v>
      </c>
      <c r="L293" s="17" t="s">
        <v>2505</v>
      </c>
      <c r="M293" s="18" t="s">
        <v>2506</v>
      </c>
      <c r="N293" s="17">
        <v>3404</v>
      </c>
      <c r="O293" s="18" t="s">
        <v>3033</v>
      </c>
      <c r="P293" s="19" t="s">
        <v>3378</v>
      </c>
      <c r="Q293" s="17" t="s">
        <v>2370</v>
      </c>
      <c r="R293" s="17" t="s">
        <v>1719</v>
      </c>
      <c r="S293" s="17" t="s">
        <v>566</v>
      </c>
      <c r="T293" s="17">
        <v>1</v>
      </c>
      <c r="U293" s="17" t="s">
        <v>1720</v>
      </c>
      <c r="V293" s="17" t="s">
        <v>3379</v>
      </c>
      <c r="W293" s="17" t="s">
        <v>3380</v>
      </c>
      <c r="X293" s="70">
        <v>46058.638888888891</v>
      </c>
      <c r="Y293" s="17" t="s">
        <v>3381</v>
      </c>
      <c r="Z293" s="17">
        <v>0.4</v>
      </c>
      <c r="AA293" s="17"/>
      <c r="AB293" s="17" t="s">
        <v>1724</v>
      </c>
      <c r="AC293" s="20" t="s">
        <v>3382</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3383</v>
      </c>
      <c r="E294" s="17" t="s">
        <v>1727</v>
      </c>
      <c r="F294" s="17">
        <v>5457</v>
      </c>
      <c r="G294" s="17" t="s">
        <v>2420</v>
      </c>
      <c r="H294" s="17" t="s">
        <v>1759</v>
      </c>
      <c r="I294" s="17" t="s">
        <v>3384</v>
      </c>
      <c r="J294" s="17" t="s">
        <v>1788</v>
      </c>
      <c r="K294" s="17" t="s">
        <v>1713</v>
      </c>
      <c r="L294" s="17" t="s">
        <v>1930</v>
      </c>
      <c r="M294" s="18" t="s">
        <v>1931</v>
      </c>
      <c r="N294" s="17">
        <v>2405</v>
      </c>
      <c r="O294" s="18" t="s">
        <v>1932</v>
      </c>
      <c r="P294" s="19" t="s">
        <v>3385</v>
      </c>
      <c r="Q294" s="17" t="s">
        <v>2423</v>
      </c>
      <c r="R294" s="17" t="s">
        <v>1719</v>
      </c>
      <c r="S294" s="17" t="s">
        <v>566</v>
      </c>
      <c r="T294" s="17">
        <v>1</v>
      </c>
      <c r="U294" s="17" t="s">
        <v>1720</v>
      </c>
      <c r="V294" s="17" t="s">
        <v>3386</v>
      </c>
      <c r="W294" s="17" t="s">
        <v>3387</v>
      </c>
      <c r="X294" s="70">
        <v>46059.716666666667</v>
      </c>
      <c r="Y294" s="17" t="s">
        <v>3388</v>
      </c>
      <c r="Z294" s="17">
        <v>1.7</v>
      </c>
      <c r="AA294" s="17"/>
      <c r="AB294" s="17" t="s">
        <v>1724</v>
      </c>
      <c r="AC294" s="20" t="s">
        <v>3389</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3390</v>
      </c>
      <c r="H295" s="17" t="s">
        <v>1812</v>
      </c>
      <c r="I295" s="17"/>
      <c r="J295" s="17"/>
      <c r="K295" s="17"/>
      <c r="L295" s="17"/>
      <c r="M295" s="18"/>
      <c r="N295" s="17"/>
      <c r="O295" s="18"/>
      <c r="P295" s="19"/>
      <c r="Q295" s="17" t="s">
        <v>3391</v>
      </c>
      <c r="R295" s="17" t="s">
        <v>1719</v>
      </c>
      <c r="S295" s="17" t="s">
        <v>52</v>
      </c>
      <c r="T295" s="17">
        <v>1</v>
      </c>
      <c r="U295" s="17" t="s">
        <v>1720</v>
      </c>
      <c r="V295" s="17" t="s">
        <v>3392</v>
      </c>
      <c r="W295" s="17" t="s">
        <v>3393</v>
      </c>
      <c r="X295" s="70">
        <v>46059.416666666657</v>
      </c>
      <c r="Y295" s="17"/>
      <c r="Z295" s="17">
        <v>0.5</v>
      </c>
      <c r="AA295" s="17"/>
      <c r="AB295" s="17" t="s">
        <v>1724</v>
      </c>
      <c r="AC295" s="20" t="s">
        <v>3394</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3395</v>
      </c>
      <c r="H296" s="17" t="s">
        <v>1786</v>
      </c>
      <c r="I296" s="17"/>
      <c r="J296" s="17"/>
      <c r="K296" s="17"/>
      <c r="L296" s="17"/>
      <c r="M296" s="18"/>
      <c r="N296" s="17"/>
      <c r="O296" s="18"/>
      <c r="P296" s="19"/>
      <c r="Q296" s="17" t="s">
        <v>3396</v>
      </c>
      <c r="R296" s="17" t="s">
        <v>1719</v>
      </c>
      <c r="S296" s="17" t="s">
        <v>566</v>
      </c>
      <c r="T296" s="17">
        <v>1</v>
      </c>
      <c r="U296" s="17" t="s">
        <v>1720</v>
      </c>
      <c r="V296" s="17" t="s">
        <v>3397</v>
      </c>
      <c r="W296" s="17" t="s">
        <v>3398</v>
      </c>
      <c r="X296" s="70">
        <v>46059.506944444453</v>
      </c>
      <c r="Y296" s="17"/>
      <c r="Z296" s="17">
        <v>0.4</v>
      </c>
      <c r="AA296" s="17"/>
      <c r="AB296" s="17" t="s">
        <v>1724</v>
      </c>
      <c r="AC296" s="20" t="s">
        <v>3399</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3400</v>
      </c>
      <c r="H297" s="17" t="s">
        <v>1812</v>
      </c>
      <c r="I297" s="17"/>
      <c r="J297" s="17"/>
      <c r="K297" s="17"/>
      <c r="L297" s="17"/>
      <c r="M297" s="18"/>
      <c r="N297" s="17"/>
      <c r="O297" s="18"/>
      <c r="P297" s="19"/>
      <c r="Q297" s="17" t="s">
        <v>3401</v>
      </c>
      <c r="R297" s="17" t="s">
        <v>1719</v>
      </c>
      <c r="S297" s="17" t="s">
        <v>52</v>
      </c>
      <c r="T297" s="17">
        <v>1</v>
      </c>
      <c r="U297" s="17" t="s">
        <v>1720</v>
      </c>
      <c r="V297" s="17" t="s">
        <v>3402</v>
      </c>
      <c r="W297" s="17" t="s">
        <v>3403</v>
      </c>
      <c r="X297" s="70">
        <v>46059.444444444453</v>
      </c>
      <c r="Y297" s="17"/>
      <c r="Z297" s="17">
        <v>0.3</v>
      </c>
      <c r="AA297" s="17"/>
      <c r="AB297" s="17" t="s">
        <v>1724</v>
      </c>
      <c r="AC297" s="20" t="s">
        <v>3404</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3405</v>
      </c>
      <c r="G298" s="17" t="s">
        <v>3406</v>
      </c>
      <c r="H298" s="17" t="s">
        <v>1812</v>
      </c>
      <c r="I298" s="17"/>
      <c r="J298" s="17"/>
      <c r="K298" s="17"/>
      <c r="L298" s="17"/>
      <c r="M298" s="18"/>
      <c r="N298" s="17"/>
      <c r="O298" s="18"/>
      <c r="P298" s="19"/>
      <c r="Q298" s="17" t="s">
        <v>3407</v>
      </c>
      <c r="R298" s="17" t="s">
        <v>1719</v>
      </c>
      <c r="S298" s="17" t="s">
        <v>52</v>
      </c>
      <c r="T298" s="17">
        <v>1</v>
      </c>
      <c r="U298" s="17" t="s">
        <v>1720</v>
      </c>
      <c r="V298" s="17" t="s">
        <v>3408</v>
      </c>
      <c r="W298" s="17" t="s">
        <v>3409</v>
      </c>
      <c r="X298" s="70">
        <v>46059.479166666657</v>
      </c>
      <c r="Y298" s="17"/>
      <c r="Z298" s="17">
        <v>0.5</v>
      </c>
      <c r="AA298" s="17"/>
      <c r="AB298" s="17" t="s">
        <v>1724</v>
      </c>
      <c r="AC298" s="20" t="s">
        <v>3410</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3411</v>
      </c>
      <c r="H299" s="17" t="s">
        <v>1812</v>
      </c>
      <c r="I299" s="17"/>
      <c r="J299" s="17"/>
      <c r="K299" s="17"/>
      <c r="L299" s="17"/>
      <c r="M299" s="18"/>
      <c r="N299" s="17"/>
      <c r="O299" s="18"/>
      <c r="P299" s="19"/>
      <c r="Q299" s="17" t="s">
        <v>3412</v>
      </c>
      <c r="R299" s="17" t="s">
        <v>1719</v>
      </c>
      <c r="S299" s="17" t="s">
        <v>52</v>
      </c>
      <c r="T299" s="17">
        <v>1</v>
      </c>
      <c r="U299" s="17" t="s">
        <v>1720</v>
      </c>
      <c r="V299" s="17" t="s">
        <v>3413</v>
      </c>
      <c r="W299" s="17" t="s">
        <v>3414</v>
      </c>
      <c r="X299" s="70">
        <v>46059.5625</v>
      </c>
      <c r="Y299" s="17"/>
      <c r="Z299" s="17">
        <v>0.5</v>
      </c>
      <c r="AA299" s="17"/>
      <c r="AB299" s="17" t="s">
        <v>1724</v>
      </c>
      <c r="AC299" s="20" t="s">
        <v>3415</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3416</v>
      </c>
      <c r="H300" s="17" t="s">
        <v>1812</v>
      </c>
      <c r="I300" s="17"/>
      <c r="J300" s="17"/>
      <c r="K300" s="17"/>
      <c r="L300" s="17"/>
      <c r="M300" s="18"/>
      <c r="N300" s="17"/>
      <c r="O300" s="18"/>
      <c r="P300" s="19"/>
      <c r="Q300" s="17" t="s">
        <v>3417</v>
      </c>
      <c r="R300" s="17" t="s">
        <v>1719</v>
      </c>
      <c r="S300" s="17" t="s">
        <v>52</v>
      </c>
      <c r="T300" s="17">
        <v>1</v>
      </c>
      <c r="U300" s="17" t="s">
        <v>1720</v>
      </c>
      <c r="V300" s="17" t="s">
        <v>3418</v>
      </c>
      <c r="W300" s="17" t="s">
        <v>3419</v>
      </c>
      <c r="X300" s="70">
        <v>46059.576388888891</v>
      </c>
      <c r="Y300" s="17"/>
      <c r="Z300" s="17">
        <v>0.3</v>
      </c>
      <c r="AA300" s="17"/>
      <c r="AB300" s="17" t="s">
        <v>1724</v>
      </c>
      <c r="AC300" s="20" t="s">
        <v>3420</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3421</v>
      </c>
      <c r="H301" s="17" t="s">
        <v>1812</v>
      </c>
      <c r="I301" s="17"/>
      <c r="J301" s="17"/>
      <c r="K301" s="17"/>
      <c r="L301" s="17"/>
      <c r="M301" s="18"/>
      <c r="N301" s="17"/>
      <c r="O301" s="18"/>
      <c r="P301" s="19"/>
      <c r="Q301" s="17" t="s">
        <v>3422</v>
      </c>
      <c r="R301" s="17" t="s">
        <v>1719</v>
      </c>
      <c r="S301" s="17" t="s">
        <v>52</v>
      </c>
      <c r="T301" s="17">
        <v>1</v>
      </c>
      <c r="U301" s="17" t="s">
        <v>1720</v>
      </c>
      <c r="V301" s="17" t="s">
        <v>3423</v>
      </c>
      <c r="W301" s="17" t="s">
        <v>3424</v>
      </c>
      <c r="X301" s="70">
        <v>46059.597222222219</v>
      </c>
      <c r="Y301" s="17"/>
      <c r="Z301" s="17">
        <v>0.3</v>
      </c>
      <c r="AA301" s="17"/>
      <c r="AB301" s="17" t="s">
        <v>1724</v>
      </c>
      <c r="AC301" s="20" t="s">
        <v>3425</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3426</v>
      </c>
      <c r="H302" s="17" t="s">
        <v>1812</v>
      </c>
      <c r="I302" s="17"/>
      <c r="J302" s="17"/>
      <c r="K302" s="17"/>
      <c r="L302" s="17"/>
      <c r="M302" s="18"/>
      <c r="N302" s="17"/>
      <c r="O302" s="18"/>
      <c r="P302" s="19"/>
      <c r="Q302" s="17" t="s">
        <v>3427</v>
      </c>
      <c r="R302" s="17" t="s">
        <v>1719</v>
      </c>
      <c r="S302" s="17" t="s">
        <v>52</v>
      </c>
      <c r="T302" s="17">
        <v>1</v>
      </c>
      <c r="U302" s="17" t="s">
        <v>1720</v>
      </c>
      <c r="V302" s="17" t="s">
        <v>3428</v>
      </c>
      <c r="W302" s="17" t="s">
        <v>3429</v>
      </c>
      <c r="X302" s="70">
        <v>46059.638888888891</v>
      </c>
      <c r="Y302" s="17"/>
      <c r="Z302" s="17">
        <v>0.3</v>
      </c>
      <c r="AA302" s="17"/>
      <c r="AB302" s="17" t="s">
        <v>1724</v>
      </c>
      <c r="AC302" s="20" t="s">
        <v>3430</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3431</v>
      </c>
      <c r="H303" s="17" t="s">
        <v>1812</v>
      </c>
      <c r="I303" s="17"/>
      <c r="J303" s="17"/>
      <c r="K303" s="17"/>
      <c r="L303" s="17"/>
      <c r="M303" s="18"/>
      <c r="N303" s="17"/>
      <c r="O303" s="18"/>
      <c r="P303" s="19"/>
      <c r="Q303" s="17" t="s">
        <v>3432</v>
      </c>
      <c r="R303" s="17" t="s">
        <v>1719</v>
      </c>
      <c r="S303" s="17" t="s">
        <v>52</v>
      </c>
      <c r="T303" s="17">
        <v>1</v>
      </c>
      <c r="U303" s="17" t="s">
        <v>1720</v>
      </c>
      <c r="V303" s="17" t="s">
        <v>3433</v>
      </c>
      <c r="W303" s="17" t="s">
        <v>3387</v>
      </c>
      <c r="X303" s="70">
        <v>46059.659722222219</v>
      </c>
      <c r="Y303" s="17"/>
      <c r="Z303" s="17">
        <v>0.3</v>
      </c>
      <c r="AA303" s="17"/>
      <c r="AB303" s="17" t="s">
        <v>1724</v>
      </c>
      <c r="AC303" s="20" t="s">
        <v>3434</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3435</v>
      </c>
      <c r="H304" s="17" t="s">
        <v>1812</v>
      </c>
      <c r="I304" s="17"/>
      <c r="J304" s="17"/>
      <c r="K304" s="17"/>
      <c r="L304" s="17"/>
      <c r="M304" s="18"/>
      <c r="N304" s="17"/>
      <c r="O304" s="18"/>
      <c r="P304" s="19"/>
      <c r="Q304" s="17" t="s">
        <v>3436</v>
      </c>
      <c r="R304" s="17" t="s">
        <v>1719</v>
      </c>
      <c r="S304" s="17" t="s">
        <v>52</v>
      </c>
      <c r="T304" s="17">
        <v>1</v>
      </c>
      <c r="U304" s="17" t="s">
        <v>1720</v>
      </c>
      <c r="V304" s="17" t="s">
        <v>3437</v>
      </c>
      <c r="W304" s="17" t="s">
        <v>3438</v>
      </c>
      <c r="X304" s="70">
        <v>46059.680555555547</v>
      </c>
      <c r="Y304" s="17"/>
      <c r="Z304" s="17">
        <v>0.3</v>
      </c>
      <c r="AA304" s="17"/>
      <c r="AB304" s="17" t="s">
        <v>1724</v>
      </c>
      <c r="AC304" s="20" t="s">
        <v>3439</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3440</v>
      </c>
      <c r="E305" s="17" t="s">
        <v>1727</v>
      </c>
      <c r="F305" s="17">
        <v>4163</v>
      </c>
      <c r="G305" s="17" t="s">
        <v>3441</v>
      </c>
      <c r="H305" s="17" t="s">
        <v>1742</v>
      </c>
      <c r="I305" s="17" t="s">
        <v>3442</v>
      </c>
      <c r="J305" s="17" t="s">
        <v>1788</v>
      </c>
      <c r="K305" s="17" t="s">
        <v>1849</v>
      </c>
      <c r="L305" s="17" t="s">
        <v>1789</v>
      </c>
      <c r="M305" s="18" t="s">
        <v>1790</v>
      </c>
      <c r="N305" s="17" t="s">
        <v>2812</v>
      </c>
      <c r="O305" s="18" t="s">
        <v>2813</v>
      </c>
      <c r="P305" s="19" t="s">
        <v>3443</v>
      </c>
      <c r="Q305" s="17" t="s">
        <v>3444</v>
      </c>
      <c r="R305" s="17" t="s">
        <v>1719</v>
      </c>
      <c r="S305" s="17" t="s">
        <v>206</v>
      </c>
      <c r="T305" s="17">
        <v>1</v>
      </c>
      <c r="U305" s="17" t="s">
        <v>1720</v>
      </c>
      <c r="V305" s="17" t="s">
        <v>3445</v>
      </c>
      <c r="W305" s="17" t="s">
        <v>3446</v>
      </c>
      <c r="X305" s="70">
        <v>46062.4375</v>
      </c>
      <c r="Y305" s="17" t="s">
        <v>3447</v>
      </c>
      <c r="Z305" s="17">
        <v>0.5</v>
      </c>
      <c r="AA305" s="17"/>
      <c r="AB305" s="17" t="s">
        <v>1724</v>
      </c>
      <c r="AC305" s="20" t="s">
        <v>3448</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3449</v>
      </c>
      <c r="E306" s="17" t="s">
        <v>1727</v>
      </c>
      <c r="F306" s="17">
        <v>3853</v>
      </c>
      <c r="G306" s="17" t="s">
        <v>3450</v>
      </c>
      <c r="H306" s="17" t="s">
        <v>1991</v>
      </c>
      <c r="I306" s="17" t="s">
        <v>3451</v>
      </c>
      <c r="J306" s="17" t="s">
        <v>1862</v>
      </c>
      <c r="K306" s="17" t="s">
        <v>1713</v>
      </c>
      <c r="L306" s="17" t="s">
        <v>1714</v>
      </c>
      <c r="M306" s="18" t="s">
        <v>1715</v>
      </c>
      <c r="N306" s="17">
        <v>2307</v>
      </c>
      <c r="O306" s="18" t="s">
        <v>1974</v>
      </c>
      <c r="P306" s="19" t="s">
        <v>3452</v>
      </c>
      <c r="Q306" s="17" t="s">
        <v>3453</v>
      </c>
      <c r="R306" s="17" t="s">
        <v>1719</v>
      </c>
      <c r="S306" s="17" t="s">
        <v>195</v>
      </c>
      <c r="T306" s="17">
        <v>1</v>
      </c>
      <c r="U306" s="17" t="s">
        <v>1720</v>
      </c>
      <c r="V306" s="17" t="s">
        <v>3454</v>
      </c>
      <c r="W306" s="17" t="s">
        <v>3455</v>
      </c>
      <c r="X306" s="70">
        <v>46063.47152777778</v>
      </c>
      <c r="Y306" s="17" t="s">
        <v>3456</v>
      </c>
      <c r="Z306" s="17">
        <v>0.6</v>
      </c>
      <c r="AA306" s="17"/>
      <c r="AB306" s="17" t="s">
        <v>1724</v>
      </c>
      <c r="AC306" s="20" t="s">
        <v>3457</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3458</v>
      </c>
      <c r="E307" s="17" t="s">
        <v>1727</v>
      </c>
      <c r="F307" s="17">
        <v>3853</v>
      </c>
      <c r="G307" s="17" t="s">
        <v>3450</v>
      </c>
      <c r="H307" s="17" t="s">
        <v>1991</v>
      </c>
      <c r="I307" s="17" t="s">
        <v>3459</v>
      </c>
      <c r="J307" s="17" t="s">
        <v>1862</v>
      </c>
      <c r="K307" s="17" t="s">
        <v>1713</v>
      </c>
      <c r="L307" s="17" t="s">
        <v>1910</v>
      </c>
      <c r="M307" s="18" t="s">
        <v>1911</v>
      </c>
      <c r="N307" s="17" t="s">
        <v>1912</v>
      </c>
      <c r="O307" s="18" t="s">
        <v>1913</v>
      </c>
      <c r="P307" s="19" t="s">
        <v>3460</v>
      </c>
      <c r="Q307" s="17" t="s">
        <v>3453</v>
      </c>
      <c r="R307" s="17" t="s">
        <v>1719</v>
      </c>
      <c r="S307" s="17" t="s">
        <v>195</v>
      </c>
      <c r="T307" s="17">
        <v>1</v>
      </c>
      <c r="U307" s="17" t="s">
        <v>1720</v>
      </c>
      <c r="V307" s="17" t="s">
        <v>3461</v>
      </c>
      <c r="W307" s="17" t="s">
        <v>3455</v>
      </c>
      <c r="X307" s="70">
        <v>46063.47152777778</v>
      </c>
      <c r="Y307" s="17" t="s">
        <v>3456</v>
      </c>
      <c r="Z307" s="17">
        <v>0.6</v>
      </c>
      <c r="AA307" s="17"/>
      <c r="AB307" s="17" t="s">
        <v>1724</v>
      </c>
      <c r="AC307" s="20" t="s">
        <v>3462</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3463</v>
      </c>
      <c r="E308" s="17" t="s">
        <v>1727</v>
      </c>
      <c r="F308" s="17">
        <v>3853</v>
      </c>
      <c r="G308" s="17" t="s">
        <v>3450</v>
      </c>
      <c r="H308" s="17" t="s">
        <v>1991</v>
      </c>
      <c r="I308" s="17" t="s">
        <v>3464</v>
      </c>
      <c r="J308" s="17" t="s">
        <v>1862</v>
      </c>
      <c r="K308" s="17" t="s">
        <v>1713</v>
      </c>
      <c r="L308" s="17" t="s">
        <v>1910</v>
      </c>
      <c r="M308" s="18" t="s">
        <v>1911</v>
      </c>
      <c r="N308" s="17" t="s">
        <v>1912</v>
      </c>
      <c r="O308" s="18" t="s">
        <v>1913</v>
      </c>
      <c r="P308" s="19" t="s">
        <v>3465</v>
      </c>
      <c r="Q308" s="17" t="s">
        <v>3453</v>
      </c>
      <c r="R308" s="17" t="s">
        <v>1719</v>
      </c>
      <c r="S308" s="17" t="s">
        <v>195</v>
      </c>
      <c r="T308" s="17">
        <v>1</v>
      </c>
      <c r="U308" s="17" t="s">
        <v>1720</v>
      </c>
      <c r="V308" s="17" t="s">
        <v>3466</v>
      </c>
      <c r="W308" s="17" t="s">
        <v>3455</v>
      </c>
      <c r="X308" s="70">
        <v>46063.470833333333</v>
      </c>
      <c r="Y308" s="17" t="s">
        <v>3456</v>
      </c>
      <c r="Z308" s="17">
        <v>0.6</v>
      </c>
      <c r="AA308" s="17"/>
      <c r="AB308" s="17" t="s">
        <v>1724</v>
      </c>
      <c r="AC308" s="20" t="s">
        <v>3462</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3467</v>
      </c>
      <c r="E309" s="17" t="s">
        <v>1708</v>
      </c>
      <c r="F309" s="17">
        <v>4528</v>
      </c>
      <c r="G309" s="17" t="s">
        <v>2077</v>
      </c>
      <c r="H309" s="17" t="s">
        <v>1710</v>
      </c>
      <c r="I309" s="17" t="s">
        <v>3468</v>
      </c>
      <c r="J309" s="17" t="s">
        <v>1862</v>
      </c>
      <c r="K309" s="17" t="s">
        <v>1713</v>
      </c>
      <c r="L309" s="17" t="s">
        <v>1714</v>
      </c>
      <c r="M309" s="18" t="s">
        <v>1715</v>
      </c>
      <c r="N309" s="17">
        <v>2301</v>
      </c>
      <c r="O309" s="18" t="s">
        <v>3469</v>
      </c>
      <c r="P309" s="19" t="s">
        <v>3470</v>
      </c>
      <c r="Q309" s="17" t="s">
        <v>2078</v>
      </c>
      <c r="R309" s="17" t="s">
        <v>1719</v>
      </c>
      <c r="S309" s="17" t="s">
        <v>52</v>
      </c>
      <c r="T309" s="17">
        <v>1</v>
      </c>
      <c r="U309" s="17" t="s">
        <v>1720</v>
      </c>
      <c r="V309" s="17" t="s">
        <v>3471</v>
      </c>
      <c r="W309" s="17" t="s">
        <v>3472</v>
      </c>
      <c r="X309" s="70">
        <v>46060.6875</v>
      </c>
      <c r="Y309" s="17" t="s">
        <v>3473</v>
      </c>
      <c r="Z309" s="17">
        <v>2.5</v>
      </c>
      <c r="AA309" s="17"/>
      <c r="AB309" s="17" t="s">
        <v>1724</v>
      </c>
      <c r="AC309" s="20" t="s">
        <v>3474</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3475</v>
      </c>
      <c r="E310" s="17" t="s">
        <v>1727</v>
      </c>
      <c r="F310" s="17" t="s">
        <v>2977</v>
      </c>
      <c r="G310" s="17" t="s">
        <v>2978</v>
      </c>
      <c r="H310" s="17" t="s">
        <v>1759</v>
      </c>
      <c r="I310" s="17" t="s">
        <v>3476</v>
      </c>
      <c r="J310" s="17" t="s">
        <v>1862</v>
      </c>
      <c r="K310" s="17" t="s">
        <v>1744</v>
      </c>
      <c r="L310" s="17" t="s">
        <v>1714</v>
      </c>
      <c r="M310" s="18" t="s">
        <v>1715</v>
      </c>
      <c r="N310" s="17">
        <v>2301</v>
      </c>
      <c r="O310" s="18" t="s">
        <v>3469</v>
      </c>
      <c r="P310" s="19" t="s">
        <v>3477</v>
      </c>
      <c r="Q310" s="17" t="s">
        <v>2979</v>
      </c>
      <c r="R310" s="17" t="s">
        <v>1719</v>
      </c>
      <c r="S310" s="17" t="s">
        <v>566</v>
      </c>
      <c r="T310" s="17">
        <v>1</v>
      </c>
      <c r="U310" s="17" t="s">
        <v>1720</v>
      </c>
      <c r="V310" s="17" t="s">
        <v>3478</v>
      </c>
      <c r="W310" s="17" t="s">
        <v>3479</v>
      </c>
      <c r="X310" s="70">
        <v>46062.645833333343</v>
      </c>
      <c r="Y310" s="17" t="s">
        <v>3456</v>
      </c>
      <c r="Z310" s="17">
        <v>2</v>
      </c>
      <c r="AA310" s="17"/>
      <c r="AB310" s="17" t="s">
        <v>1724</v>
      </c>
      <c r="AC310" s="20" t="s">
        <v>3480</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3481</v>
      </c>
      <c r="E311" s="17" t="s">
        <v>1727</v>
      </c>
      <c r="F311" s="17">
        <v>4008</v>
      </c>
      <c r="G311" s="17" t="s">
        <v>3235</v>
      </c>
      <c r="H311" s="17" t="s">
        <v>1786</v>
      </c>
      <c r="I311" s="17" t="s">
        <v>3482</v>
      </c>
      <c r="J311" s="17" t="s">
        <v>1862</v>
      </c>
      <c r="K311" s="17" t="s">
        <v>1744</v>
      </c>
      <c r="L311" s="17" t="s">
        <v>1734</v>
      </c>
      <c r="M311" s="18" t="s">
        <v>1735</v>
      </c>
      <c r="N311" s="17">
        <v>2501</v>
      </c>
      <c r="O311" s="18" t="s">
        <v>1736</v>
      </c>
      <c r="P311" s="19" t="s">
        <v>3483</v>
      </c>
      <c r="Q311" s="17" t="s">
        <v>3236</v>
      </c>
      <c r="R311" s="17" t="s">
        <v>1719</v>
      </c>
      <c r="S311" s="17" t="s">
        <v>566</v>
      </c>
      <c r="T311" s="17">
        <v>1</v>
      </c>
      <c r="U311" s="17" t="s">
        <v>1720</v>
      </c>
      <c r="V311" s="17" t="s">
        <v>3484</v>
      </c>
      <c r="W311" s="17" t="s">
        <v>3485</v>
      </c>
      <c r="X311" s="70">
        <v>46062.729166666657</v>
      </c>
      <c r="Y311" s="17" t="s">
        <v>3456</v>
      </c>
      <c r="Z311" s="17">
        <v>0.5</v>
      </c>
      <c r="AA311" s="17"/>
      <c r="AB311" s="17" t="s">
        <v>1724</v>
      </c>
      <c r="AC311" s="20" t="s">
        <v>3486</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3487</v>
      </c>
      <c r="E312" s="17" t="s">
        <v>1727</v>
      </c>
      <c r="F312" s="17" t="s">
        <v>2916</v>
      </c>
      <c r="G312" s="17" t="s">
        <v>2917</v>
      </c>
      <c r="H312" s="17" t="s">
        <v>1771</v>
      </c>
      <c r="I312" s="17" t="s">
        <v>3488</v>
      </c>
      <c r="J312" s="17" t="s">
        <v>1862</v>
      </c>
      <c r="K312" s="17" t="s">
        <v>1849</v>
      </c>
      <c r="L312" s="17" t="s">
        <v>1850</v>
      </c>
      <c r="M312" s="18" t="s">
        <v>1851</v>
      </c>
      <c r="N312" s="17">
        <v>5903</v>
      </c>
      <c r="O312" s="18" t="s">
        <v>1852</v>
      </c>
      <c r="P312" s="19" t="s">
        <v>3489</v>
      </c>
      <c r="Q312" s="17" t="s">
        <v>2920</v>
      </c>
      <c r="R312" s="17" t="s">
        <v>1719</v>
      </c>
      <c r="S312" s="17" t="s">
        <v>52</v>
      </c>
      <c r="T312" s="17">
        <v>1</v>
      </c>
      <c r="U312" s="17" t="s">
        <v>1720</v>
      </c>
      <c r="V312" s="17" t="s">
        <v>3490</v>
      </c>
      <c r="W312" s="17" t="s">
        <v>3491</v>
      </c>
      <c r="X312" s="70">
        <v>46062.570833333331</v>
      </c>
      <c r="Y312" s="17" t="s">
        <v>3456</v>
      </c>
      <c r="Z312" s="17">
        <v>0.5</v>
      </c>
      <c r="AA312" s="17"/>
      <c r="AB312" s="17" t="s">
        <v>1724</v>
      </c>
      <c r="AC312" s="20" t="s">
        <v>3492</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3493</v>
      </c>
      <c r="E313" s="17" t="s">
        <v>1708</v>
      </c>
      <c r="F313" s="17">
        <v>4155</v>
      </c>
      <c r="G313" s="17" t="s">
        <v>2328</v>
      </c>
      <c r="H313" s="17" t="s">
        <v>1759</v>
      </c>
      <c r="I313" s="17" t="s">
        <v>3494</v>
      </c>
      <c r="J313" s="17" t="s">
        <v>1899</v>
      </c>
      <c r="K313" s="17" t="s">
        <v>1713</v>
      </c>
      <c r="L313" s="17" t="s">
        <v>1930</v>
      </c>
      <c r="M313" s="18" t="s">
        <v>1931</v>
      </c>
      <c r="N313" s="17">
        <v>2401</v>
      </c>
      <c r="O313" s="18" t="s">
        <v>1944</v>
      </c>
      <c r="P313" s="19" t="s">
        <v>3495</v>
      </c>
      <c r="Q313" s="17" t="s">
        <v>2331</v>
      </c>
      <c r="R313" s="17" t="s">
        <v>1719</v>
      </c>
      <c r="S313" s="17" t="s">
        <v>52</v>
      </c>
      <c r="T313" s="17">
        <v>1</v>
      </c>
      <c r="U313" s="17" t="s">
        <v>1720</v>
      </c>
      <c r="V313" s="17" t="s">
        <v>3496</v>
      </c>
      <c r="W313" s="17" t="s">
        <v>3497</v>
      </c>
      <c r="X313" s="70">
        <v>46061.605555555558</v>
      </c>
      <c r="Y313" s="17" t="s">
        <v>3498</v>
      </c>
      <c r="Z313" s="17">
        <v>1.5</v>
      </c>
      <c r="AA313" s="17"/>
      <c r="AB313" s="17" t="s">
        <v>1724</v>
      </c>
      <c r="AC313" s="20" t="s">
        <v>3499</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3500</v>
      </c>
      <c r="E314" s="17" t="s">
        <v>1727</v>
      </c>
      <c r="F314" s="17">
        <v>5074</v>
      </c>
      <c r="G314" s="17" t="s">
        <v>2063</v>
      </c>
      <c r="H314" s="17" t="s">
        <v>1710</v>
      </c>
      <c r="I314" s="17" t="s">
        <v>3501</v>
      </c>
      <c r="J314" s="17" t="s">
        <v>1899</v>
      </c>
      <c r="K314" s="17" t="s">
        <v>1744</v>
      </c>
      <c r="L314" s="17" t="s">
        <v>1910</v>
      </c>
      <c r="M314" s="18" t="s">
        <v>1911</v>
      </c>
      <c r="N314" s="17" t="s">
        <v>1912</v>
      </c>
      <c r="O314" s="18" t="s">
        <v>1913</v>
      </c>
      <c r="P314" s="19" t="s">
        <v>3502</v>
      </c>
      <c r="Q314" s="17" t="s">
        <v>2064</v>
      </c>
      <c r="R314" s="17" t="s">
        <v>1719</v>
      </c>
      <c r="S314" s="17" t="s">
        <v>52</v>
      </c>
      <c r="T314" s="17">
        <v>1</v>
      </c>
      <c r="U314" s="17" t="s">
        <v>1720</v>
      </c>
      <c r="V314" s="17" t="s">
        <v>3503</v>
      </c>
      <c r="W314" s="17" t="s">
        <v>3504</v>
      </c>
      <c r="X314" s="70">
        <v>46062.472222222219</v>
      </c>
      <c r="Y314" s="17" t="s">
        <v>3456</v>
      </c>
      <c r="Z314" s="17">
        <v>1.2</v>
      </c>
      <c r="AA314" s="17"/>
      <c r="AB314" s="17" t="s">
        <v>1724</v>
      </c>
      <c r="AC314" s="20" t="s">
        <v>3505</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3441</v>
      </c>
      <c r="H315" s="17" t="s">
        <v>1742</v>
      </c>
      <c r="I315" s="17"/>
      <c r="J315" s="17"/>
      <c r="K315" s="17"/>
      <c r="L315" s="17"/>
      <c r="M315" s="18"/>
      <c r="N315" s="17"/>
      <c r="O315" s="18"/>
      <c r="P315" s="19"/>
      <c r="Q315" s="17" t="s">
        <v>3444</v>
      </c>
      <c r="R315" s="17" t="s">
        <v>1719</v>
      </c>
      <c r="S315" s="17" t="s">
        <v>206</v>
      </c>
      <c r="T315" s="17">
        <v>1</v>
      </c>
      <c r="U315" s="17" t="s">
        <v>1720</v>
      </c>
      <c r="V315" s="17" t="s">
        <v>3506</v>
      </c>
      <c r="W315" s="17" t="s">
        <v>3507</v>
      </c>
      <c r="X315" s="70">
        <v>46062.447916666657</v>
      </c>
      <c r="Y315" s="17"/>
      <c r="Z315" s="17">
        <v>0.3</v>
      </c>
      <c r="AA315" s="17"/>
      <c r="AB315" s="17" t="s">
        <v>1724</v>
      </c>
      <c r="AC315" s="20" t="s">
        <v>3508</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3509</v>
      </c>
      <c r="H316" s="17" t="s">
        <v>1742</v>
      </c>
      <c r="I316" s="17"/>
      <c r="J316" s="17"/>
      <c r="K316" s="17"/>
      <c r="L316" s="17"/>
      <c r="M316" s="18"/>
      <c r="N316" s="17"/>
      <c r="O316" s="18"/>
      <c r="P316" s="19"/>
      <c r="Q316" s="17" t="s">
        <v>3510</v>
      </c>
      <c r="R316" s="17" t="s">
        <v>1719</v>
      </c>
      <c r="S316" s="17" t="s">
        <v>206</v>
      </c>
      <c r="T316" s="17">
        <v>1</v>
      </c>
      <c r="U316" s="17" t="s">
        <v>1720</v>
      </c>
      <c r="V316" s="17" t="s">
        <v>3511</v>
      </c>
      <c r="W316" s="17" t="s">
        <v>3512</v>
      </c>
      <c r="X316" s="70">
        <v>46062.465277777781</v>
      </c>
      <c r="Y316" s="17"/>
      <c r="Z316" s="17">
        <v>0.3</v>
      </c>
      <c r="AA316" s="17"/>
      <c r="AB316" s="17" t="s">
        <v>1724</v>
      </c>
      <c r="AC316" s="20" t="s">
        <v>3513</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3514</v>
      </c>
      <c r="H317" s="17" t="s">
        <v>1742</v>
      </c>
      <c r="I317" s="17"/>
      <c r="J317" s="17"/>
      <c r="K317" s="17"/>
      <c r="L317" s="17"/>
      <c r="M317" s="18"/>
      <c r="N317" s="17"/>
      <c r="O317" s="18"/>
      <c r="P317" s="19"/>
      <c r="Q317" s="17" t="s">
        <v>3515</v>
      </c>
      <c r="R317" s="17" t="s">
        <v>1719</v>
      </c>
      <c r="S317" s="17" t="s">
        <v>206</v>
      </c>
      <c r="T317" s="17">
        <v>1</v>
      </c>
      <c r="U317" s="17" t="s">
        <v>1720</v>
      </c>
      <c r="V317" s="17" t="s">
        <v>3516</v>
      </c>
      <c r="W317" s="17" t="s">
        <v>3517</v>
      </c>
      <c r="X317" s="70">
        <v>46062.479166666657</v>
      </c>
      <c r="Y317" s="17"/>
      <c r="Z317" s="17">
        <v>0.3</v>
      </c>
      <c r="AA317" s="17"/>
      <c r="AB317" s="17" t="s">
        <v>1724</v>
      </c>
      <c r="AC317" s="20" t="s">
        <v>3518</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3519</v>
      </c>
      <c r="E318" s="17" t="s">
        <v>1727</v>
      </c>
      <c r="F318" s="17">
        <v>5513</v>
      </c>
      <c r="G318" s="17" t="s">
        <v>1996</v>
      </c>
      <c r="H318" s="17" t="s">
        <v>1742</v>
      </c>
      <c r="I318" s="17" t="s">
        <v>3520</v>
      </c>
      <c r="J318" s="17" t="s">
        <v>1929</v>
      </c>
      <c r="K318" s="17" t="s">
        <v>1744</v>
      </c>
      <c r="L318" s="17" t="s">
        <v>2505</v>
      </c>
      <c r="M318" s="18" t="s">
        <v>2506</v>
      </c>
      <c r="N318" s="17">
        <v>3404</v>
      </c>
      <c r="O318" s="18" t="s">
        <v>3033</v>
      </c>
      <c r="P318" s="19" t="s">
        <v>3521</v>
      </c>
      <c r="Q318" s="17" t="s">
        <v>1997</v>
      </c>
      <c r="R318" s="17" t="s">
        <v>1719</v>
      </c>
      <c r="S318" s="17" t="s">
        <v>206</v>
      </c>
      <c r="T318" s="17">
        <v>1</v>
      </c>
      <c r="U318" s="17" t="s">
        <v>1720</v>
      </c>
      <c r="V318" s="17" t="s">
        <v>3522</v>
      </c>
      <c r="W318" s="17" t="s">
        <v>3523</v>
      </c>
      <c r="X318" s="70">
        <v>46062.614583333343</v>
      </c>
      <c r="Y318" s="17" t="s">
        <v>3524</v>
      </c>
      <c r="Z318" s="17">
        <v>0.8</v>
      </c>
      <c r="AA318" s="17"/>
      <c r="AB318" s="17" t="s">
        <v>1724</v>
      </c>
      <c r="AC318" s="20" t="s">
        <v>3525</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3526</v>
      </c>
      <c r="H319" s="17" t="s">
        <v>1941</v>
      </c>
      <c r="I319" s="17"/>
      <c r="J319" s="17"/>
      <c r="K319" s="17"/>
      <c r="L319" s="17"/>
      <c r="M319" s="18"/>
      <c r="N319" s="17"/>
      <c r="O319" s="18"/>
      <c r="P319" s="19"/>
      <c r="Q319" s="17" t="s">
        <v>3527</v>
      </c>
      <c r="R319" s="17" t="s">
        <v>1719</v>
      </c>
      <c r="S319" s="17" t="s">
        <v>52</v>
      </c>
      <c r="T319" s="17">
        <v>1</v>
      </c>
      <c r="U319" s="17" t="s">
        <v>1720</v>
      </c>
      <c r="V319" s="17" t="s">
        <v>3528</v>
      </c>
      <c r="W319" s="17" t="s">
        <v>3529</v>
      </c>
      <c r="X319" s="70">
        <v>46062.590277777781</v>
      </c>
      <c r="Y319" s="17"/>
      <c r="Z319" s="17">
        <v>0.3</v>
      </c>
      <c r="AA319" s="17"/>
      <c r="AB319" s="17" t="s">
        <v>1724</v>
      </c>
      <c r="AC319" s="20" t="s">
        <v>3530</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3531</v>
      </c>
      <c r="H320" s="17" t="s">
        <v>1771</v>
      </c>
      <c r="I320" s="17"/>
      <c r="J320" s="17"/>
      <c r="K320" s="17"/>
      <c r="L320" s="17"/>
      <c r="M320" s="18"/>
      <c r="N320" s="17"/>
      <c r="O320" s="18"/>
      <c r="P320" s="19"/>
      <c r="Q320" s="17" t="s">
        <v>3532</v>
      </c>
      <c r="R320" s="17" t="s">
        <v>1719</v>
      </c>
      <c r="S320" s="17" t="s">
        <v>52</v>
      </c>
      <c r="T320" s="17">
        <v>1</v>
      </c>
      <c r="U320" s="17" t="s">
        <v>1720</v>
      </c>
      <c r="V320" s="17" t="s">
        <v>3533</v>
      </c>
      <c r="W320" s="17" t="s">
        <v>3534</v>
      </c>
      <c r="X320" s="70">
        <v>46062.645833333343</v>
      </c>
      <c r="Y320" s="17"/>
      <c r="Z320" s="17">
        <v>0.5</v>
      </c>
      <c r="AA320" s="17"/>
      <c r="AB320" s="17" t="s">
        <v>1724</v>
      </c>
      <c r="AC320" s="20" t="s">
        <v>3535</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3536</v>
      </c>
      <c r="E321" s="17" t="s">
        <v>1727</v>
      </c>
      <c r="F321" s="17">
        <v>4601</v>
      </c>
      <c r="G321" s="17" t="s">
        <v>3537</v>
      </c>
      <c r="H321" s="17" t="s">
        <v>1771</v>
      </c>
      <c r="I321" s="17" t="s">
        <v>3538</v>
      </c>
      <c r="J321" s="17" t="s">
        <v>2033</v>
      </c>
      <c r="K321" s="17" t="s">
        <v>1713</v>
      </c>
      <c r="L321" s="17" t="s">
        <v>1910</v>
      </c>
      <c r="M321" s="18" t="s">
        <v>1911</v>
      </c>
      <c r="N321" s="17" t="s">
        <v>1912</v>
      </c>
      <c r="O321" s="18" t="s">
        <v>1913</v>
      </c>
      <c r="P321" s="19" t="s">
        <v>3539</v>
      </c>
      <c r="Q321" s="17" t="s">
        <v>3540</v>
      </c>
      <c r="R321" s="17" t="s">
        <v>1719</v>
      </c>
      <c r="S321" s="17" t="s">
        <v>52</v>
      </c>
      <c r="T321" s="17">
        <v>1</v>
      </c>
      <c r="U321" s="17" t="s">
        <v>1720</v>
      </c>
      <c r="V321" s="17" t="s">
        <v>3541</v>
      </c>
      <c r="W321" s="17" t="s">
        <v>3542</v>
      </c>
      <c r="X321" s="70">
        <v>46063.590277777781</v>
      </c>
      <c r="Y321" s="17" t="s">
        <v>3543</v>
      </c>
      <c r="Z321" s="17">
        <v>0.3</v>
      </c>
      <c r="AA321" s="17"/>
      <c r="AB321" s="17" t="s">
        <v>1724</v>
      </c>
      <c r="AC321" s="20" t="s">
        <v>3544</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3545</v>
      </c>
      <c r="E322" s="17" t="s">
        <v>1727</v>
      </c>
      <c r="F322" s="17">
        <v>2380</v>
      </c>
      <c r="G322" s="17" t="s">
        <v>3546</v>
      </c>
      <c r="H322" s="17" t="s">
        <v>1927</v>
      </c>
      <c r="I322" s="17" t="s">
        <v>3547</v>
      </c>
      <c r="J322" s="17" t="s">
        <v>2033</v>
      </c>
      <c r="K322" s="17" t="s">
        <v>1713</v>
      </c>
      <c r="L322" s="17" t="s">
        <v>1745</v>
      </c>
      <c r="M322" s="18" t="s">
        <v>1746</v>
      </c>
      <c r="N322" s="17" t="s">
        <v>1747</v>
      </c>
      <c r="O322" s="18" t="s">
        <v>1748</v>
      </c>
      <c r="P322" s="19" t="s">
        <v>3548</v>
      </c>
      <c r="Q322" s="17" t="s">
        <v>3549</v>
      </c>
      <c r="R322" s="17" t="s">
        <v>1719</v>
      </c>
      <c r="S322" s="17" t="s">
        <v>566</v>
      </c>
      <c r="T322" s="17">
        <v>1</v>
      </c>
      <c r="U322" s="17" t="s">
        <v>1720</v>
      </c>
      <c r="V322" s="17" t="s">
        <v>3550</v>
      </c>
      <c r="W322" s="17" t="s">
        <v>3455</v>
      </c>
      <c r="X322" s="70">
        <v>46063.461805555547</v>
      </c>
      <c r="Y322" s="17" t="s">
        <v>3551</v>
      </c>
      <c r="Z322" s="17">
        <v>0.3</v>
      </c>
      <c r="AA322" s="17"/>
      <c r="AB322" s="17" t="s">
        <v>1724</v>
      </c>
      <c r="AC322" s="20" t="s">
        <v>3552</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3450</v>
      </c>
      <c r="H323" s="17" t="s">
        <v>1991</v>
      </c>
      <c r="I323" s="17"/>
      <c r="J323" s="17"/>
      <c r="K323" s="17"/>
      <c r="L323" s="17"/>
      <c r="M323" s="18"/>
      <c r="N323" s="17"/>
      <c r="O323" s="18"/>
      <c r="P323" s="19"/>
      <c r="Q323" s="17" t="s">
        <v>3453</v>
      </c>
      <c r="R323" s="17" t="s">
        <v>1719</v>
      </c>
      <c r="S323" s="17" t="s">
        <v>195</v>
      </c>
      <c r="T323" s="17">
        <v>1</v>
      </c>
      <c r="U323" s="17" t="s">
        <v>1720</v>
      </c>
      <c r="V323" s="17" t="s">
        <v>3553</v>
      </c>
      <c r="W323" s="17" t="s">
        <v>3455</v>
      </c>
      <c r="X323" s="70">
        <v>46063.470138888893</v>
      </c>
      <c r="Y323" s="17"/>
      <c r="Z323" s="17">
        <v>0.5</v>
      </c>
      <c r="AA323" s="17"/>
      <c r="AB323" s="17" t="s">
        <v>1724</v>
      </c>
      <c r="AC323" s="20" t="s">
        <v>3554</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3546</v>
      </c>
      <c r="H324" s="17" t="s">
        <v>1927</v>
      </c>
      <c r="I324" s="17"/>
      <c r="J324" s="17"/>
      <c r="K324" s="17"/>
      <c r="L324" s="17"/>
      <c r="M324" s="18"/>
      <c r="N324" s="17"/>
      <c r="O324" s="18"/>
      <c r="P324" s="19"/>
      <c r="Q324" s="17" t="s">
        <v>3549</v>
      </c>
      <c r="R324" s="17" t="s">
        <v>1719</v>
      </c>
      <c r="S324" s="17" t="s">
        <v>566</v>
      </c>
      <c r="T324" s="17">
        <v>1</v>
      </c>
      <c r="U324" s="17" t="s">
        <v>1720</v>
      </c>
      <c r="V324" s="17" t="s">
        <v>3555</v>
      </c>
      <c r="W324" s="17" t="s">
        <v>3556</v>
      </c>
      <c r="X324" s="70">
        <v>46063.475694444453</v>
      </c>
      <c r="Y324" s="17"/>
      <c r="Z324" s="17">
        <v>0.3</v>
      </c>
      <c r="AA324" s="17"/>
      <c r="AB324" s="17" t="s">
        <v>1724</v>
      </c>
      <c r="AC324" s="20" t="s">
        <v>3557</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3048</v>
      </c>
      <c r="G325" s="17" t="s">
        <v>3049</v>
      </c>
      <c r="H325" s="17" t="s">
        <v>1786</v>
      </c>
      <c r="I325" s="17"/>
      <c r="J325" s="17"/>
      <c r="K325" s="17"/>
      <c r="L325" s="17"/>
      <c r="M325" s="18"/>
      <c r="N325" s="17"/>
      <c r="O325" s="18"/>
      <c r="P325" s="19"/>
      <c r="Q325" s="17" t="s">
        <v>3050</v>
      </c>
      <c r="R325" s="17" t="s">
        <v>1719</v>
      </c>
      <c r="S325" s="17" t="s">
        <v>566</v>
      </c>
      <c r="T325" s="17">
        <v>1</v>
      </c>
      <c r="U325" s="17" t="s">
        <v>1720</v>
      </c>
      <c r="V325" s="17" t="s">
        <v>3558</v>
      </c>
      <c r="W325" s="17" t="s">
        <v>3559</v>
      </c>
      <c r="X325" s="70">
        <v>46063.517361111109</v>
      </c>
      <c r="Y325" s="17"/>
      <c r="Z325" s="17">
        <v>0.5</v>
      </c>
      <c r="AA325" s="17"/>
      <c r="AB325" s="17" t="s">
        <v>1724</v>
      </c>
      <c r="AC325" s="20" t="s">
        <v>3560</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3537</v>
      </c>
      <c r="H326" s="17" t="s">
        <v>1771</v>
      </c>
      <c r="I326" s="17"/>
      <c r="J326" s="17"/>
      <c r="K326" s="17"/>
      <c r="L326" s="17"/>
      <c r="M326" s="18"/>
      <c r="N326" s="17"/>
      <c r="O326" s="18"/>
      <c r="P326" s="19"/>
      <c r="Q326" s="17" t="s">
        <v>3540</v>
      </c>
      <c r="R326" s="17" t="s">
        <v>1719</v>
      </c>
      <c r="S326" s="17" t="s">
        <v>52</v>
      </c>
      <c r="T326" s="17">
        <v>1</v>
      </c>
      <c r="U326" s="17" t="s">
        <v>1720</v>
      </c>
      <c r="V326" s="17" t="s">
        <v>3561</v>
      </c>
      <c r="W326" s="17" t="s">
        <v>3562</v>
      </c>
      <c r="X326" s="70">
        <v>46063.604166666657</v>
      </c>
      <c r="Y326" s="17"/>
      <c r="Z326" s="17">
        <v>0.3</v>
      </c>
      <c r="AA326" s="17"/>
      <c r="AB326" s="17" t="s">
        <v>1724</v>
      </c>
      <c r="AC326" s="20" t="s">
        <v>3563</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3564</v>
      </c>
      <c r="H327" s="17" t="s">
        <v>1742</v>
      </c>
      <c r="I327" s="17"/>
      <c r="J327" s="17"/>
      <c r="K327" s="17"/>
      <c r="L327" s="17"/>
      <c r="M327" s="18"/>
      <c r="N327" s="17"/>
      <c r="O327" s="18"/>
      <c r="P327" s="19"/>
      <c r="Q327" s="17" t="s">
        <v>3565</v>
      </c>
      <c r="R327" s="17" t="s">
        <v>1719</v>
      </c>
      <c r="S327" s="17" t="s">
        <v>206</v>
      </c>
      <c r="T327" s="17">
        <v>1</v>
      </c>
      <c r="U327" s="17" t="s">
        <v>1720</v>
      </c>
      <c r="V327" s="17" t="s">
        <v>3566</v>
      </c>
      <c r="W327" s="17" t="s">
        <v>3567</v>
      </c>
      <c r="X327" s="70">
        <v>46063.635416666657</v>
      </c>
      <c r="Y327" s="17"/>
      <c r="Z327" s="17">
        <v>0.3</v>
      </c>
      <c r="AA327" s="17"/>
      <c r="AB327" s="17" t="s">
        <v>1724</v>
      </c>
      <c r="AC327" s="20" t="s">
        <v>3568</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2875</v>
      </c>
      <c r="H328" s="17" t="s">
        <v>1742</v>
      </c>
      <c r="I328" s="17"/>
      <c r="J328" s="17"/>
      <c r="K328" s="17"/>
      <c r="L328" s="17"/>
      <c r="M328" s="18"/>
      <c r="N328" s="17"/>
      <c r="O328" s="18"/>
      <c r="P328" s="19"/>
      <c r="Q328" s="17" t="s">
        <v>2878</v>
      </c>
      <c r="R328" s="17" t="s">
        <v>1719</v>
      </c>
      <c r="S328" s="17" t="s">
        <v>206</v>
      </c>
      <c r="T328" s="17">
        <v>1</v>
      </c>
      <c r="U328" s="17" t="s">
        <v>1720</v>
      </c>
      <c r="V328" s="17" t="s">
        <v>3569</v>
      </c>
      <c r="W328" s="17" t="s">
        <v>3570</v>
      </c>
      <c r="X328" s="70">
        <v>46063.659722222219</v>
      </c>
      <c r="Y328" s="17"/>
      <c r="Z328" s="17">
        <v>0.3</v>
      </c>
      <c r="AA328" s="17"/>
      <c r="AB328" s="17" t="s">
        <v>1724</v>
      </c>
      <c r="AC328" s="20" t="s">
        <v>3571</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2173</v>
      </c>
      <c r="G329" s="17" t="s">
        <v>2174</v>
      </c>
      <c r="H329" s="17" t="s">
        <v>2127</v>
      </c>
      <c r="I329" s="17"/>
      <c r="J329" s="17"/>
      <c r="K329" s="17"/>
      <c r="L329" s="17"/>
      <c r="M329" s="18"/>
      <c r="N329" s="17"/>
      <c r="O329" s="18"/>
      <c r="P329" s="19"/>
      <c r="Q329" s="17" t="s">
        <v>2175</v>
      </c>
      <c r="R329" s="17" t="s">
        <v>1719</v>
      </c>
      <c r="S329" s="17" t="s">
        <v>52</v>
      </c>
      <c r="T329" s="17">
        <v>1</v>
      </c>
      <c r="U329" s="17" t="s">
        <v>1720</v>
      </c>
      <c r="V329" s="17" t="s">
        <v>3572</v>
      </c>
      <c r="W329" s="17" t="s">
        <v>3567</v>
      </c>
      <c r="X329" s="70">
        <v>46063.666666666657</v>
      </c>
      <c r="Y329" s="17"/>
      <c r="Z329" s="17">
        <v>1</v>
      </c>
      <c r="AA329" s="17"/>
      <c r="AB329" s="17" t="s">
        <v>1724</v>
      </c>
      <c r="AC329" s="20" t="s">
        <v>3024</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1804</v>
      </c>
      <c r="H330" s="17" t="s">
        <v>1805</v>
      </c>
      <c r="I330" s="17"/>
      <c r="J330" s="17"/>
      <c r="K330" s="17"/>
      <c r="L330" s="17"/>
      <c r="M330" s="18"/>
      <c r="N330" s="17"/>
      <c r="O330" s="18"/>
      <c r="P330" s="19"/>
      <c r="Q330" s="17" t="s">
        <v>1806</v>
      </c>
      <c r="R330" s="17" t="s">
        <v>1719</v>
      </c>
      <c r="S330" s="17" t="s">
        <v>206</v>
      </c>
      <c r="T330" s="17">
        <v>1</v>
      </c>
      <c r="U330" s="17" t="s">
        <v>1720</v>
      </c>
      <c r="V330" s="17" t="s">
        <v>3573</v>
      </c>
      <c r="W330" s="17" t="s">
        <v>3574</v>
      </c>
      <c r="X330" s="70">
        <v>46113.479166666657</v>
      </c>
      <c r="Y330" s="17"/>
      <c r="Z330" s="17">
        <v>0.5</v>
      </c>
      <c r="AA330" s="17"/>
      <c r="AB330" s="17" t="s">
        <v>1724</v>
      </c>
      <c r="AC330" s="20" t="s">
        <v>3575</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3576</v>
      </c>
      <c r="E331" s="17" t="s">
        <v>1727</v>
      </c>
      <c r="F331" s="17">
        <v>3892</v>
      </c>
      <c r="G331" s="17" t="s">
        <v>3577</v>
      </c>
      <c r="H331" s="17" t="s">
        <v>1897</v>
      </c>
      <c r="I331" s="17" t="s">
        <v>3578</v>
      </c>
      <c r="J331" s="17" t="s">
        <v>2095</v>
      </c>
      <c r="K331" s="17" t="s">
        <v>1744</v>
      </c>
      <c r="L331" s="17" t="s">
        <v>1789</v>
      </c>
      <c r="M331" s="18" t="s">
        <v>1790</v>
      </c>
      <c r="N331" s="17" t="s">
        <v>2812</v>
      </c>
      <c r="O331" s="18" t="s">
        <v>2813</v>
      </c>
      <c r="P331" s="19" t="s">
        <v>3579</v>
      </c>
      <c r="Q331" s="17" t="s">
        <v>3580</v>
      </c>
      <c r="R331" s="17" t="s">
        <v>1719</v>
      </c>
      <c r="S331" s="17" t="s">
        <v>206</v>
      </c>
      <c r="T331" s="17">
        <v>1</v>
      </c>
      <c r="U331" s="17" t="s">
        <v>1720</v>
      </c>
      <c r="V331" s="17" t="s">
        <v>3581</v>
      </c>
      <c r="W331" s="17" t="s">
        <v>3582</v>
      </c>
      <c r="X331" s="70">
        <v>46113.666666666657</v>
      </c>
      <c r="Y331" s="17" t="s">
        <v>3583</v>
      </c>
      <c r="Z331" s="17">
        <v>1</v>
      </c>
      <c r="AA331" s="17"/>
      <c r="AB331" s="17" t="s">
        <v>1724</v>
      </c>
      <c r="AC331" s="20" t="s">
        <v>3584</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3585</v>
      </c>
      <c r="E332" s="17" t="s">
        <v>1727</v>
      </c>
      <c r="F332" s="17">
        <v>4970</v>
      </c>
      <c r="G332" s="17" t="s">
        <v>2654</v>
      </c>
      <c r="H332" s="17" t="s">
        <v>1786</v>
      </c>
      <c r="I332" s="17" t="s">
        <v>3586</v>
      </c>
      <c r="J332" s="17" t="s">
        <v>2095</v>
      </c>
      <c r="K332" s="17" t="s">
        <v>1744</v>
      </c>
      <c r="L332" s="17" t="s">
        <v>1714</v>
      </c>
      <c r="M332" s="18" t="s">
        <v>1715</v>
      </c>
      <c r="N332" s="17">
        <v>2305</v>
      </c>
      <c r="O332" s="18" t="s">
        <v>2469</v>
      </c>
      <c r="P332" s="19" t="s">
        <v>3587</v>
      </c>
      <c r="Q332" s="17" t="s">
        <v>2655</v>
      </c>
      <c r="R332" s="17" t="s">
        <v>1719</v>
      </c>
      <c r="S332" s="17" t="s">
        <v>566</v>
      </c>
      <c r="T332" s="17">
        <v>1</v>
      </c>
      <c r="U332" s="17" t="s">
        <v>1720</v>
      </c>
      <c r="V332" s="17" t="s">
        <v>3588</v>
      </c>
      <c r="W332" s="17" t="s">
        <v>3589</v>
      </c>
      <c r="X332" s="70">
        <v>46113.574999999997</v>
      </c>
      <c r="Y332" s="17" t="s">
        <v>3590</v>
      </c>
      <c r="Z332" s="17">
        <v>0.4</v>
      </c>
      <c r="AA332" s="17"/>
      <c r="AB332" s="17" t="s">
        <v>1724</v>
      </c>
      <c r="AC332" s="20" t="s">
        <v>3591</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3208</v>
      </c>
      <c r="H333" s="17" t="s">
        <v>1812</v>
      </c>
      <c r="I333" s="17"/>
      <c r="J333" s="17"/>
      <c r="K333" s="17"/>
      <c r="L333" s="17"/>
      <c r="M333" s="18"/>
      <c r="N333" s="17"/>
      <c r="O333" s="18"/>
      <c r="P333" s="19"/>
      <c r="Q333" s="17" t="s">
        <v>3209</v>
      </c>
      <c r="R333" s="17" t="s">
        <v>1719</v>
      </c>
      <c r="S333" s="17" t="s">
        <v>52</v>
      </c>
      <c r="T333" s="17">
        <v>1</v>
      </c>
      <c r="U333" s="17" t="s">
        <v>1720</v>
      </c>
      <c r="V333" s="17" t="s">
        <v>3592</v>
      </c>
      <c r="W333" s="17" t="s">
        <v>3593</v>
      </c>
      <c r="X333" s="70">
        <v>46113.541666666657</v>
      </c>
      <c r="Y333" s="17"/>
      <c r="Z333" s="17">
        <v>0.3</v>
      </c>
      <c r="AA333" s="17"/>
      <c r="AB333" s="17" t="s">
        <v>1724</v>
      </c>
      <c r="AC333" s="20" t="s">
        <v>3575</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3405</v>
      </c>
      <c r="G334" s="17" t="s">
        <v>3406</v>
      </c>
      <c r="H334" s="17" t="s">
        <v>1812</v>
      </c>
      <c r="I334" s="17"/>
      <c r="J334" s="17"/>
      <c r="K334" s="17"/>
      <c r="L334" s="17"/>
      <c r="M334" s="18"/>
      <c r="N334" s="17"/>
      <c r="O334" s="18"/>
      <c r="P334" s="19"/>
      <c r="Q334" s="17" t="s">
        <v>3407</v>
      </c>
      <c r="R334" s="17" t="s">
        <v>1719</v>
      </c>
      <c r="S334" s="17" t="s">
        <v>52</v>
      </c>
      <c r="T334" s="17">
        <v>1</v>
      </c>
      <c r="U334" s="17" t="s">
        <v>1720</v>
      </c>
      <c r="V334" s="17" t="s">
        <v>3594</v>
      </c>
      <c r="W334" s="17" t="s">
        <v>3595</v>
      </c>
      <c r="X334" s="70">
        <v>46113.583333333343</v>
      </c>
      <c r="Y334" s="17"/>
      <c r="Z334" s="17">
        <v>0.3</v>
      </c>
      <c r="AA334" s="17"/>
      <c r="AB334" s="17" t="s">
        <v>1724</v>
      </c>
      <c r="AC334" s="20" t="s">
        <v>3575</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3400</v>
      </c>
      <c r="H335" s="17" t="s">
        <v>1812</v>
      </c>
      <c r="I335" s="17"/>
      <c r="J335" s="17"/>
      <c r="K335" s="17"/>
      <c r="L335" s="17"/>
      <c r="M335" s="18"/>
      <c r="N335" s="17"/>
      <c r="O335" s="18"/>
      <c r="P335" s="19"/>
      <c r="Q335" s="17" t="s">
        <v>3401</v>
      </c>
      <c r="R335" s="17" t="s">
        <v>1719</v>
      </c>
      <c r="S335" s="17" t="s">
        <v>52</v>
      </c>
      <c r="T335" s="17">
        <v>1</v>
      </c>
      <c r="U335" s="17" t="s">
        <v>1720</v>
      </c>
      <c r="V335" s="17" t="s">
        <v>3596</v>
      </c>
      <c r="W335" s="17" t="s">
        <v>3597</v>
      </c>
      <c r="X335" s="70">
        <v>46113.625</v>
      </c>
      <c r="Y335" s="17"/>
      <c r="Z335" s="17">
        <v>0.4</v>
      </c>
      <c r="AA335" s="17"/>
      <c r="AB335" s="17" t="s">
        <v>1724</v>
      </c>
      <c r="AC335" s="20" t="s">
        <v>3575</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3390</v>
      </c>
      <c r="H336" s="17" t="s">
        <v>1812</v>
      </c>
      <c r="I336" s="17"/>
      <c r="J336" s="17"/>
      <c r="K336" s="17"/>
      <c r="L336" s="17"/>
      <c r="M336" s="18"/>
      <c r="N336" s="17"/>
      <c r="O336" s="18"/>
      <c r="P336" s="19"/>
      <c r="Q336" s="17" t="s">
        <v>3391</v>
      </c>
      <c r="R336" s="17" t="s">
        <v>1719</v>
      </c>
      <c r="S336" s="17" t="s">
        <v>52</v>
      </c>
      <c r="T336" s="17">
        <v>1</v>
      </c>
      <c r="U336" s="17" t="s">
        <v>1720</v>
      </c>
      <c r="V336" s="17" t="s">
        <v>3598</v>
      </c>
      <c r="W336" s="17" t="s">
        <v>3599</v>
      </c>
      <c r="X336" s="70">
        <v>46113.640972222223</v>
      </c>
      <c r="Y336" s="17"/>
      <c r="Z336" s="17">
        <v>0.3</v>
      </c>
      <c r="AA336" s="17"/>
      <c r="AB336" s="17" t="s">
        <v>1724</v>
      </c>
      <c r="AC336" s="20" t="s">
        <v>3575</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3577</v>
      </c>
      <c r="H337" s="17" t="s">
        <v>1897</v>
      </c>
      <c r="I337" s="17"/>
      <c r="J337" s="17"/>
      <c r="K337" s="17"/>
      <c r="L337" s="17"/>
      <c r="M337" s="18"/>
      <c r="N337" s="17"/>
      <c r="O337" s="18"/>
      <c r="P337" s="19"/>
      <c r="Q337" s="17" t="s">
        <v>3580</v>
      </c>
      <c r="R337" s="17" t="s">
        <v>1719</v>
      </c>
      <c r="S337" s="17" t="s">
        <v>206</v>
      </c>
      <c r="T337" s="17">
        <v>1</v>
      </c>
      <c r="U337" s="17" t="s">
        <v>1720</v>
      </c>
      <c r="V337" s="17" t="s">
        <v>3600</v>
      </c>
      <c r="W337" s="17" t="s">
        <v>3601</v>
      </c>
      <c r="X337" s="70">
        <v>46113.680555555547</v>
      </c>
      <c r="Y337" s="17"/>
      <c r="Z337" s="17">
        <v>0.3</v>
      </c>
      <c r="AA337" s="17"/>
      <c r="AB337" s="17" t="s">
        <v>1724</v>
      </c>
      <c r="AC337" s="20" t="s">
        <v>3575</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3602</v>
      </c>
      <c r="E338" s="17" t="s">
        <v>1727</v>
      </c>
      <c r="F338" s="17">
        <v>3929</v>
      </c>
      <c r="G338" s="17" t="s">
        <v>3603</v>
      </c>
      <c r="H338" s="17" t="s">
        <v>1897</v>
      </c>
      <c r="I338" s="17" t="s">
        <v>3604</v>
      </c>
      <c r="J338" s="17" t="s">
        <v>2095</v>
      </c>
      <c r="K338" s="17" t="s">
        <v>1744</v>
      </c>
      <c r="L338" s="17" t="s">
        <v>1789</v>
      </c>
      <c r="M338" s="18" t="s">
        <v>1790</v>
      </c>
      <c r="N338" s="17" t="s">
        <v>2812</v>
      </c>
      <c r="O338" s="18" t="s">
        <v>2813</v>
      </c>
      <c r="P338" s="19" t="s">
        <v>3605</v>
      </c>
      <c r="Q338" s="17" t="s">
        <v>3606</v>
      </c>
      <c r="R338" s="17" t="s">
        <v>1719</v>
      </c>
      <c r="S338" s="17" t="s">
        <v>206</v>
      </c>
      <c r="T338" s="17">
        <v>1</v>
      </c>
      <c r="U338" s="17" t="s">
        <v>1720</v>
      </c>
      <c r="V338" s="17" t="s">
        <v>3607</v>
      </c>
      <c r="W338" s="17" t="s">
        <v>3608</v>
      </c>
      <c r="X338" s="70">
        <v>46114.625</v>
      </c>
      <c r="Y338" s="17" t="s">
        <v>3609</v>
      </c>
      <c r="Z338" s="17">
        <v>1</v>
      </c>
      <c r="AA338" s="17"/>
      <c r="AB338" s="17" t="s">
        <v>1724</v>
      </c>
      <c r="AC338" s="20" t="s">
        <v>3584</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3610</v>
      </c>
      <c r="E339" s="17" t="s">
        <v>1727</v>
      </c>
      <c r="F339" s="17" t="s">
        <v>3611</v>
      </c>
      <c r="G339" s="17" t="s">
        <v>3612</v>
      </c>
      <c r="H339" s="17" t="s">
        <v>1897</v>
      </c>
      <c r="I339" s="17" t="s">
        <v>3613</v>
      </c>
      <c r="J339" s="17" t="s">
        <v>2095</v>
      </c>
      <c r="K339" s="17" t="s">
        <v>1744</v>
      </c>
      <c r="L339" s="17" t="s">
        <v>1910</v>
      </c>
      <c r="M339" s="18" t="s">
        <v>1911</v>
      </c>
      <c r="N339" s="17" t="s">
        <v>1912</v>
      </c>
      <c r="O339" s="18" t="s">
        <v>1913</v>
      </c>
      <c r="P339" s="19" t="s">
        <v>3614</v>
      </c>
      <c r="Q339" s="17" t="s">
        <v>3615</v>
      </c>
      <c r="R339" s="17" t="s">
        <v>1719</v>
      </c>
      <c r="S339" s="17" t="s">
        <v>206</v>
      </c>
      <c r="T339" s="17">
        <v>1</v>
      </c>
      <c r="U339" s="17" t="s">
        <v>1720</v>
      </c>
      <c r="V339" s="17" t="s">
        <v>3616</v>
      </c>
      <c r="W339" s="17" t="s">
        <v>3617</v>
      </c>
      <c r="X339" s="70">
        <v>46114.5</v>
      </c>
      <c r="Y339" s="17" t="s">
        <v>3618</v>
      </c>
      <c r="Z339" s="17">
        <v>0.8</v>
      </c>
      <c r="AA339" s="17"/>
      <c r="AB339" s="17" t="s">
        <v>1724</v>
      </c>
      <c r="AC339" s="20" t="s">
        <v>3619</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3620</v>
      </c>
      <c r="E340" s="17" t="s">
        <v>1708</v>
      </c>
      <c r="F340" s="17">
        <v>4698</v>
      </c>
      <c r="G340" s="17" t="s">
        <v>3011</v>
      </c>
      <c r="H340" s="17" t="s">
        <v>1759</v>
      </c>
      <c r="I340" s="17" t="s">
        <v>3621</v>
      </c>
      <c r="J340" s="17" t="s">
        <v>1712</v>
      </c>
      <c r="K340" s="17" t="s">
        <v>1713</v>
      </c>
      <c r="L340" s="17" t="s">
        <v>1930</v>
      </c>
      <c r="M340" s="18" t="s">
        <v>1931</v>
      </c>
      <c r="N340" s="17">
        <v>2405</v>
      </c>
      <c r="O340" s="18" t="s">
        <v>1932</v>
      </c>
      <c r="P340" s="19" t="s">
        <v>3622</v>
      </c>
      <c r="Q340" s="17" t="s">
        <v>3012</v>
      </c>
      <c r="R340" s="17" t="s">
        <v>1719</v>
      </c>
      <c r="S340" s="17" t="s">
        <v>195</v>
      </c>
      <c r="T340" s="17">
        <v>1</v>
      </c>
      <c r="U340" s="17" t="s">
        <v>1720</v>
      </c>
      <c r="V340" s="17" t="s">
        <v>3623</v>
      </c>
      <c r="W340" s="17" t="s">
        <v>3624</v>
      </c>
      <c r="X340" s="70">
        <v>46114.629861111112</v>
      </c>
      <c r="Y340" s="17" t="s">
        <v>3625</v>
      </c>
      <c r="Z340" s="17">
        <v>1.8</v>
      </c>
      <c r="AA340" s="17"/>
      <c r="AB340" s="17" t="s">
        <v>1724</v>
      </c>
      <c r="AC340" s="20" t="s">
        <v>3626</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3611</v>
      </c>
      <c r="G341" s="17" t="s">
        <v>3612</v>
      </c>
      <c r="H341" s="17" t="s">
        <v>1897</v>
      </c>
      <c r="I341" s="17"/>
      <c r="J341" s="17"/>
      <c r="K341" s="17"/>
      <c r="L341" s="17"/>
      <c r="M341" s="18"/>
      <c r="N341" s="17"/>
      <c r="O341" s="18"/>
      <c r="P341" s="19"/>
      <c r="Q341" s="17" t="s">
        <v>3615</v>
      </c>
      <c r="R341" s="17" t="s">
        <v>1719</v>
      </c>
      <c r="S341" s="17" t="s">
        <v>206</v>
      </c>
      <c r="T341" s="17">
        <v>1</v>
      </c>
      <c r="U341" s="17" t="s">
        <v>1720</v>
      </c>
      <c r="V341" s="17" t="s">
        <v>3627</v>
      </c>
      <c r="W341" s="17" t="s">
        <v>3628</v>
      </c>
      <c r="X341" s="70">
        <v>46114.46875</v>
      </c>
      <c r="Y341" s="17"/>
      <c r="Z341" s="17">
        <v>0.3</v>
      </c>
      <c r="AA341" s="17"/>
      <c r="AB341" s="17" t="s">
        <v>1724</v>
      </c>
      <c r="AC341" s="20" t="s">
        <v>3575</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2972</v>
      </c>
      <c r="G342" s="17" t="s">
        <v>2973</v>
      </c>
      <c r="H342" s="17" t="s">
        <v>1786</v>
      </c>
      <c r="I342" s="17"/>
      <c r="J342" s="17"/>
      <c r="K342" s="17"/>
      <c r="L342" s="17"/>
      <c r="M342" s="18"/>
      <c r="N342" s="17"/>
      <c r="O342" s="18"/>
      <c r="P342" s="19"/>
      <c r="Q342" s="17" t="s">
        <v>2974</v>
      </c>
      <c r="R342" s="17" t="s">
        <v>1719</v>
      </c>
      <c r="S342" s="17" t="s">
        <v>566</v>
      </c>
      <c r="T342" s="17">
        <v>1</v>
      </c>
      <c r="U342" s="17" t="s">
        <v>1720</v>
      </c>
      <c r="V342" s="17" t="s">
        <v>3629</v>
      </c>
      <c r="W342" s="17" t="s">
        <v>3630</v>
      </c>
      <c r="X342" s="70">
        <v>46114.51666666667</v>
      </c>
      <c r="Y342" s="17"/>
      <c r="Z342" s="17">
        <v>0.4</v>
      </c>
      <c r="AA342" s="17"/>
      <c r="AB342" s="17" t="s">
        <v>1724</v>
      </c>
      <c r="AC342" s="20" t="s">
        <v>3575</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3603</v>
      </c>
      <c r="H343" s="17" t="s">
        <v>1897</v>
      </c>
      <c r="I343" s="17"/>
      <c r="J343" s="17"/>
      <c r="K343" s="17"/>
      <c r="L343" s="17"/>
      <c r="M343" s="18"/>
      <c r="N343" s="17"/>
      <c r="O343" s="18"/>
      <c r="P343" s="19"/>
      <c r="Q343" s="17" t="s">
        <v>3606</v>
      </c>
      <c r="R343" s="17" t="s">
        <v>1719</v>
      </c>
      <c r="S343" s="17" t="s">
        <v>206</v>
      </c>
      <c r="T343" s="17">
        <v>1</v>
      </c>
      <c r="U343" s="17" t="s">
        <v>1720</v>
      </c>
      <c r="V343" s="17" t="s">
        <v>3631</v>
      </c>
      <c r="W343" s="17" t="s">
        <v>3632</v>
      </c>
      <c r="X343" s="70">
        <v>46114.638888888891</v>
      </c>
      <c r="Y343" s="17"/>
      <c r="Z343" s="17">
        <v>0.3</v>
      </c>
      <c r="AA343" s="17"/>
      <c r="AB343" s="17" t="s">
        <v>1724</v>
      </c>
      <c r="AC343" s="20" t="s">
        <v>3575</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3633</v>
      </c>
      <c r="E344" s="17" t="s">
        <v>1727</v>
      </c>
      <c r="F344" s="17">
        <v>4658</v>
      </c>
      <c r="G344" s="17" t="s">
        <v>3208</v>
      </c>
      <c r="H344" s="17" t="s">
        <v>1812</v>
      </c>
      <c r="I344" s="17" t="s">
        <v>3634</v>
      </c>
      <c r="J344" s="17" t="s">
        <v>1788</v>
      </c>
      <c r="K344" s="17" t="s">
        <v>1943</v>
      </c>
      <c r="L344" s="17" t="s">
        <v>1910</v>
      </c>
      <c r="M344" s="18" t="s">
        <v>1911</v>
      </c>
      <c r="N344" s="17" t="s">
        <v>1912</v>
      </c>
      <c r="O344" s="18" t="s">
        <v>1913</v>
      </c>
      <c r="P344" s="19" t="s">
        <v>3635</v>
      </c>
      <c r="Q344" s="17" t="s">
        <v>3209</v>
      </c>
      <c r="R344" s="17" t="s">
        <v>1719</v>
      </c>
      <c r="S344" s="17" t="s">
        <v>52</v>
      </c>
      <c r="T344" s="17">
        <v>1</v>
      </c>
      <c r="U344" s="17" t="s">
        <v>1720</v>
      </c>
      <c r="V344" s="17" t="s">
        <v>3636</v>
      </c>
      <c r="W344" s="17" t="s">
        <v>3637</v>
      </c>
      <c r="X344" s="70">
        <v>46120.463194444441</v>
      </c>
      <c r="Y344" s="17" t="s">
        <v>3638</v>
      </c>
      <c r="Z344" s="17">
        <v>0.6</v>
      </c>
      <c r="AA344" s="17"/>
      <c r="AB344" s="17" t="s">
        <v>1724</v>
      </c>
      <c r="AC344" s="20" t="s">
        <v>3639</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3640</v>
      </c>
      <c r="E345" s="17" t="s">
        <v>1727</v>
      </c>
      <c r="F345" s="17">
        <v>4658</v>
      </c>
      <c r="G345" s="17" t="s">
        <v>3208</v>
      </c>
      <c r="H345" s="17" t="s">
        <v>1812</v>
      </c>
      <c r="I345" s="17" t="s">
        <v>3641</v>
      </c>
      <c r="J345" s="17" t="s">
        <v>1788</v>
      </c>
      <c r="K345" s="17" t="s">
        <v>1943</v>
      </c>
      <c r="L345" s="17" t="s">
        <v>3252</v>
      </c>
      <c r="M345" s="18" t="s">
        <v>3253</v>
      </c>
      <c r="N345" s="17" t="s">
        <v>3254</v>
      </c>
      <c r="O345" s="18" t="s">
        <v>1913</v>
      </c>
      <c r="P345" s="19" t="s">
        <v>3642</v>
      </c>
      <c r="Q345" s="17" t="s">
        <v>3209</v>
      </c>
      <c r="R345" s="17" t="s">
        <v>1719</v>
      </c>
      <c r="S345" s="17" t="s">
        <v>52</v>
      </c>
      <c r="T345" s="17">
        <v>1</v>
      </c>
      <c r="U345" s="17" t="s">
        <v>1720</v>
      </c>
      <c r="V345" s="17" t="s">
        <v>3643</v>
      </c>
      <c r="W345" s="17" t="s">
        <v>3644</v>
      </c>
      <c r="X345" s="70">
        <v>46120.427083333343</v>
      </c>
      <c r="Y345" s="17" t="s">
        <v>3638</v>
      </c>
      <c r="Z345" s="17">
        <v>0.8</v>
      </c>
      <c r="AA345" s="17"/>
      <c r="AB345" s="17" t="s">
        <v>1724</v>
      </c>
      <c r="AC345" s="20" t="s">
        <v>3645</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3646</v>
      </c>
      <c r="E346" s="17" t="s">
        <v>1727</v>
      </c>
      <c r="F346" s="17" t="s">
        <v>3647</v>
      </c>
      <c r="G346" s="17" t="s">
        <v>3648</v>
      </c>
      <c r="H346" s="17" t="s">
        <v>1759</v>
      </c>
      <c r="I346" s="17" t="s">
        <v>3649</v>
      </c>
      <c r="J346" s="17" t="s">
        <v>1788</v>
      </c>
      <c r="K346" s="17" t="s">
        <v>1744</v>
      </c>
      <c r="L346" s="17" t="s">
        <v>1714</v>
      </c>
      <c r="M346" s="18" t="s">
        <v>1715</v>
      </c>
      <c r="N346" s="17">
        <v>2302</v>
      </c>
      <c r="O346" s="18" t="s">
        <v>3650</v>
      </c>
      <c r="P346" s="19" t="s">
        <v>3651</v>
      </c>
      <c r="Q346" s="17" t="s">
        <v>3652</v>
      </c>
      <c r="R346" s="17" t="s">
        <v>1719</v>
      </c>
      <c r="S346" s="17" t="s">
        <v>566</v>
      </c>
      <c r="T346" s="17">
        <v>1</v>
      </c>
      <c r="U346" s="17" t="s">
        <v>1720</v>
      </c>
      <c r="V346" s="17" t="s">
        <v>3653</v>
      </c>
      <c r="W346" s="17" t="s">
        <v>3654</v>
      </c>
      <c r="X346" s="70">
        <v>46119.42083333333</v>
      </c>
      <c r="Y346" s="17" t="s">
        <v>3638</v>
      </c>
      <c r="Z346" s="17">
        <v>0.3</v>
      </c>
      <c r="AA346" s="17"/>
      <c r="AB346" s="17" t="s">
        <v>1724</v>
      </c>
      <c r="AC346" s="20" t="s">
        <v>3655</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3656</v>
      </c>
      <c r="E347" s="17" t="s">
        <v>1727</v>
      </c>
      <c r="F347" s="17" t="s">
        <v>2112</v>
      </c>
      <c r="G347" s="17" t="s">
        <v>2113</v>
      </c>
      <c r="H347" s="17" t="s">
        <v>1991</v>
      </c>
      <c r="I347" s="17" t="s">
        <v>3657</v>
      </c>
      <c r="J347" s="17" t="s">
        <v>1788</v>
      </c>
      <c r="K347" s="17" t="s">
        <v>1744</v>
      </c>
      <c r="L347" s="17" t="s">
        <v>1850</v>
      </c>
      <c r="M347" s="18" t="s">
        <v>1851</v>
      </c>
      <c r="N347" s="17">
        <v>5903</v>
      </c>
      <c r="O347" s="18" t="s">
        <v>1852</v>
      </c>
      <c r="P347" s="19" t="s">
        <v>3658</v>
      </c>
      <c r="Q347" s="17" t="s">
        <v>2116</v>
      </c>
      <c r="R347" s="17" t="s">
        <v>1719</v>
      </c>
      <c r="S347" s="17" t="s">
        <v>195</v>
      </c>
      <c r="T347" s="17">
        <v>1</v>
      </c>
      <c r="U347" s="17" t="s">
        <v>1720</v>
      </c>
      <c r="V347" s="17" t="s">
        <v>3659</v>
      </c>
      <c r="W347" s="17" t="s">
        <v>3660</v>
      </c>
      <c r="X347" s="70">
        <v>46120.510416666657</v>
      </c>
      <c r="Y347" s="17" t="s">
        <v>3638</v>
      </c>
      <c r="Z347" s="17">
        <v>0.5</v>
      </c>
      <c r="AA347" s="17"/>
      <c r="AB347" s="17" t="s">
        <v>1724</v>
      </c>
      <c r="AC347" s="20" t="s">
        <v>3661</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3662</v>
      </c>
      <c r="E348" s="17" t="s">
        <v>1727</v>
      </c>
      <c r="F348" s="17">
        <v>2398</v>
      </c>
      <c r="G348" s="17" t="s">
        <v>3054</v>
      </c>
      <c r="H348" s="17" t="s">
        <v>1786</v>
      </c>
      <c r="I348" s="17" t="s">
        <v>3663</v>
      </c>
      <c r="J348" s="17" t="s">
        <v>1862</v>
      </c>
      <c r="K348" s="17" t="s">
        <v>1744</v>
      </c>
      <c r="L348" s="17" t="s">
        <v>1900</v>
      </c>
      <c r="M348" s="18" t="s">
        <v>1901</v>
      </c>
      <c r="N348" s="17">
        <v>6003</v>
      </c>
      <c r="O348" s="18" t="s">
        <v>1852</v>
      </c>
      <c r="P348" s="19" t="s">
        <v>3664</v>
      </c>
      <c r="Q348" s="17" t="s">
        <v>3055</v>
      </c>
      <c r="R348" s="17" t="s">
        <v>1719</v>
      </c>
      <c r="S348" s="17" t="s">
        <v>566</v>
      </c>
      <c r="T348" s="17">
        <v>1</v>
      </c>
      <c r="U348" s="17" t="s">
        <v>1720</v>
      </c>
      <c r="V348" s="17" t="s">
        <v>3665</v>
      </c>
      <c r="W348" s="17" t="s">
        <v>3666</v>
      </c>
      <c r="X348" s="70">
        <v>46120.416666666657</v>
      </c>
      <c r="Y348" s="17" t="s">
        <v>3638</v>
      </c>
      <c r="Z348" s="17">
        <v>0.2</v>
      </c>
      <c r="AA348" s="17"/>
      <c r="AB348" s="17" t="s">
        <v>1724</v>
      </c>
      <c r="AC348" s="20" t="s">
        <v>3667</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3668</v>
      </c>
      <c r="E349" s="17" t="s">
        <v>1708</v>
      </c>
      <c r="F349" s="17">
        <v>5057</v>
      </c>
      <c r="G349" s="17" t="s">
        <v>3669</v>
      </c>
      <c r="H349" s="17" t="s">
        <v>1742</v>
      </c>
      <c r="I349" s="17" t="s">
        <v>3670</v>
      </c>
      <c r="J349" s="17" t="s">
        <v>1899</v>
      </c>
      <c r="K349" s="17" t="s">
        <v>1713</v>
      </c>
      <c r="L349" s="17" t="s">
        <v>2505</v>
      </c>
      <c r="M349" s="18" t="s">
        <v>2506</v>
      </c>
      <c r="N349" s="17">
        <v>3401</v>
      </c>
      <c r="O349" s="18" t="s">
        <v>3671</v>
      </c>
      <c r="P349" s="19" t="s">
        <v>3672</v>
      </c>
      <c r="Q349" s="17" t="s">
        <v>3673</v>
      </c>
      <c r="R349" s="17" t="s">
        <v>1719</v>
      </c>
      <c r="S349" s="17" t="s">
        <v>206</v>
      </c>
      <c r="T349" s="17">
        <v>1</v>
      </c>
      <c r="U349" s="17" t="s">
        <v>1720</v>
      </c>
      <c r="V349" s="17" t="s">
        <v>3674</v>
      </c>
      <c r="W349" s="17" t="s">
        <v>3675</v>
      </c>
      <c r="X349" s="70">
        <v>46117.541666666657</v>
      </c>
      <c r="Y349" s="17" t="s">
        <v>3676</v>
      </c>
      <c r="Z349" s="17">
        <v>0.5</v>
      </c>
      <c r="AA349" s="17"/>
      <c r="AB349" s="17" t="s">
        <v>1724</v>
      </c>
      <c r="AC349" s="20" t="s">
        <v>3677</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3678</v>
      </c>
      <c r="E350" s="17" t="s">
        <v>1727</v>
      </c>
      <c r="F350" s="17">
        <v>4084</v>
      </c>
      <c r="G350" s="17" t="s">
        <v>3679</v>
      </c>
      <c r="H350" s="17" t="s">
        <v>1759</v>
      </c>
      <c r="I350" s="17" t="s">
        <v>3680</v>
      </c>
      <c r="J350" s="17" t="s">
        <v>1929</v>
      </c>
      <c r="K350" s="17" t="s">
        <v>1713</v>
      </c>
      <c r="L350" s="17" t="s">
        <v>1745</v>
      </c>
      <c r="M350" s="18" t="s">
        <v>1746</v>
      </c>
      <c r="N350" s="17" t="s">
        <v>2034</v>
      </c>
      <c r="O350" s="18" t="s">
        <v>2035</v>
      </c>
      <c r="P350" s="19" t="s">
        <v>3681</v>
      </c>
      <c r="Q350" s="17" t="s">
        <v>3682</v>
      </c>
      <c r="R350" s="17" t="s">
        <v>1719</v>
      </c>
      <c r="S350" s="17" t="s">
        <v>566</v>
      </c>
      <c r="T350" s="17">
        <v>1</v>
      </c>
      <c r="U350" s="17" t="s">
        <v>1720</v>
      </c>
      <c r="V350" s="17" t="s">
        <v>3683</v>
      </c>
      <c r="W350" s="17" t="s">
        <v>3684</v>
      </c>
      <c r="X350" s="70">
        <v>46119.715277777781</v>
      </c>
      <c r="Y350" s="17" t="s">
        <v>3638</v>
      </c>
      <c r="Z350" s="17">
        <v>0.5</v>
      </c>
      <c r="AA350" s="17"/>
      <c r="AB350" s="17" t="s">
        <v>1724</v>
      </c>
      <c r="AC350" s="20" t="s">
        <v>3685</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3686</v>
      </c>
      <c r="E351" s="17" t="s">
        <v>1727</v>
      </c>
      <c r="F351" s="17">
        <v>4025</v>
      </c>
      <c r="G351" s="17" t="s">
        <v>3687</v>
      </c>
      <c r="H351" s="17" t="s">
        <v>1742</v>
      </c>
      <c r="I351" s="17" t="s">
        <v>3688</v>
      </c>
      <c r="J351" s="17" t="s">
        <v>1929</v>
      </c>
      <c r="K351" s="17" t="s">
        <v>1744</v>
      </c>
      <c r="L351" s="17" t="s">
        <v>1714</v>
      </c>
      <c r="M351" s="18" t="s">
        <v>1715</v>
      </c>
      <c r="N351" s="17">
        <v>2304</v>
      </c>
      <c r="O351" s="18" t="s">
        <v>2247</v>
      </c>
      <c r="P351" s="19" t="s">
        <v>3689</v>
      </c>
      <c r="Q351" s="17" t="s">
        <v>3690</v>
      </c>
      <c r="R351" s="17" t="s">
        <v>1719</v>
      </c>
      <c r="S351" s="17" t="s">
        <v>206</v>
      </c>
      <c r="T351" s="17">
        <v>1</v>
      </c>
      <c r="U351" s="17" t="s">
        <v>1720</v>
      </c>
      <c r="V351" s="17" t="s">
        <v>3691</v>
      </c>
      <c r="W351" s="17" t="s">
        <v>3692</v>
      </c>
      <c r="X351" s="70">
        <v>46119.4375</v>
      </c>
      <c r="Y351" s="17" t="s">
        <v>3638</v>
      </c>
      <c r="Z351" s="17">
        <v>0.5</v>
      </c>
      <c r="AA351" s="17"/>
      <c r="AB351" s="17" t="s">
        <v>1724</v>
      </c>
      <c r="AC351" s="20" t="s">
        <v>3693</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3694</v>
      </c>
      <c r="E352" s="17" t="s">
        <v>1727</v>
      </c>
      <c r="F352" s="17">
        <v>4025</v>
      </c>
      <c r="G352" s="17" t="s">
        <v>3687</v>
      </c>
      <c r="H352" s="17" t="s">
        <v>1742</v>
      </c>
      <c r="I352" s="17" t="s">
        <v>3695</v>
      </c>
      <c r="J352" s="17" t="s">
        <v>1929</v>
      </c>
      <c r="K352" s="17" t="s">
        <v>1744</v>
      </c>
      <c r="L352" s="17" t="s">
        <v>1714</v>
      </c>
      <c r="M352" s="18" t="s">
        <v>1715</v>
      </c>
      <c r="N352" s="17">
        <v>2304</v>
      </c>
      <c r="O352" s="18" t="s">
        <v>2247</v>
      </c>
      <c r="P352" s="19" t="s">
        <v>3696</v>
      </c>
      <c r="Q352" s="17" t="s">
        <v>3690</v>
      </c>
      <c r="R352" s="17" t="s">
        <v>1719</v>
      </c>
      <c r="S352" s="17" t="s">
        <v>206</v>
      </c>
      <c r="T352" s="17">
        <v>1</v>
      </c>
      <c r="U352" s="17" t="s">
        <v>1720</v>
      </c>
      <c r="V352" s="17" t="s">
        <v>3697</v>
      </c>
      <c r="W352" s="17" t="s">
        <v>3698</v>
      </c>
      <c r="X352" s="70">
        <v>46119.458333333343</v>
      </c>
      <c r="Y352" s="17" t="s">
        <v>3638</v>
      </c>
      <c r="Z352" s="17">
        <v>0.5</v>
      </c>
      <c r="AA352" s="17"/>
      <c r="AB352" s="17" t="s">
        <v>1724</v>
      </c>
      <c r="AC352" s="20" t="s">
        <v>3693</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3647</v>
      </c>
      <c r="G353" s="17" t="s">
        <v>3648</v>
      </c>
      <c r="H353" s="17" t="s">
        <v>1759</v>
      </c>
      <c r="I353" s="17"/>
      <c r="J353" s="17"/>
      <c r="K353" s="17"/>
      <c r="L353" s="17"/>
      <c r="M353" s="18"/>
      <c r="N353" s="17"/>
      <c r="O353" s="18"/>
      <c r="P353" s="19"/>
      <c r="Q353" s="17" t="s">
        <v>3652</v>
      </c>
      <c r="R353" s="17" t="s">
        <v>1719</v>
      </c>
      <c r="S353" s="17" t="s">
        <v>566</v>
      </c>
      <c r="T353" s="17">
        <v>1</v>
      </c>
      <c r="U353" s="17" t="s">
        <v>1720</v>
      </c>
      <c r="V353" s="17" t="s">
        <v>3699</v>
      </c>
      <c r="W353" s="17" t="s">
        <v>3700</v>
      </c>
      <c r="X353" s="70">
        <v>46119.409722222219</v>
      </c>
      <c r="Y353" s="17"/>
      <c r="Z353" s="17">
        <v>0.3</v>
      </c>
      <c r="AA353" s="17"/>
      <c r="AB353" s="17" t="s">
        <v>1724</v>
      </c>
      <c r="AC353" s="20" t="s">
        <v>3575</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3687</v>
      </c>
      <c r="H354" s="17" t="s">
        <v>1742</v>
      </c>
      <c r="I354" s="17"/>
      <c r="J354" s="17"/>
      <c r="K354" s="17"/>
      <c r="L354" s="17"/>
      <c r="M354" s="18"/>
      <c r="N354" s="17"/>
      <c r="O354" s="18"/>
      <c r="P354" s="19"/>
      <c r="Q354" s="17" t="s">
        <v>3690</v>
      </c>
      <c r="R354" s="17" t="s">
        <v>1719</v>
      </c>
      <c r="S354" s="17" t="s">
        <v>206</v>
      </c>
      <c r="T354" s="17">
        <v>1</v>
      </c>
      <c r="U354" s="17" t="s">
        <v>1720</v>
      </c>
      <c r="V354" s="17" t="s">
        <v>3701</v>
      </c>
      <c r="W354" s="17" t="s">
        <v>3702</v>
      </c>
      <c r="X354" s="70">
        <v>46119.5</v>
      </c>
      <c r="Y354" s="17"/>
      <c r="Z354" s="17">
        <v>1</v>
      </c>
      <c r="AA354" s="17"/>
      <c r="AB354" s="17" t="s">
        <v>1724</v>
      </c>
      <c r="AC354" s="20" t="s">
        <v>3703</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3307</v>
      </c>
      <c r="G355" s="17" t="s">
        <v>3308</v>
      </c>
      <c r="H355" s="17" t="s">
        <v>1941</v>
      </c>
      <c r="I355" s="17"/>
      <c r="J355" s="17"/>
      <c r="K355" s="17"/>
      <c r="L355" s="17"/>
      <c r="M355" s="18"/>
      <c r="N355" s="17"/>
      <c r="O355" s="18"/>
      <c r="P355" s="19"/>
      <c r="Q355" s="17" t="s">
        <v>3309</v>
      </c>
      <c r="R355" s="17" t="s">
        <v>1719</v>
      </c>
      <c r="S355" s="17" t="s">
        <v>52</v>
      </c>
      <c r="T355" s="17">
        <v>1</v>
      </c>
      <c r="U355" s="17" t="s">
        <v>1720</v>
      </c>
      <c r="V355" s="17" t="s">
        <v>3704</v>
      </c>
      <c r="W355" s="17" t="s">
        <v>3705</v>
      </c>
      <c r="X355" s="70">
        <v>46119.633333333331</v>
      </c>
      <c r="Y355" s="17"/>
      <c r="Z355" s="17">
        <v>0.4</v>
      </c>
      <c r="AA355" s="17"/>
      <c r="AB355" s="17" t="s">
        <v>1724</v>
      </c>
      <c r="AC355" s="20" t="s">
        <v>3706</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3707</v>
      </c>
      <c r="H356" s="17" t="s">
        <v>1759</v>
      </c>
      <c r="I356" s="17"/>
      <c r="J356" s="17"/>
      <c r="K356" s="17"/>
      <c r="L356" s="17"/>
      <c r="M356" s="18"/>
      <c r="N356" s="17"/>
      <c r="O356" s="18"/>
      <c r="P356" s="19"/>
      <c r="Q356" s="17" t="s">
        <v>3708</v>
      </c>
      <c r="R356" s="17" t="s">
        <v>1719</v>
      </c>
      <c r="S356" s="17" t="s">
        <v>566</v>
      </c>
      <c r="T356" s="17">
        <v>1</v>
      </c>
      <c r="U356" s="17" t="s">
        <v>1720</v>
      </c>
      <c r="V356" s="17" t="s">
        <v>3709</v>
      </c>
      <c r="W356" s="17" t="s">
        <v>3710</v>
      </c>
      <c r="X356" s="70">
        <v>46119.645833333343</v>
      </c>
      <c r="Y356" s="17"/>
      <c r="Z356" s="17">
        <v>0.5</v>
      </c>
      <c r="AA356" s="17"/>
      <c r="AB356" s="17" t="s">
        <v>1724</v>
      </c>
      <c r="AC356" s="20" t="s">
        <v>3711</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3707</v>
      </c>
      <c r="H357" s="17" t="s">
        <v>1759</v>
      </c>
      <c r="I357" s="17"/>
      <c r="J357" s="17"/>
      <c r="K357" s="17"/>
      <c r="L357" s="17"/>
      <c r="M357" s="18"/>
      <c r="N357" s="17"/>
      <c r="O357" s="18"/>
      <c r="P357" s="19"/>
      <c r="Q357" s="17" t="s">
        <v>3708</v>
      </c>
      <c r="R357" s="17" t="s">
        <v>1719</v>
      </c>
      <c r="S357" s="17" t="s">
        <v>566</v>
      </c>
      <c r="T357" s="17">
        <v>1</v>
      </c>
      <c r="U357" s="17" t="s">
        <v>1720</v>
      </c>
      <c r="V357" s="17" t="s">
        <v>3709</v>
      </c>
      <c r="W357" s="17" t="s">
        <v>3702</v>
      </c>
      <c r="X357" s="70">
        <v>46119.625</v>
      </c>
      <c r="Y357" s="17"/>
      <c r="Z357" s="17">
        <v>4</v>
      </c>
      <c r="AA357" s="17"/>
      <c r="AB357" s="17" t="s">
        <v>1724</v>
      </c>
      <c r="AC357" s="20" t="s">
        <v>3712</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3302</v>
      </c>
      <c r="H358" s="17" t="s">
        <v>1941</v>
      </c>
      <c r="I358" s="17"/>
      <c r="J358" s="17"/>
      <c r="K358" s="17"/>
      <c r="L358" s="17"/>
      <c r="M358" s="18"/>
      <c r="N358" s="17"/>
      <c r="O358" s="18"/>
      <c r="P358" s="19"/>
      <c r="Q358" s="17" t="s">
        <v>3303</v>
      </c>
      <c r="R358" s="17" t="s">
        <v>1719</v>
      </c>
      <c r="S358" s="17" t="s">
        <v>52</v>
      </c>
      <c r="T358" s="17">
        <v>1</v>
      </c>
      <c r="U358" s="17" t="s">
        <v>1720</v>
      </c>
      <c r="V358" s="17" t="s">
        <v>3713</v>
      </c>
      <c r="W358" s="17" t="s">
        <v>3714</v>
      </c>
      <c r="X358" s="70">
        <v>46119.661805555559</v>
      </c>
      <c r="Y358" s="17"/>
      <c r="Z358" s="17">
        <v>0.6</v>
      </c>
      <c r="AA358" s="17"/>
      <c r="AB358" s="17" t="s">
        <v>1724</v>
      </c>
      <c r="AC358" s="20" t="s">
        <v>3575</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3679</v>
      </c>
      <c r="H359" s="17" t="s">
        <v>1759</v>
      </c>
      <c r="I359" s="17"/>
      <c r="J359" s="17"/>
      <c r="K359" s="17"/>
      <c r="L359" s="17"/>
      <c r="M359" s="18"/>
      <c r="N359" s="17"/>
      <c r="O359" s="18"/>
      <c r="P359" s="19"/>
      <c r="Q359" s="17" t="s">
        <v>3682</v>
      </c>
      <c r="R359" s="17" t="s">
        <v>1719</v>
      </c>
      <c r="S359" s="17" t="s">
        <v>566</v>
      </c>
      <c r="T359" s="17">
        <v>1</v>
      </c>
      <c r="U359" s="17" t="s">
        <v>1720</v>
      </c>
      <c r="V359" s="17" t="s">
        <v>3715</v>
      </c>
      <c r="W359" s="17" t="s">
        <v>3716</v>
      </c>
      <c r="X359" s="70">
        <v>46119.729166666657</v>
      </c>
      <c r="Y359" s="17"/>
      <c r="Z359" s="17">
        <v>0.3</v>
      </c>
      <c r="AA359" s="17"/>
      <c r="AB359" s="17" t="s">
        <v>1724</v>
      </c>
      <c r="AC359" s="20" t="s">
        <v>3575</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3717</v>
      </c>
      <c r="E360" s="17" t="s">
        <v>1727</v>
      </c>
      <c r="F360" s="17" t="s">
        <v>2288</v>
      </c>
      <c r="G360" s="17" t="s">
        <v>2289</v>
      </c>
      <c r="H360" s="17" t="s">
        <v>1742</v>
      </c>
      <c r="I360" s="17" t="s">
        <v>3718</v>
      </c>
      <c r="J360" s="17" t="s">
        <v>2095</v>
      </c>
      <c r="K360" s="17" t="s">
        <v>1713</v>
      </c>
      <c r="L360" s="17" t="s">
        <v>1789</v>
      </c>
      <c r="M360" s="18" t="s">
        <v>1790</v>
      </c>
      <c r="N360" s="17" t="s">
        <v>2812</v>
      </c>
      <c r="O360" s="18" t="s">
        <v>2813</v>
      </c>
      <c r="P360" s="19" t="s">
        <v>3719</v>
      </c>
      <c r="Q360" s="17" t="s">
        <v>2292</v>
      </c>
      <c r="R360" s="17" t="s">
        <v>1719</v>
      </c>
      <c r="S360" s="17" t="s">
        <v>206</v>
      </c>
      <c r="T360" s="17">
        <v>1</v>
      </c>
      <c r="U360" s="17" t="s">
        <v>1720</v>
      </c>
      <c r="V360" s="17" t="s">
        <v>3720</v>
      </c>
      <c r="W360" s="17" t="s">
        <v>3637</v>
      </c>
      <c r="X360" s="70">
        <v>46120.479166666657</v>
      </c>
      <c r="Y360" s="17" t="s">
        <v>3721</v>
      </c>
      <c r="Z360" s="17">
        <v>1</v>
      </c>
      <c r="AA360" s="17"/>
      <c r="AB360" s="17" t="s">
        <v>1724</v>
      </c>
      <c r="AC360" s="20" t="s">
        <v>3722</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3054</v>
      </c>
      <c r="H361" s="17" t="s">
        <v>1786</v>
      </c>
      <c r="I361" s="17"/>
      <c r="J361" s="17"/>
      <c r="K361" s="17"/>
      <c r="L361" s="17"/>
      <c r="M361" s="18"/>
      <c r="N361" s="17"/>
      <c r="O361" s="18"/>
      <c r="P361" s="19"/>
      <c r="Q361" s="17" t="s">
        <v>3055</v>
      </c>
      <c r="R361" s="17" t="s">
        <v>1719</v>
      </c>
      <c r="S361" s="17" t="s">
        <v>566</v>
      </c>
      <c r="T361" s="17">
        <v>1</v>
      </c>
      <c r="U361" s="17" t="s">
        <v>1720</v>
      </c>
      <c r="V361" s="17" t="s">
        <v>3723</v>
      </c>
      <c r="W361" s="17" t="s">
        <v>3724</v>
      </c>
      <c r="X361" s="70">
        <v>46120.430555555547</v>
      </c>
      <c r="Y361" s="17"/>
      <c r="Z361" s="17">
        <v>0.3</v>
      </c>
      <c r="AA361" s="17"/>
      <c r="AB361" s="17" t="s">
        <v>1724</v>
      </c>
      <c r="AC361" s="20" t="s">
        <v>3575</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2288</v>
      </c>
      <c r="G362" s="17" t="s">
        <v>2289</v>
      </c>
      <c r="H362" s="17" t="s">
        <v>1742</v>
      </c>
      <c r="I362" s="17"/>
      <c r="J362" s="17"/>
      <c r="K362" s="17"/>
      <c r="L362" s="17"/>
      <c r="M362" s="18"/>
      <c r="N362" s="17"/>
      <c r="O362" s="18"/>
      <c r="P362" s="19"/>
      <c r="Q362" s="17" t="s">
        <v>2292</v>
      </c>
      <c r="R362" s="17" t="s">
        <v>1719</v>
      </c>
      <c r="S362" s="17" t="s">
        <v>206</v>
      </c>
      <c r="T362" s="17">
        <v>1</v>
      </c>
      <c r="U362" s="17" t="s">
        <v>1720</v>
      </c>
      <c r="V362" s="17" t="s">
        <v>3725</v>
      </c>
      <c r="W362" s="17" t="s">
        <v>3726</v>
      </c>
      <c r="X362" s="70">
        <v>46120.493055555547</v>
      </c>
      <c r="Y362" s="17"/>
      <c r="Z362" s="17">
        <v>0.3</v>
      </c>
      <c r="AA362" s="17"/>
      <c r="AB362" s="17" t="s">
        <v>1724</v>
      </c>
      <c r="AC362" s="20" t="s">
        <v>3575</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2112</v>
      </c>
      <c r="G363" s="17" t="s">
        <v>2113</v>
      </c>
      <c r="H363" s="17" t="s">
        <v>1991</v>
      </c>
      <c r="I363" s="17"/>
      <c r="J363" s="17"/>
      <c r="K363" s="17"/>
      <c r="L363" s="17"/>
      <c r="M363" s="18"/>
      <c r="N363" s="17"/>
      <c r="O363" s="18"/>
      <c r="P363" s="19"/>
      <c r="Q363" s="17" t="s">
        <v>2116</v>
      </c>
      <c r="R363" s="17" t="s">
        <v>1719</v>
      </c>
      <c r="S363" s="17" t="s">
        <v>195</v>
      </c>
      <c r="T363" s="17">
        <v>1</v>
      </c>
      <c r="U363" s="17" t="s">
        <v>1720</v>
      </c>
      <c r="V363" s="17" t="s">
        <v>3727</v>
      </c>
      <c r="W363" s="17" t="s">
        <v>3660</v>
      </c>
      <c r="X363" s="70">
        <v>46120.519444444442</v>
      </c>
      <c r="Y363" s="17"/>
      <c r="Z363" s="17">
        <v>0.7</v>
      </c>
      <c r="AA363" s="17"/>
      <c r="AB363" s="17" t="s">
        <v>1724</v>
      </c>
      <c r="AC363" s="20" t="s">
        <v>3575</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3431</v>
      </c>
      <c r="H364" s="17" t="s">
        <v>1812</v>
      </c>
      <c r="I364" s="17"/>
      <c r="J364" s="17"/>
      <c r="K364" s="17"/>
      <c r="L364" s="17"/>
      <c r="M364" s="18"/>
      <c r="N364" s="17"/>
      <c r="O364" s="18"/>
      <c r="P364" s="19"/>
      <c r="Q364" s="17" t="s">
        <v>3432</v>
      </c>
      <c r="R364" s="17" t="s">
        <v>1719</v>
      </c>
      <c r="S364" s="17" t="s">
        <v>52</v>
      </c>
      <c r="T364" s="17">
        <v>1</v>
      </c>
      <c r="U364" s="17" t="s">
        <v>1720</v>
      </c>
      <c r="V364" s="17" t="s">
        <v>3728</v>
      </c>
      <c r="W364" s="17" t="s">
        <v>3729</v>
      </c>
      <c r="X364" s="70">
        <v>46120.506944444453</v>
      </c>
      <c r="Y364" s="17"/>
      <c r="Z364" s="17">
        <v>0.3</v>
      </c>
      <c r="AA364" s="17"/>
      <c r="AB364" s="17" t="s">
        <v>1724</v>
      </c>
      <c r="AC364" s="20" t="s">
        <v>3575</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3426</v>
      </c>
      <c r="H365" s="17" t="s">
        <v>1812</v>
      </c>
      <c r="I365" s="17"/>
      <c r="J365" s="17"/>
      <c r="K365" s="17"/>
      <c r="L365" s="17"/>
      <c r="M365" s="18"/>
      <c r="N365" s="17"/>
      <c r="O365" s="18"/>
      <c r="P365" s="19"/>
      <c r="Q365" s="17" t="s">
        <v>3427</v>
      </c>
      <c r="R365" s="17" t="s">
        <v>1719</v>
      </c>
      <c r="S365" s="17" t="s">
        <v>52</v>
      </c>
      <c r="T365" s="17">
        <v>1</v>
      </c>
      <c r="U365" s="17" t="s">
        <v>1720</v>
      </c>
      <c r="V365" s="17" t="s">
        <v>3730</v>
      </c>
      <c r="W365" s="17" t="s">
        <v>3731</v>
      </c>
      <c r="X365" s="70">
        <v>46120.534722222219</v>
      </c>
      <c r="Y365" s="17"/>
      <c r="Z365" s="17">
        <v>0.3</v>
      </c>
      <c r="AA365" s="17"/>
      <c r="AB365" s="17" t="s">
        <v>1724</v>
      </c>
      <c r="AC365" s="20" t="s">
        <v>3575</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3732</v>
      </c>
      <c r="E366" s="17" t="s">
        <v>1727</v>
      </c>
      <c r="F366" s="17">
        <v>4218</v>
      </c>
      <c r="G366" s="17" t="s">
        <v>3733</v>
      </c>
      <c r="H366" s="17" t="s">
        <v>1897</v>
      </c>
      <c r="I366" s="17" t="s">
        <v>3734</v>
      </c>
      <c r="J366" s="17" t="s">
        <v>2095</v>
      </c>
      <c r="K366" s="17" t="s">
        <v>1744</v>
      </c>
      <c r="L366" s="17" t="s">
        <v>1789</v>
      </c>
      <c r="M366" s="18" t="s">
        <v>1790</v>
      </c>
      <c r="N366" s="17" t="s">
        <v>1791</v>
      </c>
      <c r="O366" s="18" t="s">
        <v>1792</v>
      </c>
      <c r="P366" s="19" t="s">
        <v>3735</v>
      </c>
      <c r="Q366" s="17" t="s">
        <v>3736</v>
      </c>
      <c r="R366" s="17" t="s">
        <v>1719</v>
      </c>
      <c r="S366" s="17" t="s">
        <v>206</v>
      </c>
      <c r="T366" s="17">
        <v>1</v>
      </c>
      <c r="U366" s="17" t="s">
        <v>1720</v>
      </c>
      <c r="V366" s="17" t="s">
        <v>3737</v>
      </c>
      <c r="W366" s="17" t="s">
        <v>3738</v>
      </c>
      <c r="X366" s="70">
        <v>46120.645833333343</v>
      </c>
      <c r="Y366" s="17" t="s">
        <v>3739</v>
      </c>
      <c r="Z366" s="17">
        <v>1</v>
      </c>
      <c r="AA366" s="17"/>
      <c r="AB366" s="17" t="s">
        <v>1724</v>
      </c>
      <c r="AC366" s="20" t="s">
        <v>3740</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2477</v>
      </c>
      <c r="H367" s="17" t="s">
        <v>1812</v>
      </c>
      <c r="I367" s="17"/>
      <c r="J367" s="17"/>
      <c r="K367" s="17"/>
      <c r="L367" s="17"/>
      <c r="M367" s="18"/>
      <c r="N367" s="17"/>
      <c r="O367" s="18"/>
      <c r="P367" s="19"/>
      <c r="Q367" s="17" t="s">
        <v>2480</v>
      </c>
      <c r="R367" s="17" t="s">
        <v>1719</v>
      </c>
      <c r="S367" s="17" t="s">
        <v>52</v>
      </c>
      <c r="T367" s="17">
        <v>1</v>
      </c>
      <c r="U367" s="17" t="s">
        <v>1720</v>
      </c>
      <c r="V367" s="17" t="s">
        <v>3741</v>
      </c>
      <c r="W367" s="17" t="s">
        <v>3638</v>
      </c>
      <c r="X367" s="70">
        <v>46120.555555555547</v>
      </c>
      <c r="Y367" s="17"/>
      <c r="Z367" s="17">
        <v>0.3</v>
      </c>
      <c r="AA367" s="17"/>
      <c r="AB367" s="17" t="s">
        <v>1724</v>
      </c>
      <c r="AC367" s="20" t="s">
        <v>3575</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1811</v>
      </c>
      <c r="H368" s="17" t="s">
        <v>1812</v>
      </c>
      <c r="I368" s="17"/>
      <c r="J368" s="17"/>
      <c r="K368" s="17"/>
      <c r="L368" s="17"/>
      <c r="M368" s="18"/>
      <c r="N368" s="17"/>
      <c r="O368" s="18"/>
      <c r="P368" s="19"/>
      <c r="Q368" s="17" t="s">
        <v>1815</v>
      </c>
      <c r="R368" s="17" t="s">
        <v>1719</v>
      </c>
      <c r="S368" s="17" t="s">
        <v>52</v>
      </c>
      <c r="T368" s="17">
        <v>1</v>
      </c>
      <c r="U368" s="17" t="s">
        <v>1720</v>
      </c>
      <c r="V368" s="17" t="s">
        <v>3742</v>
      </c>
      <c r="W368" s="17" t="s">
        <v>3743</v>
      </c>
      <c r="X368" s="70">
        <v>46120.583333333343</v>
      </c>
      <c r="Y368" s="17"/>
      <c r="Z368" s="17">
        <v>0.5</v>
      </c>
      <c r="AA368" s="17"/>
      <c r="AB368" s="17" t="s">
        <v>1724</v>
      </c>
      <c r="AC368" s="20" t="s">
        <v>3575</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3411</v>
      </c>
      <c r="H369" s="17" t="s">
        <v>1812</v>
      </c>
      <c r="I369" s="17"/>
      <c r="J369" s="17"/>
      <c r="K369" s="17"/>
      <c r="L369" s="17"/>
      <c r="M369" s="18"/>
      <c r="N369" s="17"/>
      <c r="O369" s="18"/>
      <c r="P369" s="19"/>
      <c r="Q369" s="17" t="s">
        <v>3412</v>
      </c>
      <c r="R369" s="17" t="s">
        <v>1719</v>
      </c>
      <c r="S369" s="17" t="s">
        <v>52</v>
      </c>
      <c r="T369" s="17">
        <v>1</v>
      </c>
      <c r="U369" s="17" t="s">
        <v>1720</v>
      </c>
      <c r="V369" s="17" t="s">
        <v>3744</v>
      </c>
      <c r="W369" s="17" t="s">
        <v>3745</v>
      </c>
      <c r="X369" s="70">
        <v>46120.638888888891</v>
      </c>
      <c r="Y369" s="17"/>
      <c r="Z369" s="17">
        <v>0.3</v>
      </c>
      <c r="AA369" s="17"/>
      <c r="AB369" s="17" t="s">
        <v>1724</v>
      </c>
      <c r="AC369" s="20" t="s">
        <v>3575</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3733</v>
      </c>
      <c r="H370" s="17" t="s">
        <v>1897</v>
      </c>
      <c r="I370" s="17"/>
      <c r="J370" s="17"/>
      <c r="K370" s="17"/>
      <c r="L370" s="17"/>
      <c r="M370" s="18"/>
      <c r="N370" s="17"/>
      <c r="O370" s="18"/>
      <c r="P370" s="19"/>
      <c r="Q370" s="17" t="s">
        <v>3736</v>
      </c>
      <c r="R370" s="17" t="s">
        <v>1719</v>
      </c>
      <c r="S370" s="17" t="s">
        <v>206</v>
      </c>
      <c r="T370" s="17">
        <v>1</v>
      </c>
      <c r="U370" s="17" t="s">
        <v>1720</v>
      </c>
      <c r="V370" s="17" t="s">
        <v>3746</v>
      </c>
      <c r="W370" s="17" t="s">
        <v>3747</v>
      </c>
      <c r="X370" s="70">
        <v>46120.604166666657</v>
      </c>
      <c r="Y370" s="17"/>
      <c r="Z370" s="17">
        <v>0.5</v>
      </c>
      <c r="AA370" s="17"/>
      <c r="AB370" s="17" t="s">
        <v>1724</v>
      </c>
      <c r="AC370" s="20" t="s">
        <v>3575</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3416</v>
      </c>
      <c r="H371" s="17" t="s">
        <v>1812</v>
      </c>
      <c r="I371" s="17"/>
      <c r="J371" s="17"/>
      <c r="K371" s="17"/>
      <c r="L371" s="17"/>
      <c r="M371" s="18"/>
      <c r="N371" s="17"/>
      <c r="O371" s="18"/>
      <c r="P371" s="19"/>
      <c r="Q371" s="17" t="s">
        <v>3417</v>
      </c>
      <c r="R371" s="17" t="s">
        <v>1719</v>
      </c>
      <c r="S371" s="17" t="s">
        <v>52</v>
      </c>
      <c r="T371" s="17">
        <v>1</v>
      </c>
      <c r="U371" s="17" t="s">
        <v>1720</v>
      </c>
      <c r="V371" s="17" t="s">
        <v>3748</v>
      </c>
      <c r="W371" s="17" t="s">
        <v>3749</v>
      </c>
      <c r="X371" s="70">
        <v>46120.659722222219</v>
      </c>
      <c r="Y371" s="17"/>
      <c r="Z371" s="17">
        <v>0.3</v>
      </c>
      <c r="AA371" s="17"/>
      <c r="AB371" s="17" t="s">
        <v>1724</v>
      </c>
      <c r="AC371" s="20" t="s">
        <v>3575</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3750</v>
      </c>
      <c r="E372" s="17" t="s">
        <v>1727</v>
      </c>
      <c r="F372" s="17" t="s">
        <v>2548</v>
      </c>
      <c r="G372" s="17" t="s">
        <v>2549</v>
      </c>
      <c r="H372" s="17" t="s">
        <v>1786</v>
      </c>
      <c r="I372" s="17" t="s">
        <v>3751</v>
      </c>
      <c r="J372" s="17" t="s">
        <v>2095</v>
      </c>
      <c r="K372" s="17" t="s">
        <v>1744</v>
      </c>
      <c r="L372" s="17" t="s">
        <v>1900</v>
      </c>
      <c r="M372" s="18" t="s">
        <v>1901</v>
      </c>
      <c r="N372" s="17">
        <v>6004</v>
      </c>
      <c r="O372" s="18" t="s">
        <v>1716</v>
      </c>
      <c r="P372" s="19" t="s">
        <v>3752</v>
      </c>
      <c r="Q372" s="17" t="s">
        <v>2550</v>
      </c>
      <c r="R372" s="17" t="s">
        <v>1719</v>
      </c>
      <c r="S372" s="17" t="s">
        <v>566</v>
      </c>
      <c r="T372" s="17">
        <v>1</v>
      </c>
      <c r="U372" s="17" t="s">
        <v>1720</v>
      </c>
      <c r="V372" s="17" t="s">
        <v>3753</v>
      </c>
      <c r="W372" s="17" t="s">
        <v>3754</v>
      </c>
      <c r="X372" s="70">
        <v>46121.699305555558</v>
      </c>
      <c r="Y372" s="17" t="s">
        <v>3755</v>
      </c>
      <c r="Z372" s="17">
        <v>0.5</v>
      </c>
      <c r="AA372" s="17"/>
      <c r="AB372" s="17" t="s">
        <v>1724</v>
      </c>
      <c r="AC372" s="20" t="s">
        <v>3756</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3421</v>
      </c>
      <c r="H373" s="17" t="s">
        <v>1812</v>
      </c>
      <c r="I373" s="17"/>
      <c r="J373" s="17"/>
      <c r="K373" s="17"/>
      <c r="L373" s="17"/>
      <c r="M373" s="18"/>
      <c r="N373" s="17"/>
      <c r="O373" s="18"/>
      <c r="P373" s="19"/>
      <c r="Q373" s="17" t="s">
        <v>3422</v>
      </c>
      <c r="R373" s="17" t="s">
        <v>1719</v>
      </c>
      <c r="S373" s="17" t="s">
        <v>52</v>
      </c>
      <c r="T373" s="17">
        <v>1</v>
      </c>
      <c r="U373" s="17" t="s">
        <v>1720</v>
      </c>
      <c r="V373" s="17" t="s">
        <v>3757</v>
      </c>
      <c r="W373" s="17" t="s">
        <v>3758</v>
      </c>
      <c r="X373" s="70">
        <v>46120.6875</v>
      </c>
      <c r="Y373" s="17"/>
      <c r="Z373" s="17">
        <v>0.3</v>
      </c>
      <c r="AA373" s="17"/>
      <c r="AB373" s="17" t="s">
        <v>1724</v>
      </c>
      <c r="AC373" s="20" t="s">
        <v>3575</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2548</v>
      </c>
      <c r="G374" s="17" t="s">
        <v>2549</v>
      </c>
      <c r="H374" s="17" t="s">
        <v>1786</v>
      </c>
      <c r="I374" s="17"/>
      <c r="J374" s="17"/>
      <c r="K374" s="17"/>
      <c r="L374" s="17"/>
      <c r="M374" s="18"/>
      <c r="N374" s="17"/>
      <c r="O374" s="18"/>
      <c r="P374" s="19"/>
      <c r="Q374" s="17" t="s">
        <v>2550</v>
      </c>
      <c r="R374" s="17" t="s">
        <v>1719</v>
      </c>
      <c r="S374" s="17" t="s">
        <v>566</v>
      </c>
      <c r="T374" s="17">
        <v>1</v>
      </c>
      <c r="U374" s="17" t="s">
        <v>1720</v>
      </c>
      <c r="V374" s="17" t="s">
        <v>3759</v>
      </c>
      <c r="W374" s="17" t="s">
        <v>3758</v>
      </c>
      <c r="X374" s="70">
        <v>46120.693055555559</v>
      </c>
      <c r="Y374" s="17"/>
      <c r="Z374" s="17">
        <v>0.5</v>
      </c>
      <c r="AA374" s="17"/>
      <c r="AB374" s="17" t="s">
        <v>1724</v>
      </c>
      <c r="AC374" s="20" t="s">
        <v>3575</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3760</v>
      </c>
      <c r="E375" s="17" t="s">
        <v>1727</v>
      </c>
      <c r="F375" s="17">
        <v>2935</v>
      </c>
      <c r="G375" s="17" t="s">
        <v>3761</v>
      </c>
      <c r="H375" s="17" t="s">
        <v>1759</v>
      </c>
      <c r="I375" s="17" t="s">
        <v>3762</v>
      </c>
      <c r="J375" s="17" t="s">
        <v>1712</v>
      </c>
      <c r="K375" s="17" t="s">
        <v>1713</v>
      </c>
      <c r="L375" s="17" t="s">
        <v>1714</v>
      </c>
      <c r="M375" s="18" t="s">
        <v>1715</v>
      </c>
      <c r="N375" s="17">
        <v>2307</v>
      </c>
      <c r="O375" s="18" t="s">
        <v>1974</v>
      </c>
      <c r="P375" s="19" t="s">
        <v>3763</v>
      </c>
      <c r="Q375" s="17" t="s">
        <v>3764</v>
      </c>
      <c r="R375" s="17" t="s">
        <v>1719</v>
      </c>
      <c r="S375" s="17" t="s">
        <v>566</v>
      </c>
      <c r="T375" s="17">
        <v>1</v>
      </c>
      <c r="U375" s="17" t="s">
        <v>1720</v>
      </c>
      <c r="V375" s="17" t="s">
        <v>3765</v>
      </c>
      <c r="W375" s="17" t="s">
        <v>3766</v>
      </c>
      <c r="X375" s="70">
        <v>46122.416666666657</v>
      </c>
      <c r="Y375" s="17" t="s">
        <v>3767</v>
      </c>
      <c r="Z375" s="17">
        <v>0.4</v>
      </c>
      <c r="AA375" s="17"/>
      <c r="AB375" s="17" t="s">
        <v>1724</v>
      </c>
      <c r="AC375" s="20" t="s">
        <v>3768</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3769</v>
      </c>
      <c r="E376" s="17" t="s">
        <v>1727</v>
      </c>
      <c r="F376" s="17">
        <v>4316</v>
      </c>
      <c r="G376" s="17" t="s">
        <v>1825</v>
      </c>
      <c r="H376" s="17" t="s">
        <v>1805</v>
      </c>
      <c r="I376" s="17" t="s">
        <v>3770</v>
      </c>
      <c r="J376" s="17" t="s">
        <v>1712</v>
      </c>
      <c r="K376" s="17" t="s">
        <v>1713</v>
      </c>
      <c r="L376" s="17" t="s">
        <v>1714</v>
      </c>
      <c r="M376" s="18" t="s">
        <v>1715</v>
      </c>
      <c r="N376" s="17">
        <v>2304</v>
      </c>
      <c r="O376" s="18" t="s">
        <v>2247</v>
      </c>
      <c r="P376" s="19" t="s">
        <v>3771</v>
      </c>
      <c r="Q376" s="17" t="s">
        <v>1826</v>
      </c>
      <c r="R376" s="17" t="s">
        <v>1719</v>
      </c>
      <c r="S376" s="17" t="s">
        <v>206</v>
      </c>
      <c r="T376" s="17">
        <v>1</v>
      </c>
      <c r="U376" s="17" t="s">
        <v>1720</v>
      </c>
      <c r="V376" s="17" t="s">
        <v>3772</v>
      </c>
      <c r="W376" s="17" t="s">
        <v>3773</v>
      </c>
      <c r="X376" s="70">
        <v>46121.583333333343</v>
      </c>
      <c r="Y376" s="17" t="s">
        <v>3774</v>
      </c>
      <c r="Z376" s="17">
        <v>0.5</v>
      </c>
      <c r="AA376" s="17"/>
      <c r="AB376" s="17" t="s">
        <v>1724</v>
      </c>
      <c r="AC376" s="20" t="s">
        <v>3775</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3776</v>
      </c>
      <c r="E377" s="17" t="s">
        <v>1727</v>
      </c>
      <c r="F377" s="17">
        <v>4514</v>
      </c>
      <c r="G377" s="17" t="s">
        <v>2351</v>
      </c>
      <c r="H377" s="17" t="s">
        <v>2127</v>
      </c>
      <c r="I377" s="17" t="s">
        <v>3777</v>
      </c>
      <c r="J377" s="17" t="s">
        <v>1712</v>
      </c>
      <c r="K377" s="17" t="s">
        <v>1713</v>
      </c>
      <c r="L377" s="17" t="s">
        <v>1930</v>
      </c>
      <c r="M377" s="18" t="s">
        <v>1931</v>
      </c>
      <c r="N377" s="17">
        <v>2403</v>
      </c>
      <c r="O377" s="18" t="s">
        <v>3778</v>
      </c>
      <c r="P377" s="19" t="s">
        <v>3779</v>
      </c>
      <c r="Q377" s="17" t="s">
        <v>2352</v>
      </c>
      <c r="R377" s="17" t="s">
        <v>1719</v>
      </c>
      <c r="S377" s="17" t="s">
        <v>52</v>
      </c>
      <c r="T377" s="17">
        <v>1</v>
      </c>
      <c r="U377" s="17" t="s">
        <v>1720</v>
      </c>
      <c r="V377" s="17" t="s">
        <v>3780</v>
      </c>
      <c r="W377" s="17" t="s">
        <v>3781</v>
      </c>
      <c r="X377" s="70">
        <v>46122.515972222223</v>
      </c>
      <c r="Y377" s="17" t="s">
        <v>3782</v>
      </c>
      <c r="Z377" s="17">
        <v>0.5</v>
      </c>
      <c r="AA377" s="17"/>
      <c r="AB377" s="17" t="s">
        <v>1724</v>
      </c>
      <c r="AC377" s="20" t="s">
        <v>3783</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2351</v>
      </c>
      <c r="H378" s="17" t="s">
        <v>2127</v>
      </c>
      <c r="I378" s="17"/>
      <c r="J378" s="17"/>
      <c r="K378" s="17"/>
      <c r="L378" s="17"/>
      <c r="M378" s="18"/>
      <c r="N378" s="17"/>
      <c r="O378" s="18"/>
      <c r="P378" s="19"/>
      <c r="Q378" s="17" t="s">
        <v>2352</v>
      </c>
      <c r="R378" s="17" t="s">
        <v>1719</v>
      </c>
      <c r="S378" s="17" t="s">
        <v>52</v>
      </c>
      <c r="T378" s="17">
        <v>1</v>
      </c>
      <c r="U378" s="17" t="s">
        <v>1720</v>
      </c>
      <c r="V378" s="17" t="s">
        <v>3784</v>
      </c>
      <c r="W378" s="17" t="s">
        <v>3785</v>
      </c>
      <c r="X378" s="70">
        <v>46121.479166666657</v>
      </c>
      <c r="Y378" s="17"/>
      <c r="Z378" s="17">
        <v>0.5</v>
      </c>
      <c r="AA378" s="17"/>
      <c r="AB378" s="17" t="s">
        <v>1724</v>
      </c>
      <c r="AC378" s="20" t="s">
        <v>3575</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3786</v>
      </c>
      <c r="E379" s="17" t="s">
        <v>1727</v>
      </c>
      <c r="F379" s="17">
        <v>4514</v>
      </c>
      <c r="G379" s="17" t="s">
        <v>2351</v>
      </c>
      <c r="H379" s="17" t="s">
        <v>2127</v>
      </c>
      <c r="I379" s="17" t="s">
        <v>3787</v>
      </c>
      <c r="J379" s="17" t="s">
        <v>1712</v>
      </c>
      <c r="K379" s="17" t="s">
        <v>1713</v>
      </c>
      <c r="L379" s="17" t="s">
        <v>2666</v>
      </c>
      <c r="M379" s="18" t="s">
        <v>2667</v>
      </c>
      <c r="N379" s="17">
        <v>2901</v>
      </c>
      <c r="O379" s="18" t="s">
        <v>1913</v>
      </c>
      <c r="P379" s="19" t="s">
        <v>3788</v>
      </c>
      <c r="Q379" s="17" t="s">
        <v>2352</v>
      </c>
      <c r="R379" s="17" t="s">
        <v>1719</v>
      </c>
      <c r="S379" s="17" t="s">
        <v>52</v>
      </c>
      <c r="T379" s="17">
        <v>1</v>
      </c>
      <c r="U379" s="17" t="s">
        <v>1720</v>
      </c>
      <c r="V379" s="17" t="s">
        <v>3789</v>
      </c>
      <c r="W379" s="17" t="s">
        <v>3790</v>
      </c>
      <c r="X379" s="70">
        <v>46122.515277777777</v>
      </c>
      <c r="Y379" s="17" t="s">
        <v>3791</v>
      </c>
      <c r="Z379" s="17">
        <v>0.5</v>
      </c>
      <c r="AA379" s="17"/>
      <c r="AB379" s="17" t="s">
        <v>1724</v>
      </c>
      <c r="AC379" s="20" t="s">
        <v>3792</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2356</v>
      </c>
      <c r="H380" s="17" t="s">
        <v>2127</v>
      </c>
      <c r="I380" s="17"/>
      <c r="J380" s="17"/>
      <c r="K380" s="17"/>
      <c r="L380" s="17"/>
      <c r="M380" s="18"/>
      <c r="N380" s="17"/>
      <c r="O380" s="18"/>
      <c r="P380" s="19"/>
      <c r="Q380" s="17" t="s">
        <v>2357</v>
      </c>
      <c r="R380" s="17" t="s">
        <v>1719</v>
      </c>
      <c r="S380" s="17" t="s">
        <v>52</v>
      </c>
      <c r="T380" s="17">
        <v>1</v>
      </c>
      <c r="U380" s="17" t="s">
        <v>1720</v>
      </c>
      <c r="V380" s="17" t="s">
        <v>3793</v>
      </c>
      <c r="W380" s="17" t="s">
        <v>3794</v>
      </c>
      <c r="X380" s="70">
        <v>46121.510416666657</v>
      </c>
      <c r="Y380" s="17"/>
      <c r="Z380" s="17">
        <v>0.5</v>
      </c>
      <c r="AA380" s="17"/>
      <c r="AB380" s="17" t="s">
        <v>1724</v>
      </c>
      <c r="AC380" s="20" t="s">
        <v>3575</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3795</v>
      </c>
      <c r="H381" s="17" t="s">
        <v>1786</v>
      </c>
      <c r="I381" s="17"/>
      <c r="J381" s="17"/>
      <c r="K381" s="17"/>
      <c r="L381" s="17"/>
      <c r="M381" s="18"/>
      <c r="N381" s="17"/>
      <c r="O381" s="18"/>
      <c r="P381" s="19"/>
      <c r="Q381" s="17" t="s">
        <v>3796</v>
      </c>
      <c r="R381" s="17" t="s">
        <v>1719</v>
      </c>
      <c r="S381" s="17" t="s">
        <v>566</v>
      </c>
      <c r="T381" s="17">
        <v>1</v>
      </c>
      <c r="U381" s="17" t="s">
        <v>1720</v>
      </c>
      <c r="V381" s="17" t="s">
        <v>3797</v>
      </c>
      <c r="W381" s="17" t="s">
        <v>3798</v>
      </c>
      <c r="X381" s="70">
        <v>46121.567361111112</v>
      </c>
      <c r="Y381" s="17"/>
      <c r="Z381" s="17">
        <v>0.3</v>
      </c>
      <c r="AA381" s="17"/>
      <c r="AB381" s="17" t="s">
        <v>1724</v>
      </c>
      <c r="AC381" s="20" t="s">
        <v>3575</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1825</v>
      </c>
      <c r="H382" s="17" t="s">
        <v>1805</v>
      </c>
      <c r="I382" s="17"/>
      <c r="J382" s="17"/>
      <c r="K382" s="17"/>
      <c r="L382" s="17"/>
      <c r="M382" s="18"/>
      <c r="N382" s="17"/>
      <c r="O382" s="18"/>
      <c r="P382" s="19"/>
      <c r="Q382" s="17" t="s">
        <v>1826</v>
      </c>
      <c r="R382" s="17" t="s">
        <v>1719</v>
      </c>
      <c r="S382" s="17" t="s">
        <v>206</v>
      </c>
      <c r="T382" s="17">
        <v>1</v>
      </c>
      <c r="U382" s="17" t="s">
        <v>1720</v>
      </c>
      <c r="V382" s="17" t="s">
        <v>3799</v>
      </c>
      <c r="W382" s="17" t="s">
        <v>3800</v>
      </c>
      <c r="X382" s="70">
        <v>46121.5625</v>
      </c>
      <c r="Y382" s="17"/>
      <c r="Z382" s="17">
        <v>0.5</v>
      </c>
      <c r="AA382" s="17"/>
      <c r="AB382" s="17" t="s">
        <v>1724</v>
      </c>
      <c r="AC382" s="20" t="s">
        <v>3575</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2361</v>
      </c>
      <c r="H383" s="17" t="s">
        <v>2127</v>
      </c>
      <c r="I383" s="17"/>
      <c r="J383" s="17"/>
      <c r="K383" s="17"/>
      <c r="L383" s="17"/>
      <c r="M383" s="18"/>
      <c r="N383" s="17"/>
      <c r="O383" s="18"/>
      <c r="P383" s="19"/>
      <c r="Q383" s="17" t="s">
        <v>2362</v>
      </c>
      <c r="R383" s="17" t="s">
        <v>1719</v>
      </c>
      <c r="S383" s="17" t="s">
        <v>52</v>
      </c>
      <c r="T383" s="17">
        <v>1</v>
      </c>
      <c r="U383" s="17" t="s">
        <v>1720</v>
      </c>
      <c r="V383" s="17" t="s">
        <v>3801</v>
      </c>
      <c r="W383" s="17" t="s">
        <v>3802</v>
      </c>
      <c r="X383" s="70">
        <v>46121.583333333343</v>
      </c>
      <c r="Y383" s="17"/>
      <c r="Z383" s="17">
        <v>0.3</v>
      </c>
      <c r="AA383" s="17"/>
      <c r="AB383" s="17" t="s">
        <v>1724</v>
      </c>
      <c r="AC383" s="20" t="s">
        <v>3575</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2126</v>
      </c>
      <c r="H384" s="17" t="s">
        <v>2127</v>
      </c>
      <c r="I384" s="17"/>
      <c r="J384" s="17"/>
      <c r="K384" s="17"/>
      <c r="L384" s="17"/>
      <c r="M384" s="18"/>
      <c r="N384" s="17"/>
      <c r="O384" s="18"/>
      <c r="P384" s="19"/>
      <c r="Q384" s="17" t="s">
        <v>2128</v>
      </c>
      <c r="R384" s="17" t="s">
        <v>1719</v>
      </c>
      <c r="S384" s="17" t="s">
        <v>52</v>
      </c>
      <c r="T384" s="17">
        <v>1</v>
      </c>
      <c r="U384" s="17" t="s">
        <v>1720</v>
      </c>
      <c r="V384" s="17" t="s">
        <v>3803</v>
      </c>
      <c r="W384" s="17" t="s">
        <v>3804</v>
      </c>
      <c r="X384" s="70">
        <v>46121.625</v>
      </c>
      <c r="Y384" s="17"/>
      <c r="Z384" s="17">
        <v>0.3</v>
      </c>
      <c r="AA384" s="17"/>
      <c r="AB384" s="17" t="s">
        <v>1724</v>
      </c>
      <c r="AC384" s="20" t="s">
        <v>3575</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2178</v>
      </c>
      <c r="H385" s="17" t="s">
        <v>2127</v>
      </c>
      <c r="I385" s="17"/>
      <c r="J385" s="17"/>
      <c r="K385" s="17"/>
      <c r="L385" s="17"/>
      <c r="M385" s="18"/>
      <c r="N385" s="17"/>
      <c r="O385" s="18"/>
      <c r="P385" s="19"/>
      <c r="Q385" s="17" t="s">
        <v>2179</v>
      </c>
      <c r="R385" s="17" t="s">
        <v>1719</v>
      </c>
      <c r="S385" s="17" t="s">
        <v>52</v>
      </c>
      <c r="T385" s="17">
        <v>1</v>
      </c>
      <c r="U385" s="17" t="s">
        <v>1720</v>
      </c>
      <c r="V385" s="17" t="s">
        <v>3805</v>
      </c>
      <c r="W385" s="17" t="s">
        <v>3806</v>
      </c>
      <c r="X385" s="70">
        <v>46121.666666666657</v>
      </c>
      <c r="Y385" s="17"/>
      <c r="Z385" s="17">
        <v>0.5</v>
      </c>
      <c r="AA385" s="17"/>
      <c r="AB385" s="17" t="s">
        <v>1724</v>
      </c>
      <c r="AC385" s="20" t="s">
        <v>3575</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2132</v>
      </c>
      <c r="H386" s="17" t="s">
        <v>2127</v>
      </c>
      <c r="I386" s="17"/>
      <c r="J386" s="17"/>
      <c r="K386" s="17"/>
      <c r="L386" s="17"/>
      <c r="M386" s="18"/>
      <c r="N386" s="17"/>
      <c r="O386" s="18"/>
      <c r="P386" s="19"/>
      <c r="Q386" s="17" t="s">
        <v>2133</v>
      </c>
      <c r="R386" s="17" t="s">
        <v>1719</v>
      </c>
      <c r="S386" s="17" t="s">
        <v>52</v>
      </c>
      <c r="T386" s="17">
        <v>1</v>
      </c>
      <c r="U386" s="17" t="s">
        <v>1720</v>
      </c>
      <c r="V386" s="17" t="s">
        <v>3807</v>
      </c>
      <c r="W386" s="17" t="s">
        <v>3808</v>
      </c>
      <c r="X386" s="70">
        <v>46121.6875</v>
      </c>
      <c r="Y386" s="17"/>
      <c r="Z386" s="17">
        <v>0.5</v>
      </c>
      <c r="AA386" s="17"/>
      <c r="AB386" s="17" t="s">
        <v>1724</v>
      </c>
      <c r="AC386" s="20" t="s">
        <v>3575</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3809</v>
      </c>
      <c r="E387" s="17" t="s">
        <v>1727</v>
      </c>
      <c r="F387" s="17">
        <v>5162</v>
      </c>
      <c r="G387" s="17" t="s">
        <v>1950</v>
      </c>
      <c r="H387" s="17" t="s">
        <v>1941</v>
      </c>
      <c r="I387" s="17" t="s">
        <v>3810</v>
      </c>
      <c r="J387" s="17" t="s">
        <v>1712</v>
      </c>
      <c r="K387" s="17" t="s">
        <v>1744</v>
      </c>
      <c r="L387" s="17" t="s">
        <v>1930</v>
      </c>
      <c r="M387" s="18" t="s">
        <v>1931</v>
      </c>
      <c r="N387" s="17">
        <v>2401</v>
      </c>
      <c r="O387" s="18" t="s">
        <v>1944</v>
      </c>
      <c r="P387" s="19" t="s">
        <v>3811</v>
      </c>
      <c r="Q387" s="17" t="s">
        <v>1951</v>
      </c>
      <c r="R387" s="17" t="s">
        <v>1719</v>
      </c>
      <c r="S387" s="17" t="s">
        <v>52</v>
      </c>
      <c r="T387" s="17">
        <v>1</v>
      </c>
      <c r="U387" s="17" t="s">
        <v>1720</v>
      </c>
      <c r="V387" s="17" t="s">
        <v>3812</v>
      </c>
      <c r="W387" s="17" t="s">
        <v>3813</v>
      </c>
      <c r="X387" s="70">
        <v>46122.479166666657</v>
      </c>
      <c r="Y387" s="17" t="s">
        <v>3814</v>
      </c>
      <c r="Z387" s="17">
        <v>0.5</v>
      </c>
      <c r="AA387" s="17"/>
      <c r="AB387" s="17" t="s">
        <v>1724</v>
      </c>
      <c r="AC387" s="20" t="s">
        <v>3815</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2152</v>
      </c>
      <c r="G388" s="17" t="s">
        <v>2153</v>
      </c>
      <c r="H388" s="17" t="s">
        <v>2127</v>
      </c>
      <c r="I388" s="17"/>
      <c r="J388" s="17"/>
      <c r="K388" s="17"/>
      <c r="L388" s="17"/>
      <c r="M388" s="18"/>
      <c r="N388" s="17"/>
      <c r="O388" s="18"/>
      <c r="P388" s="19"/>
      <c r="Q388" s="17" t="s">
        <v>2154</v>
      </c>
      <c r="R388" s="17" t="s">
        <v>1719</v>
      </c>
      <c r="S388" s="17" t="s">
        <v>52</v>
      </c>
      <c r="T388" s="17">
        <v>1</v>
      </c>
      <c r="U388" s="17" t="s">
        <v>1720</v>
      </c>
      <c r="V388" s="17" t="s">
        <v>3816</v>
      </c>
      <c r="W388" s="17" t="s">
        <v>3817</v>
      </c>
      <c r="X388" s="70">
        <v>46121.704861111109</v>
      </c>
      <c r="Y388" s="17"/>
      <c r="Z388" s="17">
        <v>0.2</v>
      </c>
      <c r="AA388" s="17"/>
      <c r="AB388" s="17" t="s">
        <v>1724</v>
      </c>
      <c r="AC388" s="20" t="s">
        <v>3706</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3818</v>
      </c>
      <c r="E389" s="17" t="s">
        <v>1727</v>
      </c>
      <c r="F389" s="17">
        <v>2259</v>
      </c>
      <c r="G389" s="17" t="s">
        <v>3819</v>
      </c>
      <c r="H389" s="17" t="s">
        <v>1759</v>
      </c>
      <c r="I389" s="17" t="s">
        <v>3820</v>
      </c>
      <c r="J389" s="17" t="s">
        <v>1788</v>
      </c>
      <c r="K389" s="17" t="s">
        <v>1713</v>
      </c>
      <c r="L389" s="17" t="s">
        <v>1714</v>
      </c>
      <c r="M389" s="18" t="s">
        <v>1715</v>
      </c>
      <c r="N389" s="17">
        <v>2307</v>
      </c>
      <c r="O389" s="18" t="s">
        <v>1974</v>
      </c>
      <c r="P389" s="19" t="s">
        <v>3821</v>
      </c>
      <c r="Q389" s="17" t="s">
        <v>3822</v>
      </c>
      <c r="R389" s="17" t="s">
        <v>1719</v>
      </c>
      <c r="S389" s="17" t="s">
        <v>566</v>
      </c>
      <c r="T389" s="17">
        <v>1</v>
      </c>
      <c r="U389" s="17" t="s">
        <v>1720</v>
      </c>
      <c r="V389" s="17" t="s">
        <v>3823</v>
      </c>
      <c r="W389" s="17" t="s">
        <v>3824</v>
      </c>
      <c r="X389" s="70">
        <v>46122.606249999997</v>
      </c>
      <c r="Y389" s="17" t="s">
        <v>3825</v>
      </c>
      <c r="Z389" s="17">
        <v>0.4</v>
      </c>
      <c r="AA389" s="17"/>
      <c r="AB389" s="17" t="s">
        <v>1724</v>
      </c>
      <c r="AC389" s="20" t="s">
        <v>3826</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3827</v>
      </c>
      <c r="E390" s="17" t="s">
        <v>1708</v>
      </c>
      <c r="F390" s="17">
        <v>4125</v>
      </c>
      <c r="G390" s="17" t="s">
        <v>2821</v>
      </c>
      <c r="H390" s="17" t="s">
        <v>1897</v>
      </c>
      <c r="I390" s="17" t="s">
        <v>3828</v>
      </c>
      <c r="J390" s="17" t="s">
        <v>1788</v>
      </c>
      <c r="K390" s="17" t="s">
        <v>1713</v>
      </c>
      <c r="L390" s="17" t="s">
        <v>1930</v>
      </c>
      <c r="M390" s="18" t="s">
        <v>1931</v>
      </c>
      <c r="N390" s="17">
        <v>2405</v>
      </c>
      <c r="O390" s="18" t="s">
        <v>1932</v>
      </c>
      <c r="P390" s="19" t="s">
        <v>3829</v>
      </c>
      <c r="Q390" s="17" t="s">
        <v>2824</v>
      </c>
      <c r="R390" s="17" t="s">
        <v>1719</v>
      </c>
      <c r="S390" s="17" t="s">
        <v>206</v>
      </c>
      <c r="T390" s="17">
        <v>1</v>
      </c>
      <c r="U390" s="17" t="s">
        <v>1720</v>
      </c>
      <c r="V390" s="17" t="s">
        <v>3830</v>
      </c>
      <c r="W390" s="17" t="s">
        <v>3831</v>
      </c>
      <c r="X390" s="70">
        <v>46122.5</v>
      </c>
      <c r="Y390" s="17" t="s">
        <v>3832</v>
      </c>
      <c r="Z390" s="17">
        <v>1.5</v>
      </c>
      <c r="AA390" s="17"/>
      <c r="AB390" s="17" t="s">
        <v>1724</v>
      </c>
      <c r="AC390" s="20" t="s">
        <v>3833</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3761</v>
      </c>
      <c r="H391" s="17" t="s">
        <v>1759</v>
      </c>
      <c r="I391" s="17"/>
      <c r="J391" s="17"/>
      <c r="K391" s="17"/>
      <c r="L391" s="17"/>
      <c r="M391" s="18"/>
      <c r="N391" s="17"/>
      <c r="O391" s="18"/>
      <c r="P391" s="19"/>
      <c r="Q391" s="17" t="s">
        <v>3764</v>
      </c>
      <c r="R391" s="17" t="s">
        <v>1719</v>
      </c>
      <c r="S391" s="17" t="s">
        <v>566</v>
      </c>
      <c r="T391" s="17">
        <v>1</v>
      </c>
      <c r="U391" s="17" t="s">
        <v>1720</v>
      </c>
      <c r="V391" s="17" t="s">
        <v>3834</v>
      </c>
      <c r="W391" s="17" t="s">
        <v>3835</v>
      </c>
      <c r="X391" s="70">
        <v>46122.430555555547</v>
      </c>
      <c r="Y391" s="17"/>
      <c r="Z391" s="17">
        <v>0.3</v>
      </c>
      <c r="AA391" s="17"/>
      <c r="AB391" s="17" t="s">
        <v>1724</v>
      </c>
      <c r="AC391" s="20" t="s">
        <v>3575</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2821</v>
      </c>
      <c r="H392" s="17" t="s">
        <v>1897</v>
      </c>
      <c r="I392" s="17"/>
      <c r="J392" s="17"/>
      <c r="K392" s="17"/>
      <c r="L392" s="17"/>
      <c r="M392" s="18"/>
      <c r="N392" s="17"/>
      <c r="O392" s="18"/>
      <c r="P392" s="19"/>
      <c r="Q392" s="17" t="s">
        <v>2824</v>
      </c>
      <c r="R392" s="17" t="s">
        <v>1719</v>
      </c>
      <c r="S392" s="17" t="s">
        <v>206</v>
      </c>
      <c r="T392" s="17">
        <v>1</v>
      </c>
      <c r="U392" s="17" t="s">
        <v>1720</v>
      </c>
      <c r="V392" s="17" t="s">
        <v>3836</v>
      </c>
      <c r="W392" s="17" t="s">
        <v>3835</v>
      </c>
      <c r="X392" s="70">
        <v>46122.4375</v>
      </c>
      <c r="Y392" s="17"/>
      <c r="Z392" s="17">
        <v>0.5</v>
      </c>
      <c r="AA392" s="17"/>
      <c r="AB392" s="17" t="s">
        <v>1724</v>
      </c>
      <c r="AC392" s="20" t="s">
        <v>3575</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3837</v>
      </c>
      <c r="E393" s="17" t="s">
        <v>1727</v>
      </c>
      <c r="F393" s="17">
        <v>2042</v>
      </c>
      <c r="G393" s="17" t="s">
        <v>3261</v>
      </c>
      <c r="H393" s="17" t="s">
        <v>1759</v>
      </c>
      <c r="I393" s="17" t="s">
        <v>3838</v>
      </c>
      <c r="J393" s="17" t="s">
        <v>1788</v>
      </c>
      <c r="K393" s="17" t="s">
        <v>1744</v>
      </c>
      <c r="L393" s="17" t="s">
        <v>1714</v>
      </c>
      <c r="M393" s="18" t="s">
        <v>1715</v>
      </c>
      <c r="N393" s="17">
        <v>2307</v>
      </c>
      <c r="O393" s="18" t="s">
        <v>1974</v>
      </c>
      <c r="P393" s="19" t="s">
        <v>3839</v>
      </c>
      <c r="Q393" s="17" t="s">
        <v>3264</v>
      </c>
      <c r="R393" s="17" t="s">
        <v>1719</v>
      </c>
      <c r="S393" s="17" t="s">
        <v>566</v>
      </c>
      <c r="T393" s="17">
        <v>1</v>
      </c>
      <c r="U393" s="17" t="s">
        <v>1720</v>
      </c>
      <c r="V393" s="17" t="s">
        <v>3840</v>
      </c>
      <c r="W393" s="17" t="s">
        <v>3841</v>
      </c>
      <c r="X393" s="70">
        <v>46122.625</v>
      </c>
      <c r="Y393" s="17" t="s">
        <v>3842</v>
      </c>
      <c r="Z393" s="17">
        <v>0.3</v>
      </c>
      <c r="AA393" s="17"/>
      <c r="AB393" s="17" t="s">
        <v>1724</v>
      </c>
      <c r="AC393" s="20" t="s">
        <v>3843</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3844</v>
      </c>
      <c r="E394" s="17" t="s">
        <v>1727</v>
      </c>
      <c r="F394" s="17">
        <v>2042</v>
      </c>
      <c r="G394" s="17" t="s">
        <v>3261</v>
      </c>
      <c r="H394" s="17" t="s">
        <v>1759</v>
      </c>
      <c r="I394" s="17" t="s">
        <v>3845</v>
      </c>
      <c r="J394" s="17" t="s">
        <v>1788</v>
      </c>
      <c r="K394" s="17" t="s">
        <v>1744</v>
      </c>
      <c r="L394" s="17" t="s">
        <v>1714</v>
      </c>
      <c r="M394" s="18" t="s">
        <v>1715</v>
      </c>
      <c r="N394" s="17">
        <v>2307</v>
      </c>
      <c r="O394" s="18" t="s">
        <v>1974</v>
      </c>
      <c r="P394" s="19" t="s">
        <v>3846</v>
      </c>
      <c r="Q394" s="17" t="s">
        <v>3264</v>
      </c>
      <c r="R394" s="17" t="s">
        <v>1719</v>
      </c>
      <c r="S394" s="17" t="s">
        <v>566</v>
      </c>
      <c r="T394" s="17">
        <v>1</v>
      </c>
      <c r="U394" s="17" t="s">
        <v>1720</v>
      </c>
      <c r="V394" s="17" t="s">
        <v>3847</v>
      </c>
      <c r="W394" s="17" t="s">
        <v>3848</v>
      </c>
      <c r="X394" s="70">
        <v>46122.638888888891</v>
      </c>
      <c r="Y394" s="17" t="s">
        <v>3842</v>
      </c>
      <c r="Z394" s="17">
        <v>0.3</v>
      </c>
      <c r="AA394" s="17"/>
      <c r="AB394" s="17" t="s">
        <v>1724</v>
      </c>
      <c r="AC394" s="20" t="s">
        <v>3843</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3819</v>
      </c>
      <c r="H395" s="17" t="s">
        <v>1759</v>
      </c>
      <c r="I395" s="17"/>
      <c r="J395" s="17"/>
      <c r="K395" s="17"/>
      <c r="L395" s="17"/>
      <c r="M395" s="18"/>
      <c r="N395" s="17"/>
      <c r="O395" s="18"/>
      <c r="P395" s="19"/>
      <c r="Q395" s="17" t="s">
        <v>3822</v>
      </c>
      <c r="R395" s="17" t="s">
        <v>1719</v>
      </c>
      <c r="S395" s="17" t="s">
        <v>566</v>
      </c>
      <c r="T395" s="17">
        <v>1</v>
      </c>
      <c r="U395" s="17" t="s">
        <v>1720</v>
      </c>
      <c r="V395" s="17" t="s">
        <v>3849</v>
      </c>
      <c r="W395" s="17" t="s">
        <v>3850</v>
      </c>
      <c r="X395" s="70">
        <v>46122.590277777781</v>
      </c>
      <c r="Y395" s="17"/>
      <c r="Z395" s="17">
        <v>0.3</v>
      </c>
      <c r="AA395" s="17"/>
      <c r="AB395" s="17" t="s">
        <v>1724</v>
      </c>
      <c r="AC395" s="20" t="s">
        <v>3575</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3261</v>
      </c>
      <c r="H396" s="17" t="s">
        <v>1759</v>
      </c>
      <c r="I396" s="17"/>
      <c r="J396" s="17"/>
      <c r="K396" s="17"/>
      <c r="L396" s="17"/>
      <c r="M396" s="18"/>
      <c r="N396" s="17"/>
      <c r="O396" s="18"/>
      <c r="P396" s="19"/>
      <c r="Q396" s="17" t="s">
        <v>3264</v>
      </c>
      <c r="R396" s="17" t="s">
        <v>1719</v>
      </c>
      <c r="S396" s="17" t="s">
        <v>566</v>
      </c>
      <c r="T396" s="17">
        <v>1</v>
      </c>
      <c r="U396" s="17" t="s">
        <v>1720</v>
      </c>
      <c r="V396" s="17" t="s">
        <v>3851</v>
      </c>
      <c r="W396" s="17" t="s">
        <v>3852</v>
      </c>
      <c r="X396" s="70">
        <v>46122.652777777781</v>
      </c>
      <c r="Y396" s="17"/>
      <c r="Z396" s="17">
        <v>0.3</v>
      </c>
      <c r="AA396" s="17"/>
      <c r="AB396" s="17" t="s">
        <v>1724</v>
      </c>
      <c r="AC396" s="20" t="s">
        <v>3575</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3853</v>
      </c>
      <c r="E397" s="17" t="s">
        <v>1727</v>
      </c>
      <c r="F397" s="17">
        <v>5074</v>
      </c>
      <c r="G397" s="17" t="s">
        <v>2063</v>
      </c>
      <c r="H397" s="17" t="s">
        <v>1710</v>
      </c>
      <c r="I397" s="17" t="s">
        <v>3854</v>
      </c>
      <c r="J397" s="17" t="s">
        <v>1862</v>
      </c>
      <c r="K397" s="17" t="s">
        <v>1713</v>
      </c>
      <c r="L397" s="17" t="s">
        <v>1745</v>
      </c>
      <c r="M397" s="18" t="s">
        <v>1746</v>
      </c>
      <c r="N397" s="17" t="s">
        <v>2034</v>
      </c>
      <c r="O397" s="18" t="s">
        <v>2035</v>
      </c>
      <c r="P397" s="19" t="s">
        <v>3855</v>
      </c>
      <c r="Q397" s="17" t="s">
        <v>2064</v>
      </c>
      <c r="R397" s="17" t="s">
        <v>1719</v>
      </c>
      <c r="S397" s="17" t="s">
        <v>52</v>
      </c>
      <c r="T397" s="17">
        <v>1</v>
      </c>
      <c r="U397" s="17" t="s">
        <v>1720</v>
      </c>
      <c r="V397" s="17" t="s">
        <v>3856</v>
      </c>
      <c r="W397" s="17" t="s">
        <v>3857</v>
      </c>
      <c r="X397" s="70">
        <v>46125.583333333343</v>
      </c>
      <c r="Y397" s="17" t="s">
        <v>3858</v>
      </c>
      <c r="Z397" s="17">
        <v>0.5</v>
      </c>
      <c r="AA397" s="17"/>
      <c r="AB397" s="17" t="s">
        <v>1724</v>
      </c>
      <c r="AC397" s="20" t="s">
        <v>3859</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3860</v>
      </c>
      <c r="E398" s="17" t="s">
        <v>1727</v>
      </c>
      <c r="F398" s="17">
        <v>3741</v>
      </c>
      <c r="G398" s="17" t="s">
        <v>1884</v>
      </c>
      <c r="H398" s="17" t="s">
        <v>1759</v>
      </c>
      <c r="I398" s="17" t="s">
        <v>3861</v>
      </c>
      <c r="J398" s="17" t="s">
        <v>1899</v>
      </c>
      <c r="K398" s="17" t="s">
        <v>1744</v>
      </c>
      <c r="L398" s="17" t="s">
        <v>3862</v>
      </c>
      <c r="M398" s="18" t="s">
        <v>3863</v>
      </c>
      <c r="N398" s="17" t="s">
        <v>3864</v>
      </c>
      <c r="O398" s="18" t="s">
        <v>2595</v>
      </c>
      <c r="P398" s="19" t="s">
        <v>3865</v>
      </c>
      <c r="Q398" s="17" t="s">
        <v>1891</v>
      </c>
      <c r="R398" s="17" t="s">
        <v>1719</v>
      </c>
      <c r="S398" s="17" t="s">
        <v>566</v>
      </c>
      <c r="T398" s="17">
        <v>1</v>
      </c>
      <c r="U398" s="17" t="s">
        <v>1720</v>
      </c>
      <c r="V398" s="17" t="s">
        <v>3866</v>
      </c>
      <c r="W398" s="17" t="s">
        <v>3867</v>
      </c>
      <c r="X398" s="70">
        <v>46126.444444444453</v>
      </c>
      <c r="Y398" s="17" t="s">
        <v>3858</v>
      </c>
      <c r="Z398" s="17">
        <v>0.4</v>
      </c>
      <c r="AA398" s="17"/>
      <c r="AB398" s="17" t="s">
        <v>1724</v>
      </c>
      <c r="AC398" s="20" t="s">
        <v>3868</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3869</v>
      </c>
      <c r="E399" s="17" t="s">
        <v>1727</v>
      </c>
      <c r="F399" s="17">
        <v>2259</v>
      </c>
      <c r="G399" s="17" t="s">
        <v>3819</v>
      </c>
      <c r="H399" s="17" t="s">
        <v>1759</v>
      </c>
      <c r="I399" s="17" t="s">
        <v>3870</v>
      </c>
      <c r="J399" s="17" t="s">
        <v>1929</v>
      </c>
      <c r="K399" s="17" t="s">
        <v>1713</v>
      </c>
      <c r="L399" s="17" t="s">
        <v>1714</v>
      </c>
      <c r="M399" s="18" t="s">
        <v>1715</v>
      </c>
      <c r="N399" s="17">
        <v>2307</v>
      </c>
      <c r="O399" s="18" t="s">
        <v>1974</v>
      </c>
      <c r="P399" s="19" t="s">
        <v>3871</v>
      </c>
      <c r="Q399" s="17" t="s">
        <v>3822</v>
      </c>
      <c r="R399" s="17" t="s">
        <v>1719</v>
      </c>
      <c r="S399" s="17" t="s">
        <v>566</v>
      </c>
      <c r="T399" s="17">
        <v>1</v>
      </c>
      <c r="U399" s="17" t="s">
        <v>1720</v>
      </c>
      <c r="V399" s="17" t="s">
        <v>3872</v>
      </c>
      <c r="W399" s="17" t="s">
        <v>3873</v>
      </c>
      <c r="X399" s="70">
        <v>46126.506944444453</v>
      </c>
      <c r="Y399" s="17" t="s">
        <v>3874</v>
      </c>
      <c r="Z399" s="17">
        <v>0.8</v>
      </c>
      <c r="AA399" s="17"/>
      <c r="AB399" s="17" t="s">
        <v>1724</v>
      </c>
      <c r="AC399" s="20" t="s">
        <v>3875</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2063</v>
      </c>
      <c r="H400" s="17" t="s">
        <v>1710</v>
      </c>
      <c r="I400" s="17"/>
      <c r="J400" s="17"/>
      <c r="K400" s="17"/>
      <c r="L400" s="17"/>
      <c r="M400" s="18"/>
      <c r="N400" s="17"/>
      <c r="O400" s="18"/>
      <c r="P400" s="19"/>
      <c r="Q400" s="17" t="s">
        <v>2064</v>
      </c>
      <c r="R400" s="17" t="s">
        <v>1719</v>
      </c>
      <c r="S400" s="17" t="s">
        <v>52</v>
      </c>
      <c r="T400" s="17">
        <v>1</v>
      </c>
      <c r="U400" s="17" t="s">
        <v>1720</v>
      </c>
      <c r="V400" s="17" t="s">
        <v>3876</v>
      </c>
      <c r="W400" s="17" t="s">
        <v>3877</v>
      </c>
      <c r="X400" s="70">
        <v>46125.606944444437</v>
      </c>
      <c r="Y400" s="17"/>
      <c r="Z400" s="17">
        <v>0.6</v>
      </c>
      <c r="AA400" s="17"/>
      <c r="AB400" s="17" t="s">
        <v>1724</v>
      </c>
      <c r="AC400" s="20" t="s">
        <v>3575</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3878</v>
      </c>
      <c r="E401" s="17" t="s">
        <v>1727</v>
      </c>
      <c r="F401" s="17">
        <v>3623</v>
      </c>
      <c r="G401" s="17" t="s">
        <v>3707</v>
      </c>
      <c r="H401" s="17" t="s">
        <v>1759</v>
      </c>
      <c r="I401" s="17" t="s">
        <v>3879</v>
      </c>
      <c r="J401" s="17" t="s">
        <v>1929</v>
      </c>
      <c r="K401" s="17" t="s">
        <v>1744</v>
      </c>
      <c r="L401" s="17" t="s">
        <v>1773</v>
      </c>
      <c r="M401" s="18" t="s">
        <v>1774</v>
      </c>
      <c r="N401" s="17">
        <v>5805</v>
      </c>
      <c r="O401" s="18" t="s">
        <v>3880</v>
      </c>
      <c r="P401" s="19" t="s">
        <v>3881</v>
      </c>
      <c r="Q401" s="17" t="s">
        <v>3708</v>
      </c>
      <c r="R401" s="17" t="s">
        <v>1719</v>
      </c>
      <c r="S401" s="17" t="s">
        <v>566</v>
      </c>
      <c r="T401" s="17">
        <v>1</v>
      </c>
      <c r="U401" s="17" t="s">
        <v>1720</v>
      </c>
      <c r="V401" s="17" t="s">
        <v>3882</v>
      </c>
      <c r="W401" s="17" t="s">
        <v>3883</v>
      </c>
      <c r="X401" s="70">
        <v>46126.694444444453</v>
      </c>
      <c r="Y401" s="17" t="s">
        <v>3884</v>
      </c>
      <c r="Z401" s="17">
        <v>0.7</v>
      </c>
      <c r="AA401" s="17"/>
      <c r="AB401" s="17" t="s">
        <v>1724</v>
      </c>
      <c r="AC401" s="20" t="s">
        <v>3885</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2023</v>
      </c>
      <c r="H402" s="17" t="s">
        <v>1710</v>
      </c>
      <c r="I402" s="17"/>
      <c r="J402" s="17"/>
      <c r="K402" s="17"/>
      <c r="L402" s="17"/>
      <c r="M402" s="18"/>
      <c r="N402" s="17"/>
      <c r="O402" s="18"/>
      <c r="P402" s="19"/>
      <c r="Q402" s="17" t="s">
        <v>2024</v>
      </c>
      <c r="R402" s="17" t="s">
        <v>1719</v>
      </c>
      <c r="S402" s="17" t="s">
        <v>52</v>
      </c>
      <c r="T402" s="17">
        <v>1</v>
      </c>
      <c r="U402" s="17" t="s">
        <v>1720</v>
      </c>
      <c r="V402" s="17" t="s">
        <v>3886</v>
      </c>
      <c r="W402" s="17" t="s">
        <v>3887</v>
      </c>
      <c r="X402" s="70">
        <v>46125.631944444453</v>
      </c>
      <c r="Y402" s="17"/>
      <c r="Z402" s="17">
        <v>0.5</v>
      </c>
      <c r="AA402" s="17"/>
      <c r="AB402" s="17" t="s">
        <v>1724</v>
      </c>
      <c r="AC402" s="20" t="s">
        <v>3575</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1709</v>
      </c>
      <c r="H403" s="17" t="s">
        <v>1710</v>
      </c>
      <c r="I403" s="17"/>
      <c r="J403" s="17"/>
      <c r="K403" s="17"/>
      <c r="L403" s="17"/>
      <c r="M403" s="18"/>
      <c r="N403" s="17"/>
      <c r="O403" s="18"/>
      <c r="P403" s="19"/>
      <c r="Q403" s="17" t="s">
        <v>1718</v>
      </c>
      <c r="R403" s="17" t="s">
        <v>1719</v>
      </c>
      <c r="S403" s="17" t="s">
        <v>52</v>
      </c>
      <c r="T403" s="17">
        <v>1</v>
      </c>
      <c r="U403" s="17" t="s">
        <v>1720</v>
      </c>
      <c r="V403" s="17" t="s">
        <v>3888</v>
      </c>
      <c r="W403" s="17" t="s">
        <v>3889</v>
      </c>
      <c r="X403" s="70">
        <v>46125.648611111108</v>
      </c>
      <c r="Y403" s="17"/>
      <c r="Z403" s="17">
        <v>0.4</v>
      </c>
      <c r="AA403" s="17"/>
      <c r="AB403" s="17" t="s">
        <v>1724</v>
      </c>
      <c r="AC403" s="20" t="s">
        <v>3890</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2067</v>
      </c>
      <c r="H404" s="17" t="s">
        <v>1710</v>
      </c>
      <c r="I404" s="17"/>
      <c r="J404" s="17"/>
      <c r="K404" s="17"/>
      <c r="L404" s="17"/>
      <c r="M404" s="18"/>
      <c r="N404" s="17"/>
      <c r="O404" s="18"/>
      <c r="P404" s="19"/>
      <c r="Q404" s="17" t="s">
        <v>2068</v>
      </c>
      <c r="R404" s="17" t="s">
        <v>1719</v>
      </c>
      <c r="S404" s="17" t="s">
        <v>52</v>
      </c>
      <c r="T404" s="17">
        <v>1</v>
      </c>
      <c r="U404" s="17" t="s">
        <v>1720</v>
      </c>
      <c r="V404" s="17" t="s">
        <v>3891</v>
      </c>
      <c r="W404" s="17" t="s">
        <v>3892</v>
      </c>
      <c r="X404" s="70">
        <v>46125.67083333333</v>
      </c>
      <c r="Y404" s="17"/>
      <c r="Z404" s="17">
        <v>0.4</v>
      </c>
      <c r="AA404" s="17"/>
      <c r="AB404" s="17" t="s">
        <v>1724</v>
      </c>
      <c r="AC404" s="20" t="s">
        <v>3890</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2072</v>
      </c>
      <c r="H405" s="17" t="s">
        <v>1710</v>
      </c>
      <c r="I405" s="17"/>
      <c r="J405" s="17"/>
      <c r="K405" s="17"/>
      <c r="L405" s="17"/>
      <c r="M405" s="18"/>
      <c r="N405" s="17"/>
      <c r="O405" s="18"/>
      <c r="P405" s="19"/>
      <c r="Q405" s="17" t="s">
        <v>2073</v>
      </c>
      <c r="R405" s="17" t="s">
        <v>1719</v>
      </c>
      <c r="S405" s="17" t="s">
        <v>52</v>
      </c>
      <c r="T405" s="17">
        <v>1</v>
      </c>
      <c r="U405" s="17" t="s">
        <v>1720</v>
      </c>
      <c r="V405" s="17" t="s">
        <v>3893</v>
      </c>
      <c r="W405" s="17" t="s">
        <v>3894</v>
      </c>
      <c r="X405" s="70">
        <v>46125.6875</v>
      </c>
      <c r="Y405" s="17"/>
      <c r="Z405" s="17">
        <v>0.3</v>
      </c>
      <c r="AA405" s="17"/>
      <c r="AB405" s="17" t="s">
        <v>1724</v>
      </c>
      <c r="AC405" s="20" t="s">
        <v>3575</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3895</v>
      </c>
      <c r="E406" s="17" t="s">
        <v>1727</v>
      </c>
      <c r="F406" s="17">
        <v>3749</v>
      </c>
      <c r="G406" s="17" t="s">
        <v>3896</v>
      </c>
      <c r="H406" s="17" t="s">
        <v>1941</v>
      </c>
      <c r="I406" s="17" t="s">
        <v>3897</v>
      </c>
      <c r="J406" s="17" t="s">
        <v>1929</v>
      </c>
      <c r="K406" s="17" t="s">
        <v>1744</v>
      </c>
      <c r="L406" s="17" t="s">
        <v>1745</v>
      </c>
      <c r="M406" s="18" t="s">
        <v>1746</v>
      </c>
      <c r="N406" s="17" t="s">
        <v>2034</v>
      </c>
      <c r="O406" s="18" t="s">
        <v>2035</v>
      </c>
      <c r="P406" s="19" t="s">
        <v>3898</v>
      </c>
      <c r="Q406" s="17" t="s">
        <v>3899</v>
      </c>
      <c r="R406" s="17" t="s">
        <v>1719</v>
      </c>
      <c r="S406" s="17" t="s">
        <v>52</v>
      </c>
      <c r="T406" s="17">
        <v>1</v>
      </c>
      <c r="U406" s="17" t="s">
        <v>1720</v>
      </c>
      <c r="V406" s="17" t="s">
        <v>3900</v>
      </c>
      <c r="W406" s="17" t="s">
        <v>3901</v>
      </c>
      <c r="X406" s="70">
        <v>46126.4375</v>
      </c>
      <c r="Y406" s="17" t="s">
        <v>3902</v>
      </c>
      <c r="Z406" s="17">
        <v>1</v>
      </c>
      <c r="AA406" s="17"/>
      <c r="AB406" s="17" t="s">
        <v>1724</v>
      </c>
      <c r="AC406" s="20" t="s">
        <v>3903</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3904</v>
      </c>
      <c r="H407" s="17" t="s">
        <v>1759</v>
      </c>
      <c r="I407" s="17"/>
      <c r="J407" s="17"/>
      <c r="K407" s="17"/>
      <c r="L407" s="17"/>
      <c r="M407" s="18"/>
      <c r="N407" s="17"/>
      <c r="O407" s="18"/>
      <c r="P407" s="19"/>
      <c r="Q407" s="17" t="s">
        <v>3905</v>
      </c>
      <c r="R407" s="17" t="s">
        <v>1719</v>
      </c>
      <c r="S407" s="17" t="s">
        <v>206</v>
      </c>
      <c r="T407" s="17">
        <v>1</v>
      </c>
      <c r="U407" s="17" t="s">
        <v>1720</v>
      </c>
      <c r="V407" s="17" t="s">
        <v>3906</v>
      </c>
      <c r="W407" s="17" t="s">
        <v>3907</v>
      </c>
      <c r="X407" s="70">
        <v>46125.8125</v>
      </c>
      <c r="Y407" s="17"/>
      <c r="Z407" s="17">
        <v>9.5</v>
      </c>
      <c r="AA407" s="17"/>
      <c r="AB407" s="17" t="s">
        <v>1724</v>
      </c>
      <c r="AC407" s="20" t="s">
        <v>2692</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3904</v>
      </c>
      <c r="H408" s="17" t="s">
        <v>1759</v>
      </c>
      <c r="I408" s="17"/>
      <c r="J408" s="17"/>
      <c r="K408" s="17"/>
      <c r="L408" s="17"/>
      <c r="M408" s="18"/>
      <c r="N408" s="17"/>
      <c r="O408" s="18"/>
      <c r="P408" s="19"/>
      <c r="Q408" s="17" t="s">
        <v>3905</v>
      </c>
      <c r="R408" s="17" t="s">
        <v>1719</v>
      </c>
      <c r="S408" s="17" t="s">
        <v>566</v>
      </c>
      <c r="T408" s="17">
        <v>1</v>
      </c>
      <c r="U408" s="17" t="s">
        <v>1720</v>
      </c>
      <c r="V408" s="17" t="s">
        <v>3908</v>
      </c>
      <c r="W408" s="17" t="s">
        <v>3909</v>
      </c>
      <c r="X408" s="70">
        <v>46125.791666666657</v>
      </c>
      <c r="Y408" s="17"/>
      <c r="Z408" s="17">
        <v>8</v>
      </c>
      <c r="AA408" s="17"/>
      <c r="AB408" s="17" t="s">
        <v>1724</v>
      </c>
      <c r="AC408" s="20" t="s">
        <v>3910</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3904</v>
      </c>
      <c r="H409" s="17" t="s">
        <v>1759</v>
      </c>
      <c r="I409" s="17"/>
      <c r="J409" s="17"/>
      <c r="K409" s="17"/>
      <c r="L409" s="17"/>
      <c r="M409" s="18"/>
      <c r="N409" s="17"/>
      <c r="O409" s="18"/>
      <c r="P409" s="19"/>
      <c r="Q409" s="17" t="s">
        <v>3905</v>
      </c>
      <c r="R409" s="17" t="s">
        <v>1719</v>
      </c>
      <c r="S409" s="17" t="s">
        <v>566</v>
      </c>
      <c r="T409" s="17">
        <v>1</v>
      </c>
      <c r="U409" s="17" t="s">
        <v>1720</v>
      </c>
      <c r="V409" s="17" t="s">
        <v>3908</v>
      </c>
      <c r="W409" s="17" t="s">
        <v>3909</v>
      </c>
      <c r="X409" s="70">
        <v>46125.479166666657</v>
      </c>
      <c r="Y409" s="17"/>
      <c r="Z409" s="17">
        <v>0.5</v>
      </c>
      <c r="AA409" s="17"/>
      <c r="AB409" s="17" t="s">
        <v>1724</v>
      </c>
      <c r="AC409" s="20" t="s">
        <v>3911</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3896</v>
      </c>
      <c r="H410" s="17" t="s">
        <v>1941</v>
      </c>
      <c r="I410" s="17"/>
      <c r="J410" s="17"/>
      <c r="K410" s="17"/>
      <c r="L410" s="17"/>
      <c r="M410" s="18"/>
      <c r="N410" s="17"/>
      <c r="O410" s="18"/>
      <c r="P410" s="19"/>
      <c r="Q410" s="17" t="s">
        <v>3899</v>
      </c>
      <c r="R410" s="17" t="s">
        <v>1719</v>
      </c>
      <c r="S410" s="17" t="s">
        <v>52</v>
      </c>
      <c r="T410" s="17">
        <v>1</v>
      </c>
      <c r="U410" s="17" t="s">
        <v>1720</v>
      </c>
      <c r="V410" s="17" t="s">
        <v>3912</v>
      </c>
      <c r="W410" s="17" t="s">
        <v>3913</v>
      </c>
      <c r="X410" s="70">
        <v>46126.465277777781</v>
      </c>
      <c r="Y410" s="17"/>
      <c r="Z410" s="17">
        <v>0.5</v>
      </c>
      <c r="AA410" s="17"/>
      <c r="AB410" s="17" t="s">
        <v>1724</v>
      </c>
      <c r="AC410" s="20" t="s">
        <v>3575</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1884</v>
      </c>
      <c r="H411" s="17" t="s">
        <v>1759</v>
      </c>
      <c r="I411" s="17"/>
      <c r="J411" s="17"/>
      <c r="K411" s="17"/>
      <c r="L411" s="17"/>
      <c r="M411" s="18"/>
      <c r="N411" s="17"/>
      <c r="O411" s="18"/>
      <c r="P411" s="19"/>
      <c r="Q411" s="17" t="s">
        <v>1891</v>
      </c>
      <c r="R411" s="17" t="s">
        <v>1719</v>
      </c>
      <c r="S411" s="17" t="s">
        <v>566</v>
      </c>
      <c r="T411" s="17">
        <v>1</v>
      </c>
      <c r="U411" s="17" t="s">
        <v>1720</v>
      </c>
      <c r="V411" s="17" t="s">
        <v>3914</v>
      </c>
      <c r="W411" s="17" t="s">
        <v>3913</v>
      </c>
      <c r="X411" s="70">
        <v>46126.461805555547</v>
      </c>
      <c r="Y411" s="17"/>
      <c r="Z411" s="17">
        <v>0.4</v>
      </c>
      <c r="AA411" s="17"/>
      <c r="AB411" s="17" t="s">
        <v>1724</v>
      </c>
      <c r="AC411" s="20" t="s">
        <v>3575</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3915</v>
      </c>
      <c r="E412" s="17" t="s">
        <v>1727</v>
      </c>
      <c r="F412" s="17">
        <v>4036</v>
      </c>
      <c r="G412" s="17" t="s">
        <v>3916</v>
      </c>
      <c r="H412" s="17" t="s">
        <v>1897</v>
      </c>
      <c r="I412" s="17" t="s">
        <v>3917</v>
      </c>
      <c r="J412" s="17" t="s">
        <v>2033</v>
      </c>
      <c r="K412" s="17" t="s">
        <v>1713</v>
      </c>
      <c r="L412" s="17" t="s">
        <v>1714</v>
      </c>
      <c r="M412" s="18" t="s">
        <v>1715</v>
      </c>
      <c r="N412" s="17">
        <v>2302</v>
      </c>
      <c r="O412" s="18" t="s">
        <v>3650</v>
      </c>
      <c r="P412" s="19" t="s">
        <v>3918</v>
      </c>
      <c r="Q412" s="17" t="s">
        <v>3919</v>
      </c>
      <c r="R412" s="17" t="s">
        <v>1719</v>
      </c>
      <c r="S412" s="17" t="s">
        <v>206</v>
      </c>
      <c r="T412" s="17">
        <v>1</v>
      </c>
      <c r="U412" s="17" t="s">
        <v>1720</v>
      </c>
      <c r="V412" s="17" t="s">
        <v>3920</v>
      </c>
      <c r="W412" s="17" t="s">
        <v>3921</v>
      </c>
      <c r="X412" s="70">
        <v>46126.513888888891</v>
      </c>
      <c r="Y412" s="17" t="s">
        <v>3922</v>
      </c>
      <c r="Z412" s="17">
        <v>0.5</v>
      </c>
      <c r="AA412" s="17"/>
      <c r="AB412" s="17" t="s">
        <v>1724</v>
      </c>
      <c r="AC412" s="20" t="s">
        <v>3923</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3924</v>
      </c>
      <c r="H413" s="17" t="s">
        <v>1941</v>
      </c>
      <c r="I413" s="17"/>
      <c r="J413" s="17"/>
      <c r="K413" s="17"/>
      <c r="L413" s="17"/>
      <c r="M413" s="18"/>
      <c r="N413" s="17"/>
      <c r="O413" s="18"/>
      <c r="P413" s="19"/>
      <c r="Q413" s="17" t="s">
        <v>3925</v>
      </c>
      <c r="R413" s="17" t="s">
        <v>1719</v>
      </c>
      <c r="S413" s="17" t="s">
        <v>52</v>
      </c>
      <c r="T413" s="17">
        <v>1</v>
      </c>
      <c r="U413" s="17" t="s">
        <v>1720</v>
      </c>
      <c r="V413" s="17" t="s">
        <v>3926</v>
      </c>
      <c r="W413" s="17" t="s">
        <v>3927</v>
      </c>
      <c r="X413" s="70">
        <v>46126.5</v>
      </c>
      <c r="Y413" s="17"/>
      <c r="Z413" s="17">
        <v>0.5</v>
      </c>
      <c r="AA413" s="17"/>
      <c r="AB413" s="17" t="s">
        <v>1724</v>
      </c>
      <c r="AC413" s="20" t="s">
        <v>3575</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3916</v>
      </c>
      <c r="H414" s="17" t="s">
        <v>1897</v>
      </c>
      <c r="I414" s="17"/>
      <c r="J414" s="17"/>
      <c r="K414" s="17"/>
      <c r="L414" s="17"/>
      <c r="M414" s="18"/>
      <c r="N414" s="17"/>
      <c r="O414" s="18"/>
      <c r="P414" s="19"/>
      <c r="Q414" s="17" t="s">
        <v>3919</v>
      </c>
      <c r="R414" s="17" t="s">
        <v>1719</v>
      </c>
      <c r="S414" s="17" t="s">
        <v>206</v>
      </c>
      <c r="T414" s="17">
        <v>1</v>
      </c>
      <c r="U414" s="17" t="s">
        <v>1720</v>
      </c>
      <c r="V414" s="17" t="s">
        <v>3928</v>
      </c>
      <c r="W414" s="17" t="s">
        <v>3929</v>
      </c>
      <c r="X414" s="70">
        <v>46126.527777777781</v>
      </c>
      <c r="Y414" s="17"/>
      <c r="Z414" s="17">
        <v>0.3</v>
      </c>
      <c r="AA414" s="17"/>
      <c r="AB414" s="17" t="s">
        <v>1724</v>
      </c>
      <c r="AC414" s="20" t="s">
        <v>3575</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3930</v>
      </c>
      <c r="H415" s="17" t="s">
        <v>1941</v>
      </c>
      <c r="I415" s="17"/>
      <c r="J415" s="17"/>
      <c r="K415" s="17"/>
      <c r="L415" s="17"/>
      <c r="M415" s="18"/>
      <c r="N415" s="17"/>
      <c r="O415" s="18"/>
      <c r="P415" s="19"/>
      <c r="Q415" s="17" t="s">
        <v>3931</v>
      </c>
      <c r="R415" s="17" t="s">
        <v>1719</v>
      </c>
      <c r="S415" s="17" t="s">
        <v>52</v>
      </c>
      <c r="T415" s="17">
        <v>1</v>
      </c>
      <c r="U415" s="17" t="s">
        <v>1720</v>
      </c>
      <c r="V415" s="17" t="s">
        <v>3932</v>
      </c>
      <c r="W415" s="17" t="s">
        <v>3933</v>
      </c>
      <c r="X415" s="70">
        <v>46126.563888888893</v>
      </c>
      <c r="Y415" s="17"/>
      <c r="Z415" s="17">
        <v>0.4</v>
      </c>
      <c r="AA415" s="17"/>
      <c r="AB415" s="17" t="s">
        <v>1724</v>
      </c>
      <c r="AC415" s="20" t="s">
        <v>3575</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3934</v>
      </c>
      <c r="H416" s="17" t="s">
        <v>1897</v>
      </c>
      <c r="I416" s="17"/>
      <c r="J416" s="17"/>
      <c r="K416" s="17"/>
      <c r="L416" s="17"/>
      <c r="M416" s="18"/>
      <c r="N416" s="17"/>
      <c r="O416" s="18"/>
      <c r="P416" s="19"/>
      <c r="Q416" s="17" t="s">
        <v>3935</v>
      </c>
      <c r="R416" s="17" t="s">
        <v>1719</v>
      </c>
      <c r="S416" s="17" t="s">
        <v>206</v>
      </c>
      <c r="T416" s="17">
        <v>1</v>
      </c>
      <c r="U416" s="17" t="s">
        <v>1720</v>
      </c>
      <c r="V416" s="17" t="s">
        <v>3936</v>
      </c>
      <c r="W416" s="17" t="s">
        <v>3858</v>
      </c>
      <c r="X416" s="70">
        <v>46126.5625</v>
      </c>
      <c r="Y416" s="17"/>
      <c r="Z416" s="17">
        <v>0.5</v>
      </c>
      <c r="AA416" s="17"/>
      <c r="AB416" s="17" t="s">
        <v>1724</v>
      </c>
      <c r="AC416" s="20" t="s">
        <v>3575</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3937</v>
      </c>
      <c r="H417" s="17" t="s">
        <v>1897</v>
      </c>
      <c r="I417" s="17"/>
      <c r="J417" s="17"/>
      <c r="K417" s="17"/>
      <c r="L417" s="17"/>
      <c r="M417" s="18"/>
      <c r="N417" s="17"/>
      <c r="O417" s="18"/>
      <c r="P417" s="19"/>
      <c r="Q417" s="17" t="s">
        <v>3938</v>
      </c>
      <c r="R417" s="17" t="s">
        <v>1719</v>
      </c>
      <c r="S417" s="17" t="s">
        <v>206</v>
      </c>
      <c r="T417" s="17">
        <v>1</v>
      </c>
      <c r="U417" s="17" t="s">
        <v>1720</v>
      </c>
      <c r="V417" s="17" t="s">
        <v>3939</v>
      </c>
      <c r="W417" s="17" t="s">
        <v>3940</v>
      </c>
      <c r="X417" s="70">
        <v>46126.583333333343</v>
      </c>
      <c r="Y417" s="17"/>
      <c r="Z417" s="17">
        <v>0.5</v>
      </c>
      <c r="AA417" s="17"/>
      <c r="AB417" s="17" t="s">
        <v>1724</v>
      </c>
      <c r="AC417" s="20" t="s">
        <v>3575</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2798</v>
      </c>
      <c r="H418" s="17" t="s">
        <v>1941</v>
      </c>
      <c r="I418" s="17"/>
      <c r="J418" s="17"/>
      <c r="K418" s="17"/>
      <c r="L418" s="17"/>
      <c r="M418" s="18"/>
      <c r="N418" s="17"/>
      <c r="O418" s="18"/>
      <c r="P418" s="19"/>
      <c r="Q418" s="17" t="s">
        <v>2799</v>
      </c>
      <c r="R418" s="17" t="s">
        <v>1719</v>
      </c>
      <c r="S418" s="17" t="s">
        <v>52</v>
      </c>
      <c r="T418" s="17">
        <v>1</v>
      </c>
      <c r="U418" s="17" t="s">
        <v>1720</v>
      </c>
      <c r="V418" s="17" t="s">
        <v>3941</v>
      </c>
      <c r="W418" s="17" t="s">
        <v>3942</v>
      </c>
      <c r="X418" s="70">
        <v>46126.583333333343</v>
      </c>
      <c r="Y418" s="17"/>
      <c r="Z418" s="17">
        <v>0.3</v>
      </c>
      <c r="AA418" s="17"/>
      <c r="AB418" s="17" t="s">
        <v>1724</v>
      </c>
      <c r="AC418" s="20" t="s">
        <v>3575</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2787</v>
      </c>
      <c r="H419" s="17" t="s">
        <v>1941</v>
      </c>
      <c r="I419" s="17"/>
      <c r="J419" s="17"/>
      <c r="K419" s="17"/>
      <c r="L419" s="17"/>
      <c r="M419" s="18"/>
      <c r="N419" s="17"/>
      <c r="O419" s="18"/>
      <c r="P419" s="19"/>
      <c r="Q419" s="17" t="s">
        <v>2788</v>
      </c>
      <c r="R419" s="17" t="s">
        <v>1719</v>
      </c>
      <c r="S419" s="17" t="s">
        <v>52</v>
      </c>
      <c r="T419" s="17">
        <v>1</v>
      </c>
      <c r="U419" s="17" t="s">
        <v>1720</v>
      </c>
      <c r="V419" s="17" t="s">
        <v>3943</v>
      </c>
      <c r="W419" s="17" t="s">
        <v>3944</v>
      </c>
      <c r="X419" s="70">
        <v>46126.611111111109</v>
      </c>
      <c r="Y419" s="17"/>
      <c r="Z419" s="17">
        <v>0.5</v>
      </c>
      <c r="AA419" s="17"/>
      <c r="AB419" s="17" t="s">
        <v>1724</v>
      </c>
      <c r="AC419" s="20" t="s">
        <v>3575</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1884</v>
      </c>
      <c r="H420" s="17" t="s">
        <v>1759</v>
      </c>
      <c r="I420" s="17"/>
      <c r="J420" s="17"/>
      <c r="K420" s="17"/>
      <c r="L420" s="17"/>
      <c r="M420" s="18"/>
      <c r="N420" s="17"/>
      <c r="O420" s="18"/>
      <c r="P420" s="19"/>
      <c r="Q420" s="17" t="s">
        <v>1891</v>
      </c>
      <c r="R420" s="17" t="s">
        <v>1719</v>
      </c>
      <c r="S420" s="17" t="s">
        <v>566</v>
      </c>
      <c r="T420" s="17">
        <v>1</v>
      </c>
      <c r="U420" s="17" t="s">
        <v>1720</v>
      </c>
      <c r="V420" s="17" t="s">
        <v>3945</v>
      </c>
      <c r="W420" s="17" t="s">
        <v>3946</v>
      </c>
      <c r="X420" s="70">
        <v>46126.625</v>
      </c>
      <c r="Y420" s="17"/>
      <c r="Z420" s="17">
        <v>0.3</v>
      </c>
      <c r="AA420" s="17"/>
      <c r="AB420" s="17" t="s">
        <v>1724</v>
      </c>
      <c r="AC420" s="20" t="s">
        <v>3947</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3948</v>
      </c>
      <c r="E421" s="17" t="s">
        <v>1708</v>
      </c>
      <c r="F421" s="17">
        <v>3941</v>
      </c>
      <c r="G421" s="17" t="s">
        <v>1926</v>
      </c>
      <c r="H421" s="17" t="s">
        <v>1927</v>
      </c>
      <c r="I421" s="17" t="s">
        <v>3949</v>
      </c>
      <c r="J421" s="17" t="s">
        <v>2033</v>
      </c>
      <c r="K421" s="17" t="s">
        <v>1744</v>
      </c>
      <c r="L421" s="17" t="s">
        <v>1930</v>
      </c>
      <c r="M421" s="18" t="s">
        <v>1931</v>
      </c>
      <c r="N421" s="17">
        <v>2405</v>
      </c>
      <c r="O421" s="18" t="s">
        <v>1932</v>
      </c>
      <c r="P421" s="19" t="s">
        <v>3950</v>
      </c>
      <c r="Q421" s="17" t="s">
        <v>1934</v>
      </c>
      <c r="R421" s="17" t="s">
        <v>1719</v>
      </c>
      <c r="S421" s="17" t="s">
        <v>566</v>
      </c>
      <c r="T421" s="17">
        <v>1</v>
      </c>
      <c r="U421" s="17" t="s">
        <v>1720</v>
      </c>
      <c r="V421" s="17" t="s">
        <v>3951</v>
      </c>
      <c r="W421" s="17" t="s">
        <v>3952</v>
      </c>
      <c r="X421" s="70">
        <v>46126.681250000001</v>
      </c>
      <c r="Y421" s="17" t="s">
        <v>3953</v>
      </c>
      <c r="Z421" s="17">
        <v>0.5</v>
      </c>
      <c r="AA421" s="17"/>
      <c r="AB421" s="17" t="s">
        <v>1724</v>
      </c>
      <c r="AC421" s="20" t="s">
        <v>3954</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3707</v>
      </c>
      <c r="H422" s="17" t="s">
        <v>1759</v>
      </c>
      <c r="I422" s="17"/>
      <c r="J422" s="17"/>
      <c r="K422" s="17"/>
      <c r="L422" s="17"/>
      <c r="M422" s="18"/>
      <c r="N422" s="17"/>
      <c r="O422" s="18"/>
      <c r="P422" s="19"/>
      <c r="Q422" s="17" t="s">
        <v>3708</v>
      </c>
      <c r="R422" s="17" t="s">
        <v>1719</v>
      </c>
      <c r="S422" s="17" t="s">
        <v>566</v>
      </c>
      <c r="T422" s="17">
        <v>1</v>
      </c>
      <c r="U422" s="17" t="s">
        <v>1720</v>
      </c>
      <c r="V422" s="17" t="s">
        <v>3955</v>
      </c>
      <c r="W422" s="17" t="s">
        <v>3956</v>
      </c>
      <c r="X422" s="70">
        <v>46126.666666666657</v>
      </c>
      <c r="Y422" s="17"/>
      <c r="Z422" s="17">
        <v>0.3</v>
      </c>
      <c r="AA422" s="17"/>
      <c r="AB422" s="17" t="s">
        <v>1724</v>
      </c>
      <c r="AC422" s="20" t="s">
        <v>1845</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3957</v>
      </c>
      <c r="E423" s="17" t="s">
        <v>1708</v>
      </c>
      <c r="F423" s="17">
        <v>5410</v>
      </c>
      <c r="G423" s="17" t="s">
        <v>3168</v>
      </c>
      <c r="H423" s="17" t="s">
        <v>1759</v>
      </c>
      <c r="I423" s="17" t="s">
        <v>3958</v>
      </c>
      <c r="J423" s="17" t="s">
        <v>2095</v>
      </c>
      <c r="K423" s="17" t="s">
        <v>1713</v>
      </c>
      <c r="L423" s="17" t="s">
        <v>1930</v>
      </c>
      <c r="M423" s="18" t="s">
        <v>1931</v>
      </c>
      <c r="N423" s="17">
        <v>2405</v>
      </c>
      <c r="O423" s="18" t="s">
        <v>1932</v>
      </c>
      <c r="P423" s="19" t="s">
        <v>3959</v>
      </c>
      <c r="Q423" s="17" t="s">
        <v>3171</v>
      </c>
      <c r="R423" s="17" t="s">
        <v>1719</v>
      </c>
      <c r="S423" s="17" t="s">
        <v>52</v>
      </c>
      <c r="T423" s="17">
        <v>1</v>
      </c>
      <c r="U423" s="17" t="s">
        <v>1720</v>
      </c>
      <c r="V423" s="17" t="s">
        <v>3960</v>
      </c>
      <c r="W423" s="17" t="s">
        <v>3961</v>
      </c>
      <c r="X423" s="70">
        <v>46127.548611111109</v>
      </c>
      <c r="Y423" s="17" t="s">
        <v>3962</v>
      </c>
      <c r="Z423" s="17">
        <v>1.7</v>
      </c>
      <c r="AA423" s="17"/>
      <c r="AB423" s="17" t="s">
        <v>1724</v>
      </c>
      <c r="AC423" s="20" t="s">
        <v>3963</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1926</v>
      </c>
      <c r="H424" s="17" t="s">
        <v>1927</v>
      </c>
      <c r="I424" s="17"/>
      <c r="J424" s="17"/>
      <c r="K424" s="17"/>
      <c r="L424" s="17"/>
      <c r="M424" s="18"/>
      <c r="N424" s="17"/>
      <c r="O424" s="18"/>
      <c r="P424" s="19"/>
      <c r="Q424" s="17" t="s">
        <v>1934</v>
      </c>
      <c r="R424" s="17" t="s">
        <v>1719</v>
      </c>
      <c r="S424" s="17" t="s">
        <v>566</v>
      </c>
      <c r="T424" s="17">
        <v>1</v>
      </c>
      <c r="U424" s="17" t="s">
        <v>1720</v>
      </c>
      <c r="V424" s="17" t="s">
        <v>3964</v>
      </c>
      <c r="W424" s="17" t="s">
        <v>3965</v>
      </c>
      <c r="X424" s="70">
        <v>46127.375</v>
      </c>
      <c r="Y424" s="17"/>
      <c r="Z424" s="17">
        <v>0.5</v>
      </c>
      <c r="AA424" s="17"/>
      <c r="AB424" s="17" t="s">
        <v>1724</v>
      </c>
      <c r="AC424" s="20" t="s">
        <v>3575</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3966</v>
      </c>
      <c r="E425" s="17" t="s">
        <v>1727</v>
      </c>
      <c r="F425" s="17">
        <v>2259</v>
      </c>
      <c r="G425" s="17" t="s">
        <v>3819</v>
      </c>
      <c r="H425" s="17" t="s">
        <v>1759</v>
      </c>
      <c r="I425" s="17" t="s">
        <v>3967</v>
      </c>
      <c r="J425" s="17" t="s">
        <v>2095</v>
      </c>
      <c r="K425" s="17" t="s">
        <v>1744</v>
      </c>
      <c r="L425" s="17" t="s">
        <v>1714</v>
      </c>
      <c r="M425" s="18" t="s">
        <v>1715</v>
      </c>
      <c r="N425" s="17">
        <v>2302</v>
      </c>
      <c r="O425" s="18" t="s">
        <v>3650</v>
      </c>
      <c r="P425" s="19" t="s">
        <v>3968</v>
      </c>
      <c r="Q425" s="17" t="s">
        <v>3822</v>
      </c>
      <c r="R425" s="17" t="s">
        <v>1719</v>
      </c>
      <c r="S425" s="17" t="s">
        <v>566</v>
      </c>
      <c r="T425" s="17">
        <v>1</v>
      </c>
      <c r="U425" s="17" t="s">
        <v>1720</v>
      </c>
      <c r="V425" s="17" t="s">
        <v>3969</v>
      </c>
      <c r="W425" s="17" t="s">
        <v>3970</v>
      </c>
      <c r="X425" s="70">
        <v>46127.696527777778</v>
      </c>
      <c r="Y425" s="17" t="s">
        <v>3971</v>
      </c>
      <c r="Z425" s="17">
        <v>0.7</v>
      </c>
      <c r="AA425" s="17"/>
      <c r="AB425" s="17" t="s">
        <v>1724</v>
      </c>
      <c r="AC425" s="20" t="s">
        <v>3972</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3973</v>
      </c>
      <c r="H426" s="17" t="s">
        <v>2188</v>
      </c>
      <c r="I426" s="17"/>
      <c r="J426" s="17"/>
      <c r="K426" s="17"/>
      <c r="L426" s="17"/>
      <c r="M426" s="18"/>
      <c r="N426" s="17"/>
      <c r="O426" s="18"/>
      <c r="P426" s="19"/>
      <c r="Q426" s="17" t="s">
        <v>3974</v>
      </c>
      <c r="R426" s="17" t="s">
        <v>1719</v>
      </c>
      <c r="S426" s="17" t="s">
        <v>52</v>
      </c>
      <c r="T426" s="17">
        <v>1</v>
      </c>
      <c r="U426" s="17" t="s">
        <v>1720</v>
      </c>
      <c r="V426" s="17" t="s">
        <v>3975</v>
      </c>
      <c r="W426" s="17" t="s">
        <v>3976</v>
      </c>
      <c r="X426" s="70">
        <v>46127.590277777781</v>
      </c>
      <c r="Y426" s="17"/>
      <c r="Z426" s="17">
        <v>0.3</v>
      </c>
      <c r="AA426" s="17"/>
      <c r="AB426" s="17" t="s">
        <v>1724</v>
      </c>
      <c r="AC426" s="20" t="s">
        <v>3575</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3977</v>
      </c>
      <c r="E427" s="17" t="s">
        <v>1727</v>
      </c>
      <c r="F427" s="17">
        <v>4084</v>
      </c>
      <c r="G427" s="17" t="s">
        <v>3679</v>
      </c>
      <c r="H427" s="17" t="s">
        <v>1759</v>
      </c>
      <c r="I427" s="17" t="s">
        <v>3978</v>
      </c>
      <c r="J427" s="17" t="s">
        <v>2095</v>
      </c>
      <c r="K427" s="17" t="s">
        <v>1744</v>
      </c>
      <c r="L427" s="17" t="s">
        <v>1714</v>
      </c>
      <c r="M427" s="18" t="s">
        <v>1715</v>
      </c>
      <c r="N427" s="17">
        <v>2307</v>
      </c>
      <c r="O427" s="18" t="s">
        <v>1974</v>
      </c>
      <c r="P427" s="19" t="s">
        <v>3979</v>
      </c>
      <c r="Q427" s="17" t="s">
        <v>3682</v>
      </c>
      <c r="R427" s="17" t="s">
        <v>1719</v>
      </c>
      <c r="S427" s="17" t="s">
        <v>566</v>
      </c>
      <c r="T427" s="17">
        <v>1</v>
      </c>
      <c r="U427" s="17" t="s">
        <v>1720</v>
      </c>
      <c r="V427" s="17" t="s">
        <v>3980</v>
      </c>
      <c r="W427" s="17" t="s">
        <v>3981</v>
      </c>
      <c r="X427" s="70">
        <v>46127.724305555559</v>
      </c>
      <c r="Y427" s="17" t="s">
        <v>3982</v>
      </c>
      <c r="Z427" s="17">
        <v>0.5</v>
      </c>
      <c r="AA427" s="17"/>
      <c r="AB427" s="17" t="s">
        <v>1724</v>
      </c>
      <c r="AC427" s="20" t="s">
        <v>3983</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3984</v>
      </c>
      <c r="H428" s="17" t="s">
        <v>2127</v>
      </c>
      <c r="I428" s="17"/>
      <c r="J428" s="17"/>
      <c r="K428" s="17"/>
      <c r="L428" s="17"/>
      <c r="M428" s="18"/>
      <c r="N428" s="17"/>
      <c r="O428" s="18"/>
      <c r="P428" s="19"/>
      <c r="Q428" s="17" t="s">
        <v>3985</v>
      </c>
      <c r="R428" s="17" t="s">
        <v>1719</v>
      </c>
      <c r="S428" s="17" t="s">
        <v>52</v>
      </c>
      <c r="T428" s="17">
        <v>1</v>
      </c>
      <c r="U428" s="17" t="s">
        <v>1720</v>
      </c>
      <c r="V428" s="17" t="s">
        <v>3986</v>
      </c>
      <c r="W428" s="17" t="s">
        <v>3987</v>
      </c>
      <c r="X428" s="70">
        <v>46127.627083333333</v>
      </c>
      <c r="Y428" s="17"/>
      <c r="Z428" s="17">
        <v>0.4</v>
      </c>
      <c r="AA428" s="17"/>
      <c r="AB428" s="17" t="s">
        <v>1724</v>
      </c>
      <c r="AC428" s="20" t="s">
        <v>3575</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3988</v>
      </c>
      <c r="E429" s="17" t="s">
        <v>1727</v>
      </c>
      <c r="F429" s="17">
        <v>4764</v>
      </c>
      <c r="G429" s="17" t="s">
        <v>2023</v>
      </c>
      <c r="H429" s="17" t="s">
        <v>1710</v>
      </c>
      <c r="I429" s="17" t="s">
        <v>3989</v>
      </c>
      <c r="J429" s="17" t="s">
        <v>1712</v>
      </c>
      <c r="K429" s="17" t="s">
        <v>1713</v>
      </c>
      <c r="L429" s="17" t="s">
        <v>1714</v>
      </c>
      <c r="M429" s="18" t="s">
        <v>1715</v>
      </c>
      <c r="N429" s="17">
        <v>2307</v>
      </c>
      <c r="O429" s="18" t="s">
        <v>1974</v>
      </c>
      <c r="P429" s="19" t="s">
        <v>3990</v>
      </c>
      <c r="Q429" s="17" t="s">
        <v>2024</v>
      </c>
      <c r="R429" s="17" t="s">
        <v>1719</v>
      </c>
      <c r="S429" s="17" t="s">
        <v>52</v>
      </c>
      <c r="T429" s="17">
        <v>1</v>
      </c>
      <c r="U429" s="17" t="s">
        <v>1720</v>
      </c>
      <c r="V429" s="17" t="s">
        <v>3991</v>
      </c>
      <c r="W429" s="17" t="s">
        <v>3992</v>
      </c>
      <c r="X429" s="70">
        <v>46129.479166666657</v>
      </c>
      <c r="Y429" s="17" t="s">
        <v>3993</v>
      </c>
      <c r="Z429" s="17">
        <v>2</v>
      </c>
      <c r="AA429" s="17"/>
      <c r="AB429" s="17" t="s">
        <v>1724</v>
      </c>
      <c r="AC429" s="20" t="s">
        <v>3994</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3995</v>
      </c>
      <c r="H430" s="17" t="s">
        <v>1759</v>
      </c>
      <c r="I430" s="17"/>
      <c r="J430" s="17"/>
      <c r="K430" s="17"/>
      <c r="L430" s="17"/>
      <c r="M430" s="18"/>
      <c r="N430" s="17"/>
      <c r="O430" s="18"/>
      <c r="P430" s="19"/>
      <c r="Q430" s="17" t="s">
        <v>3996</v>
      </c>
      <c r="R430" s="17" t="s">
        <v>1719</v>
      </c>
      <c r="S430" s="17" t="s">
        <v>52</v>
      </c>
      <c r="T430" s="17">
        <v>1</v>
      </c>
      <c r="U430" s="17" t="s">
        <v>1720</v>
      </c>
      <c r="V430" s="17" t="s">
        <v>3997</v>
      </c>
      <c r="W430" s="17" t="s">
        <v>3998</v>
      </c>
      <c r="X430" s="70">
        <v>46128.5625</v>
      </c>
      <c r="Y430" s="17"/>
      <c r="Z430" s="17">
        <v>3</v>
      </c>
      <c r="AA430" s="17"/>
      <c r="AB430" s="17" t="s">
        <v>1724</v>
      </c>
      <c r="AC430" s="20" t="s">
        <v>3999</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3995</v>
      </c>
      <c r="H431" s="17" t="s">
        <v>1759</v>
      </c>
      <c r="I431" s="17"/>
      <c r="J431" s="17"/>
      <c r="K431" s="17"/>
      <c r="L431" s="17"/>
      <c r="M431" s="18"/>
      <c r="N431" s="17"/>
      <c r="O431" s="18"/>
      <c r="P431" s="19"/>
      <c r="Q431" s="17" t="s">
        <v>3996</v>
      </c>
      <c r="R431" s="17" t="s">
        <v>1719</v>
      </c>
      <c r="S431" s="17" t="s">
        <v>566</v>
      </c>
      <c r="T431" s="17">
        <v>1</v>
      </c>
      <c r="U431" s="17" t="s">
        <v>1720</v>
      </c>
      <c r="V431" s="17" t="s">
        <v>4000</v>
      </c>
      <c r="W431" s="17" t="s">
        <v>4001</v>
      </c>
      <c r="X431" s="70">
        <v>46128.5625</v>
      </c>
      <c r="Y431" s="17"/>
      <c r="Z431" s="17">
        <v>2.5</v>
      </c>
      <c r="AA431" s="17"/>
      <c r="AB431" s="17" t="s">
        <v>1724</v>
      </c>
      <c r="AC431" s="20" t="s">
        <v>4002</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4003</v>
      </c>
      <c r="E432" s="17" t="s">
        <v>1727</v>
      </c>
      <c r="F432" s="17">
        <v>3623</v>
      </c>
      <c r="G432" s="17" t="s">
        <v>3707</v>
      </c>
      <c r="H432" s="17" t="s">
        <v>1759</v>
      </c>
      <c r="I432" s="17" t="s">
        <v>4004</v>
      </c>
      <c r="J432" s="17" t="s">
        <v>1712</v>
      </c>
      <c r="K432" s="17" t="s">
        <v>1744</v>
      </c>
      <c r="L432" s="17" t="s">
        <v>1886</v>
      </c>
      <c r="M432" s="18" t="s">
        <v>1887</v>
      </c>
      <c r="N432" s="17" t="s">
        <v>1888</v>
      </c>
      <c r="O432" s="18" t="s">
        <v>1889</v>
      </c>
      <c r="P432" s="19" t="s">
        <v>4005</v>
      </c>
      <c r="Q432" s="17" t="s">
        <v>3708</v>
      </c>
      <c r="R432" s="17" t="s">
        <v>1719</v>
      </c>
      <c r="S432" s="17" t="s">
        <v>566</v>
      </c>
      <c r="T432" s="17">
        <v>1</v>
      </c>
      <c r="U432" s="17" t="s">
        <v>1720</v>
      </c>
      <c r="V432" s="17" t="s">
        <v>4006</v>
      </c>
      <c r="W432" s="17" t="s">
        <v>4007</v>
      </c>
      <c r="X432" s="70">
        <v>46128.607638888891</v>
      </c>
      <c r="Y432" s="17" t="s">
        <v>4008</v>
      </c>
      <c r="Z432" s="17">
        <v>0.4</v>
      </c>
      <c r="AA432" s="17"/>
      <c r="AB432" s="17" t="s">
        <v>1724</v>
      </c>
      <c r="AC432" s="20" t="s">
        <v>4009</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4010</v>
      </c>
      <c r="E433" s="17" t="s">
        <v>1708</v>
      </c>
      <c r="F433" s="17">
        <v>2442</v>
      </c>
      <c r="G433" s="17" t="s">
        <v>1709</v>
      </c>
      <c r="H433" s="17" t="s">
        <v>1710</v>
      </c>
      <c r="I433" s="17" t="s">
        <v>4011</v>
      </c>
      <c r="J433" s="17" t="s">
        <v>1788</v>
      </c>
      <c r="K433" s="17" t="s">
        <v>1713</v>
      </c>
      <c r="L433" s="17" t="s">
        <v>1930</v>
      </c>
      <c r="M433" s="18" t="s">
        <v>1931</v>
      </c>
      <c r="N433" s="17">
        <v>2405</v>
      </c>
      <c r="O433" s="18" t="s">
        <v>1932</v>
      </c>
      <c r="P433" s="19" t="s">
        <v>4012</v>
      </c>
      <c r="Q433" s="17" t="s">
        <v>1718</v>
      </c>
      <c r="R433" s="17" t="s">
        <v>1719</v>
      </c>
      <c r="S433" s="17" t="s">
        <v>52</v>
      </c>
      <c r="T433" s="17">
        <v>1</v>
      </c>
      <c r="U433" s="17" t="s">
        <v>1720</v>
      </c>
      <c r="V433" s="17" t="s">
        <v>4013</v>
      </c>
      <c r="W433" s="17" t="s">
        <v>4014</v>
      </c>
      <c r="X433" s="70">
        <v>46129.583333333343</v>
      </c>
      <c r="Y433" s="17" t="s">
        <v>4015</v>
      </c>
      <c r="Z433" s="17">
        <v>2.2999999999999998</v>
      </c>
      <c r="AA433" s="17"/>
      <c r="AB433" s="17" t="s">
        <v>1724</v>
      </c>
      <c r="AC433" s="20" t="s">
        <v>4016</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4017</v>
      </c>
      <c r="E434" s="17" t="s">
        <v>1727</v>
      </c>
      <c r="F434" s="17">
        <v>4538</v>
      </c>
      <c r="G434" s="17" t="s">
        <v>2178</v>
      </c>
      <c r="H434" s="17" t="s">
        <v>2127</v>
      </c>
      <c r="I434" s="17" t="s">
        <v>4018</v>
      </c>
      <c r="J434" s="17" t="s">
        <v>1788</v>
      </c>
      <c r="K434" s="17" t="s">
        <v>1713</v>
      </c>
      <c r="L434" s="17" t="s">
        <v>1789</v>
      </c>
      <c r="M434" s="18" t="s">
        <v>1790</v>
      </c>
      <c r="N434" s="17" t="s">
        <v>4019</v>
      </c>
      <c r="O434" s="18" t="s">
        <v>1852</v>
      </c>
      <c r="P434" s="19" t="s">
        <v>4020</v>
      </c>
      <c r="Q434" s="17" t="s">
        <v>2179</v>
      </c>
      <c r="R434" s="17" t="s">
        <v>1719</v>
      </c>
      <c r="S434" s="17" t="s">
        <v>52</v>
      </c>
      <c r="T434" s="17">
        <v>1</v>
      </c>
      <c r="U434" s="17" t="s">
        <v>1720</v>
      </c>
      <c r="V434" s="17" t="s">
        <v>4021</v>
      </c>
      <c r="W434" s="17" t="s">
        <v>4014</v>
      </c>
      <c r="X434" s="70">
        <v>46129.495138888888</v>
      </c>
      <c r="Y434" s="17" t="s">
        <v>4022</v>
      </c>
      <c r="Z434" s="17">
        <v>0.1</v>
      </c>
      <c r="AA434" s="17"/>
      <c r="AB434" s="17" t="s">
        <v>1867</v>
      </c>
      <c r="AC434" s="20" t="s">
        <v>1979</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4023</v>
      </c>
      <c r="E435" s="17" t="s">
        <v>1708</v>
      </c>
      <c r="F435" s="17">
        <v>5410</v>
      </c>
      <c r="G435" s="17" t="s">
        <v>3168</v>
      </c>
      <c r="H435" s="17" t="s">
        <v>1759</v>
      </c>
      <c r="I435" s="17" t="s">
        <v>4024</v>
      </c>
      <c r="J435" s="17" t="s">
        <v>1788</v>
      </c>
      <c r="K435" s="17" t="s">
        <v>1713</v>
      </c>
      <c r="L435" s="17" t="s">
        <v>1930</v>
      </c>
      <c r="M435" s="18" t="s">
        <v>1931</v>
      </c>
      <c r="N435" s="17">
        <v>2405</v>
      </c>
      <c r="O435" s="18" t="s">
        <v>1932</v>
      </c>
      <c r="P435" s="19" t="s">
        <v>4025</v>
      </c>
      <c r="Q435" s="17" t="s">
        <v>3171</v>
      </c>
      <c r="R435" s="17" t="s">
        <v>1719</v>
      </c>
      <c r="S435" s="17" t="s">
        <v>195</v>
      </c>
      <c r="T435" s="17">
        <v>1</v>
      </c>
      <c r="U435" s="17" t="s">
        <v>1720</v>
      </c>
      <c r="V435" s="17" t="s">
        <v>4026</v>
      </c>
      <c r="W435" s="17" t="s">
        <v>4027</v>
      </c>
      <c r="X435" s="70">
        <v>46129.565972222219</v>
      </c>
      <c r="Y435" s="17" t="s">
        <v>4008</v>
      </c>
      <c r="Z435" s="17">
        <v>1.6</v>
      </c>
      <c r="AA435" s="17"/>
      <c r="AB435" s="17" t="s">
        <v>1724</v>
      </c>
      <c r="AC435" s="20" t="s">
        <v>4028</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4029</v>
      </c>
      <c r="E436" s="17" t="s">
        <v>1727</v>
      </c>
      <c r="F436" s="17" t="s">
        <v>2112</v>
      </c>
      <c r="G436" s="17" t="s">
        <v>2113</v>
      </c>
      <c r="H436" s="17" t="s">
        <v>1991</v>
      </c>
      <c r="I436" s="17" t="s">
        <v>4030</v>
      </c>
      <c r="J436" s="17" t="s">
        <v>1788</v>
      </c>
      <c r="K436" s="17" t="s">
        <v>1713</v>
      </c>
      <c r="L436" s="17" t="s">
        <v>1789</v>
      </c>
      <c r="M436" s="18" t="s">
        <v>1790</v>
      </c>
      <c r="N436" s="17" t="s">
        <v>1791</v>
      </c>
      <c r="O436" s="18" t="s">
        <v>1792</v>
      </c>
      <c r="P436" s="19" t="s">
        <v>4031</v>
      </c>
      <c r="Q436" s="17" t="s">
        <v>2116</v>
      </c>
      <c r="R436" s="17" t="s">
        <v>1719</v>
      </c>
      <c r="S436" s="17" t="s">
        <v>195</v>
      </c>
      <c r="T436" s="17">
        <v>1</v>
      </c>
      <c r="U436" s="17" t="s">
        <v>1720</v>
      </c>
      <c r="V436" s="17" t="s">
        <v>4032</v>
      </c>
      <c r="W436" s="17" t="s">
        <v>4033</v>
      </c>
      <c r="X436" s="70">
        <v>46132.594444444447</v>
      </c>
      <c r="Y436" s="17" t="s">
        <v>4034</v>
      </c>
      <c r="Z436" s="17">
        <v>0.4</v>
      </c>
      <c r="AA436" s="17"/>
      <c r="AB436" s="17" t="s">
        <v>1724</v>
      </c>
      <c r="AC436" s="20" t="s">
        <v>4035</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4036</v>
      </c>
      <c r="E437" s="17" t="s">
        <v>1727</v>
      </c>
      <c r="F437" s="17">
        <v>4715</v>
      </c>
      <c r="G437" s="17" t="s">
        <v>2142</v>
      </c>
      <c r="H437" s="17" t="s">
        <v>2127</v>
      </c>
      <c r="I437" s="17" t="s">
        <v>4037</v>
      </c>
      <c r="J437" s="17" t="s">
        <v>1788</v>
      </c>
      <c r="K437" s="17" t="s">
        <v>1744</v>
      </c>
      <c r="L437" s="17" t="s">
        <v>1714</v>
      </c>
      <c r="M437" s="18" t="s">
        <v>1715</v>
      </c>
      <c r="N437" s="17">
        <v>2305</v>
      </c>
      <c r="O437" s="18" t="s">
        <v>2469</v>
      </c>
      <c r="P437" s="19" t="s">
        <v>4038</v>
      </c>
      <c r="Q437" s="17" t="s">
        <v>2143</v>
      </c>
      <c r="R437" s="17" t="s">
        <v>1719</v>
      </c>
      <c r="S437" s="17" t="s">
        <v>52</v>
      </c>
      <c r="T437" s="17">
        <v>1</v>
      </c>
      <c r="U437" s="17" t="s">
        <v>1720</v>
      </c>
      <c r="V437" s="17" t="s">
        <v>4039</v>
      </c>
      <c r="W437" s="17" t="s">
        <v>4040</v>
      </c>
      <c r="X437" s="70">
        <v>46129.759027777778</v>
      </c>
      <c r="Y437" s="17" t="s">
        <v>4041</v>
      </c>
      <c r="Z437" s="17">
        <v>0.4</v>
      </c>
      <c r="AA437" s="17"/>
      <c r="AB437" s="17" t="s">
        <v>1724</v>
      </c>
      <c r="AC437" s="20" t="s">
        <v>4042</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4043</v>
      </c>
      <c r="E438" s="17" t="s">
        <v>1727</v>
      </c>
      <c r="F438" s="17">
        <v>4715</v>
      </c>
      <c r="G438" s="17" t="s">
        <v>2142</v>
      </c>
      <c r="H438" s="17" t="s">
        <v>2127</v>
      </c>
      <c r="I438" s="17" t="s">
        <v>4044</v>
      </c>
      <c r="J438" s="17" t="s">
        <v>1788</v>
      </c>
      <c r="K438" s="17" t="s">
        <v>1744</v>
      </c>
      <c r="L438" s="17" t="s">
        <v>1714</v>
      </c>
      <c r="M438" s="18" t="s">
        <v>1715</v>
      </c>
      <c r="N438" s="17">
        <v>2305</v>
      </c>
      <c r="O438" s="18" t="s">
        <v>2469</v>
      </c>
      <c r="P438" s="19" t="s">
        <v>4045</v>
      </c>
      <c r="Q438" s="17" t="s">
        <v>2143</v>
      </c>
      <c r="R438" s="17" t="s">
        <v>1719</v>
      </c>
      <c r="S438" s="17" t="s">
        <v>52</v>
      </c>
      <c r="T438" s="17">
        <v>1</v>
      </c>
      <c r="U438" s="17" t="s">
        <v>1720</v>
      </c>
      <c r="V438" s="17" t="s">
        <v>4046</v>
      </c>
      <c r="W438" s="17" t="s">
        <v>4047</v>
      </c>
      <c r="X438" s="70">
        <v>46129.739583333343</v>
      </c>
      <c r="Y438" s="17" t="s">
        <v>4048</v>
      </c>
      <c r="Z438" s="17">
        <v>0.3</v>
      </c>
      <c r="AA438" s="17"/>
      <c r="AB438" s="17" t="s">
        <v>1724</v>
      </c>
      <c r="AC438" s="20" t="s">
        <v>4049</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2142</v>
      </c>
      <c r="H439" s="17" t="s">
        <v>2127</v>
      </c>
      <c r="I439" s="17"/>
      <c r="J439" s="17"/>
      <c r="K439" s="17"/>
      <c r="L439" s="17"/>
      <c r="M439" s="18"/>
      <c r="N439" s="17"/>
      <c r="O439" s="18"/>
      <c r="P439" s="19"/>
      <c r="Q439" s="17" t="s">
        <v>2143</v>
      </c>
      <c r="R439" s="17" t="s">
        <v>1719</v>
      </c>
      <c r="S439" s="17" t="s">
        <v>52</v>
      </c>
      <c r="T439" s="17">
        <v>1</v>
      </c>
      <c r="U439" s="17" t="s">
        <v>1720</v>
      </c>
      <c r="V439" s="17" t="s">
        <v>4050</v>
      </c>
      <c r="W439" s="17" t="s">
        <v>4051</v>
      </c>
      <c r="X439" s="70">
        <v>46129.729166666657</v>
      </c>
      <c r="Y439" s="17"/>
      <c r="Z439" s="17">
        <v>0.5</v>
      </c>
      <c r="AA439" s="17"/>
      <c r="AB439" s="17" t="s">
        <v>1724</v>
      </c>
      <c r="AC439" s="20" t="s">
        <v>3575</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4052</v>
      </c>
      <c r="E440" s="17" t="s">
        <v>1727</v>
      </c>
      <c r="F440" s="17">
        <v>3955</v>
      </c>
      <c r="G440" s="17" t="s">
        <v>4053</v>
      </c>
      <c r="H440" s="17" t="s">
        <v>1991</v>
      </c>
      <c r="I440" s="17" t="s">
        <v>4054</v>
      </c>
      <c r="J440" s="17" t="s">
        <v>1862</v>
      </c>
      <c r="K440" s="17" t="s">
        <v>1713</v>
      </c>
      <c r="L440" s="17" t="s">
        <v>1773</v>
      </c>
      <c r="M440" s="18" t="s">
        <v>1774</v>
      </c>
      <c r="N440" s="17">
        <v>5804</v>
      </c>
      <c r="O440" s="18" t="s">
        <v>2035</v>
      </c>
      <c r="P440" s="19" t="s">
        <v>4055</v>
      </c>
      <c r="Q440" s="17" t="s">
        <v>4056</v>
      </c>
      <c r="R440" s="17" t="s">
        <v>1719</v>
      </c>
      <c r="S440" s="17" t="s">
        <v>195</v>
      </c>
      <c r="T440" s="17">
        <v>1</v>
      </c>
      <c r="U440" s="17" t="s">
        <v>1720</v>
      </c>
      <c r="V440" s="17" t="s">
        <v>4057</v>
      </c>
      <c r="W440" s="17" t="s">
        <v>4058</v>
      </c>
      <c r="X440" s="70">
        <v>46132.633333333331</v>
      </c>
      <c r="Y440" s="17" t="s">
        <v>4059</v>
      </c>
      <c r="Z440" s="17">
        <v>0.3</v>
      </c>
      <c r="AA440" s="17"/>
      <c r="AB440" s="17" t="s">
        <v>1724</v>
      </c>
      <c r="AC440" s="20" t="s">
        <v>4060</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4061</v>
      </c>
      <c r="E441" s="17" t="s">
        <v>1727</v>
      </c>
      <c r="F441" s="17" t="s">
        <v>2548</v>
      </c>
      <c r="G441" s="17" t="s">
        <v>2549</v>
      </c>
      <c r="H441" s="17" t="s">
        <v>1786</v>
      </c>
      <c r="I441" s="17" t="s">
        <v>4062</v>
      </c>
      <c r="J441" s="17" t="s">
        <v>1899</v>
      </c>
      <c r="K441" s="17" t="s">
        <v>1744</v>
      </c>
      <c r="L441" s="17" t="s">
        <v>1714</v>
      </c>
      <c r="M441" s="18" t="s">
        <v>1715</v>
      </c>
      <c r="N441" s="17">
        <v>2305</v>
      </c>
      <c r="O441" s="18" t="s">
        <v>2469</v>
      </c>
      <c r="P441" s="19" t="s">
        <v>4063</v>
      </c>
      <c r="Q441" s="17" t="s">
        <v>2550</v>
      </c>
      <c r="R441" s="17" t="s">
        <v>1719</v>
      </c>
      <c r="S441" s="17" t="s">
        <v>566</v>
      </c>
      <c r="T441" s="17">
        <v>1</v>
      </c>
      <c r="U441" s="17" t="s">
        <v>1720</v>
      </c>
      <c r="V441" s="17" t="s">
        <v>4064</v>
      </c>
      <c r="W441" s="17" t="s">
        <v>4065</v>
      </c>
      <c r="X441" s="70">
        <v>46132.619444444441</v>
      </c>
      <c r="Y441" s="17" t="s">
        <v>4059</v>
      </c>
      <c r="Z441" s="17">
        <v>0.4</v>
      </c>
      <c r="AA441" s="17"/>
      <c r="AB441" s="17" t="s">
        <v>1724</v>
      </c>
      <c r="AC441" s="20" t="s">
        <v>4066</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4067</v>
      </c>
      <c r="H442" s="17" t="s">
        <v>1742</v>
      </c>
      <c r="I442" s="17"/>
      <c r="J442" s="17"/>
      <c r="K442" s="17"/>
      <c r="L442" s="17"/>
      <c r="M442" s="18"/>
      <c r="N442" s="17"/>
      <c r="O442" s="18"/>
      <c r="P442" s="19"/>
      <c r="Q442" s="17" t="s">
        <v>4068</v>
      </c>
      <c r="R442" s="17" t="s">
        <v>1719</v>
      </c>
      <c r="S442" s="17" t="s">
        <v>206</v>
      </c>
      <c r="T442" s="17">
        <v>1</v>
      </c>
      <c r="U442" s="17" t="s">
        <v>1720</v>
      </c>
      <c r="V442" s="17" t="s">
        <v>4069</v>
      </c>
      <c r="W442" s="17" t="s">
        <v>4070</v>
      </c>
      <c r="X442" s="70">
        <v>46132.444444444453</v>
      </c>
      <c r="Y442" s="17"/>
      <c r="Z442" s="17">
        <v>0.5</v>
      </c>
      <c r="AA442" s="17"/>
      <c r="AB442" s="17" t="s">
        <v>1724</v>
      </c>
      <c r="AC442" s="20" t="s">
        <v>3575</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4071</v>
      </c>
      <c r="H443" s="17" t="s">
        <v>1991</v>
      </c>
      <c r="I443" s="17"/>
      <c r="J443" s="17"/>
      <c r="K443" s="17"/>
      <c r="L443" s="17"/>
      <c r="M443" s="18"/>
      <c r="N443" s="17"/>
      <c r="O443" s="18"/>
      <c r="P443" s="19"/>
      <c r="Q443" s="17" t="s">
        <v>4072</v>
      </c>
      <c r="R443" s="17" t="s">
        <v>1719</v>
      </c>
      <c r="S443" s="17" t="s">
        <v>195</v>
      </c>
      <c r="T443" s="17">
        <v>1</v>
      </c>
      <c r="U443" s="17" t="s">
        <v>1720</v>
      </c>
      <c r="V443" s="17" t="s">
        <v>4073</v>
      </c>
      <c r="W443" s="17" t="s">
        <v>4065</v>
      </c>
      <c r="X443" s="70">
        <v>46132.614583333343</v>
      </c>
      <c r="Y443" s="17"/>
      <c r="Z443" s="17">
        <v>0.3</v>
      </c>
      <c r="AA443" s="17"/>
      <c r="AB443" s="17" t="s">
        <v>1724</v>
      </c>
      <c r="AC443" s="20" t="s">
        <v>3575</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2536</v>
      </c>
      <c r="H444" s="17" t="s">
        <v>1786</v>
      </c>
      <c r="I444" s="17"/>
      <c r="J444" s="17"/>
      <c r="K444" s="17"/>
      <c r="L444" s="17"/>
      <c r="M444" s="18"/>
      <c r="N444" s="17"/>
      <c r="O444" s="18"/>
      <c r="P444" s="19"/>
      <c r="Q444" s="17" t="s">
        <v>2537</v>
      </c>
      <c r="R444" s="17" t="s">
        <v>1719</v>
      </c>
      <c r="S444" s="17" t="s">
        <v>566</v>
      </c>
      <c r="T444" s="17">
        <v>1</v>
      </c>
      <c r="U444" s="17" t="s">
        <v>1720</v>
      </c>
      <c r="V444" s="17" t="s">
        <v>4074</v>
      </c>
      <c r="W444" s="17" t="s">
        <v>4075</v>
      </c>
      <c r="X444" s="70">
        <v>46132.630555555559</v>
      </c>
      <c r="Y444" s="17"/>
      <c r="Z444" s="17">
        <v>0.3</v>
      </c>
      <c r="AA444" s="17"/>
      <c r="AB444" s="17" t="s">
        <v>1724</v>
      </c>
      <c r="AC444" s="20" t="s">
        <v>3575</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4053</v>
      </c>
      <c r="H445" s="17" t="s">
        <v>1991</v>
      </c>
      <c r="I445" s="17"/>
      <c r="J445" s="17"/>
      <c r="K445" s="17"/>
      <c r="L445" s="17"/>
      <c r="M445" s="18"/>
      <c r="N445" s="17"/>
      <c r="O445" s="18"/>
      <c r="P445" s="19"/>
      <c r="Q445" s="17" t="s">
        <v>4056</v>
      </c>
      <c r="R445" s="17" t="s">
        <v>1719</v>
      </c>
      <c r="S445" s="17" t="s">
        <v>195</v>
      </c>
      <c r="T445" s="17">
        <v>1</v>
      </c>
      <c r="U445" s="17" t="s">
        <v>1720</v>
      </c>
      <c r="V445" s="17" t="s">
        <v>4076</v>
      </c>
      <c r="W445" s="17" t="s">
        <v>4058</v>
      </c>
      <c r="X445" s="70">
        <v>46132.633333333331</v>
      </c>
      <c r="Y445" s="17"/>
      <c r="Z445" s="17">
        <v>0.3</v>
      </c>
      <c r="AA445" s="17"/>
      <c r="AB445" s="17" t="s">
        <v>1724</v>
      </c>
      <c r="AC445" s="20" t="s">
        <v>3575</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2654</v>
      </c>
      <c r="H446" s="17" t="s">
        <v>1786</v>
      </c>
      <c r="I446" s="17"/>
      <c r="J446" s="17"/>
      <c r="K446" s="17"/>
      <c r="L446" s="17"/>
      <c r="M446" s="18"/>
      <c r="N446" s="17"/>
      <c r="O446" s="18"/>
      <c r="P446" s="19"/>
      <c r="Q446" s="17" t="s">
        <v>2655</v>
      </c>
      <c r="R446" s="17" t="s">
        <v>1719</v>
      </c>
      <c r="S446" s="17" t="s">
        <v>566</v>
      </c>
      <c r="T446" s="17">
        <v>1</v>
      </c>
      <c r="U446" s="17" t="s">
        <v>1720</v>
      </c>
      <c r="V446" s="17" t="s">
        <v>4077</v>
      </c>
      <c r="W446" s="17" t="s">
        <v>4078</v>
      </c>
      <c r="X446" s="70">
        <v>46132.671527777777</v>
      </c>
      <c r="Y446" s="17"/>
      <c r="Z446" s="17">
        <v>0.4</v>
      </c>
      <c r="AA446" s="17"/>
      <c r="AB446" s="17" t="s">
        <v>1724</v>
      </c>
      <c r="AC446" s="20" t="s">
        <v>3575</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4079</v>
      </c>
      <c r="E447" s="17" t="s">
        <v>1727</v>
      </c>
      <c r="F447" s="17">
        <v>2259</v>
      </c>
      <c r="G447" s="17" t="s">
        <v>3819</v>
      </c>
      <c r="H447" s="17" t="s">
        <v>1759</v>
      </c>
      <c r="I447" s="17" t="s">
        <v>4080</v>
      </c>
      <c r="J447" s="17" t="s">
        <v>1899</v>
      </c>
      <c r="K447" s="17" t="s">
        <v>1713</v>
      </c>
      <c r="L447" s="17" t="s">
        <v>1745</v>
      </c>
      <c r="M447" s="18" t="s">
        <v>1746</v>
      </c>
      <c r="N447" s="17" t="s">
        <v>4081</v>
      </c>
      <c r="O447" s="18" t="s">
        <v>4082</v>
      </c>
      <c r="P447" s="19" t="s">
        <v>4083</v>
      </c>
      <c r="Q447" s="17" t="s">
        <v>3822</v>
      </c>
      <c r="R447" s="17" t="s">
        <v>1719</v>
      </c>
      <c r="S447" s="17" t="s">
        <v>566</v>
      </c>
      <c r="T447" s="17">
        <v>1</v>
      </c>
      <c r="U447" s="17" t="s">
        <v>1720</v>
      </c>
      <c r="V447" s="17" t="s">
        <v>4084</v>
      </c>
      <c r="W447" s="17" t="s">
        <v>4085</v>
      </c>
      <c r="X447" s="70">
        <v>46133.440972222219</v>
      </c>
      <c r="Y447" s="17" t="s">
        <v>4059</v>
      </c>
      <c r="Z447" s="17">
        <v>0.3</v>
      </c>
      <c r="AA447" s="17"/>
      <c r="AB447" s="17" t="s">
        <v>1724</v>
      </c>
      <c r="AC447" s="20" t="s">
        <v>4086</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4087</v>
      </c>
      <c r="E448" s="17" t="s">
        <v>1727</v>
      </c>
      <c r="F448" s="17">
        <v>4210</v>
      </c>
      <c r="G448" s="17" t="s">
        <v>2226</v>
      </c>
      <c r="H448" s="17" t="s">
        <v>1759</v>
      </c>
      <c r="I448" s="17" t="s">
        <v>4088</v>
      </c>
      <c r="J448" s="17" t="s">
        <v>1899</v>
      </c>
      <c r="K448" s="17" t="s">
        <v>1744</v>
      </c>
      <c r="L448" s="17" t="s">
        <v>1910</v>
      </c>
      <c r="M448" s="18" t="s">
        <v>1911</v>
      </c>
      <c r="N448" s="17" t="s">
        <v>1912</v>
      </c>
      <c r="O448" s="18" t="s">
        <v>1913</v>
      </c>
      <c r="P448" s="19" t="s">
        <v>4089</v>
      </c>
      <c r="Q448" s="17" t="s">
        <v>2229</v>
      </c>
      <c r="R448" s="17" t="s">
        <v>1719</v>
      </c>
      <c r="S448" s="17" t="s">
        <v>566</v>
      </c>
      <c r="T448" s="17">
        <v>1</v>
      </c>
      <c r="U448" s="17" t="s">
        <v>1720</v>
      </c>
      <c r="V448" s="17" t="s">
        <v>4090</v>
      </c>
      <c r="W448" s="17" t="s">
        <v>4091</v>
      </c>
      <c r="X448" s="70">
        <v>46133.539872685193</v>
      </c>
      <c r="Y448" s="17" t="s">
        <v>4059</v>
      </c>
      <c r="Z448" s="17">
        <v>1.4</v>
      </c>
      <c r="AA448" s="17"/>
      <c r="AB448" s="17" t="s">
        <v>1724</v>
      </c>
      <c r="AC448" s="20" t="s">
        <v>4092</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4093</v>
      </c>
      <c r="E449" s="17" t="s">
        <v>1727</v>
      </c>
      <c r="F449" s="17">
        <v>2259</v>
      </c>
      <c r="G449" s="17" t="s">
        <v>3819</v>
      </c>
      <c r="H449" s="17" t="s">
        <v>1759</v>
      </c>
      <c r="I449" s="17" t="s">
        <v>4094</v>
      </c>
      <c r="J449" s="17" t="s">
        <v>1929</v>
      </c>
      <c r="K449" s="17" t="s">
        <v>1713</v>
      </c>
      <c r="L449" s="17" t="s">
        <v>1714</v>
      </c>
      <c r="M449" s="18" t="s">
        <v>1715</v>
      </c>
      <c r="N449" s="17">
        <v>2307</v>
      </c>
      <c r="O449" s="18" t="s">
        <v>1974</v>
      </c>
      <c r="P449" s="19" t="s">
        <v>4095</v>
      </c>
      <c r="Q449" s="17" t="s">
        <v>3822</v>
      </c>
      <c r="R449" s="17" t="s">
        <v>1719</v>
      </c>
      <c r="S449" s="17" t="s">
        <v>566</v>
      </c>
      <c r="T449" s="17">
        <v>1</v>
      </c>
      <c r="U449" s="17" t="s">
        <v>1720</v>
      </c>
      <c r="V449" s="17" t="s">
        <v>4096</v>
      </c>
      <c r="W449" s="17" t="s">
        <v>4097</v>
      </c>
      <c r="X449" s="70">
        <v>46133.459722222222</v>
      </c>
      <c r="Y449" s="17" t="s">
        <v>4098</v>
      </c>
      <c r="Z449" s="17">
        <v>0.5</v>
      </c>
      <c r="AA449" s="17"/>
      <c r="AB449" s="17" t="s">
        <v>1724</v>
      </c>
      <c r="AC449" s="20" t="s">
        <v>4099</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2226</v>
      </c>
      <c r="H450" s="17" t="s">
        <v>1759</v>
      </c>
      <c r="I450" s="17"/>
      <c r="J450" s="17"/>
      <c r="K450" s="17"/>
      <c r="L450" s="17"/>
      <c r="M450" s="18"/>
      <c r="N450" s="17"/>
      <c r="O450" s="18"/>
      <c r="P450" s="19"/>
      <c r="Q450" s="17" t="s">
        <v>2229</v>
      </c>
      <c r="R450" s="17" t="s">
        <v>1719</v>
      </c>
      <c r="S450" s="17" t="s">
        <v>566</v>
      </c>
      <c r="T450" s="17">
        <v>1</v>
      </c>
      <c r="U450" s="17" t="s">
        <v>1720</v>
      </c>
      <c r="V450" s="17" t="s">
        <v>4100</v>
      </c>
      <c r="W450" s="17" t="s">
        <v>4101</v>
      </c>
      <c r="X450" s="70">
        <v>46133.520833333343</v>
      </c>
      <c r="Y450" s="17"/>
      <c r="Z450" s="17">
        <v>0.5</v>
      </c>
      <c r="AA450" s="17"/>
      <c r="AB450" s="17" t="s">
        <v>1724</v>
      </c>
      <c r="AC450" s="20" t="s">
        <v>3575</v>
      </c>
      <c r="AD450" s="17" t="s">
        <v>877</v>
      </c>
      <c r="AE450" s="17"/>
      <c r="AF450" s="17"/>
      <c r="AG450" s="17"/>
      <c r="AH450" s="17"/>
      <c r="AI450" s="17"/>
      <c r="AJ450" s="17" t="s">
        <v>877</v>
      </c>
      <c r="AK450" s="17" t="s">
        <v>877</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4102</v>
      </c>
      <c r="E451" s="17" t="s">
        <v>1727</v>
      </c>
      <c r="F451" s="17">
        <v>5364</v>
      </c>
      <c r="G451" s="17" t="s">
        <v>2356</v>
      </c>
      <c r="H451" s="17" t="s">
        <v>2127</v>
      </c>
      <c r="I451" s="17" t="s">
        <v>4103</v>
      </c>
      <c r="J451" s="17" t="s">
        <v>2033</v>
      </c>
      <c r="K451" s="17" t="s">
        <v>1713</v>
      </c>
      <c r="L451" s="17" t="s">
        <v>1910</v>
      </c>
      <c r="M451" s="18" t="s">
        <v>1911</v>
      </c>
      <c r="N451" s="17" t="s">
        <v>1912</v>
      </c>
      <c r="O451" s="18" t="s">
        <v>1913</v>
      </c>
      <c r="P451" s="19" t="s">
        <v>4104</v>
      </c>
      <c r="Q451" s="17" t="s">
        <v>2357</v>
      </c>
      <c r="R451" s="17" t="s">
        <v>1719</v>
      </c>
      <c r="S451" s="17" t="s">
        <v>52</v>
      </c>
      <c r="T451" s="17">
        <v>1</v>
      </c>
      <c r="U451" s="17" t="s">
        <v>1720</v>
      </c>
      <c r="V451" s="17" t="s">
        <v>4105</v>
      </c>
      <c r="W451" s="17" t="s">
        <v>4106</v>
      </c>
      <c r="X451" s="70">
        <v>46134.60833333333</v>
      </c>
      <c r="Y451" s="17" t="s">
        <v>4107</v>
      </c>
      <c r="Z451" s="17">
        <v>2.6</v>
      </c>
      <c r="AA451" s="17"/>
      <c r="AB451" s="17" t="s">
        <v>1724</v>
      </c>
      <c r="AC451" s="20" t="s">
        <v>4108</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4109</v>
      </c>
      <c r="E452" s="17" t="s">
        <v>1727</v>
      </c>
      <c r="F452" s="17">
        <v>5110</v>
      </c>
      <c r="G452" s="17" t="s">
        <v>4110</v>
      </c>
      <c r="H452" s="17" t="s">
        <v>1771</v>
      </c>
      <c r="I452" s="17" t="s">
        <v>4111</v>
      </c>
      <c r="J452" s="17" t="s">
        <v>2033</v>
      </c>
      <c r="K452" s="17" t="s">
        <v>1744</v>
      </c>
      <c r="L452" s="17" t="s">
        <v>4112</v>
      </c>
      <c r="M452" s="18" t="s">
        <v>4113</v>
      </c>
      <c r="N452" s="17" t="s">
        <v>4114</v>
      </c>
      <c r="O452" s="18" t="s">
        <v>4115</v>
      </c>
      <c r="P452" s="19" t="s">
        <v>4116</v>
      </c>
      <c r="Q452" s="17" t="s">
        <v>4117</v>
      </c>
      <c r="R452" s="17" t="s">
        <v>1719</v>
      </c>
      <c r="S452" s="17" t="s">
        <v>52</v>
      </c>
      <c r="T452" s="17">
        <v>1</v>
      </c>
      <c r="U452" s="17" t="s">
        <v>1720</v>
      </c>
      <c r="V452" s="17" t="s">
        <v>4118</v>
      </c>
      <c r="W452" s="17" t="s">
        <v>4119</v>
      </c>
      <c r="X452" s="70">
        <v>46134.673611111109</v>
      </c>
      <c r="Y452" s="17" t="s">
        <v>4120</v>
      </c>
      <c r="Z452" s="17">
        <v>0.7</v>
      </c>
      <c r="AA452" s="17"/>
      <c r="AB452" s="17" t="s">
        <v>1724</v>
      </c>
      <c r="AC452" s="20" t="s">
        <v>4121</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4122</v>
      </c>
      <c r="H453" s="17" t="s">
        <v>1742</v>
      </c>
      <c r="I453" s="17"/>
      <c r="J453" s="17"/>
      <c r="K453" s="17"/>
      <c r="L453" s="17"/>
      <c r="M453" s="18"/>
      <c r="N453" s="17"/>
      <c r="O453" s="18"/>
      <c r="P453" s="19"/>
      <c r="Q453" s="17" t="s">
        <v>4123</v>
      </c>
      <c r="R453" s="17" t="s">
        <v>1719</v>
      </c>
      <c r="S453" s="17" t="s">
        <v>206</v>
      </c>
      <c r="T453" s="17">
        <v>1</v>
      </c>
      <c r="U453" s="17" t="s">
        <v>1720</v>
      </c>
      <c r="V453" s="17" t="s">
        <v>4124</v>
      </c>
      <c r="W453" s="17" t="s">
        <v>4125</v>
      </c>
      <c r="X453" s="70">
        <v>46133.8125</v>
      </c>
      <c r="Y453" s="17"/>
      <c r="Z453" s="17">
        <v>8.5</v>
      </c>
      <c r="AA453" s="17"/>
      <c r="AB453" s="17" t="s">
        <v>1724</v>
      </c>
      <c r="AC453" s="20" t="s">
        <v>4126</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4122</v>
      </c>
      <c r="H454" s="17" t="s">
        <v>1742</v>
      </c>
      <c r="I454" s="17"/>
      <c r="J454" s="17"/>
      <c r="K454" s="17"/>
      <c r="L454" s="17"/>
      <c r="M454" s="18"/>
      <c r="N454" s="17"/>
      <c r="O454" s="18"/>
      <c r="P454" s="19"/>
      <c r="Q454" s="17" t="s">
        <v>4123</v>
      </c>
      <c r="R454" s="17" t="s">
        <v>1719</v>
      </c>
      <c r="S454" s="17" t="s">
        <v>52</v>
      </c>
      <c r="T454" s="17">
        <v>1</v>
      </c>
      <c r="U454" s="17" t="s">
        <v>1720</v>
      </c>
      <c r="V454" s="17" t="s">
        <v>4127</v>
      </c>
      <c r="W454" s="17" t="s">
        <v>4125</v>
      </c>
      <c r="X454" s="70">
        <v>46133.836805555547</v>
      </c>
      <c r="Y454" s="17"/>
      <c r="Z454" s="17">
        <v>9.1</v>
      </c>
      <c r="AA454" s="17"/>
      <c r="AB454" s="17" t="s">
        <v>1724</v>
      </c>
      <c r="AC454" s="20" t="s">
        <v>4128</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3048</v>
      </c>
      <c r="G455" s="17" t="s">
        <v>3049</v>
      </c>
      <c r="H455" s="17" t="s">
        <v>1786</v>
      </c>
      <c r="I455" s="17"/>
      <c r="J455" s="17"/>
      <c r="K455" s="17"/>
      <c r="L455" s="17"/>
      <c r="M455" s="18"/>
      <c r="N455" s="17"/>
      <c r="O455" s="18"/>
      <c r="P455" s="19"/>
      <c r="Q455" s="17" t="s">
        <v>3050</v>
      </c>
      <c r="R455" s="17" t="s">
        <v>1719</v>
      </c>
      <c r="S455" s="17" t="s">
        <v>566</v>
      </c>
      <c r="T455" s="17">
        <v>1</v>
      </c>
      <c r="U455" s="17" t="s">
        <v>1720</v>
      </c>
      <c r="V455" s="17" t="s">
        <v>4129</v>
      </c>
      <c r="W455" s="17" t="s">
        <v>4130</v>
      </c>
      <c r="X455" s="70">
        <v>46134.416666666657</v>
      </c>
      <c r="Y455" s="17"/>
      <c r="Z455" s="17">
        <v>0.5</v>
      </c>
      <c r="AA455" s="17"/>
      <c r="AB455" s="17" t="s">
        <v>1724</v>
      </c>
      <c r="AC455" s="20" t="s">
        <v>3575</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2846</v>
      </c>
      <c r="G456" s="17" t="s">
        <v>2847</v>
      </c>
      <c r="H456" s="17" t="s">
        <v>1786</v>
      </c>
      <c r="I456" s="17"/>
      <c r="J456" s="17"/>
      <c r="K456" s="17"/>
      <c r="L456" s="17"/>
      <c r="M456" s="18"/>
      <c r="N456" s="17"/>
      <c r="O456" s="18"/>
      <c r="P456" s="19"/>
      <c r="Q456" s="17" t="s">
        <v>2851</v>
      </c>
      <c r="R456" s="17" t="s">
        <v>1719</v>
      </c>
      <c r="S456" s="17" t="s">
        <v>566</v>
      </c>
      <c r="T456" s="17">
        <v>1</v>
      </c>
      <c r="U456" s="17" t="s">
        <v>1720</v>
      </c>
      <c r="V456" s="17" t="s">
        <v>4131</v>
      </c>
      <c r="W456" s="17" t="s">
        <v>4132</v>
      </c>
      <c r="X456" s="70">
        <v>46134.431250000001</v>
      </c>
      <c r="Y456" s="17"/>
      <c r="Z456" s="17">
        <v>0.3</v>
      </c>
      <c r="AA456" s="17"/>
      <c r="AB456" s="17" t="s">
        <v>1724</v>
      </c>
      <c r="AC456" s="20" t="s">
        <v>3575</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4133</v>
      </c>
      <c r="H457" s="17" t="s">
        <v>1991</v>
      </c>
      <c r="I457" s="17"/>
      <c r="J457" s="17"/>
      <c r="K457" s="17"/>
      <c r="L457" s="17"/>
      <c r="M457" s="18"/>
      <c r="N457" s="17"/>
      <c r="O457" s="18"/>
      <c r="P457" s="19"/>
      <c r="Q457" s="17" t="s">
        <v>4134</v>
      </c>
      <c r="R457" s="17" t="s">
        <v>1719</v>
      </c>
      <c r="S457" s="17" t="s">
        <v>52</v>
      </c>
      <c r="T457" s="17">
        <v>1</v>
      </c>
      <c r="U457" s="17" t="s">
        <v>1720</v>
      </c>
      <c r="V457" s="17" t="s">
        <v>4135</v>
      </c>
      <c r="W457" s="17" t="s">
        <v>4136</v>
      </c>
      <c r="X457" s="70">
        <v>46134.445138888892</v>
      </c>
      <c r="Y457" s="17"/>
      <c r="Z457" s="17">
        <v>0.7</v>
      </c>
      <c r="AA457" s="17"/>
      <c r="AB457" s="17" t="s">
        <v>1724</v>
      </c>
      <c r="AC457" s="20" t="s">
        <v>2497</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4133</v>
      </c>
      <c r="H458" s="17" t="s">
        <v>1991</v>
      </c>
      <c r="I458" s="17"/>
      <c r="J458" s="17"/>
      <c r="K458" s="17"/>
      <c r="L458" s="17"/>
      <c r="M458" s="18"/>
      <c r="N458" s="17"/>
      <c r="O458" s="18"/>
      <c r="P458" s="19"/>
      <c r="Q458" s="17" t="s">
        <v>4134</v>
      </c>
      <c r="R458" s="17" t="s">
        <v>1719</v>
      </c>
      <c r="S458" s="17" t="s">
        <v>206</v>
      </c>
      <c r="T458" s="17">
        <v>1</v>
      </c>
      <c r="U458" s="17" t="s">
        <v>1720</v>
      </c>
      <c r="V458" s="17" t="s">
        <v>4137</v>
      </c>
      <c r="W458" s="17" t="s">
        <v>4136</v>
      </c>
      <c r="X458" s="70">
        <v>46134.444444444453</v>
      </c>
      <c r="Y458" s="17"/>
      <c r="Z458" s="17">
        <v>0.7</v>
      </c>
      <c r="AA458" s="17"/>
      <c r="AB458" s="17" t="s">
        <v>1724</v>
      </c>
      <c r="AC458" s="20" t="s">
        <v>3703</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3235</v>
      </c>
      <c r="H459" s="17" t="s">
        <v>1786</v>
      </c>
      <c r="I459" s="17"/>
      <c r="J459" s="17"/>
      <c r="K459" s="17"/>
      <c r="L459" s="17"/>
      <c r="M459" s="18"/>
      <c r="N459" s="17"/>
      <c r="O459" s="18"/>
      <c r="P459" s="19"/>
      <c r="Q459" s="17" t="s">
        <v>3236</v>
      </c>
      <c r="R459" s="17" t="s">
        <v>1719</v>
      </c>
      <c r="S459" s="17" t="s">
        <v>566</v>
      </c>
      <c r="T459" s="17">
        <v>1</v>
      </c>
      <c r="U459" s="17" t="s">
        <v>1720</v>
      </c>
      <c r="V459" s="17" t="s">
        <v>4138</v>
      </c>
      <c r="W459" s="17" t="s">
        <v>4139</v>
      </c>
      <c r="X459" s="70">
        <v>46134.447916666657</v>
      </c>
      <c r="Y459" s="17"/>
      <c r="Z459" s="17">
        <v>0.3</v>
      </c>
      <c r="AA459" s="17"/>
      <c r="AB459" s="17" t="s">
        <v>1724</v>
      </c>
      <c r="AC459" s="20" t="s">
        <v>3575</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2861</v>
      </c>
      <c r="H460" s="17" t="s">
        <v>1786</v>
      </c>
      <c r="I460" s="17"/>
      <c r="J460" s="17"/>
      <c r="K460" s="17"/>
      <c r="L460" s="17"/>
      <c r="M460" s="18"/>
      <c r="N460" s="17"/>
      <c r="O460" s="18"/>
      <c r="P460" s="19"/>
      <c r="Q460" s="17" t="s">
        <v>2866</v>
      </c>
      <c r="R460" s="17" t="s">
        <v>1719</v>
      </c>
      <c r="S460" s="17" t="s">
        <v>566</v>
      </c>
      <c r="T460" s="17">
        <v>1</v>
      </c>
      <c r="U460" s="17" t="s">
        <v>1720</v>
      </c>
      <c r="V460" s="17" t="s">
        <v>4140</v>
      </c>
      <c r="W460" s="17" t="s">
        <v>4141</v>
      </c>
      <c r="X460" s="70">
        <v>46134.466666666667</v>
      </c>
      <c r="Y460" s="17"/>
      <c r="Z460" s="17">
        <v>0.3</v>
      </c>
      <c r="AA460" s="17"/>
      <c r="AB460" s="17" t="s">
        <v>1724</v>
      </c>
      <c r="AC460" s="20" t="s">
        <v>3575</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4110</v>
      </c>
      <c r="H461" s="17" t="s">
        <v>1771</v>
      </c>
      <c r="I461" s="17"/>
      <c r="J461" s="17"/>
      <c r="K461" s="17"/>
      <c r="L461" s="17"/>
      <c r="M461" s="18"/>
      <c r="N461" s="17"/>
      <c r="O461" s="18"/>
      <c r="P461" s="19"/>
      <c r="Q461" s="17" t="s">
        <v>4117</v>
      </c>
      <c r="R461" s="17" t="s">
        <v>1719</v>
      </c>
      <c r="S461" s="17" t="s">
        <v>52</v>
      </c>
      <c r="T461" s="17">
        <v>1</v>
      </c>
      <c r="U461" s="17" t="s">
        <v>1720</v>
      </c>
      <c r="V461" s="17" t="s">
        <v>4142</v>
      </c>
      <c r="W461" s="17" t="s">
        <v>4143</v>
      </c>
      <c r="X461" s="70">
        <v>46134.70208333333</v>
      </c>
      <c r="Y461" s="17"/>
      <c r="Z461" s="17">
        <v>0.6</v>
      </c>
      <c r="AA461" s="17"/>
      <c r="AB461" s="17" t="s">
        <v>1724</v>
      </c>
      <c r="AC461" s="20" t="s">
        <v>3575</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4144</v>
      </c>
      <c r="E462" s="17" t="s">
        <v>1727</v>
      </c>
      <c r="F462" s="17">
        <v>2390</v>
      </c>
      <c r="G462" s="17" t="s">
        <v>2752</v>
      </c>
      <c r="H462" s="17" t="s">
        <v>1805</v>
      </c>
      <c r="I462" s="17" t="s">
        <v>4145</v>
      </c>
      <c r="J462" s="17" t="s">
        <v>1712</v>
      </c>
      <c r="K462" s="17" t="s">
        <v>1713</v>
      </c>
      <c r="L462" s="17" t="s">
        <v>1789</v>
      </c>
      <c r="M462" s="18" t="s">
        <v>1790</v>
      </c>
      <c r="N462" s="17" t="s">
        <v>2812</v>
      </c>
      <c r="O462" s="18" t="s">
        <v>2813</v>
      </c>
      <c r="P462" s="19" t="s">
        <v>4146</v>
      </c>
      <c r="Q462" s="17" t="s">
        <v>2755</v>
      </c>
      <c r="R462" s="17" t="s">
        <v>1719</v>
      </c>
      <c r="S462" s="17" t="s">
        <v>206</v>
      </c>
      <c r="T462" s="17">
        <v>1</v>
      </c>
      <c r="U462" s="17" t="s">
        <v>1720</v>
      </c>
      <c r="V462" s="17" t="s">
        <v>4147</v>
      </c>
      <c r="W462" s="17" t="s">
        <v>4148</v>
      </c>
      <c r="X462" s="70">
        <v>46135.458333333343</v>
      </c>
      <c r="Y462" s="17" t="s">
        <v>4149</v>
      </c>
      <c r="Z462" s="17">
        <v>0.5</v>
      </c>
      <c r="AA462" s="17"/>
      <c r="AB462" s="17" t="s">
        <v>1724</v>
      </c>
      <c r="AC462" s="20" t="s">
        <v>4150</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2752</v>
      </c>
      <c r="H463" s="17" t="s">
        <v>1805</v>
      </c>
      <c r="I463" s="17"/>
      <c r="J463" s="17"/>
      <c r="K463" s="17"/>
      <c r="L463" s="17"/>
      <c r="M463" s="18"/>
      <c r="N463" s="17"/>
      <c r="O463" s="18"/>
      <c r="P463" s="19"/>
      <c r="Q463" s="17" t="s">
        <v>2755</v>
      </c>
      <c r="R463" s="17" t="s">
        <v>1719</v>
      </c>
      <c r="S463" s="17" t="s">
        <v>206</v>
      </c>
      <c r="T463" s="17">
        <v>1</v>
      </c>
      <c r="U463" s="17" t="s">
        <v>1720</v>
      </c>
      <c r="V463" s="17" t="s">
        <v>4151</v>
      </c>
      <c r="W463" s="17" t="s">
        <v>4152</v>
      </c>
      <c r="X463" s="70">
        <v>46135.479166666657</v>
      </c>
      <c r="Y463" s="17"/>
      <c r="Z463" s="17">
        <v>0.5</v>
      </c>
      <c r="AA463" s="17"/>
      <c r="AB463" s="17" t="s">
        <v>1724</v>
      </c>
      <c r="AC463" s="20" t="s">
        <v>3575</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4153</v>
      </c>
      <c r="H464" s="17" t="s">
        <v>1759</v>
      </c>
      <c r="I464" s="17"/>
      <c r="J464" s="17"/>
      <c r="K464" s="17"/>
      <c r="L464" s="17"/>
      <c r="M464" s="18"/>
      <c r="N464" s="17"/>
      <c r="O464" s="18"/>
      <c r="P464" s="19"/>
      <c r="Q464" s="17" t="s">
        <v>4154</v>
      </c>
      <c r="R464" s="17" t="s">
        <v>1719</v>
      </c>
      <c r="S464" s="17" t="s">
        <v>566</v>
      </c>
      <c r="T464" s="17">
        <v>1</v>
      </c>
      <c r="U464" s="17" t="s">
        <v>1720</v>
      </c>
      <c r="V464" s="17" t="s">
        <v>4155</v>
      </c>
      <c r="W464" s="17" t="s">
        <v>4156</v>
      </c>
      <c r="X464" s="70">
        <v>46135.535416666673</v>
      </c>
      <c r="Y464" s="17"/>
      <c r="Z464" s="17">
        <v>0.4</v>
      </c>
      <c r="AA464" s="17"/>
      <c r="AB464" s="17" t="s">
        <v>1724</v>
      </c>
      <c r="AC464" s="20" t="s">
        <v>3575</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4157</v>
      </c>
      <c r="E465" s="17" t="s">
        <v>1727</v>
      </c>
      <c r="F465" s="17">
        <v>4259</v>
      </c>
      <c r="G465" s="17" t="s">
        <v>2072</v>
      </c>
      <c r="H465" s="17" t="s">
        <v>1710</v>
      </c>
      <c r="I465" s="17" t="s">
        <v>4158</v>
      </c>
      <c r="J465" s="17" t="s">
        <v>1712</v>
      </c>
      <c r="K465" s="17" t="s">
        <v>1713</v>
      </c>
      <c r="L465" s="17" t="s">
        <v>1714</v>
      </c>
      <c r="M465" s="18" t="s">
        <v>1715</v>
      </c>
      <c r="N465" s="17">
        <v>2304</v>
      </c>
      <c r="O465" s="18" t="s">
        <v>2247</v>
      </c>
      <c r="P465" s="19" t="s">
        <v>4159</v>
      </c>
      <c r="Q465" s="17" t="s">
        <v>2073</v>
      </c>
      <c r="R465" s="17" t="s">
        <v>1719</v>
      </c>
      <c r="S465" s="17" t="s">
        <v>52</v>
      </c>
      <c r="T465" s="17">
        <v>1</v>
      </c>
      <c r="U465" s="17" t="s">
        <v>1720</v>
      </c>
      <c r="V465" s="17" t="s">
        <v>4160</v>
      </c>
      <c r="W465" s="17" t="s">
        <v>4161</v>
      </c>
      <c r="X465" s="70">
        <v>46136.506249999999</v>
      </c>
      <c r="Y465" s="17" t="s">
        <v>4162</v>
      </c>
      <c r="Z465" s="17">
        <v>1.2</v>
      </c>
      <c r="AA465" s="17"/>
      <c r="AB465" s="17" t="s">
        <v>1724</v>
      </c>
      <c r="AC465" s="20" t="s">
        <v>4163</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2459</v>
      </c>
      <c r="H466" s="17" t="s">
        <v>1759</v>
      </c>
      <c r="I466" s="17"/>
      <c r="J466" s="17"/>
      <c r="K466" s="17"/>
      <c r="L466" s="17"/>
      <c r="M466" s="18"/>
      <c r="N466" s="17"/>
      <c r="O466" s="18"/>
      <c r="P466" s="19"/>
      <c r="Q466" s="17" t="s">
        <v>2460</v>
      </c>
      <c r="R466" s="17" t="s">
        <v>1719</v>
      </c>
      <c r="S466" s="17" t="s">
        <v>566</v>
      </c>
      <c r="T466" s="17">
        <v>1</v>
      </c>
      <c r="U466" s="17" t="s">
        <v>1720</v>
      </c>
      <c r="V466" s="17" t="s">
        <v>4164</v>
      </c>
      <c r="W466" s="17" t="s">
        <v>4165</v>
      </c>
      <c r="X466" s="70">
        <v>46135.556944444441</v>
      </c>
      <c r="Y466" s="17"/>
      <c r="Z466" s="17">
        <v>0.4</v>
      </c>
      <c r="AA466" s="17"/>
      <c r="AB466" s="17" t="s">
        <v>1724</v>
      </c>
      <c r="AC466" s="20" t="s">
        <v>3575</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4166</v>
      </c>
      <c r="E467" s="17" t="s">
        <v>1727</v>
      </c>
      <c r="F467" s="17">
        <v>4819</v>
      </c>
      <c r="G467" s="17" t="s">
        <v>4167</v>
      </c>
      <c r="H467" s="17" t="s">
        <v>1805</v>
      </c>
      <c r="I467" s="17" t="s">
        <v>4168</v>
      </c>
      <c r="J467" s="17" t="s">
        <v>1712</v>
      </c>
      <c r="K467" s="17" t="s">
        <v>1744</v>
      </c>
      <c r="L467" s="17" t="s">
        <v>1886</v>
      </c>
      <c r="M467" s="18" t="s">
        <v>1887</v>
      </c>
      <c r="N467" s="17" t="s">
        <v>1888</v>
      </c>
      <c r="O467" s="18" t="s">
        <v>1889</v>
      </c>
      <c r="P467" s="19" t="s">
        <v>4169</v>
      </c>
      <c r="Q467" s="17" t="s">
        <v>4170</v>
      </c>
      <c r="R467" s="17" t="s">
        <v>1719</v>
      </c>
      <c r="S467" s="17" t="s">
        <v>206</v>
      </c>
      <c r="T467" s="17">
        <v>1</v>
      </c>
      <c r="U467" s="17" t="s">
        <v>1720</v>
      </c>
      <c r="V467" s="17" t="s">
        <v>4171</v>
      </c>
      <c r="W467" s="17" t="s">
        <v>4172</v>
      </c>
      <c r="X467" s="70">
        <v>46136.53402777778</v>
      </c>
      <c r="Y467" s="17" t="s">
        <v>4173</v>
      </c>
      <c r="Z467" s="17">
        <v>0.5</v>
      </c>
      <c r="AA467" s="17"/>
      <c r="AB467" s="17" t="s">
        <v>4174</v>
      </c>
      <c r="AC467" s="20" t="s">
        <v>4175</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2956</v>
      </c>
      <c r="H468" s="17" t="s">
        <v>1742</v>
      </c>
      <c r="I468" s="17"/>
      <c r="J468" s="17"/>
      <c r="K468" s="17"/>
      <c r="L468" s="17"/>
      <c r="M468" s="18"/>
      <c r="N468" s="17"/>
      <c r="O468" s="18"/>
      <c r="P468" s="19"/>
      <c r="Q468" s="17" t="s">
        <v>2957</v>
      </c>
      <c r="R468" s="17" t="s">
        <v>1719</v>
      </c>
      <c r="S468" s="17" t="s">
        <v>206</v>
      </c>
      <c r="T468" s="17">
        <v>1</v>
      </c>
      <c r="U468" s="17" t="s">
        <v>1720</v>
      </c>
      <c r="V468" s="17" t="s">
        <v>4176</v>
      </c>
      <c r="W468" s="17" t="s">
        <v>4177</v>
      </c>
      <c r="X468" s="70">
        <v>46136.444444444453</v>
      </c>
      <c r="Y468" s="17"/>
      <c r="Z468" s="17">
        <v>0.5</v>
      </c>
      <c r="AA468" s="17"/>
      <c r="AB468" s="17" t="s">
        <v>1724</v>
      </c>
      <c r="AC468" s="20" t="s">
        <v>3575</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2961</v>
      </c>
      <c r="G469" s="17" t="s">
        <v>2962</v>
      </c>
      <c r="H469" s="17" t="s">
        <v>1742</v>
      </c>
      <c r="I469" s="17"/>
      <c r="J469" s="17"/>
      <c r="K469" s="17"/>
      <c r="L469" s="17"/>
      <c r="M469" s="18"/>
      <c r="N469" s="17"/>
      <c r="O469" s="18"/>
      <c r="P469" s="19"/>
      <c r="Q469" s="17" t="s">
        <v>2963</v>
      </c>
      <c r="R469" s="17" t="s">
        <v>1719</v>
      </c>
      <c r="S469" s="17" t="s">
        <v>206</v>
      </c>
      <c r="T469" s="17">
        <v>1</v>
      </c>
      <c r="U469" s="17" t="s">
        <v>1720</v>
      </c>
      <c r="V469" s="17" t="s">
        <v>4178</v>
      </c>
      <c r="W469" s="17" t="s">
        <v>4179</v>
      </c>
      <c r="X469" s="70">
        <v>46136.46875</v>
      </c>
      <c r="Y469" s="17"/>
      <c r="Z469" s="17">
        <v>0.4</v>
      </c>
      <c r="AA469" s="17"/>
      <c r="AB469" s="17" t="s">
        <v>1724</v>
      </c>
      <c r="AC469" s="20" t="s">
        <v>3706</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2994</v>
      </c>
      <c r="G470" s="17" t="s">
        <v>2995</v>
      </c>
      <c r="H470" s="17" t="s">
        <v>1742</v>
      </c>
      <c r="I470" s="17"/>
      <c r="J470" s="17"/>
      <c r="K470" s="17"/>
      <c r="L470" s="17"/>
      <c r="M470" s="18"/>
      <c r="N470" s="17"/>
      <c r="O470" s="18"/>
      <c r="P470" s="19"/>
      <c r="Q470" s="17" t="s">
        <v>2996</v>
      </c>
      <c r="R470" s="17" t="s">
        <v>1719</v>
      </c>
      <c r="S470" s="17" t="s">
        <v>206</v>
      </c>
      <c r="T470" s="17">
        <v>1</v>
      </c>
      <c r="U470" s="17" t="s">
        <v>1720</v>
      </c>
      <c r="V470" s="17" t="s">
        <v>4180</v>
      </c>
      <c r="W470" s="17" t="s">
        <v>4181</v>
      </c>
      <c r="X470" s="70">
        <v>46136.486111111109</v>
      </c>
      <c r="Y470" s="17"/>
      <c r="Z470" s="17">
        <v>0.3</v>
      </c>
      <c r="AA470" s="17"/>
      <c r="AB470" s="17" t="s">
        <v>1724</v>
      </c>
      <c r="AC470" s="20" t="s">
        <v>3706</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3006</v>
      </c>
      <c r="H471" s="17" t="s">
        <v>1742</v>
      </c>
      <c r="I471" s="17"/>
      <c r="J471" s="17"/>
      <c r="K471" s="17"/>
      <c r="L471" s="17"/>
      <c r="M471" s="18"/>
      <c r="N471" s="17"/>
      <c r="O471" s="18"/>
      <c r="P471" s="19"/>
      <c r="Q471" s="17" t="s">
        <v>3007</v>
      </c>
      <c r="R471" s="17" t="s">
        <v>1719</v>
      </c>
      <c r="S471" s="17" t="s">
        <v>206</v>
      </c>
      <c r="T471" s="17">
        <v>1</v>
      </c>
      <c r="U471" s="17" t="s">
        <v>1720</v>
      </c>
      <c r="V471" s="17" t="s">
        <v>4182</v>
      </c>
      <c r="W471" s="17" t="s">
        <v>4183</v>
      </c>
      <c r="X471" s="70">
        <v>46136.510416666657</v>
      </c>
      <c r="Y471" s="17"/>
      <c r="Z471" s="17">
        <v>0.5</v>
      </c>
      <c r="AA471" s="17"/>
      <c r="AB471" s="17" t="s">
        <v>1724</v>
      </c>
      <c r="AC471" s="20" t="s">
        <v>3575</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2526</v>
      </c>
      <c r="H472" s="17" t="s">
        <v>1786</v>
      </c>
      <c r="I472" s="17"/>
      <c r="J472" s="17"/>
      <c r="K472" s="17"/>
      <c r="L472" s="17"/>
      <c r="M472" s="18"/>
      <c r="N472" s="17"/>
      <c r="O472" s="18"/>
      <c r="P472" s="19"/>
      <c r="Q472" s="17" t="s">
        <v>2527</v>
      </c>
      <c r="R472" s="17" t="s">
        <v>1719</v>
      </c>
      <c r="S472" s="17" t="s">
        <v>566</v>
      </c>
      <c r="T472" s="17">
        <v>1</v>
      </c>
      <c r="U472" s="17" t="s">
        <v>1720</v>
      </c>
      <c r="V472" s="17" t="s">
        <v>4184</v>
      </c>
      <c r="W472" s="17" t="s">
        <v>4185</v>
      </c>
      <c r="X472" s="70">
        <v>46136.554861111108</v>
      </c>
      <c r="Y472" s="17"/>
      <c r="Z472" s="17">
        <v>0.4</v>
      </c>
      <c r="AA472" s="17"/>
      <c r="AB472" s="17" t="s">
        <v>1724</v>
      </c>
      <c r="AC472" s="20" t="s">
        <v>3575</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2649</v>
      </c>
      <c r="H473" s="17" t="s">
        <v>1927</v>
      </c>
      <c r="I473" s="17"/>
      <c r="J473" s="17"/>
      <c r="K473" s="17"/>
      <c r="L473" s="17"/>
      <c r="M473" s="18"/>
      <c r="N473" s="17"/>
      <c r="O473" s="18"/>
      <c r="P473" s="19"/>
      <c r="Q473" s="17" t="s">
        <v>2650</v>
      </c>
      <c r="R473" s="17" t="s">
        <v>1719</v>
      </c>
      <c r="S473" s="17" t="s">
        <v>566</v>
      </c>
      <c r="T473" s="17">
        <v>1</v>
      </c>
      <c r="U473" s="17" t="s">
        <v>1720</v>
      </c>
      <c r="V473" s="17" t="s">
        <v>4186</v>
      </c>
      <c r="W473" s="17" t="s">
        <v>4187</v>
      </c>
      <c r="X473" s="70">
        <v>46136.581250000003</v>
      </c>
      <c r="Y473" s="17"/>
      <c r="Z473" s="17">
        <v>0.4</v>
      </c>
      <c r="AA473" s="17"/>
      <c r="AB473" s="17" t="s">
        <v>1724</v>
      </c>
      <c r="AC473" s="20" t="s">
        <v>3575</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2639</v>
      </c>
      <c r="H474" s="17" t="s">
        <v>1927</v>
      </c>
      <c r="I474" s="17"/>
      <c r="J474" s="17"/>
      <c r="K474" s="17"/>
      <c r="L474" s="17"/>
      <c r="M474" s="18"/>
      <c r="N474" s="17"/>
      <c r="O474" s="18"/>
      <c r="P474" s="19"/>
      <c r="Q474" s="17" t="s">
        <v>2640</v>
      </c>
      <c r="R474" s="17" t="s">
        <v>1719</v>
      </c>
      <c r="S474" s="17" t="s">
        <v>566</v>
      </c>
      <c r="T474" s="17">
        <v>1</v>
      </c>
      <c r="U474" s="17" t="s">
        <v>1720</v>
      </c>
      <c r="V474" s="17" t="s">
        <v>4188</v>
      </c>
      <c r="W474" s="17" t="s">
        <v>4189</v>
      </c>
      <c r="X474" s="70">
        <v>46136.604166666657</v>
      </c>
      <c r="Y474" s="17"/>
      <c r="Z474" s="17">
        <v>0.3</v>
      </c>
      <c r="AA474" s="17"/>
      <c r="AB474" s="17" t="s">
        <v>1724</v>
      </c>
      <c r="AC474" s="20" t="s">
        <v>3575</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2634</v>
      </c>
      <c r="H475" s="17" t="s">
        <v>1927</v>
      </c>
      <c r="I475" s="17"/>
      <c r="J475" s="17"/>
      <c r="K475" s="17"/>
      <c r="L475" s="17"/>
      <c r="M475" s="18"/>
      <c r="N475" s="17"/>
      <c r="O475" s="18"/>
      <c r="P475" s="19"/>
      <c r="Q475" s="17" t="s">
        <v>2635</v>
      </c>
      <c r="R475" s="17" t="s">
        <v>1719</v>
      </c>
      <c r="S475" s="17" t="s">
        <v>566</v>
      </c>
      <c r="T475" s="17">
        <v>1</v>
      </c>
      <c r="U475" s="17" t="s">
        <v>1720</v>
      </c>
      <c r="V475" s="17" t="s">
        <v>4190</v>
      </c>
      <c r="W475" s="17" t="s">
        <v>4191</v>
      </c>
      <c r="X475" s="70">
        <v>46136.638888888891</v>
      </c>
      <c r="Y475" s="17"/>
      <c r="Z475" s="17">
        <v>0.4</v>
      </c>
      <c r="AA475" s="17"/>
      <c r="AB475" s="17" t="s">
        <v>1724</v>
      </c>
      <c r="AC475" s="20" t="s">
        <v>3575</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2644</v>
      </c>
      <c r="H476" s="17" t="s">
        <v>1927</v>
      </c>
      <c r="I476" s="17"/>
      <c r="J476" s="17"/>
      <c r="K476" s="17"/>
      <c r="L476" s="17"/>
      <c r="M476" s="18"/>
      <c r="N476" s="17"/>
      <c r="O476" s="18"/>
      <c r="P476" s="19"/>
      <c r="Q476" s="17" t="s">
        <v>2645</v>
      </c>
      <c r="R476" s="17" t="s">
        <v>1719</v>
      </c>
      <c r="S476" s="17" t="s">
        <v>566</v>
      </c>
      <c r="T476" s="17">
        <v>1</v>
      </c>
      <c r="U476" s="17" t="s">
        <v>1720</v>
      </c>
      <c r="V476" s="17" t="s">
        <v>4192</v>
      </c>
      <c r="W476" s="17" t="s">
        <v>4193</v>
      </c>
      <c r="X476" s="70">
        <v>46136.668055555558</v>
      </c>
      <c r="Y476" s="17"/>
      <c r="Z476" s="17">
        <v>0.4</v>
      </c>
      <c r="AA476" s="17"/>
      <c r="AB476" s="17" t="s">
        <v>1724</v>
      </c>
      <c r="AC476" s="20" t="s">
        <v>3575</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4194</v>
      </c>
      <c r="E477" s="17" t="s">
        <v>1727</v>
      </c>
      <c r="F477" s="17">
        <v>5316</v>
      </c>
      <c r="G477" s="17" t="s">
        <v>4153</v>
      </c>
      <c r="H477" s="17" t="s">
        <v>1759</v>
      </c>
      <c r="I477" s="17" t="s">
        <v>4195</v>
      </c>
      <c r="J477" s="17" t="s">
        <v>1862</v>
      </c>
      <c r="K477" s="17" t="s">
        <v>1713</v>
      </c>
      <c r="L477" s="17" t="s">
        <v>1734</v>
      </c>
      <c r="M477" s="18" t="s">
        <v>1735</v>
      </c>
      <c r="N477" s="17">
        <v>2501</v>
      </c>
      <c r="O477" s="18" t="s">
        <v>1736</v>
      </c>
      <c r="P477" s="19" t="s">
        <v>4196</v>
      </c>
      <c r="Q477" s="17" t="s">
        <v>4154</v>
      </c>
      <c r="R477" s="17" t="s">
        <v>1719</v>
      </c>
      <c r="S477" s="17" t="s">
        <v>566</v>
      </c>
      <c r="T477" s="17">
        <v>1</v>
      </c>
      <c r="U477" s="17" t="s">
        <v>1720</v>
      </c>
      <c r="V477" s="17" t="s">
        <v>4197</v>
      </c>
      <c r="W477" s="17" t="s">
        <v>4198</v>
      </c>
      <c r="X477" s="70">
        <v>46139.634722222218</v>
      </c>
      <c r="Y477" s="17" t="s">
        <v>4199</v>
      </c>
      <c r="Z477" s="17">
        <v>0.6</v>
      </c>
      <c r="AA477" s="17"/>
      <c r="AB477" s="17" t="s">
        <v>1724</v>
      </c>
      <c r="AC477" s="20" t="s">
        <v>4200</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4201</v>
      </c>
      <c r="E478" s="17" t="s">
        <v>1727</v>
      </c>
      <c r="F478" s="17">
        <v>4844</v>
      </c>
      <c r="G478" s="17" t="s">
        <v>2577</v>
      </c>
      <c r="H478" s="17" t="s">
        <v>2572</v>
      </c>
      <c r="I478" s="17" t="s">
        <v>4202</v>
      </c>
      <c r="J478" s="17" t="s">
        <v>1862</v>
      </c>
      <c r="K478" s="17" t="s">
        <v>1744</v>
      </c>
      <c r="L478" s="17" t="s">
        <v>1900</v>
      </c>
      <c r="M478" s="18" t="s">
        <v>1901</v>
      </c>
      <c r="N478" s="17">
        <v>6004</v>
      </c>
      <c r="O478" s="18" t="s">
        <v>1716</v>
      </c>
      <c r="P478" s="19" t="s">
        <v>4203</v>
      </c>
      <c r="Q478" s="17" t="s">
        <v>2578</v>
      </c>
      <c r="R478" s="17" t="s">
        <v>1719</v>
      </c>
      <c r="S478" s="17" t="s">
        <v>52</v>
      </c>
      <c r="T478" s="17">
        <v>1</v>
      </c>
      <c r="U478" s="17" t="s">
        <v>1720</v>
      </c>
      <c r="V478" s="17" t="s">
        <v>4204</v>
      </c>
      <c r="W478" s="17" t="s">
        <v>4205</v>
      </c>
      <c r="X478" s="70">
        <v>46139.5</v>
      </c>
      <c r="Y478" s="17" t="s">
        <v>4199</v>
      </c>
      <c r="Z478" s="17">
        <v>0.5</v>
      </c>
      <c r="AA478" s="17"/>
      <c r="AB478" s="17" t="s">
        <v>1724</v>
      </c>
      <c r="AC478" s="20" t="s">
        <v>4206</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4207</v>
      </c>
      <c r="E479" s="17" t="s">
        <v>1727</v>
      </c>
      <c r="F479" s="17">
        <v>3045</v>
      </c>
      <c r="G479" s="17" t="s">
        <v>4208</v>
      </c>
      <c r="H479" s="17" t="s">
        <v>1771</v>
      </c>
      <c r="I479" s="17" t="s">
        <v>4209</v>
      </c>
      <c r="J479" s="17" t="s">
        <v>1899</v>
      </c>
      <c r="K479" s="17" t="s">
        <v>1849</v>
      </c>
      <c r="L479" s="17" t="s">
        <v>1714</v>
      </c>
      <c r="M479" s="18" t="s">
        <v>1715</v>
      </c>
      <c r="N479" s="17">
        <v>2305</v>
      </c>
      <c r="O479" s="18" t="s">
        <v>2469</v>
      </c>
      <c r="P479" s="19" t="s">
        <v>4210</v>
      </c>
      <c r="Q479" s="17" t="s">
        <v>4211</v>
      </c>
      <c r="R479" s="17" t="s">
        <v>1719</v>
      </c>
      <c r="S479" s="17" t="s">
        <v>52</v>
      </c>
      <c r="T479" s="17">
        <v>1</v>
      </c>
      <c r="U479" s="17" t="s">
        <v>1720</v>
      </c>
      <c r="V479" s="17" t="s">
        <v>4212</v>
      </c>
      <c r="W479" s="17" t="s">
        <v>4213</v>
      </c>
      <c r="X479" s="70">
        <v>46139.625694444447</v>
      </c>
      <c r="Y479" s="17" t="s">
        <v>4214</v>
      </c>
      <c r="Z479" s="17">
        <v>0.5</v>
      </c>
      <c r="AA479" s="17"/>
      <c r="AB479" s="17" t="s">
        <v>1724</v>
      </c>
      <c r="AC479" s="20" t="s">
        <v>4215</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2367</v>
      </c>
      <c r="H480" s="17" t="s">
        <v>1759</v>
      </c>
      <c r="I480" s="17"/>
      <c r="J480" s="17"/>
      <c r="K480" s="17"/>
      <c r="L480" s="17"/>
      <c r="M480" s="18"/>
      <c r="N480" s="17"/>
      <c r="O480" s="18"/>
      <c r="P480" s="19"/>
      <c r="Q480" s="17" t="s">
        <v>2370</v>
      </c>
      <c r="R480" s="17" t="s">
        <v>1719</v>
      </c>
      <c r="S480" s="17" t="s">
        <v>566</v>
      </c>
      <c r="T480" s="17">
        <v>1</v>
      </c>
      <c r="U480" s="17" t="s">
        <v>1720</v>
      </c>
      <c r="V480" s="17" t="s">
        <v>4216</v>
      </c>
      <c r="W480" s="17" t="s">
        <v>4217</v>
      </c>
      <c r="X480" s="70">
        <v>46139.40625</v>
      </c>
      <c r="Y480" s="17"/>
      <c r="Z480" s="17">
        <v>0.3</v>
      </c>
      <c r="AA480" s="17"/>
      <c r="AB480" s="17" t="s">
        <v>1724</v>
      </c>
      <c r="AC480" s="20" t="s">
        <v>3575</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2328</v>
      </c>
      <c r="H481" s="17" t="s">
        <v>1759</v>
      </c>
      <c r="I481" s="17"/>
      <c r="J481" s="17"/>
      <c r="K481" s="17"/>
      <c r="L481" s="17"/>
      <c r="M481" s="18"/>
      <c r="N481" s="17"/>
      <c r="O481" s="18"/>
      <c r="P481" s="19"/>
      <c r="Q481" s="17" t="s">
        <v>2331</v>
      </c>
      <c r="R481" s="17" t="s">
        <v>1719</v>
      </c>
      <c r="S481" s="17" t="s">
        <v>566</v>
      </c>
      <c r="T481" s="17">
        <v>1</v>
      </c>
      <c r="U481" s="17" t="s">
        <v>1720</v>
      </c>
      <c r="V481" s="17" t="s">
        <v>4218</v>
      </c>
      <c r="W481" s="17" t="s">
        <v>4219</v>
      </c>
      <c r="X481" s="70">
        <v>46139.430555555547</v>
      </c>
      <c r="Y481" s="17"/>
      <c r="Z481" s="17">
        <v>0.4</v>
      </c>
      <c r="AA481" s="17"/>
      <c r="AB481" s="17" t="s">
        <v>1724</v>
      </c>
      <c r="AC481" s="20" t="s">
        <v>3575</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4220</v>
      </c>
      <c r="G482" s="17" t="s">
        <v>4221</v>
      </c>
      <c r="H482" s="17" t="s">
        <v>1759</v>
      </c>
      <c r="I482" s="17"/>
      <c r="J482" s="17"/>
      <c r="K482" s="17"/>
      <c r="L482" s="17"/>
      <c r="M482" s="18"/>
      <c r="N482" s="17"/>
      <c r="O482" s="18"/>
      <c r="P482" s="19"/>
      <c r="Q482" s="17" t="s">
        <v>4222</v>
      </c>
      <c r="R482" s="17" t="s">
        <v>1719</v>
      </c>
      <c r="S482" s="17" t="s">
        <v>566</v>
      </c>
      <c r="T482" s="17">
        <v>1</v>
      </c>
      <c r="U482" s="17" t="s">
        <v>1720</v>
      </c>
      <c r="V482" s="17" t="s">
        <v>4223</v>
      </c>
      <c r="W482" s="17" t="s">
        <v>4224</v>
      </c>
      <c r="X482" s="70">
        <v>46139.451388888891</v>
      </c>
      <c r="Y482" s="17"/>
      <c r="Z482" s="17">
        <v>0.3</v>
      </c>
      <c r="AA482" s="17"/>
      <c r="AB482" s="17" t="s">
        <v>1724</v>
      </c>
      <c r="AC482" s="20" t="s">
        <v>3575</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4225</v>
      </c>
      <c r="H483" s="17" t="s">
        <v>1759</v>
      </c>
      <c r="I483" s="17"/>
      <c r="J483" s="17"/>
      <c r="K483" s="17"/>
      <c r="L483" s="17"/>
      <c r="M483" s="18"/>
      <c r="N483" s="17"/>
      <c r="O483" s="18"/>
      <c r="P483" s="19"/>
      <c r="Q483" s="17" t="s">
        <v>4226</v>
      </c>
      <c r="R483" s="17" t="s">
        <v>1719</v>
      </c>
      <c r="S483" s="17" t="s">
        <v>566</v>
      </c>
      <c r="T483" s="17">
        <v>1</v>
      </c>
      <c r="U483" s="17" t="s">
        <v>1720</v>
      </c>
      <c r="V483" s="17" t="s">
        <v>4227</v>
      </c>
      <c r="W483" s="17" t="s">
        <v>4228</v>
      </c>
      <c r="X483" s="70">
        <v>46139.475694444453</v>
      </c>
      <c r="Y483" s="17"/>
      <c r="Z483" s="17">
        <v>0.3</v>
      </c>
      <c r="AA483" s="17"/>
      <c r="AB483" s="17" t="s">
        <v>1724</v>
      </c>
      <c r="AC483" s="20" t="s">
        <v>3575</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2977</v>
      </c>
      <c r="G484" s="17" t="s">
        <v>2978</v>
      </c>
      <c r="H484" s="17" t="s">
        <v>1759</v>
      </c>
      <c r="I484" s="17"/>
      <c r="J484" s="17"/>
      <c r="K484" s="17"/>
      <c r="L484" s="17"/>
      <c r="M484" s="18"/>
      <c r="N484" s="17"/>
      <c r="O484" s="18"/>
      <c r="P484" s="19"/>
      <c r="Q484" s="17" t="s">
        <v>2979</v>
      </c>
      <c r="R484" s="17" t="s">
        <v>1719</v>
      </c>
      <c r="S484" s="17" t="s">
        <v>566</v>
      </c>
      <c r="T484" s="17">
        <v>1</v>
      </c>
      <c r="U484" s="17" t="s">
        <v>1720</v>
      </c>
      <c r="V484" s="17" t="s">
        <v>4229</v>
      </c>
      <c r="W484" s="17" t="s">
        <v>4230</v>
      </c>
      <c r="X484" s="70">
        <v>46139.495833333327</v>
      </c>
      <c r="Y484" s="17"/>
      <c r="Z484" s="17">
        <v>0.4</v>
      </c>
      <c r="AA484" s="17"/>
      <c r="AB484" s="17" t="s">
        <v>1724</v>
      </c>
      <c r="AC484" s="20" t="s">
        <v>3575</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2577</v>
      </c>
      <c r="H485" s="17" t="s">
        <v>2572</v>
      </c>
      <c r="I485" s="17"/>
      <c r="J485" s="17"/>
      <c r="K485" s="17"/>
      <c r="L485" s="17"/>
      <c r="M485" s="18"/>
      <c r="N485" s="17"/>
      <c r="O485" s="18"/>
      <c r="P485" s="19"/>
      <c r="Q485" s="17" t="s">
        <v>2578</v>
      </c>
      <c r="R485" s="17" t="s">
        <v>1719</v>
      </c>
      <c r="S485" s="17" t="s">
        <v>52</v>
      </c>
      <c r="T485" s="17">
        <v>1</v>
      </c>
      <c r="U485" s="17" t="s">
        <v>1720</v>
      </c>
      <c r="V485" s="17" t="s">
        <v>4231</v>
      </c>
      <c r="W485" s="17" t="s">
        <v>4232</v>
      </c>
      <c r="X485" s="70">
        <v>46139.513888888891</v>
      </c>
      <c r="Y485" s="17"/>
      <c r="Z485" s="17">
        <v>0.3</v>
      </c>
      <c r="AA485" s="17"/>
      <c r="AB485" s="17" t="s">
        <v>1724</v>
      </c>
      <c r="AC485" s="20" t="s">
        <v>3575</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1741</v>
      </c>
      <c r="H486" s="17" t="s">
        <v>1742</v>
      </c>
      <c r="I486" s="17"/>
      <c r="J486" s="17"/>
      <c r="K486" s="17"/>
      <c r="L486" s="17"/>
      <c r="M486" s="18"/>
      <c r="N486" s="17"/>
      <c r="O486" s="18"/>
      <c r="P486" s="19"/>
      <c r="Q486" s="17" t="s">
        <v>1750</v>
      </c>
      <c r="R486" s="17" t="s">
        <v>1719</v>
      </c>
      <c r="S486" s="17" t="s">
        <v>206</v>
      </c>
      <c r="T486" s="17">
        <v>1</v>
      </c>
      <c r="U486" s="17" t="s">
        <v>1720</v>
      </c>
      <c r="V486" s="17" t="s">
        <v>4233</v>
      </c>
      <c r="W486" s="17" t="s">
        <v>4234</v>
      </c>
      <c r="X486" s="70">
        <v>46139.583333333343</v>
      </c>
      <c r="Y486" s="17"/>
      <c r="Z486" s="17">
        <v>0.5</v>
      </c>
      <c r="AA486" s="17"/>
      <c r="AB486" s="17" t="s">
        <v>1724</v>
      </c>
      <c r="AC486" s="20" t="s">
        <v>3575</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2875</v>
      </c>
      <c r="H487" s="17" t="s">
        <v>1742</v>
      </c>
      <c r="I487" s="17"/>
      <c r="J487" s="17"/>
      <c r="K487" s="17"/>
      <c r="L487" s="17"/>
      <c r="M487" s="18"/>
      <c r="N487" s="17"/>
      <c r="O487" s="18"/>
      <c r="P487" s="19"/>
      <c r="Q487" s="17" t="s">
        <v>2878</v>
      </c>
      <c r="R487" s="17" t="s">
        <v>1719</v>
      </c>
      <c r="S487" s="17" t="s">
        <v>206</v>
      </c>
      <c r="T487" s="17">
        <v>1</v>
      </c>
      <c r="U487" s="17" t="s">
        <v>1720</v>
      </c>
      <c r="V487" s="17" t="s">
        <v>4235</v>
      </c>
      <c r="W487" s="17" t="s">
        <v>4236</v>
      </c>
      <c r="X487" s="70">
        <v>46139.604166666657</v>
      </c>
      <c r="Y487" s="17"/>
      <c r="Z487" s="17">
        <v>0.5</v>
      </c>
      <c r="AA487" s="17"/>
      <c r="AB487" s="17" t="s">
        <v>1724</v>
      </c>
      <c r="AC487" s="20" t="s">
        <v>3575</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3564</v>
      </c>
      <c r="H488" s="17" t="s">
        <v>1742</v>
      </c>
      <c r="I488" s="17"/>
      <c r="J488" s="17"/>
      <c r="K488" s="17"/>
      <c r="L488" s="17"/>
      <c r="M488" s="18"/>
      <c r="N488" s="17"/>
      <c r="O488" s="18"/>
      <c r="P488" s="19"/>
      <c r="Q488" s="17" t="s">
        <v>3565</v>
      </c>
      <c r="R488" s="17" t="s">
        <v>1719</v>
      </c>
      <c r="S488" s="17" t="s">
        <v>206</v>
      </c>
      <c r="T488" s="17">
        <v>1</v>
      </c>
      <c r="U488" s="17" t="s">
        <v>1720</v>
      </c>
      <c r="V488" s="17" t="s">
        <v>4237</v>
      </c>
      <c r="W488" s="17" t="s">
        <v>4213</v>
      </c>
      <c r="X488" s="70">
        <v>46139.625</v>
      </c>
      <c r="Y488" s="17"/>
      <c r="Z488" s="17">
        <v>0.5</v>
      </c>
      <c r="AA488" s="17"/>
      <c r="AB488" s="17" t="s">
        <v>1724</v>
      </c>
      <c r="AC488" s="20" t="s">
        <v>3575</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4208</v>
      </c>
      <c r="H489" s="17" t="s">
        <v>1771</v>
      </c>
      <c r="I489" s="17"/>
      <c r="J489" s="17"/>
      <c r="K489" s="17"/>
      <c r="L489" s="17"/>
      <c r="M489" s="18"/>
      <c r="N489" s="17"/>
      <c r="O489" s="18"/>
      <c r="P489" s="19"/>
      <c r="Q489" s="17" t="s">
        <v>4211</v>
      </c>
      <c r="R489" s="17" t="s">
        <v>1719</v>
      </c>
      <c r="S489" s="17" t="s">
        <v>52</v>
      </c>
      <c r="T489" s="17">
        <v>1</v>
      </c>
      <c r="U489" s="17" t="s">
        <v>1720</v>
      </c>
      <c r="V489" s="17" t="s">
        <v>4238</v>
      </c>
      <c r="W489" s="17" t="s">
        <v>4236</v>
      </c>
      <c r="X489" s="70">
        <v>46139.625</v>
      </c>
      <c r="Y489" s="17"/>
      <c r="Z489" s="17">
        <v>1</v>
      </c>
      <c r="AA489" s="17"/>
      <c r="AB489" s="17" t="s">
        <v>1724</v>
      </c>
      <c r="AC489" s="20" t="s">
        <v>3575</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4239</v>
      </c>
      <c r="E490" s="17" t="s">
        <v>1727</v>
      </c>
      <c r="F490" s="17">
        <v>2109</v>
      </c>
      <c r="G490" s="17" t="s">
        <v>1741</v>
      </c>
      <c r="H490" s="17" t="s">
        <v>1742</v>
      </c>
      <c r="I490" s="17" t="s">
        <v>4240</v>
      </c>
      <c r="J490" s="17" t="s">
        <v>2033</v>
      </c>
      <c r="K490" s="17" t="s">
        <v>1943</v>
      </c>
      <c r="L490" s="17" t="s">
        <v>1745</v>
      </c>
      <c r="M490" s="18" t="s">
        <v>1746</v>
      </c>
      <c r="N490" s="17" t="s">
        <v>1747</v>
      </c>
      <c r="O490" s="18" t="s">
        <v>1748</v>
      </c>
      <c r="P490" s="19" t="s">
        <v>4241</v>
      </c>
      <c r="Q490" s="17" t="s">
        <v>1750</v>
      </c>
      <c r="R490" s="17" t="s">
        <v>1719</v>
      </c>
      <c r="S490" s="17" t="s">
        <v>206</v>
      </c>
      <c r="T490" s="17">
        <v>1</v>
      </c>
      <c r="U490" s="17" t="s">
        <v>1720</v>
      </c>
      <c r="V490" s="17" t="s">
        <v>4242</v>
      </c>
      <c r="W490" s="17" t="s">
        <v>4243</v>
      </c>
      <c r="X490" s="70">
        <v>46140.5</v>
      </c>
      <c r="Y490" s="17" t="s">
        <v>4244</v>
      </c>
      <c r="Z490" s="17">
        <v>1</v>
      </c>
      <c r="AA490" s="17"/>
      <c r="AB490" s="17" t="s">
        <v>1724</v>
      </c>
      <c r="AC490" s="20" t="s">
        <v>4245</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4246</v>
      </c>
      <c r="E491" s="17" t="s">
        <v>1727</v>
      </c>
      <c r="F491" s="17">
        <v>2109</v>
      </c>
      <c r="G491" s="17" t="s">
        <v>1741</v>
      </c>
      <c r="H491" s="17" t="s">
        <v>1742</v>
      </c>
      <c r="I491" s="17" t="s">
        <v>4247</v>
      </c>
      <c r="J491" s="17" t="s">
        <v>2033</v>
      </c>
      <c r="K491" s="17" t="s">
        <v>1713</v>
      </c>
      <c r="L491" s="17" t="s">
        <v>1745</v>
      </c>
      <c r="M491" s="18" t="s">
        <v>1746</v>
      </c>
      <c r="N491" s="17" t="s">
        <v>1747</v>
      </c>
      <c r="O491" s="18" t="s">
        <v>1748</v>
      </c>
      <c r="P491" s="19" t="s">
        <v>4248</v>
      </c>
      <c r="Q491" s="17" t="s">
        <v>1750</v>
      </c>
      <c r="R491" s="17" t="s">
        <v>1719</v>
      </c>
      <c r="S491" s="17" t="s">
        <v>206</v>
      </c>
      <c r="T491" s="17">
        <v>1</v>
      </c>
      <c r="U491" s="17" t="s">
        <v>1720</v>
      </c>
      <c r="V491" s="17" t="s">
        <v>4249</v>
      </c>
      <c r="W491" s="17" t="s">
        <v>4250</v>
      </c>
      <c r="X491" s="70">
        <v>46140.458333333343</v>
      </c>
      <c r="Y491" s="17" t="s">
        <v>4244</v>
      </c>
      <c r="Z491" s="17">
        <v>1</v>
      </c>
      <c r="AA491" s="17"/>
      <c r="AB491" s="17" t="s">
        <v>1724</v>
      </c>
      <c r="AC491" s="20" t="s">
        <v>4251</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1860</v>
      </c>
      <c r="H492" s="17" t="s">
        <v>1759</v>
      </c>
      <c r="I492" s="17"/>
      <c r="J492" s="17"/>
      <c r="K492" s="17"/>
      <c r="L492" s="17"/>
      <c r="M492" s="18"/>
      <c r="N492" s="17"/>
      <c r="O492" s="18"/>
      <c r="P492" s="19"/>
      <c r="Q492" s="17" t="s">
        <v>1864</v>
      </c>
      <c r="R492" s="17" t="s">
        <v>1719</v>
      </c>
      <c r="S492" s="17" t="s">
        <v>566</v>
      </c>
      <c r="T492" s="17">
        <v>1</v>
      </c>
      <c r="U492" s="17" t="s">
        <v>1720</v>
      </c>
      <c r="V492" s="17" t="s">
        <v>4252</v>
      </c>
      <c r="W492" s="17" t="s">
        <v>4253</v>
      </c>
      <c r="X492" s="70">
        <v>46140.426388888889</v>
      </c>
      <c r="Y492" s="17"/>
      <c r="Z492" s="17">
        <v>0.4</v>
      </c>
      <c r="AA492" s="17"/>
      <c r="AB492" s="17" t="s">
        <v>1724</v>
      </c>
      <c r="AC492" s="20" t="s">
        <v>3575</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4254</v>
      </c>
      <c r="H493" s="17" t="s">
        <v>1759</v>
      </c>
      <c r="I493" s="17"/>
      <c r="J493" s="17"/>
      <c r="K493" s="17"/>
      <c r="L493" s="17"/>
      <c r="M493" s="18"/>
      <c r="N493" s="17"/>
      <c r="O493" s="18"/>
      <c r="P493" s="19"/>
      <c r="Q493" s="17" t="s">
        <v>4255</v>
      </c>
      <c r="R493" s="17" t="s">
        <v>1719</v>
      </c>
      <c r="S493" s="17" t="s">
        <v>566</v>
      </c>
      <c r="T493" s="17">
        <v>1</v>
      </c>
      <c r="U493" s="17" t="s">
        <v>1720</v>
      </c>
      <c r="V493" s="17" t="s">
        <v>4256</v>
      </c>
      <c r="W493" s="17" t="s">
        <v>4257</v>
      </c>
      <c r="X493" s="70">
        <v>46140.445833333331</v>
      </c>
      <c r="Y493" s="17"/>
      <c r="Z493" s="17">
        <v>0.4</v>
      </c>
      <c r="AA493" s="17"/>
      <c r="AB493" s="17" t="s">
        <v>1724</v>
      </c>
      <c r="AC493" s="20" t="s">
        <v>3575</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2719</v>
      </c>
      <c r="H494" s="17" t="s">
        <v>1759</v>
      </c>
      <c r="I494" s="17"/>
      <c r="J494" s="17"/>
      <c r="K494" s="17"/>
      <c r="L494" s="17"/>
      <c r="M494" s="18"/>
      <c r="N494" s="17"/>
      <c r="O494" s="18"/>
      <c r="P494" s="19"/>
      <c r="Q494" s="17" t="s">
        <v>2722</v>
      </c>
      <c r="R494" s="17" t="s">
        <v>1719</v>
      </c>
      <c r="S494" s="17" t="s">
        <v>566</v>
      </c>
      <c r="T494" s="17">
        <v>1</v>
      </c>
      <c r="U494" s="17" t="s">
        <v>1720</v>
      </c>
      <c r="V494" s="17" t="s">
        <v>4258</v>
      </c>
      <c r="W494" s="17" t="s">
        <v>4259</v>
      </c>
      <c r="X494" s="70">
        <v>46140.476388888892</v>
      </c>
      <c r="Y494" s="17"/>
      <c r="Z494" s="17">
        <v>0.4</v>
      </c>
      <c r="AA494" s="17"/>
      <c r="AB494" s="17" t="s">
        <v>1724</v>
      </c>
      <c r="AC494" s="20" t="s">
        <v>3575</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4260</v>
      </c>
      <c r="H495" s="17" t="s">
        <v>1759</v>
      </c>
      <c r="I495" s="17"/>
      <c r="J495" s="17"/>
      <c r="K495" s="17"/>
      <c r="L495" s="17"/>
      <c r="M495" s="18"/>
      <c r="N495" s="17"/>
      <c r="O495" s="18"/>
      <c r="P495" s="19"/>
      <c r="Q495" s="17" t="s">
        <v>4261</v>
      </c>
      <c r="R495" s="17" t="s">
        <v>1719</v>
      </c>
      <c r="S495" s="17" t="s">
        <v>566</v>
      </c>
      <c r="T495" s="17">
        <v>1</v>
      </c>
      <c r="U495" s="17" t="s">
        <v>1720</v>
      </c>
      <c r="V495" s="17" t="s">
        <v>4262</v>
      </c>
      <c r="W495" s="17" t="s">
        <v>4263</v>
      </c>
      <c r="X495" s="70">
        <v>46140.503472222219</v>
      </c>
      <c r="Y495" s="17"/>
      <c r="Z495" s="17">
        <v>0.4</v>
      </c>
      <c r="AA495" s="17"/>
      <c r="AB495" s="17" t="s">
        <v>1724</v>
      </c>
      <c r="AC495" s="20" t="s">
        <v>3575</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4264</v>
      </c>
      <c r="E496" s="17" t="s">
        <v>1727</v>
      </c>
      <c r="F496" s="17">
        <v>2171</v>
      </c>
      <c r="G496" s="17" t="s">
        <v>4265</v>
      </c>
      <c r="H496" s="17" t="s">
        <v>1786</v>
      </c>
      <c r="I496" s="17" t="s">
        <v>4266</v>
      </c>
      <c r="J496" s="17" t="s">
        <v>2033</v>
      </c>
      <c r="K496" s="17" t="s">
        <v>1744</v>
      </c>
      <c r="L496" s="17" t="s">
        <v>1910</v>
      </c>
      <c r="M496" s="18" t="s">
        <v>1911</v>
      </c>
      <c r="N496" s="17" t="s">
        <v>1912</v>
      </c>
      <c r="O496" s="18" t="s">
        <v>1913</v>
      </c>
      <c r="P496" s="19" t="s">
        <v>4267</v>
      </c>
      <c r="Q496" s="17" t="s">
        <v>4268</v>
      </c>
      <c r="R496" s="17" t="s">
        <v>1719</v>
      </c>
      <c r="S496" s="17" t="s">
        <v>566</v>
      </c>
      <c r="T496" s="17">
        <v>1</v>
      </c>
      <c r="U496" s="17" t="s">
        <v>1720</v>
      </c>
      <c r="V496" s="17" t="s">
        <v>4269</v>
      </c>
      <c r="W496" s="17" t="s">
        <v>4270</v>
      </c>
      <c r="X496" s="70">
        <v>46140.666666666657</v>
      </c>
      <c r="Y496" s="17" t="s">
        <v>4271</v>
      </c>
      <c r="Z496" s="17">
        <v>0.3</v>
      </c>
      <c r="AA496" s="17"/>
      <c r="AB496" s="17" t="s">
        <v>1724</v>
      </c>
      <c r="AC496" s="20" t="s">
        <v>4272</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4273</v>
      </c>
      <c r="E497" s="17" t="s">
        <v>1727</v>
      </c>
      <c r="F497" s="17">
        <v>2171</v>
      </c>
      <c r="G497" s="17" t="s">
        <v>4265</v>
      </c>
      <c r="H497" s="17" t="s">
        <v>1786</v>
      </c>
      <c r="I497" s="17" t="s">
        <v>4274</v>
      </c>
      <c r="J497" s="17" t="s">
        <v>2033</v>
      </c>
      <c r="K497" s="17" t="s">
        <v>1744</v>
      </c>
      <c r="L497" s="17" t="s">
        <v>1910</v>
      </c>
      <c r="M497" s="18" t="s">
        <v>1911</v>
      </c>
      <c r="N497" s="17" t="s">
        <v>1912</v>
      </c>
      <c r="O497" s="18" t="s">
        <v>1913</v>
      </c>
      <c r="P497" s="19" t="s">
        <v>4275</v>
      </c>
      <c r="Q497" s="17" t="s">
        <v>4268</v>
      </c>
      <c r="R497" s="17" t="s">
        <v>1719</v>
      </c>
      <c r="S497" s="17" t="s">
        <v>566</v>
      </c>
      <c r="T497" s="17">
        <v>1</v>
      </c>
      <c r="U497" s="17" t="s">
        <v>1720</v>
      </c>
      <c r="V497" s="17" t="s">
        <v>4276</v>
      </c>
      <c r="W497" s="17" t="s">
        <v>4277</v>
      </c>
      <c r="X497" s="70">
        <v>46140.680555555547</v>
      </c>
      <c r="Y497" s="17" t="s">
        <v>4278</v>
      </c>
      <c r="Z497" s="17">
        <v>0.3</v>
      </c>
      <c r="AA497" s="17"/>
      <c r="AB497" s="17" t="s">
        <v>1724</v>
      </c>
      <c r="AC497" s="20" t="s">
        <v>4279</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4280</v>
      </c>
      <c r="E498" s="17" t="s">
        <v>1727</v>
      </c>
      <c r="F498" s="17">
        <v>2069</v>
      </c>
      <c r="G498" s="17" t="s">
        <v>4281</v>
      </c>
      <c r="H498" s="17" t="s">
        <v>1991</v>
      </c>
      <c r="I498" s="17" t="s">
        <v>4282</v>
      </c>
      <c r="J498" s="17" t="s">
        <v>2033</v>
      </c>
      <c r="K498" s="17" t="s">
        <v>1744</v>
      </c>
      <c r="L498" s="17" t="s">
        <v>1761</v>
      </c>
      <c r="M498" s="18" t="s">
        <v>1762</v>
      </c>
      <c r="N498" s="17">
        <v>2702</v>
      </c>
      <c r="O498" s="18" t="s">
        <v>1763</v>
      </c>
      <c r="P498" s="19" t="s">
        <v>4283</v>
      </c>
      <c r="Q498" s="17" t="s">
        <v>4284</v>
      </c>
      <c r="R498" s="17" t="s">
        <v>1719</v>
      </c>
      <c r="S498" s="17" t="s">
        <v>195</v>
      </c>
      <c r="T498" s="17">
        <v>1</v>
      </c>
      <c r="U498" s="17" t="s">
        <v>1720</v>
      </c>
      <c r="V498" s="17" t="s">
        <v>4285</v>
      </c>
      <c r="W498" s="17" t="s">
        <v>4286</v>
      </c>
      <c r="X498" s="70">
        <v>46140.630555555559</v>
      </c>
      <c r="Y498" s="17" t="s">
        <v>4287</v>
      </c>
      <c r="Z498" s="17">
        <v>0.5</v>
      </c>
      <c r="AA498" s="17"/>
      <c r="AB498" s="17" t="s">
        <v>1867</v>
      </c>
      <c r="AC498" s="20" t="s">
        <v>1979</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3328</v>
      </c>
      <c r="H499" s="17" t="s">
        <v>1941</v>
      </c>
      <c r="I499" s="17"/>
      <c r="J499" s="17"/>
      <c r="K499" s="17"/>
      <c r="L499" s="17"/>
      <c r="M499" s="18"/>
      <c r="N499" s="17"/>
      <c r="O499" s="18"/>
      <c r="P499" s="19"/>
      <c r="Q499" s="17" t="s">
        <v>3329</v>
      </c>
      <c r="R499" s="17" t="s">
        <v>1719</v>
      </c>
      <c r="S499" s="17" t="s">
        <v>52</v>
      </c>
      <c r="T499" s="17">
        <v>1</v>
      </c>
      <c r="U499" s="17" t="s">
        <v>1720</v>
      </c>
      <c r="V499" s="17" t="s">
        <v>4288</v>
      </c>
      <c r="W499" s="17" t="s">
        <v>4289</v>
      </c>
      <c r="X499" s="70">
        <v>46140.617361111108</v>
      </c>
      <c r="Y499" s="17"/>
      <c r="Z499" s="17">
        <v>0.5</v>
      </c>
      <c r="AA499" s="17"/>
      <c r="AB499" s="17" t="s">
        <v>1724</v>
      </c>
      <c r="AC499" s="20" t="s">
        <v>3575</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2554</v>
      </c>
      <c r="H500" s="17" t="s">
        <v>1786</v>
      </c>
      <c r="I500" s="17"/>
      <c r="J500" s="17"/>
      <c r="K500" s="17"/>
      <c r="L500" s="17"/>
      <c r="M500" s="18"/>
      <c r="N500" s="17"/>
      <c r="O500" s="18"/>
      <c r="P500" s="19"/>
      <c r="Q500" s="17" t="s">
        <v>2555</v>
      </c>
      <c r="R500" s="17" t="s">
        <v>1719</v>
      </c>
      <c r="S500" s="17" t="s">
        <v>566</v>
      </c>
      <c r="T500" s="17">
        <v>1</v>
      </c>
      <c r="U500" s="17" t="s">
        <v>1720</v>
      </c>
      <c r="V500" s="17" t="s">
        <v>4290</v>
      </c>
      <c r="W500" s="17" t="s">
        <v>4291</v>
      </c>
      <c r="X500" s="70">
        <v>46140.640972222223</v>
      </c>
      <c r="Y500" s="17"/>
      <c r="Z500" s="17">
        <v>0.4</v>
      </c>
      <c r="AA500" s="17"/>
      <c r="AB500" s="17" t="s">
        <v>1724</v>
      </c>
      <c r="AC500" s="20" t="s">
        <v>3575</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2771</v>
      </c>
      <c r="H501" s="17" t="s">
        <v>1941</v>
      </c>
      <c r="I501" s="17"/>
      <c r="J501" s="17"/>
      <c r="K501" s="17"/>
      <c r="L501" s="17"/>
      <c r="M501" s="18"/>
      <c r="N501" s="17"/>
      <c r="O501" s="18"/>
      <c r="P501" s="19"/>
      <c r="Q501" s="17" t="s">
        <v>2772</v>
      </c>
      <c r="R501" s="17" t="s">
        <v>1719</v>
      </c>
      <c r="S501" s="17" t="s">
        <v>52</v>
      </c>
      <c r="T501" s="17">
        <v>1</v>
      </c>
      <c r="U501" s="17" t="s">
        <v>1720</v>
      </c>
      <c r="V501" s="17" t="s">
        <v>4292</v>
      </c>
      <c r="W501" s="17" t="s">
        <v>4277</v>
      </c>
      <c r="X501" s="70">
        <v>46140.691666666673</v>
      </c>
      <c r="Y501" s="17"/>
      <c r="Z501" s="17">
        <v>0.6</v>
      </c>
      <c r="AA501" s="17"/>
      <c r="AB501" s="17" t="s">
        <v>1724</v>
      </c>
      <c r="AC501" s="20" t="s">
        <v>3575</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4265</v>
      </c>
      <c r="H502" s="17" t="s">
        <v>1786</v>
      </c>
      <c r="I502" s="17"/>
      <c r="J502" s="17"/>
      <c r="K502" s="17"/>
      <c r="L502" s="17"/>
      <c r="M502" s="18"/>
      <c r="N502" s="17"/>
      <c r="O502" s="18"/>
      <c r="P502" s="19"/>
      <c r="Q502" s="17" t="s">
        <v>4268</v>
      </c>
      <c r="R502" s="17" t="s">
        <v>1719</v>
      </c>
      <c r="S502" s="17" t="s">
        <v>566</v>
      </c>
      <c r="T502" s="17">
        <v>1</v>
      </c>
      <c r="U502" s="17" t="s">
        <v>1720</v>
      </c>
      <c r="V502" s="17" t="s">
        <v>4293</v>
      </c>
      <c r="W502" s="17" t="s">
        <v>4277</v>
      </c>
      <c r="X502" s="70">
        <v>46140.684027777781</v>
      </c>
      <c r="Y502" s="17"/>
      <c r="Z502" s="17">
        <v>0.4</v>
      </c>
      <c r="AA502" s="17"/>
      <c r="AB502" s="17" t="s">
        <v>1724</v>
      </c>
      <c r="AC502" s="20" t="s">
        <v>3575</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4294</v>
      </c>
      <c r="E503" s="17" t="s">
        <v>1727</v>
      </c>
      <c r="F503" s="17">
        <v>4197</v>
      </c>
      <c r="G503" s="17" t="s">
        <v>3245</v>
      </c>
      <c r="H503" s="17" t="s">
        <v>1941</v>
      </c>
      <c r="I503" s="17" t="s">
        <v>4295</v>
      </c>
      <c r="J503" s="17" t="s">
        <v>2033</v>
      </c>
      <c r="K503" s="17" t="s">
        <v>1744</v>
      </c>
      <c r="L503" s="17" t="s">
        <v>1910</v>
      </c>
      <c r="M503" s="18" t="s">
        <v>1911</v>
      </c>
      <c r="N503" s="17" t="s">
        <v>1912</v>
      </c>
      <c r="O503" s="18" t="s">
        <v>1913</v>
      </c>
      <c r="P503" s="19" t="s">
        <v>4296</v>
      </c>
      <c r="Q503" s="17" t="s">
        <v>3246</v>
      </c>
      <c r="R503" s="17" t="s">
        <v>1719</v>
      </c>
      <c r="S503" s="17" t="s">
        <v>52</v>
      </c>
      <c r="T503" s="17">
        <v>1</v>
      </c>
      <c r="U503" s="17" t="s">
        <v>1720</v>
      </c>
      <c r="V503" s="17" t="s">
        <v>4297</v>
      </c>
      <c r="W503" s="17" t="s">
        <v>4298</v>
      </c>
      <c r="X503" s="70">
        <v>46141.645833333343</v>
      </c>
      <c r="Y503" s="17" t="s">
        <v>4299</v>
      </c>
      <c r="Z503" s="17">
        <v>0.5</v>
      </c>
      <c r="AA503" s="17"/>
      <c r="AB503" s="17" t="s">
        <v>1724</v>
      </c>
      <c r="AC503" s="20" t="s">
        <v>4300</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4301</v>
      </c>
      <c r="E504" s="17" t="s">
        <v>1727</v>
      </c>
      <c r="F504" s="17">
        <v>4197</v>
      </c>
      <c r="G504" s="17" t="s">
        <v>3245</v>
      </c>
      <c r="H504" s="17" t="s">
        <v>1941</v>
      </c>
      <c r="I504" s="17" t="s">
        <v>4302</v>
      </c>
      <c r="J504" s="17" t="s">
        <v>2033</v>
      </c>
      <c r="K504" s="17" t="s">
        <v>1744</v>
      </c>
      <c r="L504" s="17" t="s">
        <v>1910</v>
      </c>
      <c r="M504" s="18" t="s">
        <v>1911</v>
      </c>
      <c r="N504" s="17" t="s">
        <v>1912</v>
      </c>
      <c r="O504" s="18" t="s">
        <v>1913</v>
      </c>
      <c r="P504" s="19" t="s">
        <v>4303</v>
      </c>
      <c r="Q504" s="17" t="s">
        <v>3246</v>
      </c>
      <c r="R504" s="17" t="s">
        <v>1719</v>
      </c>
      <c r="S504" s="17" t="s">
        <v>52</v>
      </c>
      <c r="T504" s="17">
        <v>1</v>
      </c>
      <c r="U504" s="17" t="s">
        <v>1720</v>
      </c>
      <c r="V504" s="17" t="s">
        <v>4304</v>
      </c>
      <c r="W504" s="17" t="s">
        <v>4305</v>
      </c>
      <c r="X504" s="70">
        <v>46141.625</v>
      </c>
      <c r="Y504" s="17" t="s">
        <v>4299</v>
      </c>
      <c r="Z504" s="17">
        <v>0.5</v>
      </c>
      <c r="AA504" s="17"/>
      <c r="AB504" s="17" t="s">
        <v>1724</v>
      </c>
      <c r="AC504" s="20" t="s">
        <v>4306</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4307</v>
      </c>
      <c r="E505" s="17" t="s">
        <v>1727</v>
      </c>
      <c r="F505" s="17">
        <v>4197</v>
      </c>
      <c r="G505" s="17" t="s">
        <v>3245</v>
      </c>
      <c r="H505" s="17" t="s">
        <v>1941</v>
      </c>
      <c r="I505" s="17" t="s">
        <v>4308</v>
      </c>
      <c r="J505" s="17" t="s">
        <v>2033</v>
      </c>
      <c r="K505" s="17" t="s">
        <v>1744</v>
      </c>
      <c r="L505" s="17" t="s">
        <v>1714</v>
      </c>
      <c r="M505" s="18" t="s">
        <v>1715</v>
      </c>
      <c r="N505" s="17">
        <v>2304</v>
      </c>
      <c r="O505" s="18" t="s">
        <v>2247</v>
      </c>
      <c r="P505" s="19" t="s">
        <v>4309</v>
      </c>
      <c r="Q505" s="17" t="s">
        <v>3246</v>
      </c>
      <c r="R505" s="17" t="s">
        <v>1719</v>
      </c>
      <c r="S505" s="17" t="s">
        <v>52</v>
      </c>
      <c r="T505" s="17">
        <v>1</v>
      </c>
      <c r="U505" s="17" t="s">
        <v>1720</v>
      </c>
      <c r="V505" s="17" t="s">
        <v>4310</v>
      </c>
      <c r="W505" s="17" t="s">
        <v>4311</v>
      </c>
      <c r="X505" s="70">
        <v>46141.666666666657</v>
      </c>
      <c r="Y505" s="17" t="s">
        <v>4299</v>
      </c>
      <c r="Z505" s="17">
        <v>0.5</v>
      </c>
      <c r="AA505" s="17"/>
      <c r="AB505" s="17" t="s">
        <v>1724</v>
      </c>
      <c r="AC505" s="20" t="s">
        <v>4312</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4313</v>
      </c>
      <c r="E506" s="17" t="s">
        <v>1727</v>
      </c>
      <c r="F506" s="17">
        <v>4197</v>
      </c>
      <c r="G506" s="17" t="s">
        <v>3245</v>
      </c>
      <c r="H506" s="17" t="s">
        <v>1941</v>
      </c>
      <c r="I506" s="17" t="s">
        <v>4314</v>
      </c>
      <c r="J506" s="17" t="s">
        <v>2033</v>
      </c>
      <c r="K506" s="17" t="s">
        <v>1744</v>
      </c>
      <c r="L506" s="17" t="s">
        <v>1714</v>
      </c>
      <c r="M506" s="18" t="s">
        <v>1715</v>
      </c>
      <c r="N506" s="17">
        <v>2304</v>
      </c>
      <c r="O506" s="18" t="s">
        <v>2247</v>
      </c>
      <c r="P506" s="19" t="s">
        <v>4315</v>
      </c>
      <c r="Q506" s="17" t="s">
        <v>3246</v>
      </c>
      <c r="R506" s="17" t="s">
        <v>1719</v>
      </c>
      <c r="S506" s="17" t="s">
        <v>52</v>
      </c>
      <c r="T506" s="17">
        <v>1</v>
      </c>
      <c r="U506" s="17" t="s">
        <v>1720</v>
      </c>
      <c r="V506" s="17" t="s">
        <v>4316</v>
      </c>
      <c r="W506" s="17" t="s">
        <v>4317</v>
      </c>
      <c r="X506" s="70">
        <v>46141.6875</v>
      </c>
      <c r="Y506" s="17" t="s">
        <v>4318</v>
      </c>
      <c r="Z506" s="17">
        <v>0.5</v>
      </c>
      <c r="AA506" s="17"/>
      <c r="AB506" s="17" t="s">
        <v>1724</v>
      </c>
      <c r="AC506" s="20" t="s">
        <v>4319</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4320</v>
      </c>
      <c r="E507" s="17" t="s">
        <v>1708</v>
      </c>
      <c r="F507" s="17">
        <v>4715</v>
      </c>
      <c r="G507" s="17" t="s">
        <v>2142</v>
      </c>
      <c r="H507" s="17" t="s">
        <v>2127</v>
      </c>
      <c r="I507" s="17" t="s">
        <v>4321</v>
      </c>
      <c r="J507" s="17" t="s">
        <v>2095</v>
      </c>
      <c r="K507" s="17" t="s">
        <v>1713</v>
      </c>
      <c r="L507" s="17" t="s">
        <v>1930</v>
      </c>
      <c r="M507" s="18" t="s">
        <v>1931</v>
      </c>
      <c r="N507" s="17">
        <v>2401</v>
      </c>
      <c r="O507" s="18" t="s">
        <v>1944</v>
      </c>
      <c r="P507" s="19" t="s">
        <v>4322</v>
      </c>
      <c r="Q507" s="17" t="s">
        <v>2143</v>
      </c>
      <c r="R507" s="17" t="s">
        <v>1719</v>
      </c>
      <c r="S507" s="17" t="s">
        <v>52</v>
      </c>
      <c r="T507" s="17">
        <v>1</v>
      </c>
      <c r="U507" s="17" t="s">
        <v>1720</v>
      </c>
      <c r="V507" s="17" t="s">
        <v>4323</v>
      </c>
      <c r="W507" s="17" t="s">
        <v>4324</v>
      </c>
      <c r="X507" s="70">
        <v>46141.495138888888</v>
      </c>
      <c r="Y507" s="17" t="s">
        <v>4325</v>
      </c>
      <c r="Z507" s="17">
        <v>0.9</v>
      </c>
      <c r="AA507" s="17"/>
      <c r="AB507" s="17" t="s">
        <v>1724</v>
      </c>
      <c r="AC507" s="20" t="s">
        <v>4326</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3140</v>
      </c>
      <c r="H508" s="17" t="s">
        <v>1759</v>
      </c>
      <c r="I508" s="17"/>
      <c r="J508" s="17"/>
      <c r="K508" s="17"/>
      <c r="L508" s="17"/>
      <c r="M508" s="18"/>
      <c r="N508" s="17"/>
      <c r="O508" s="18"/>
      <c r="P508" s="19"/>
      <c r="Q508" s="17" t="s">
        <v>3144</v>
      </c>
      <c r="R508" s="17" t="s">
        <v>1719</v>
      </c>
      <c r="S508" s="17" t="s">
        <v>566</v>
      </c>
      <c r="T508" s="17">
        <v>1</v>
      </c>
      <c r="U508" s="17" t="s">
        <v>1720</v>
      </c>
      <c r="V508" s="17" t="s">
        <v>4327</v>
      </c>
      <c r="W508" s="17" t="s">
        <v>4328</v>
      </c>
      <c r="X508" s="70">
        <v>46141.475694444453</v>
      </c>
      <c r="Y508" s="17"/>
      <c r="Z508" s="17">
        <v>0.4</v>
      </c>
      <c r="AA508" s="17"/>
      <c r="AB508" s="17" t="s">
        <v>1724</v>
      </c>
      <c r="AC508" s="20" t="s">
        <v>3575</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2983</v>
      </c>
      <c r="H509" s="17" t="s">
        <v>1759</v>
      </c>
      <c r="I509" s="17"/>
      <c r="J509" s="17"/>
      <c r="K509" s="17"/>
      <c r="L509" s="17"/>
      <c r="M509" s="18"/>
      <c r="N509" s="17"/>
      <c r="O509" s="18"/>
      <c r="P509" s="19"/>
      <c r="Q509" s="17" t="s">
        <v>2984</v>
      </c>
      <c r="R509" s="17" t="s">
        <v>1719</v>
      </c>
      <c r="S509" s="17" t="s">
        <v>566</v>
      </c>
      <c r="T509" s="17">
        <v>1</v>
      </c>
      <c r="U509" s="17" t="s">
        <v>1720</v>
      </c>
      <c r="V509" s="17" t="s">
        <v>4329</v>
      </c>
      <c r="W509" s="17" t="s">
        <v>4330</v>
      </c>
      <c r="X509" s="70">
        <v>46141.583333333343</v>
      </c>
      <c r="Y509" s="17"/>
      <c r="Z509" s="17">
        <v>0.4</v>
      </c>
      <c r="AA509" s="17"/>
      <c r="AB509" s="17" t="s">
        <v>1724</v>
      </c>
      <c r="AC509" s="20" t="s">
        <v>3575</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4331</v>
      </c>
      <c r="E510" s="17" t="s">
        <v>1727</v>
      </c>
      <c r="F510" s="17">
        <v>5513</v>
      </c>
      <c r="G510" s="17" t="s">
        <v>1996</v>
      </c>
      <c r="H510" s="17" t="s">
        <v>1742</v>
      </c>
      <c r="I510" s="17" t="s">
        <v>4332</v>
      </c>
      <c r="J510" s="17" t="s">
        <v>2095</v>
      </c>
      <c r="K510" s="17" t="s">
        <v>1744</v>
      </c>
      <c r="L510" s="17" t="s">
        <v>1930</v>
      </c>
      <c r="M510" s="18" t="s">
        <v>1931</v>
      </c>
      <c r="N510" s="17">
        <v>2405</v>
      </c>
      <c r="O510" s="18" t="s">
        <v>1932</v>
      </c>
      <c r="P510" s="19" t="s">
        <v>4333</v>
      </c>
      <c r="Q510" s="17" t="s">
        <v>1997</v>
      </c>
      <c r="R510" s="17" t="s">
        <v>1719</v>
      </c>
      <c r="S510" s="17" t="s">
        <v>206</v>
      </c>
      <c r="T510" s="17">
        <v>1</v>
      </c>
      <c r="U510" s="17" t="s">
        <v>1720</v>
      </c>
      <c r="V510" s="17" t="s">
        <v>4334</v>
      </c>
      <c r="W510" s="17" t="s">
        <v>4311</v>
      </c>
      <c r="X510" s="70">
        <v>46141.715277777781</v>
      </c>
      <c r="Y510" s="17" t="s">
        <v>4335</v>
      </c>
      <c r="Z510" s="17">
        <v>1.7</v>
      </c>
      <c r="AA510" s="17"/>
      <c r="AB510" s="17" t="s">
        <v>1724</v>
      </c>
      <c r="AC510" s="20" t="s">
        <v>4336</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3016</v>
      </c>
      <c r="G511" s="17" t="s">
        <v>3017</v>
      </c>
      <c r="H511" s="17" t="s">
        <v>1759</v>
      </c>
      <c r="I511" s="17"/>
      <c r="J511" s="17"/>
      <c r="K511" s="17"/>
      <c r="L511" s="17"/>
      <c r="M511" s="18"/>
      <c r="N511" s="17"/>
      <c r="O511" s="18"/>
      <c r="P511" s="19"/>
      <c r="Q511" s="17" t="s">
        <v>3018</v>
      </c>
      <c r="R511" s="17" t="s">
        <v>1719</v>
      </c>
      <c r="S511" s="17" t="s">
        <v>566</v>
      </c>
      <c r="T511" s="17">
        <v>1</v>
      </c>
      <c r="U511" s="17" t="s">
        <v>1720</v>
      </c>
      <c r="V511" s="17" t="s">
        <v>4337</v>
      </c>
      <c r="W511" s="17" t="s">
        <v>4338</v>
      </c>
      <c r="X511" s="70">
        <v>46141.609722222223</v>
      </c>
      <c r="Y511" s="17"/>
      <c r="Z511" s="17">
        <v>0.4</v>
      </c>
      <c r="AA511" s="17"/>
      <c r="AB511" s="17" t="s">
        <v>1724</v>
      </c>
      <c r="AC511" s="20" t="s">
        <v>3575</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2988</v>
      </c>
      <c r="G512" s="17" t="s">
        <v>2989</v>
      </c>
      <c r="H512" s="17" t="s">
        <v>1759</v>
      </c>
      <c r="I512" s="17"/>
      <c r="J512" s="17"/>
      <c r="K512" s="17"/>
      <c r="L512" s="17"/>
      <c r="M512" s="18"/>
      <c r="N512" s="17"/>
      <c r="O512" s="18"/>
      <c r="P512" s="19"/>
      <c r="Q512" s="17" t="s">
        <v>2990</v>
      </c>
      <c r="R512" s="17" t="s">
        <v>1719</v>
      </c>
      <c r="S512" s="17" t="s">
        <v>566</v>
      </c>
      <c r="T512" s="17">
        <v>1</v>
      </c>
      <c r="U512" s="17" t="s">
        <v>1720</v>
      </c>
      <c r="V512" s="17" t="s">
        <v>4339</v>
      </c>
      <c r="W512" s="17" t="s">
        <v>4340</v>
      </c>
      <c r="X512" s="70">
        <v>46141.638888888891</v>
      </c>
      <c r="Y512" s="17"/>
      <c r="Z512" s="17">
        <v>0.5</v>
      </c>
      <c r="AA512" s="17"/>
      <c r="AB512" s="17" t="s">
        <v>1724</v>
      </c>
      <c r="AC512" s="20" t="s">
        <v>3575</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3245</v>
      </c>
      <c r="H513" s="17" t="s">
        <v>1941</v>
      </c>
      <c r="I513" s="17"/>
      <c r="J513" s="17"/>
      <c r="K513" s="17"/>
      <c r="L513" s="17"/>
      <c r="M513" s="18"/>
      <c r="N513" s="17"/>
      <c r="O513" s="18"/>
      <c r="P513" s="19"/>
      <c r="Q513" s="17" t="s">
        <v>3246</v>
      </c>
      <c r="R513" s="17" t="s">
        <v>1719</v>
      </c>
      <c r="S513" s="17" t="s">
        <v>52</v>
      </c>
      <c r="T513" s="17">
        <v>1</v>
      </c>
      <c r="U513" s="17" t="s">
        <v>1720</v>
      </c>
      <c r="V513" s="17" t="s">
        <v>4341</v>
      </c>
      <c r="W513" s="17" t="s">
        <v>4342</v>
      </c>
      <c r="X513" s="70">
        <v>46141.604166666657</v>
      </c>
      <c r="Y513" s="17"/>
      <c r="Z513" s="17">
        <v>0.5</v>
      </c>
      <c r="AA513" s="17"/>
      <c r="AB513" s="17" t="s">
        <v>1724</v>
      </c>
      <c r="AC513" s="20" t="s">
        <v>3575</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1996</v>
      </c>
      <c r="H514" s="17" t="s">
        <v>1742</v>
      </c>
      <c r="I514" s="17"/>
      <c r="J514" s="17"/>
      <c r="K514" s="17"/>
      <c r="L514" s="17"/>
      <c r="M514" s="18"/>
      <c r="N514" s="17"/>
      <c r="O514" s="18"/>
      <c r="P514" s="19"/>
      <c r="Q514" s="17" t="s">
        <v>1997</v>
      </c>
      <c r="R514" s="17" t="s">
        <v>1719</v>
      </c>
      <c r="S514" s="17" t="s">
        <v>206</v>
      </c>
      <c r="T514" s="17">
        <v>1</v>
      </c>
      <c r="U514" s="17" t="s">
        <v>1720</v>
      </c>
      <c r="V514" s="17" t="s">
        <v>4343</v>
      </c>
      <c r="W514" s="17" t="s">
        <v>4344</v>
      </c>
      <c r="X514" s="70">
        <v>46141.729166666657</v>
      </c>
      <c r="Y514" s="17"/>
      <c r="Z514" s="17">
        <v>0.3</v>
      </c>
      <c r="AA514" s="17"/>
      <c r="AB514" s="17" t="s">
        <v>1724</v>
      </c>
      <c r="AC514" s="20" t="s">
        <v>3575</v>
      </c>
      <c r="AD514" s="17" t="s">
        <v>877</v>
      </c>
      <c r="AE514" s="17"/>
      <c r="AF514" s="17"/>
      <c r="AG514" s="17"/>
      <c r="AH514" s="17"/>
      <c r="AI514" s="17"/>
      <c r="AJ514" s="17" t="s">
        <v>877</v>
      </c>
      <c r="AK514" s="17" t="s">
        <v>877</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4345</v>
      </c>
      <c r="E515" s="17" t="s">
        <v>1727</v>
      </c>
      <c r="F515" s="17" t="s">
        <v>4220</v>
      </c>
      <c r="G515" s="17" t="s">
        <v>4221</v>
      </c>
      <c r="H515" s="17" t="s">
        <v>1759</v>
      </c>
      <c r="I515" s="17" t="s">
        <v>4346</v>
      </c>
      <c r="J515" s="17" t="s">
        <v>1712</v>
      </c>
      <c r="K515" s="17" t="s">
        <v>1713</v>
      </c>
      <c r="L515" s="17" t="s">
        <v>1745</v>
      </c>
      <c r="M515" s="18" t="s">
        <v>1746</v>
      </c>
      <c r="N515" s="17" t="s">
        <v>2034</v>
      </c>
      <c r="O515" s="18" t="s">
        <v>2035</v>
      </c>
      <c r="P515" s="19" t="s">
        <v>4347</v>
      </c>
      <c r="Q515" s="17" t="s">
        <v>4222</v>
      </c>
      <c r="R515" s="17" t="s">
        <v>1719</v>
      </c>
      <c r="S515" s="17" t="s">
        <v>566</v>
      </c>
      <c r="T515" s="17">
        <v>1</v>
      </c>
      <c r="U515" s="17" t="s">
        <v>1720</v>
      </c>
      <c r="V515" s="17" t="s">
        <v>4348</v>
      </c>
      <c r="W515" s="17" t="s">
        <v>4349</v>
      </c>
      <c r="X515" s="70">
        <v>46142.556944444441</v>
      </c>
      <c r="Y515" s="17" t="s">
        <v>4350</v>
      </c>
      <c r="Z515" s="17">
        <v>0.3</v>
      </c>
      <c r="AA515" s="17"/>
      <c r="AB515" s="17" t="s">
        <v>1724</v>
      </c>
      <c r="AC515" s="20" t="s">
        <v>4351</v>
      </c>
      <c r="AD515" s="17"/>
      <c r="AE515" s="17"/>
      <c r="AF515" s="17"/>
      <c r="AG515" s="17"/>
      <c r="AH515" s="17"/>
      <c r="AI515" s="17"/>
      <c r="AJ515" s="17"/>
      <c r="AK515" s="17" t="s">
        <v>877</v>
      </c>
      <c r="AL515">
        <f t="shared" si="16"/>
        <v>46142</v>
      </c>
      <c r="AM515">
        <f t="shared" si="17"/>
        <v>46142</v>
      </c>
    </row>
    <row r="516" spans="1:39" ht="21.6" customHeight="1">
      <c r="A516" s="17">
        <v>1</v>
      </c>
      <c r="B516" s="17" t="s">
        <v>783</v>
      </c>
      <c r="C516" s="17">
        <v>2026050002</v>
      </c>
      <c r="D516" s="17" t="s">
        <v>4352</v>
      </c>
      <c r="E516" s="17" t="s">
        <v>1708</v>
      </c>
      <c r="F516" s="17">
        <v>4573</v>
      </c>
      <c r="G516" s="17" t="s">
        <v>2536</v>
      </c>
      <c r="H516" s="17" t="s">
        <v>1786</v>
      </c>
      <c r="I516" s="17" t="s">
        <v>4353</v>
      </c>
      <c r="J516" s="17" t="s">
        <v>1788</v>
      </c>
      <c r="K516" s="17" t="s">
        <v>1713</v>
      </c>
      <c r="L516" s="17" t="s">
        <v>1930</v>
      </c>
      <c r="M516" s="18" t="s">
        <v>1931</v>
      </c>
      <c r="N516" s="17">
        <v>2405</v>
      </c>
      <c r="O516" s="18" t="s">
        <v>1932</v>
      </c>
      <c r="P516" s="19" t="s">
        <v>4354</v>
      </c>
      <c r="Q516" s="17" t="s">
        <v>2537</v>
      </c>
      <c r="R516" s="17" t="s">
        <v>1719</v>
      </c>
      <c r="S516" s="17" t="s">
        <v>195</v>
      </c>
      <c r="T516" s="17">
        <v>1</v>
      </c>
      <c r="U516" s="17" t="s">
        <v>1720</v>
      </c>
      <c r="V516" s="17" t="s">
        <v>4355</v>
      </c>
      <c r="W516" s="17" t="s">
        <v>4356</v>
      </c>
      <c r="X516" s="70">
        <v>46143.588888888888</v>
      </c>
      <c r="Y516" s="17" t="s">
        <v>4357</v>
      </c>
      <c r="Z516" s="17">
        <v>1.6</v>
      </c>
      <c r="AA516" s="17"/>
      <c r="AB516" s="17" t="s">
        <v>1724</v>
      </c>
      <c r="AC516" s="20" t="s">
        <v>4358</v>
      </c>
      <c r="AD516" s="17"/>
      <c r="AE516" s="17"/>
      <c r="AF516" s="17"/>
      <c r="AG516" s="17"/>
      <c r="AH516" s="17"/>
      <c r="AI516" s="17"/>
      <c r="AJ516" s="17"/>
      <c r="AK516" s="17" t="s">
        <v>877</v>
      </c>
      <c r="AL516">
        <f t="shared" si="16"/>
        <v>46143</v>
      </c>
      <c r="AM516">
        <f t="shared" si="17"/>
        <v>46143</v>
      </c>
    </row>
    <row r="517" spans="1:39" ht="21.6" customHeight="1">
      <c r="A517" s="17">
        <v>2</v>
      </c>
      <c r="B517" s="17" t="s">
        <v>783</v>
      </c>
      <c r="C517" s="17">
        <v>2026050017</v>
      </c>
      <c r="D517" s="17" t="s">
        <v>4359</v>
      </c>
      <c r="E517" s="17" t="s">
        <v>1708</v>
      </c>
      <c r="F517" s="17">
        <v>5513</v>
      </c>
      <c r="G517" s="17" t="s">
        <v>1996</v>
      </c>
      <c r="H517" s="17" t="s">
        <v>1742</v>
      </c>
      <c r="I517" s="17" t="s">
        <v>4360</v>
      </c>
      <c r="J517" s="17" t="s">
        <v>1862</v>
      </c>
      <c r="K517" s="17" t="s">
        <v>1713</v>
      </c>
      <c r="L517" s="17" t="s">
        <v>1930</v>
      </c>
      <c r="M517" s="18" t="s">
        <v>1931</v>
      </c>
      <c r="N517" s="17">
        <v>2405</v>
      </c>
      <c r="O517" s="18" t="s">
        <v>1932</v>
      </c>
      <c r="P517" s="19" t="s">
        <v>4361</v>
      </c>
      <c r="Q517" s="17" t="s">
        <v>1997</v>
      </c>
      <c r="R517" s="17" t="s">
        <v>1719</v>
      </c>
      <c r="S517" s="17" t="s">
        <v>206</v>
      </c>
      <c r="T517" s="17">
        <v>1</v>
      </c>
      <c r="U517" s="17" t="s">
        <v>1720</v>
      </c>
      <c r="V517" s="17" t="s">
        <v>4362</v>
      </c>
      <c r="W517" s="17" t="s">
        <v>4363</v>
      </c>
      <c r="X517" s="70">
        <v>46144.506944444453</v>
      </c>
      <c r="Y517" s="17" t="s">
        <v>4364</v>
      </c>
      <c r="Z517" s="17">
        <v>1.7</v>
      </c>
      <c r="AA517" s="17"/>
      <c r="AB517" s="17" t="s">
        <v>1724</v>
      </c>
      <c r="AC517" s="20" t="s">
        <v>4365</v>
      </c>
      <c r="AD517" s="17"/>
      <c r="AE517" s="17"/>
      <c r="AF517" s="17"/>
      <c r="AG517" s="17"/>
      <c r="AH517" s="17"/>
      <c r="AI517" s="17"/>
      <c r="AJ517" s="17"/>
      <c r="AK517" s="17" t="s">
        <v>877</v>
      </c>
      <c r="AL517">
        <f t="shared" si="16"/>
        <v>46144</v>
      </c>
      <c r="AM517">
        <f t="shared" si="17"/>
        <v>46144</v>
      </c>
    </row>
    <row r="518" spans="1:39" ht="21.6" customHeight="1">
      <c r="A518" s="17">
        <v>3</v>
      </c>
      <c r="B518" s="17" t="s">
        <v>783</v>
      </c>
      <c r="C518" s="17">
        <v>2026050026</v>
      </c>
      <c r="D518" s="17" t="s">
        <v>4366</v>
      </c>
      <c r="E518" s="17" t="s">
        <v>1727</v>
      </c>
      <c r="F518" s="17">
        <v>4701</v>
      </c>
      <c r="G518" s="17" t="s">
        <v>2830</v>
      </c>
      <c r="H518" s="17" t="s">
        <v>1742</v>
      </c>
      <c r="I518" s="17" t="s">
        <v>4367</v>
      </c>
      <c r="J518" s="17" t="s">
        <v>1899</v>
      </c>
      <c r="K518" s="17" t="s">
        <v>1744</v>
      </c>
      <c r="L518" s="17" t="s">
        <v>1714</v>
      </c>
      <c r="M518" s="18" t="s">
        <v>1715</v>
      </c>
      <c r="N518" s="17">
        <v>2307</v>
      </c>
      <c r="O518" s="18" t="s">
        <v>1974</v>
      </c>
      <c r="P518" s="19" t="s">
        <v>4368</v>
      </c>
      <c r="Q518" s="17" t="s">
        <v>2833</v>
      </c>
      <c r="R518" s="17" t="s">
        <v>1719</v>
      </c>
      <c r="S518" s="17" t="s">
        <v>206</v>
      </c>
      <c r="T518" s="17">
        <v>1</v>
      </c>
      <c r="U518" s="17" t="s">
        <v>1720</v>
      </c>
      <c r="V518" s="17" t="s">
        <v>4369</v>
      </c>
      <c r="W518" s="17" t="s">
        <v>4370</v>
      </c>
      <c r="X518" s="70">
        <v>46146.479166666657</v>
      </c>
      <c r="Y518" s="17" t="s">
        <v>4371</v>
      </c>
      <c r="Z518" s="17">
        <v>1</v>
      </c>
      <c r="AA518" s="17"/>
      <c r="AB518" s="17" t="s">
        <v>1724</v>
      </c>
      <c r="AC518" s="20" t="s">
        <v>4372</v>
      </c>
      <c r="AD518" s="17"/>
      <c r="AE518" s="17"/>
      <c r="AF518" s="17"/>
      <c r="AG518" s="17"/>
      <c r="AH518" s="17"/>
      <c r="AI518" s="17"/>
      <c r="AJ518" s="17"/>
      <c r="AK518" s="17" t="s">
        <v>877</v>
      </c>
      <c r="AL518">
        <f t="shared" si="16"/>
        <v>46145</v>
      </c>
      <c r="AM518">
        <f t="shared" si="17"/>
        <v>46146</v>
      </c>
    </row>
    <row r="519" spans="1:39" ht="21.6" customHeight="1">
      <c r="A519" s="17">
        <v>4</v>
      </c>
      <c r="B519" s="17" t="s">
        <v>783</v>
      </c>
      <c r="C519" s="17">
        <v>2026050047</v>
      </c>
      <c r="D519" s="17" t="s">
        <v>4373</v>
      </c>
      <c r="E519" s="17" t="s">
        <v>1727</v>
      </c>
      <c r="F519" s="17">
        <v>2224</v>
      </c>
      <c r="G519" s="17" t="s">
        <v>4374</v>
      </c>
      <c r="H519" s="17" t="s">
        <v>1991</v>
      </c>
      <c r="I519" s="17" t="s">
        <v>4375</v>
      </c>
      <c r="J519" s="17" t="s">
        <v>1929</v>
      </c>
      <c r="K519" s="17" t="s">
        <v>1713</v>
      </c>
      <c r="L519" s="17" t="s">
        <v>1714</v>
      </c>
      <c r="M519" s="18" t="s">
        <v>1715</v>
      </c>
      <c r="N519" s="17">
        <v>2307</v>
      </c>
      <c r="O519" s="18" t="s">
        <v>1974</v>
      </c>
      <c r="P519" s="19" t="s">
        <v>4376</v>
      </c>
      <c r="Q519" s="17" t="s">
        <v>4377</v>
      </c>
      <c r="R519" s="17" t="s">
        <v>1719</v>
      </c>
      <c r="S519" s="17" t="s">
        <v>195</v>
      </c>
      <c r="T519" s="17">
        <v>1</v>
      </c>
      <c r="U519" s="17" t="s">
        <v>1720</v>
      </c>
      <c r="V519" s="17" t="s">
        <v>4378</v>
      </c>
      <c r="W519" s="17" t="s">
        <v>4379</v>
      </c>
      <c r="X519" s="70">
        <v>46146.720138888893</v>
      </c>
      <c r="Y519" s="17" t="s">
        <v>4380</v>
      </c>
      <c r="Z519" s="17">
        <v>0.9</v>
      </c>
      <c r="AA519" s="17"/>
      <c r="AB519" s="17" t="s">
        <v>1724</v>
      </c>
      <c r="AC519" s="20" t="s">
        <v>4381</v>
      </c>
      <c r="AD519" s="17"/>
      <c r="AE519" s="17"/>
      <c r="AF519" s="17"/>
      <c r="AG519" s="17"/>
      <c r="AH519" s="17"/>
      <c r="AI519" s="17"/>
      <c r="AJ519" s="17"/>
      <c r="AK519" s="17" t="s">
        <v>877</v>
      </c>
      <c r="AL519">
        <f t="shared" si="16"/>
        <v>46146</v>
      </c>
      <c r="AM519">
        <f t="shared" si="17"/>
        <v>46146</v>
      </c>
    </row>
    <row r="520" spans="1:39" ht="21.6" customHeight="1">
      <c r="A520" s="17">
        <v>5</v>
      </c>
      <c r="B520" s="17" t="s">
        <v>783</v>
      </c>
      <c r="C520" s="17">
        <v>2026050048</v>
      </c>
      <c r="D520" s="17" t="s">
        <v>4382</v>
      </c>
      <c r="E520" s="17" t="s">
        <v>1727</v>
      </c>
      <c r="F520" s="17">
        <v>2259</v>
      </c>
      <c r="G520" s="17" t="s">
        <v>3819</v>
      </c>
      <c r="H520" s="17" t="s">
        <v>1759</v>
      </c>
      <c r="I520" s="17" t="s">
        <v>4383</v>
      </c>
      <c r="J520" s="17" t="s">
        <v>1929</v>
      </c>
      <c r="K520" s="17" t="s">
        <v>1713</v>
      </c>
      <c r="L520" s="17" t="s">
        <v>1910</v>
      </c>
      <c r="M520" s="18" t="s">
        <v>1911</v>
      </c>
      <c r="N520" s="17" t="s">
        <v>1912</v>
      </c>
      <c r="O520" s="18" t="s">
        <v>1913</v>
      </c>
      <c r="P520" s="19" t="s">
        <v>4384</v>
      </c>
      <c r="Q520" s="17" t="s">
        <v>3822</v>
      </c>
      <c r="R520" s="17" t="s">
        <v>1719</v>
      </c>
      <c r="S520" s="17" t="s">
        <v>566</v>
      </c>
      <c r="T520" s="17">
        <v>1</v>
      </c>
      <c r="U520" s="17" t="s">
        <v>1720</v>
      </c>
      <c r="V520" s="17" t="s">
        <v>4385</v>
      </c>
      <c r="W520" s="17" t="s">
        <v>4386</v>
      </c>
      <c r="X520" s="70">
        <v>46146.583333333343</v>
      </c>
      <c r="Y520" s="17" t="s">
        <v>4387</v>
      </c>
      <c r="Z520" s="17">
        <v>0.3</v>
      </c>
      <c r="AA520" s="17"/>
      <c r="AB520" s="17" t="s">
        <v>1724</v>
      </c>
      <c r="AC520" s="20" t="s">
        <v>4388</v>
      </c>
      <c r="AD520" s="17"/>
      <c r="AE520" s="17"/>
      <c r="AF520" s="17"/>
      <c r="AG520" s="17"/>
      <c r="AH520" s="17"/>
      <c r="AI520" s="17"/>
      <c r="AJ520" s="17"/>
      <c r="AK520" s="17" t="s">
        <v>877</v>
      </c>
      <c r="AL520">
        <f t="shared" si="16"/>
        <v>46146</v>
      </c>
      <c r="AM520">
        <f t="shared" si="17"/>
        <v>46146</v>
      </c>
    </row>
    <row r="521" spans="1:39" ht="21.6" customHeight="1">
      <c r="A521" s="17">
        <v>6</v>
      </c>
      <c r="B521" s="17" t="s">
        <v>783</v>
      </c>
      <c r="C521" s="17">
        <v>2026050063</v>
      </c>
      <c r="D521" s="17" t="s">
        <v>4389</v>
      </c>
      <c r="E521" s="17" t="s">
        <v>1727</v>
      </c>
      <c r="F521" s="17">
        <v>2837</v>
      </c>
      <c r="G521" s="17" t="s">
        <v>4390</v>
      </c>
      <c r="H521" s="17" t="s">
        <v>1759</v>
      </c>
      <c r="I521" s="17" t="s">
        <v>4391</v>
      </c>
      <c r="J521" s="17" t="s">
        <v>1929</v>
      </c>
      <c r="K521" s="17" t="s">
        <v>1713</v>
      </c>
      <c r="L521" s="17" t="s">
        <v>1714</v>
      </c>
      <c r="M521" s="18" t="s">
        <v>1715</v>
      </c>
      <c r="N521" s="17">
        <v>2307</v>
      </c>
      <c r="O521" s="18" t="s">
        <v>1974</v>
      </c>
      <c r="P521" s="19" t="s">
        <v>4392</v>
      </c>
      <c r="Q521" s="17" t="s">
        <v>4393</v>
      </c>
      <c r="R521" s="17" t="s">
        <v>1719</v>
      </c>
      <c r="S521" s="17" t="s">
        <v>566</v>
      </c>
      <c r="T521" s="17">
        <v>1</v>
      </c>
      <c r="U521" s="17" t="s">
        <v>1720</v>
      </c>
      <c r="V521" s="17" t="s">
        <v>4394</v>
      </c>
      <c r="W521" s="17" t="s">
        <v>4395</v>
      </c>
      <c r="X521" s="70">
        <v>46146.569444444453</v>
      </c>
      <c r="Y521" s="17" t="s">
        <v>4396</v>
      </c>
      <c r="Z521" s="17">
        <v>0.3</v>
      </c>
      <c r="AA521" s="17"/>
      <c r="AB521" s="17" t="s">
        <v>1724</v>
      </c>
      <c r="AC521" s="20" t="s">
        <v>4397</v>
      </c>
      <c r="AD521" s="17"/>
      <c r="AE521" s="17"/>
      <c r="AF521" s="17"/>
      <c r="AG521" s="17"/>
      <c r="AH521" s="17"/>
      <c r="AI521" s="17"/>
      <c r="AJ521" s="17"/>
      <c r="AK521" s="17" t="s">
        <v>877</v>
      </c>
      <c r="AL521">
        <f t="shared" si="16"/>
        <v>46146</v>
      </c>
      <c r="AM521">
        <f t="shared" si="17"/>
        <v>46146</v>
      </c>
    </row>
    <row r="522" spans="1:39" ht="21.6" customHeight="1">
      <c r="A522" s="17">
        <v>7</v>
      </c>
      <c r="B522" s="17" t="s">
        <v>876</v>
      </c>
      <c r="C522" s="17">
        <v>2026050256</v>
      </c>
      <c r="D522" s="17"/>
      <c r="E522" s="17"/>
      <c r="F522" s="17">
        <v>2837</v>
      </c>
      <c r="G522" s="17" t="s">
        <v>4390</v>
      </c>
      <c r="H522" s="17" t="s">
        <v>1759</v>
      </c>
      <c r="I522" s="17"/>
      <c r="J522" s="17"/>
      <c r="K522" s="17"/>
      <c r="L522" s="17"/>
      <c r="M522" s="18"/>
      <c r="N522" s="17"/>
      <c r="O522" s="18"/>
      <c r="P522" s="19"/>
      <c r="Q522" s="17" t="s">
        <v>4393</v>
      </c>
      <c r="R522" s="17" t="s">
        <v>1719</v>
      </c>
      <c r="S522" s="17" t="s">
        <v>566</v>
      </c>
      <c r="T522" s="17">
        <v>1</v>
      </c>
      <c r="U522" s="17" t="s">
        <v>1720</v>
      </c>
      <c r="V522" s="17" t="s">
        <v>4398</v>
      </c>
      <c r="W522" s="17" t="s">
        <v>4399</v>
      </c>
      <c r="X522" s="70">
        <v>46146.555555555547</v>
      </c>
      <c r="Y522" s="17"/>
      <c r="Z522" s="17">
        <v>0.3</v>
      </c>
      <c r="AA522" s="17"/>
      <c r="AB522" s="17" t="s">
        <v>1724</v>
      </c>
      <c r="AC522" s="20" t="s">
        <v>3575</v>
      </c>
      <c r="AD522" s="17" t="s">
        <v>877</v>
      </c>
      <c r="AE522" s="17"/>
      <c r="AF522" s="17"/>
      <c r="AG522" s="17"/>
      <c r="AH522" s="17"/>
      <c r="AI522" s="17"/>
      <c r="AJ522" s="17" t="s">
        <v>877</v>
      </c>
      <c r="AK522" s="17" t="s">
        <v>877</v>
      </c>
      <c r="AL522" t="e">
        <f t="shared" si="16"/>
        <v>#VALUE!</v>
      </c>
      <c r="AM522">
        <f t="shared" si="17"/>
        <v>46146</v>
      </c>
    </row>
    <row r="523" spans="1:39" ht="21.6" customHeight="1">
      <c r="A523" s="17">
        <v>8</v>
      </c>
      <c r="B523" s="17" t="s">
        <v>783</v>
      </c>
      <c r="C523" s="17">
        <v>2026050257</v>
      </c>
      <c r="D523" s="17" t="s">
        <v>4400</v>
      </c>
      <c r="E523" s="17" t="s">
        <v>1727</v>
      </c>
      <c r="F523" s="17">
        <v>2349</v>
      </c>
      <c r="G523" s="17" t="s">
        <v>4401</v>
      </c>
      <c r="H523" s="17" t="s">
        <v>1759</v>
      </c>
      <c r="I523" s="17" t="s">
        <v>4402</v>
      </c>
      <c r="J523" s="17" t="s">
        <v>1929</v>
      </c>
      <c r="K523" s="17" t="s">
        <v>1744</v>
      </c>
      <c r="L523" s="17" t="s">
        <v>1910</v>
      </c>
      <c r="M523" s="18" t="s">
        <v>1911</v>
      </c>
      <c r="N523" s="17" t="s">
        <v>1912</v>
      </c>
      <c r="O523" s="18" t="s">
        <v>1913</v>
      </c>
      <c r="P523" s="19" t="s">
        <v>4403</v>
      </c>
      <c r="Q523" s="17" t="s">
        <v>4404</v>
      </c>
      <c r="R523" s="17" t="s">
        <v>1719</v>
      </c>
      <c r="S523" s="17" t="s">
        <v>566</v>
      </c>
      <c r="T523" s="17">
        <v>1</v>
      </c>
      <c r="U523" s="17" t="s">
        <v>1720</v>
      </c>
      <c r="V523" s="17" t="s">
        <v>4405</v>
      </c>
      <c r="W523" s="17" t="s">
        <v>4406</v>
      </c>
      <c r="X523" s="70">
        <v>46146.635416666657</v>
      </c>
      <c r="Y523" s="17" t="s">
        <v>4407</v>
      </c>
      <c r="Z523" s="17">
        <v>0.4</v>
      </c>
      <c r="AA523" s="17"/>
      <c r="AB523" s="17" t="s">
        <v>1724</v>
      </c>
      <c r="AC523" s="20" t="s">
        <v>4408</v>
      </c>
      <c r="AD523" s="17"/>
      <c r="AE523" s="17"/>
      <c r="AF523" s="17"/>
      <c r="AG523" s="17"/>
      <c r="AH523" s="17"/>
      <c r="AI523" s="17"/>
      <c r="AJ523" s="17"/>
      <c r="AK523" s="17" t="s">
        <v>877</v>
      </c>
      <c r="AL523">
        <f t="shared" si="16"/>
        <v>46146</v>
      </c>
      <c r="AM523">
        <f t="shared" si="17"/>
        <v>46146</v>
      </c>
    </row>
    <row r="524" spans="1:39" ht="21.6" customHeight="1">
      <c r="A524" s="17">
        <v>9</v>
      </c>
      <c r="B524" s="17" t="s">
        <v>783</v>
      </c>
      <c r="C524" s="17">
        <v>2026050276</v>
      </c>
      <c r="D524" s="17" t="s">
        <v>4409</v>
      </c>
      <c r="E524" s="17" t="s">
        <v>1727</v>
      </c>
      <c r="F524" s="17">
        <v>5513</v>
      </c>
      <c r="G524" s="17" t="s">
        <v>1996</v>
      </c>
      <c r="H524" s="17" t="s">
        <v>1742</v>
      </c>
      <c r="I524" s="17" t="s">
        <v>4410</v>
      </c>
      <c r="J524" s="17" t="s">
        <v>1929</v>
      </c>
      <c r="K524" s="17" t="s">
        <v>1744</v>
      </c>
      <c r="L524" s="17" t="s">
        <v>1714</v>
      </c>
      <c r="M524" s="18" t="s">
        <v>1715</v>
      </c>
      <c r="N524" s="17">
        <v>2307</v>
      </c>
      <c r="O524" s="18" t="s">
        <v>1974</v>
      </c>
      <c r="P524" s="19" t="s">
        <v>4411</v>
      </c>
      <c r="Q524" s="17" t="s">
        <v>1997</v>
      </c>
      <c r="R524" s="17" t="s">
        <v>1719</v>
      </c>
      <c r="S524" s="17" t="s">
        <v>206</v>
      </c>
      <c r="T524" s="17">
        <v>1</v>
      </c>
      <c r="U524" s="17" t="s">
        <v>1720</v>
      </c>
      <c r="V524" s="17" t="s">
        <v>4412</v>
      </c>
      <c r="W524" s="17" t="s">
        <v>4413</v>
      </c>
      <c r="X524" s="70">
        <v>46146.666666666657</v>
      </c>
      <c r="Y524" s="17" t="s">
        <v>4414</v>
      </c>
      <c r="Z524" s="17">
        <v>1</v>
      </c>
      <c r="AA524" s="17"/>
      <c r="AB524" s="17" t="s">
        <v>1724</v>
      </c>
      <c r="AC524" s="20" t="s">
        <v>4415</v>
      </c>
      <c r="AD524" s="17"/>
      <c r="AE524" s="17"/>
      <c r="AF524" s="17"/>
      <c r="AG524" s="17"/>
      <c r="AH524" s="17"/>
      <c r="AI524" s="17"/>
      <c r="AJ524" s="17"/>
      <c r="AK524" s="17" t="s">
        <v>877</v>
      </c>
      <c r="AL524">
        <f t="shared" si="16"/>
        <v>46146</v>
      </c>
      <c r="AM524">
        <f t="shared" si="17"/>
        <v>46146</v>
      </c>
    </row>
    <row r="525" spans="1:39" ht="21.6" customHeight="1">
      <c r="A525" s="17">
        <v>10</v>
      </c>
      <c r="B525" s="17" t="s">
        <v>783</v>
      </c>
      <c r="C525" s="17">
        <v>2026050309</v>
      </c>
      <c r="D525" s="17" t="s">
        <v>4416</v>
      </c>
      <c r="E525" s="17" t="s">
        <v>1727</v>
      </c>
      <c r="F525" s="17">
        <v>3752</v>
      </c>
      <c r="G525" s="17" t="s">
        <v>4417</v>
      </c>
      <c r="H525" s="17" t="s">
        <v>1991</v>
      </c>
      <c r="I525" s="17" t="s">
        <v>4418</v>
      </c>
      <c r="J525" s="17" t="s">
        <v>1929</v>
      </c>
      <c r="K525" s="17" t="s">
        <v>1744</v>
      </c>
      <c r="L525" s="17" t="s">
        <v>1910</v>
      </c>
      <c r="M525" s="18" t="s">
        <v>1911</v>
      </c>
      <c r="N525" s="17" t="s">
        <v>1912</v>
      </c>
      <c r="O525" s="18" t="s">
        <v>1913</v>
      </c>
      <c r="P525" s="19" t="s">
        <v>4419</v>
      </c>
      <c r="Q525" s="17" t="s">
        <v>4420</v>
      </c>
      <c r="R525" s="17" t="s">
        <v>1719</v>
      </c>
      <c r="S525" s="17" t="s">
        <v>195</v>
      </c>
      <c r="T525" s="17">
        <v>1</v>
      </c>
      <c r="U525" s="17" t="s">
        <v>1720</v>
      </c>
      <c r="V525" s="17" t="s">
        <v>4421</v>
      </c>
      <c r="W525" s="17" t="s">
        <v>4422</v>
      </c>
      <c r="X525" s="70">
        <v>46146.659722222219</v>
      </c>
      <c r="Y525" s="17" t="s">
        <v>4423</v>
      </c>
      <c r="Z525" s="17">
        <v>0.3</v>
      </c>
      <c r="AA525" s="17"/>
      <c r="AB525" s="17" t="s">
        <v>1724</v>
      </c>
      <c r="AC525" s="20" t="s">
        <v>4424</v>
      </c>
      <c r="AD525" s="17"/>
      <c r="AE525" s="17"/>
      <c r="AF525" s="17"/>
      <c r="AG525" s="17"/>
      <c r="AH525" s="17"/>
      <c r="AI525" s="17"/>
      <c r="AJ525" s="17"/>
      <c r="AK525" s="17" t="s">
        <v>877</v>
      </c>
      <c r="AL525">
        <f t="shared" si="16"/>
        <v>46146</v>
      </c>
      <c r="AM525">
        <f t="shared" si="17"/>
        <v>46146</v>
      </c>
    </row>
    <row r="526" spans="1:39" ht="21.6" customHeight="1">
      <c r="A526" s="17">
        <v>11</v>
      </c>
      <c r="B526" s="17" t="s">
        <v>876</v>
      </c>
      <c r="C526" s="17">
        <v>2026050321</v>
      </c>
      <c r="D526" s="17"/>
      <c r="E526" s="17"/>
      <c r="F526" s="17">
        <v>2349</v>
      </c>
      <c r="G526" s="17" t="s">
        <v>4401</v>
      </c>
      <c r="H526" s="17" t="s">
        <v>1759</v>
      </c>
      <c r="I526" s="17"/>
      <c r="J526" s="17"/>
      <c r="K526" s="17"/>
      <c r="L526" s="17"/>
      <c r="M526" s="18"/>
      <c r="N526" s="17"/>
      <c r="O526" s="18"/>
      <c r="P526" s="19"/>
      <c r="Q526" s="17" t="s">
        <v>4404</v>
      </c>
      <c r="R526" s="17" t="s">
        <v>1719</v>
      </c>
      <c r="S526" s="17" t="s">
        <v>566</v>
      </c>
      <c r="T526" s="17">
        <v>1</v>
      </c>
      <c r="U526" s="17" t="s">
        <v>1720</v>
      </c>
      <c r="V526" s="17" t="s">
        <v>4425</v>
      </c>
      <c r="W526" s="17" t="s">
        <v>4426</v>
      </c>
      <c r="X526" s="70">
        <v>46146.642361111109</v>
      </c>
      <c r="Y526" s="17"/>
      <c r="Z526" s="17">
        <v>0.3</v>
      </c>
      <c r="AA526" s="17"/>
      <c r="AB526" s="17" t="s">
        <v>1724</v>
      </c>
      <c r="AC526" s="20" t="s">
        <v>3575</v>
      </c>
      <c r="AD526" s="17" t="s">
        <v>877</v>
      </c>
      <c r="AE526" s="17"/>
      <c r="AF526" s="17"/>
      <c r="AG526" s="17"/>
      <c r="AH526" s="17"/>
      <c r="AI526" s="17"/>
      <c r="AJ526" s="17" t="s">
        <v>877</v>
      </c>
      <c r="AK526" s="17" t="s">
        <v>877</v>
      </c>
      <c r="AL526" t="e">
        <f t="shared" si="16"/>
        <v>#VALUE!</v>
      </c>
      <c r="AM526">
        <f t="shared" si="17"/>
        <v>46146</v>
      </c>
    </row>
    <row r="527" spans="1:39" ht="21.6" customHeight="1">
      <c r="A527" s="17">
        <v>12</v>
      </c>
      <c r="B527" s="17" t="s">
        <v>876</v>
      </c>
      <c r="C527" s="17">
        <v>2026050351</v>
      </c>
      <c r="D527" s="17"/>
      <c r="E527" s="17"/>
      <c r="F527" s="17">
        <v>3752</v>
      </c>
      <c r="G527" s="17" t="s">
        <v>4417</v>
      </c>
      <c r="H527" s="17" t="s">
        <v>1991</v>
      </c>
      <c r="I527" s="17"/>
      <c r="J527" s="17"/>
      <c r="K527" s="17"/>
      <c r="L527" s="17"/>
      <c r="M527" s="18"/>
      <c r="N527" s="17"/>
      <c r="O527" s="18"/>
      <c r="P527" s="19"/>
      <c r="Q527" s="17" t="s">
        <v>4420</v>
      </c>
      <c r="R527" s="17" t="s">
        <v>1719</v>
      </c>
      <c r="S527" s="17" t="s">
        <v>195</v>
      </c>
      <c r="T527" s="17">
        <v>1</v>
      </c>
      <c r="U527" s="17" t="s">
        <v>1720</v>
      </c>
      <c r="V527" s="17" t="s">
        <v>4427</v>
      </c>
      <c r="W527" s="17" t="s">
        <v>4428</v>
      </c>
      <c r="X527" s="70">
        <v>46146.665277777778</v>
      </c>
      <c r="Y527" s="17"/>
      <c r="Z527" s="17">
        <v>0.6</v>
      </c>
      <c r="AA527" s="17"/>
      <c r="AB527" s="17" t="s">
        <v>1724</v>
      </c>
      <c r="AC527" s="20" t="s">
        <v>3575</v>
      </c>
      <c r="AD527" s="17" t="s">
        <v>877</v>
      </c>
      <c r="AE527" s="17"/>
      <c r="AF527" s="17"/>
      <c r="AG527" s="17"/>
      <c r="AH527" s="17"/>
      <c r="AI527" s="17"/>
      <c r="AJ527" s="17"/>
      <c r="AK527" s="17" t="s">
        <v>877</v>
      </c>
      <c r="AL527" t="e">
        <f t="shared" si="16"/>
        <v>#VALUE!</v>
      </c>
      <c r="AM527">
        <f t="shared" si="17"/>
        <v>46146</v>
      </c>
    </row>
    <row r="528" spans="1:39" ht="21.6" customHeight="1">
      <c r="A528" s="17">
        <v>13</v>
      </c>
      <c r="B528" s="17" t="s">
        <v>876</v>
      </c>
      <c r="C528" s="17">
        <v>2026050358</v>
      </c>
      <c r="D528" s="17"/>
      <c r="E528" s="17"/>
      <c r="F528" s="17">
        <v>3977</v>
      </c>
      <c r="G528" s="17" t="s">
        <v>4429</v>
      </c>
      <c r="H528" s="17" t="s">
        <v>1991</v>
      </c>
      <c r="I528" s="17"/>
      <c r="J528" s="17"/>
      <c r="K528" s="17"/>
      <c r="L528" s="17"/>
      <c r="M528" s="18"/>
      <c r="N528" s="17"/>
      <c r="O528" s="18"/>
      <c r="P528" s="19"/>
      <c r="Q528" s="17" t="s">
        <v>4430</v>
      </c>
      <c r="R528" s="17" t="s">
        <v>1719</v>
      </c>
      <c r="S528" s="17" t="s">
        <v>195</v>
      </c>
      <c r="T528" s="17">
        <v>1</v>
      </c>
      <c r="U528" s="17" t="s">
        <v>1720</v>
      </c>
      <c r="V528" s="17" t="s">
        <v>4431</v>
      </c>
      <c r="W528" s="17" t="s">
        <v>4432</v>
      </c>
      <c r="X528" s="70">
        <v>46146.676388888889</v>
      </c>
      <c r="Y528" s="17"/>
      <c r="Z528" s="17">
        <v>0.2</v>
      </c>
      <c r="AA528" s="17"/>
      <c r="AB528" s="17" t="s">
        <v>1724</v>
      </c>
      <c r="AC528" s="20" t="s">
        <v>3575</v>
      </c>
      <c r="AD528" s="17" t="s">
        <v>877</v>
      </c>
      <c r="AE528" s="17"/>
      <c r="AF528" s="17"/>
      <c r="AG528" s="17"/>
      <c r="AH528" s="17"/>
      <c r="AI528" s="17"/>
      <c r="AJ528" s="17"/>
      <c r="AK528" s="17" t="s">
        <v>877</v>
      </c>
      <c r="AL528" t="e">
        <f t="shared" si="16"/>
        <v>#VALUE!</v>
      </c>
      <c r="AM528">
        <f t="shared" si="17"/>
        <v>46146</v>
      </c>
    </row>
    <row r="529" spans="1:39" ht="21.6" customHeight="1">
      <c r="A529" s="17">
        <v>14</v>
      </c>
      <c r="B529" s="17" t="s">
        <v>876</v>
      </c>
      <c r="C529" s="17">
        <v>2026050394</v>
      </c>
      <c r="D529" s="17"/>
      <c r="E529" s="17"/>
      <c r="F529" s="17">
        <v>2224</v>
      </c>
      <c r="G529" s="17" t="s">
        <v>4374</v>
      </c>
      <c r="H529" s="17" t="s">
        <v>1991</v>
      </c>
      <c r="I529" s="17"/>
      <c r="J529" s="17"/>
      <c r="K529" s="17"/>
      <c r="L529" s="17"/>
      <c r="M529" s="18"/>
      <c r="N529" s="17"/>
      <c r="O529" s="18"/>
      <c r="P529" s="19"/>
      <c r="Q529" s="17" t="s">
        <v>4377</v>
      </c>
      <c r="R529" s="17" t="s">
        <v>1719</v>
      </c>
      <c r="S529" s="17" t="s">
        <v>195</v>
      </c>
      <c r="T529" s="17">
        <v>1</v>
      </c>
      <c r="U529" s="17" t="s">
        <v>1720</v>
      </c>
      <c r="V529" s="17" t="s">
        <v>4433</v>
      </c>
      <c r="W529" s="17" t="s">
        <v>4379</v>
      </c>
      <c r="X529" s="70">
        <v>46146.71875</v>
      </c>
      <c r="Y529" s="17"/>
      <c r="Z529" s="17">
        <v>0.8</v>
      </c>
      <c r="AA529" s="17"/>
      <c r="AB529" s="17" t="s">
        <v>1724</v>
      </c>
      <c r="AC529" s="20" t="s">
        <v>3575</v>
      </c>
      <c r="AD529" s="17" t="s">
        <v>877</v>
      </c>
      <c r="AE529" s="17"/>
      <c r="AF529" s="17"/>
      <c r="AG529" s="17"/>
      <c r="AH529" s="17"/>
      <c r="AI529" s="17"/>
      <c r="AJ529" s="17"/>
      <c r="AK529" s="17" t="s">
        <v>877</v>
      </c>
      <c r="AL529" t="e">
        <f t="shared" si="16"/>
        <v>#VALUE!</v>
      </c>
      <c r="AM529">
        <f t="shared" si="17"/>
        <v>46146</v>
      </c>
    </row>
    <row r="530" spans="1:39" ht="21.6" customHeight="1">
      <c r="A530" s="17">
        <v>15</v>
      </c>
      <c r="B530" s="17" t="s">
        <v>783</v>
      </c>
      <c r="C530" s="17">
        <v>2026050453</v>
      </c>
      <c r="D530" s="17" t="s">
        <v>4434</v>
      </c>
      <c r="E530" s="17" t="s">
        <v>1708</v>
      </c>
      <c r="F530" s="17">
        <v>5110</v>
      </c>
      <c r="G530" s="17" t="s">
        <v>4110</v>
      </c>
      <c r="H530" s="17" t="s">
        <v>1771</v>
      </c>
      <c r="I530" s="17" t="s">
        <v>4435</v>
      </c>
      <c r="J530" s="17" t="s">
        <v>2033</v>
      </c>
      <c r="K530" s="17" t="s">
        <v>1713</v>
      </c>
      <c r="L530" s="17" t="s">
        <v>1930</v>
      </c>
      <c r="M530" s="18" t="s">
        <v>1931</v>
      </c>
      <c r="N530" s="17">
        <v>2405</v>
      </c>
      <c r="O530" s="18" t="s">
        <v>1932</v>
      </c>
      <c r="P530" s="19" t="s">
        <v>4436</v>
      </c>
      <c r="Q530" s="17" t="s">
        <v>4117</v>
      </c>
      <c r="R530" s="17" t="s">
        <v>1719</v>
      </c>
      <c r="S530" s="17" t="s">
        <v>195</v>
      </c>
      <c r="T530" s="17">
        <v>1</v>
      </c>
      <c r="U530" s="17" t="s">
        <v>1720</v>
      </c>
      <c r="V530" s="17" t="s">
        <v>4437</v>
      </c>
      <c r="W530" s="17" t="s">
        <v>4438</v>
      </c>
      <c r="X530" s="70">
        <v>46147.600694444453</v>
      </c>
      <c r="Y530" s="17" t="s">
        <v>4439</v>
      </c>
      <c r="Z530" s="17">
        <v>1.9</v>
      </c>
      <c r="AA530" s="17"/>
      <c r="AB530" s="17" t="s">
        <v>1724</v>
      </c>
      <c r="AC530" s="20" t="s">
        <v>4440</v>
      </c>
      <c r="AD530" s="17"/>
      <c r="AE530" s="17"/>
      <c r="AF530" s="17"/>
      <c r="AG530" s="17"/>
      <c r="AH530" s="17"/>
      <c r="AI530" s="17"/>
      <c r="AJ530" s="17"/>
      <c r="AK530" s="17" t="s">
        <v>877</v>
      </c>
      <c r="AL530">
        <f t="shared" si="16"/>
        <v>46147</v>
      </c>
      <c r="AM530">
        <f t="shared" si="17"/>
        <v>46147</v>
      </c>
    </row>
    <row r="531" spans="1:39" ht="21.6" customHeight="1">
      <c r="A531" s="17">
        <v>16</v>
      </c>
      <c r="B531" s="17" t="s">
        <v>876</v>
      </c>
      <c r="C531" s="17">
        <v>2026050530</v>
      </c>
      <c r="D531" s="17"/>
      <c r="E531" s="17"/>
      <c r="F531" s="17">
        <v>3962</v>
      </c>
      <c r="G531" s="17" t="s">
        <v>4441</v>
      </c>
      <c r="H531" s="17" t="s">
        <v>1991</v>
      </c>
      <c r="I531" s="17"/>
      <c r="J531" s="17"/>
      <c r="K531" s="17"/>
      <c r="L531" s="17"/>
      <c r="M531" s="18"/>
      <c r="N531" s="17"/>
      <c r="O531" s="18"/>
      <c r="P531" s="19"/>
      <c r="Q531" s="17" t="s">
        <v>4442</v>
      </c>
      <c r="R531" s="17" t="s">
        <v>1719</v>
      </c>
      <c r="S531" s="17" t="s">
        <v>206</v>
      </c>
      <c r="T531" s="17">
        <v>1</v>
      </c>
      <c r="U531" s="17" t="s">
        <v>1720</v>
      </c>
      <c r="V531" s="17" t="s">
        <v>4443</v>
      </c>
      <c r="W531" s="17" t="s">
        <v>4444</v>
      </c>
      <c r="X531" s="70">
        <v>46147.65625</v>
      </c>
      <c r="Y531" s="17"/>
      <c r="Z531" s="17">
        <v>4.8</v>
      </c>
      <c r="AA531" s="17"/>
      <c r="AB531" s="17" t="s">
        <v>1724</v>
      </c>
      <c r="AC531" s="20" t="s">
        <v>4445</v>
      </c>
      <c r="AD531" s="17"/>
      <c r="AE531" s="17" t="s">
        <v>877</v>
      </c>
      <c r="AF531" s="17"/>
      <c r="AG531" s="17"/>
      <c r="AH531" s="17"/>
      <c r="AI531" s="17"/>
      <c r="AJ531" s="17"/>
      <c r="AK531" s="17" t="s">
        <v>877</v>
      </c>
      <c r="AL531" t="e">
        <f t="shared" si="16"/>
        <v>#VALUE!</v>
      </c>
      <c r="AM531">
        <f t="shared" si="17"/>
        <v>46147</v>
      </c>
    </row>
    <row r="532" spans="1:39" ht="21.6" customHeight="1">
      <c r="A532" s="17">
        <v>17</v>
      </c>
      <c r="B532" s="17" t="s">
        <v>876</v>
      </c>
      <c r="C532" s="17">
        <v>2026050535</v>
      </c>
      <c r="D532" s="17"/>
      <c r="E532" s="17"/>
      <c r="F532" s="17">
        <v>3962</v>
      </c>
      <c r="G532" s="17" t="s">
        <v>4441</v>
      </c>
      <c r="H532" s="17" t="s">
        <v>1991</v>
      </c>
      <c r="I532" s="17"/>
      <c r="J532" s="17"/>
      <c r="K532" s="17"/>
      <c r="L532" s="17"/>
      <c r="M532" s="18"/>
      <c r="N532" s="17"/>
      <c r="O532" s="18"/>
      <c r="P532" s="19"/>
      <c r="Q532" s="17" t="s">
        <v>4442</v>
      </c>
      <c r="R532" s="17" t="s">
        <v>1719</v>
      </c>
      <c r="S532" s="17" t="s">
        <v>566</v>
      </c>
      <c r="T532" s="17">
        <v>1</v>
      </c>
      <c r="U532" s="17" t="s">
        <v>1720</v>
      </c>
      <c r="V532" s="17" t="s">
        <v>4446</v>
      </c>
      <c r="W532" s="17" t="s">
        <v>4444</v>
      </c>
      <c r="X532" s="70">
        <v>46147.65625</v>
      </c>
      <c r="Y532" s="17"/>
      <c r="Z532" s="17">
        <v>4.8</v>
      </c>
      <c r="AA532" s="17"/>
      <c r="AB532" s="17" t="s">
        <v>1724</v>
      </c>
      <c r="AC532" s="20" t="s">
        <v>4447</v>
      </c>
      <c r="AD532" s="17"/>
      <c r="AE532" s="17" t="s">
        <v>877</v>
      </c>
      <c r="AF532" s="17"/>
      <c r="AG532" s="17"/>
      <c r="AH532" s="17"/>
      <c r="AI532" s="17"/>
      <c r="AJ532" s="17"/>
      <c r="AK532" s="17" t="s">
        <v>877</v>
      </c>
      <c r="AL532" t="e">
        <f t="shared" si="16"/>
        <v>#VALUE!</v>
      </c>
      <c r="AM532">
        <f t="shared" si="17"/>
        <v>46147</v>
      </c>
    </row>
    <row r="533" spans="1:39" ht="21.6" customHeight="1">
      <c r="A533" s="17">
        <v>189</v>
      </c>
      <c r="B533" s="17" t="s">
        <v>783</v>
      </c>
      <c r="C533" s="17">
        <v>2026044041</v>
      </c>
      <c r="D533" s="17" t="s">
        <v>4448</v>
      </c>
      <c r="E533" s="17" t="s">
        <v>1708</v>
      </c>
      <c r="F533" s="17">
        <v>2428</v>
      </c>
      <c r="G533" s="17" t="s">
        <v>2792</v>
      </c>
      <c r="H533" s="17" t="s">
        <v>1941</v>
      </c>
      <c r="I533" s="17" t="s">
        <v>4449</v>
      </c>
      <c r="J533" s="17" t="s">
        <v>1712</v>
      </c>
      <c r="K533" s="17" t="s">
        <v>1744</v>
      </c>
      <c r="L533" s="17" t="s">
        <v>1930</v>
      </c>
      <c r="M533" s="18" t="s">
        <v>1931</v>
      </c>
      <c r="N533" s="17">
        <v>2405</v>
      </c>
      <c r="O533" s="18" t="s">
        <v>1932</v>
      </c>
      <c r="P533" s="19" t="s">
        <v>4450</v>
      </c>
      <c r="Q533" s="17" t="s">
        <v>2793</v>
      </c>
      <c r="R533" s="17" t="s">
        <v>1719</v>
      </c>
      <c r="S533" s="17" t="s">
        <v>52</v>
      </c>
      <c r="T533" s="17">
        <v>1</v>
      </c>
      <c r="U533" s="17" t="s">
        <v>1720</v>
      </c>
      <c r="V533" s="17" t="s">
        <v>4451</v>
      </c>
      <c r="W533" s="17" t="s">
        <v>4452</v>
      </c>
      <c r="X533" s="70">
        <v>46142.84097222222</v>
      </c>
      <c r="Y533" s="17" t="s">
        <v>4453</v>
      </c>
      <c r="Z533" s="17">
        <v>5.2</v>
      </c>
      <c r="AA533" s="17"/>
      <c r="AB533" s="17" t="s">
        <v>1724</v>
      </c>
      <c r="AC533" s="20" t="s">
        <v>4454</v>
      </c>
      <c r="AD533" s="17"/>
      <c r="AE533" s="17"/>
      <c r="AF533" s="17"/>
      <c r="AG533" s="17"/>
      <c r="AH533" s="17"/>
      <c r="AI533" s="17"/>
      <c r="AJ533" s="17"/>
      <c r="AK533" s="17" t="s">
        <v>877</v>
      </c>
      <c r="AL533">
        <f t="shared" si="16"/>
        <v>46142</v>
      </c>
      <c r="AM533">
        <f t="shared" si="17"/>
        <v>46142</v>
      </c>
    </row>
    <row r="534" spans="1:39" ht="21.6" customHeight="1">
      <c r="A534" s="17">
        <v>190</v>
      </c>
      <c r="B534" s="17" t="s">
        <v>783</v>
      </c>
      <c r="C534" s="17">
        <v>2026044053</v>
      </c>
      <c r="D534" s="17" t="s">
        <v>4455</v>
      </c>
      <c r="E534" s="17" t="s">
        <v>1727</v>
      </c>
      <c r="F534" s="17" t="s">
        <v>2548</v>
      </c>
      <c r="G534" s="17" t="s">
        <v>2549</v>
      </c>
      <c r="H534" s="17" t="s">
        <v>1786</v>
      </c>
      <c r="I534" s="17" t="s">
        <v>4456</v>
      </c>
      <c r="J534" s="17" t="s">
        <v>1712</v>
      </c>
      <c r="K534" s="17" t="s">
        <v>1744</v>
      </c>
      <c r="L534" s="17" t="s">
        <v>1714</v>
      </c>
      <c r="M534" s="18" t="s">
        <v>1715</v>
      </c>
      <c r="N534" s="17">
        <v>2307</v>
      </c>
      <c r="O534" s="18" t="s">
        <v>1974</v>
      </c>
      <c r="P534" s="19" t="s">
        <v>4457</v>
      </c>
      <c r="Q534" s="17" t="s">
        <v>2550</v>
      </c>
      <c r="R534" s="17" t="s">
        <v>1719</v>
      </c>
      <c r="S534" s="17" t="s">
        <v>566</v>
      </c>
      <c r="T534" s="17">
        <v>1</v>
      </c>
      <c r="U534" s="17" t="s">
        <v>1720</v>
      </c>
      <c r="V534" s="17" t="s">
        <v>4458</v>
      </c>
      <c r="W534" s="17" t="s">
        <v>4459</v>
      </c>
      <c r="X534" s="70">
        <v>46142.739583333343</v>
      </c>
      <c r="Y534" s="17" t="s">
        <v>4460</v>
      </c>
      <c r="Z534" s="17">
        <v>1.6</v>
      </c>
      <c r="AA534" s="17"/>
      <c r="AB534" s="17" t="s">
        <v>1724</v>
      </c>
      <c r="AC534" s="20" t="s">
        <v>4461</v>
      </c>
      <c r="AD534" s="17"/>
      <c r="AE534" s="17"/>
      <c r="AF534" s="17"/>
      <c r="AG534" s="17"/>
      <c r="AH534" s="17"/>
      <c r="AI534" s="17"/>
      <c r="AJ534" s="17"/>
      <c r="AK534" s="17" t="s">
        <v>877</v>
      </c>
      <c r="AL534">
        <f t="shared" si="16"/>
        <v>46142</v>
      </c>
      <c r="AM534">
        <f t="shared" si="17"/>
        <v>46142</v>
      </c>
    </row>
    <row r="535" spans="1:39" ht="21.6" customHeight="1">
      <c r="A535" s="17">
        <v>18</v>
      </c>
      <c r="B535" s="17" t="s">
        <v>783</v>
      </c>
      <c r="C535" s="17">
        <v>2026050860</v>
      </c>
      <c r="D535" s="17" t="s">
        <v>4462</v>
      </c>
      <c r="E535" s="17" t="s">
        <v>1727</v>
      </c>
      <c r="F535" s="17">
        <v>3962</v>
      </c>
      <c r="G535" s="17" t="s">
        <v>4441</v>
      </c>
      <c r="H535" s="17" t="s">
        <v>1991</v>
      </c>
      <c r="I535" s="17" t="s">
        <v>4463</v>
      </c>
      <c r="J535" s="17" t="s">
        <v>2095</v>
      </c>
      <c r="K535" s="17" t="s">
        <v>1849</v>
      </c>
      <c r="L535" s="17" t="s">
        <v>1773</v>
      </c>
      <c r="M535" s="18" t="s">
        <v>1774</v>
      </c>
      <c r="N535" s="17">
        <v>5804</v>
      </c>
      <c r="O535" s="18" t="s">
        <v>2035</v>
      </c>
      <c r="P535" s="19" t="s">
        <v>4464</v>
      </c>
      <c r="Q535" s="17" t="s">
        <v>4442</v>
      </c>
      <c r="R535" s="17" t="s">
        <v>1719</v>
      </c>
      <c r="S535" s="17" t="s">
        <v>195</v>
      </c>
      <c r="T535" s="17">
        <v>1</v>
      </c>
      <c r="U535" s="17" t="s">
        <v>1720</v>
      </c>
      <c r="V535" s="17" t="s">
        <v>4465</v>
      </c>
      <c r="W535" s="17" t="s">
        <v>4466</v>
      </c>
      <c r="X535" s="70">
        <v>46149.600694444453</v>
      </c>
      <c r="Y535" s="17" t="s">
        <v>4467</v>
      </c>
      <c r="Z535" s="17">
        <v>0.4</v>
      </c>
      <c r="AA535" s="17"/>
      <c r="AB535" s="17" t="s">
        <v>1724</v>
      </c>
      <c r="AC535" s="20" t="s">
        <v>4468</v>
      </c>
      <c r="AD535" s="17"/>
      <c r="AE535" s="17"/>
      <c r="AF535" s="17"/>
      <c r="AG535" s="17"/>
      <c r="AH535" s="17"/>
      <c r="AI535" s="17"/>
      <c r="AJ535" s="17"/>
      <c r="AK535" s="17" t="s">
        <v>877</v>
      </c>
      <c r="AL535">
        <f t="shared" si="16"/>
        <v>46148</v>
      </c>
      <c r="AM535">
        <f t="shared" si="17"/>
        <v>46149</v>
      </c>
    </row>
    <row r="536" spans="1:39" ht="21.6" customHeight="1">
      <c r="A536" s="17">
        <v>19</v>
      </c>
      <c r="B536" s="17" t="s">
        <v>783</v>
      </c>
      <c r="C536" s="17">
        <v>2026050907</v>
      </c>
      <c r="D536" s="17" t="s">
        <v>4469</v>
      </c>
      <c r="E536" s="17" t="s">
        <v>1727</v>
      </c>
      <c r="F536" s="17">
        <v>4194</v>
      </c>
      <c r="G536" s="17" t="s">
        <v>4470</v>
      </c>
      <c r="H536" s="17" t="s">
        <v>1742</v>
      </c>
      <c r="I536" s="17" t="s">
        <v>4471</v>
      </c>
      <c r="J536" s="17" t="s">
        <v>1712</v>
      </c>
      <c r="K536" s="17" t="s">
        <v>1943</v>
      </c>
      <c r="L536" s="17" t="s">
        <v>2666</v>
      </c>
      <c r="M536" s="18" t="s">
        <v>2667</v>
      </c>
      <c r="N536" s="17">
        <v>2902</v>
      </c>
      <c r="O536" s="18" t="s">
        <v>3142</v>
      </c>
      <c r="P536" s="19" t="s">
        <v>4472</v>
      </c>
      <c r="Q536" s="17" t="s">
        <v>4473</v>
      </c>
      <c r="R536" s="17" t="s">
        <v>1719</v>
      </c>
      <c r="S536" s="17" t="s">
        <v>206</v>
      </c>
      <c r="T536" s="17">
        <v>1</v>
      </c>
      <c r="U536" s="17" t="s">
        <v>1720</v>
      </c>
      <c r="V536" s="17" t="s">
        <v>4474</v>
      </c>
      <c r="W536" s="17" t="s">
        <v>4475</v>
      </c>
      <c r="X536" s="70">
        <v>46149.479166666657</v>
      </c>
      <c r="Y536" s="17" t="s">
        <v>4476</v>
      </c>
      <c r="Z536" s="17">
        <v>0.5</v>
      </c>
      <c r="AA536" s="17"/>
      <c r="AB536" s="17" t="s">
        <v>1724</v>
      </c>
      <c r="AC536" s="20" t="s">
        <v>4477</v>
      </c>
      <c r="AD536" s="17"/>
      <c r="AE536" s="17"/>
      <c r="AF536" s="17"/>
      <c r="AG536" s="17"/>
      <c r="AH536" s="17"/>
      <c r="AI536" s="17"/>
      <c r="AJ536" s="17"/>
      <c r="AK536" s="17" t="s">
        <v>877</v>
      </c>
      <c r="AL536">
        <f t="shared" si="16"/>
        <v>46149</v>
      </c>
      <c r="AM536">
        <f t="shared" si="17"/>
        <v>46149</v>
      </c>
    </row>
    <row r="537" spans="1:39" ht="21.6" customHeight="1">
      <c r="A537" s="17">
        <v>20</v>
      </c>
      <c r="B537" s="17" t="s">
        <v>876</v>
      </c>
      <c r="C537" s="17">
        <v>2026050927</v>
      </c>
      <c r="D537" s="17"/>
      <c r="E537" s="17"/>
      <c r="F537" s="17">
        <v>4196</v>
      </c>
      <c r="G537" s="17" t="s">
        <v>1964</v>
      </c>
      <c r="H537" s="17" t="s">
        <v>1759</v>
      </c>
      <c r="I537" s="17"/>
      <c r="J537" s="17"/>
      <c r="K537" s="17"/>
      <c r="L537" s="17"/>
      <c r="M537" s="18"/>
      <c r="N537" s="17"/>
      <c r="O537" s="18"/>
      <c r="P537" s="19"/>
      <c r="Q537" s="17" t="s">
        <v>1967</v>
      </c>
      <c r="R537" s="17" t="s">
        <v>1719</v>
      </c>
      <c r="S537" s="17" t="s">
        <v>566</v>
      </c>
      <c r="T537" s="17">
        <v>1</v>
      </c>
      <c r="U537" s="17" t="s">
        <v>1720</v>
      </c>
      <c r="V537" s="17" t="s">
        <v>4478</v>
      </c>
      <c r="W537" s="17" t="s">
        <v>4479</v>
      </c>
      <c r="X537" s="70">
        <v>46149.427083333343</v>
      </c>
      <c r="Y537" s="17"/>
      <c r="Z537" s="17">
        <v>0.3</v>
      </c>
      <c r="AA537" s="17"/>
      <c r="AB537" s="17" t="s">
        <v>1724</v>
      </c>
      <c r="AC537" s="20" t="s">
        <v>3575</v>
      </c>
      <c r="AD537" s="17" t="s">
        <v>877</v>
      </c>
      <c r="AE537" s="17"/>
      <c r="AF537" s="17"/>
      <c r="AG537" s="17"/>
      <c r="AH537" s="17"/>
      <c r="AI537" s="17"/>
      <c r="AJ537" s="17" t="s">
        <v>877</v>
      </c>
      <c r="AK537" s="17" t="s">
        <v>877</v>
      </c>
      <c r="AL537" t="e">
        <f t="shared" si="16"/>
        <v>#VALUE!</v>
      </c>
      <c r="AM537">
        <f t="shared" si="17"/>
        <v>46149</v>
      </c>
    </row>
    <row r="538" spans="1:39" ht="21.6" customHeight="1">
      <c r="A538" s="17">
        <v>21</v>
      </c>
      <c r="B538" s="17" t="s">
        <v>876</v>
      </c>
      <c r="C538" s="17">
        <v>2026050970</v>
      </c>
      <c r="D538" s="17"/>
      <c r="E538" s="17"/>
      <c r="F538" s="17">
        <v>3811</v>
      </c>
      <c r="G538" s="17" t="s">
        <v>4480</v>
      </c>
      <c r="H538" s="17" t="s">
        <v>1759</v>
      </c>
      <c r="I538" s="17"/>
      <c r="J538" s="17"/>
      <c r="K538" s="17"/>
      <c r="L538" s="17"/>
      <c r="M538" s="18"/>
      <c r="N538" s="17"/>
      <c r="O538" s="18"/>
      <c r="P538" s="19"/>
      <c r="Q538" s="17" t="s">
        <v>4481</v>
      </c>
      <c r="R538" s="17" t="s">
        <v>1719</v>
      </c>
      <c r="S538" s="17" t="s">
        <v>566</v>
      </c>
      <c r="T538" s="17">
        <v>1</v>
      </c>
      <c r="U538" s="17" t="s">
        <v>1720</v>
      </c>
      <c r="V538" s="17" t="s">
        <v>4482</v>
      </c>
      <c r="W538" s="17" t="s">
        <v>4483</v>
      </c>
      <c r="X538" s="70">
        <v>46149.448611111111</v>
      </c>
      <c r="Y538" s="17"/>
      <c r="Z538" s="17">
        <v>0.4</v>
      </c>
      <c r="AA538" s="17"/>
      <c r="AB538" s="17" t="s">
        <v>1724</v>
      </c>
      <c r="AC538" s="20" t="s">
        <v>3575</v>
      </c>
      <c r="AD538" s="17" t="s">
        <v>877</v>
      </c>
      <c r="AE538" s="17"/>
      <c r="AF538" s="17"/>
      <c r="AG538" s="17"/>
      <c r="AH538" s="17"/>
      <c r="AI538" s="17"/>
      <c r="AJ538" s="17" t="s">
        <v>877</v>
      </c>
      <c r="AK538" s="17" t="s">
        <v>877</v>
      </c>
      <c r="AL538" t="e">
        <f t="shared" si="16"/>
        <v>#VALUE!</v>
      </c>
      <c r="AM538">
        <f t="shared" si="17"/>
        <v>46149</v>
      </c>
    </row>
    <row r="539" spans="1:39" ht="21.6" customHeight="1">
      <c r="A539" s="17">
        <v>22</v>
      </c>
      <c r="B539" s="17" t="s">
        <v>876</v>
      </c>
      <c r="C539" s="17">
        <v>2026051006</v>
      </c>
      <c r="D539" s="17"/>
      <c r="E539" s="17"/>
      <c r="F539" s="17">
        <v>4194</v>
      </c>
      <c r="G539" s="17" t="s">
        <v>4470</v>
      </c>
      <c r="H539" s="17" t="s">
        <v>1742</v>
      </c>
      <c r="I539" s="17"/>
      <c r="J539" s="17"/>
      <c r="K539" s="17"/>
      <c r="L539" s="17"/>
      <c r="M539" s="18"/>
      <c r="N539" s="17"/>
      <c r="O539" s="18"/>
      <c r="P539" s="19"/>
      <c r="Q539" s="17" t="s">
        <v>4473</v>
      </c>
      <c r="R539" s="17" t="s">
        <v>1719</v>
      </c>
      <c r="S539" s="17" t="s">
        <v>206</v>
      </c>
      <c r="T539" s="17">
        <v>1</v>
      </c>
      <c r="U539" s="17" t="s">
        <v>1720</v>
      </c>
      <c r="V539" s="17" t="s">
        <v>4484</v>
      </c>
      <c r="W539" s="17" t="s">
        <v>4485</v>
      </c>
      <c r="X539" s="70">
        <v>46149.496527777781</v>
      </c>
      <c r="Y539" s="17"/>
      <c r="Z539" s="17">
        <v>0.4</v>
      </c>
      <c r="AA539" s="17"/>
      <c r="AB539" s="17" t="s">
        <v>1724</v>
      </c>
      <c r="AC539" s="20" t="s">
        <v>3575</v>
      </c>
      <c r="AD539" s="17" t="s">
        <v>877</v>
      </c>
      <c r="AE539" s="17"/>
      <c r="AF539" s="17"/>
      <c r="AG539" s="17"/>
      <c r="AH539" s="17"/>
      <c r="AI539" s="17"/>
      <c r="AJ539" s="17" t="s">
        <v>877</v>
      </c>
      <c r="AK539" s="17" t="s">
        <v>877</v>
      </c>
      <c r="AL539" t="e">
        <f t="shared" si="16"/>
        <v>#VALUE!</v>
      </c>
      <c r="AM539">
        <f t="shared" si="17"/>
        <v>46149</v>
      </c>
    </row>
    <row r="540" spans="1:39" ht="21.6" customHeight="1">
      <c r="A540" s="17">
        <v>23</v>
      </c>
      <c r="B540" s="17" t="s">
        <v>876</v>
      </c>
      <c r="C540" s="17">
        <v>2026051011</v>
      </c>
      <c r="D540" s="17"/>
      <c r="E540" s="17"/>
      <c r="F540" s="17">
        <v>4101</v>
      </c>
      <c r="G540" s="17" t="s">
        <v>3995</v>
      </c>
      <c r="H540" s="17" t="s">
        <v>1759</v>
      </c>
      <c r="I540" s="17"/>
      <c r="J540" s="17"/>
      <c r="K540" s="17"/>
      <c r="L540" s="17"/>
      <c r="M540" s="18"/>
      <c r="N540" s="17"/>
      <c r="O540" s="18"/>
      <c r="P540" s="19"/>
      <c r="Q540" s="17" t="s">
        <v>3996</v>
      </c>
      <c r="R540" s="17" t="s">
        <v>1719</v>
      </c>
      <c r="S540" s="17" t="s">
        <v>566</v>
      </c>
      <c r="T540" s="17">
        <v>1</v>
      </c>
      <c r="U540" s="17" t="s">
        <v>1720</v>
      </c>
      <c r="V540" s="17" t="s">
        <v>4486</v>
      </c>
      <c r="W540" s="17" t="s">
        <v>4487</v>
      </c>
      <c r="X540" s="70">
        <v>46149.5</v>
      </c>
      <c r="Y540" s="17"/>
      <c r="Z540" s="17">
        <v>0.4</v>
      </c>
      <c r="AA540" s="17"/>
      <c r="AB540" s="17" t="s">
        <v>1724</v>
      </c>
      <c r="AC540" s="20" t="s">
        <v>3575</v>
      </c>
      <c r="AD540" s="17" t="s">
        <v>877</v>
      </c>
      <c r="AE540" s="17"/>
      <c r="AF540" s="17"/>
      <c r="AG540" s="17"/>
      <c r="AH540" s="17"/>
      <c r="AI540" s="17"/>
      <c r="AJ540" s="17" t="s">
        <v>877</v>
      </c>
      <c r="AK540" s="17" t="s">
        <v>877</v>
      </c>
      <c r="AL540" t="e">
        <f t="shared" si="16"/>
        <v>#VALUE!</v>
      </c>
      <c r="AM540">
        <f t="shared" si="17"/>
        <v>46149</v>
      </c>
    </row>
    <row r="541" spans="1:39" ht="21.6" customHeight="1">
      <c r="A541" s="17">
        <v>24</v>
      </c>
      <c r="B541" s="17" t="s">
        <v>876</v>
      </c>
      <c r="C541" s="17">
        <v>2026051023</v>
      </c>
      <c r="D541" s="17"/>
      <c r="E541" s="17"/>
      <c r="F541" s="17">
        <v>2428</v>
      </c>
      <c r="G541" s="17" t="s">
        <v>2792</v>
      </c>
      <c r="H541" s="17" t="s">
        <v>1941</v>
      </c>
      <c r="I541" s="17"/>
      <c r="J541" s="17"/>
      <c r="K541" s="17"/>
      <c r="L541" s="17"/>
      <c r="M541" s="18"/>
      <c r="N541" s="17"/>
      <c r="O541" s="18"/>
      <c r="P541" s="19"/>
      <c r="Q541" s="17" t="s">
        <v>2793</v>
      </c>
      <c r="R541" s="17" t="s">
        <v>1719</v>
      </c>
      <c r="S541" s="17" t="s">
        <v>52</v>
      </c>
      <c r="T541" s="17">
        <v>1</v>
      </c>
      <c r="U541" s="17" t="s">
        <v>1720</v>
      </c>
      <c r="V541" s="17" t="s">
        <v>4488</v>
      </c>
      <c r="W541" s="17" t="s">
        <v>4489</v>
      </c>
      <c r="X541" s="70">
        <v>46149.561111111107</v>
      </c>
      <c r="Y541" s="17"/>
      <c r="Z541" s="17">
        <v>0.5</v>
      </c>
      <c r="AA541" s="17"/>
      <c r="AB541" s="17" t="s">
        <v>1724</v>
      </c>
      <c r="AC541" s="20" t="s">
        <v>3890</v>
      </c>
      <c r="AD541" s="17" t="s">
        <v>877</v>
      </c>
      <c r="AE541" s="17"/>
      <c r="AF541" s="17"/>
      <c r="AG541" s="17"/>
      <c r="AH541" s="17"/>
      <c r="AI541" s="17"/>
      <c r="AJ541" s="17"/>
      <c r="AK541" s="17" t="s">
        <v>877</v>
      </c>
      <c r="AL541" t="e">
        <f t="shared" si="16"/>
        <v>#VALUE!</v>
      </c>
      <c r="AM541">
        <f t="shared" si="17"/>
        <v>46149</v>
      </c>
    </row>
    <row r="542" spans="1:39" ht="21.6" customHeight="1">
      <c r="A542" s="17">
        <v>25</v>
      </c>
      <c r="B542" s="17" t="s">
        <v>876</v>
      </c>
      <c r="C542" s="17">
        <v>2026051045</v>
      </c>
      <c r="D542" s="17"/>
      <c r="E542" s="17"/>
      <c r="F542" s="17">
        <v>3962</v>
      </c>
      <c r="G542" s="17" t="s">
        <v>4441</v>
      </c>
      <c r="H542" s="17" t="s">
        <v>1991</v>
      </c>
      <c r="I542" s="17"/>
      <c r="J542" s="17"/>
      <c r="K542" s="17"/>
      <c r="L542" s="17"/>
      <c r="M542" s="18"/>
      <c r="N542" s="17"/>
      <c r="O542" s="18"/>
      <c r="P542" s="19"/>
      <c r="Q542" s="17" t="s">
        <v>4442</v>
      </c>
      <c r="R542" s="17" t="s">
        <v>1719</v>
      </c>
      <c r="S542" s="17" t="s">
        <v>195</v>
      </c>
      <c r="T542" s="17">
        <v>1</v>
      </c>
      <c r="U542" s="17" t="s">
        <v>1720</v>
      </c>
      <c r="V542" s="17" t="s">
        <v>4490</v>
      </c>
      <c r="W542" s="17" t="s">
        <v>4466</v>
      </c>
      <c r="X542" s="70">
        <v>46149.599305555559</v>
      </c>
      <c r="Y542" s="17"/>
      <c r="Z542" s="17">
        <v>0.4</v>
      </c>
      <c r="AA542" s="17"/>
      <c r="AB542" s="17" t="s">
        <v>1724</v>
      </c>
      <c r="AC542" s="20" t="s">
        <v>3575</v>
      </c>
      <c r="AD542" s="17" t="s">
        <v>877</v>
      </c>
      <c r="AE542" s="17"/>
      <c r="AF542" s="17"/>
      <c r="AG542" s="17"/>
      <c r="AH542" s="17"/>
      <c r="AI542" s="17"/>
      <c r="AJ542" s="17"/>
      <c r="AK542" s="17" t="s">
        <v>877</v>
      </c>
      <c r="AL542" t="e">
        <f t="shared" si="16"/>
        <v>#VALUE!</v>
      </c>
      <c r="AM542">
        <f t="shared" si="17"/>
        <v>46149</v>
      </c>
    </row>
    <row r="543" spans="1:39" ht="21.6" customHeight="1">
      <c r="A543" s="17">
        <v>26</v>
      </c>
      <c r="B543" s="17" t="s">
        <v>876</v>
      </c>
      <c r="C543" s="17">
        <v>2026051075</v>
      </c>
      <c r="D543" s="17"/>
      <c r="E543" s="17"/>
      <c r="F543" s="17" t="s">
        <v>2977</v>
      </c>
      <c r="G543" s="17" t="s">
        <v>2978</v>
      </c>
      <c r="H543" s="17" t="s">
        <v>1759</v>
      </c>
      <c r="I543" s="17"/>
      <c r="J543" s="17"/>
      <c r="K543" s="17"/>
      <c r="L543" s="17"/>
      <c r="M543" s="18"/>
      <c r="N543" s="17"/>
      <c r="O543" s="18"/>
      <c r="P543" s="19"/>
      <c r="Q543" s="17" t="s">
        <v>2979</v>
      </c>
      <c r="R543" s="17" t="s">
        <v>1719</v>
      </c>
      <c r="S543" s="17" t="s">
        <v>206</v>
      </c>
      <c r="T543" s="17">
        <v>1</v>
      </c>
      <c r="U543" s="17" t="s">
        <v>1720</v>
      </c>
      <c r="V543" s="17" t="s">
        <v>4491</v>
      </c>
      <c r="W543" s="17" t="s">
        <v>4492</v>
      </c>
      <c r="X543" s="70">
        <v>46149.65625</v>
      </c>
      <c r="Y543" s="17"/>
      <c r="Z543" s="17">
        <v>0.8</v>
      </c>
      <c r="AA543" s="17"/>
      <c r="AB543" s="17" t="s">
        <v>1724</v>
      </c>
      <c r="AC543" s="20" t="s">
        <v>3703</v>
      </c>
      <c r="AD543" s="17"/>
      <c r="AE543" s="17" t="s">
        <v>877</v>
      </c>
      <c r="AF543" s="17"/>
      <c r="AG543" s="17"/>
      <c r="AH543" s="17"/>
      <c r="AI543" s="17"/>
      <c r="AJ543" s="17"/>
      <c r="AK543" s="17" t="s">
        <v>877</v>
      </c>
      <c r="AL543" t="e">
        <f t="shared" si="16"/>
        <v>#VALUE!</v>
      </c>
      <c r="AM543">
        <f t="shared" si="17"/>
        <v>46149</v>
      </c>
    </row>
    <row r="544" spans="1:39" ht="21.6" customHeight="1">
      <c r="A544" s="17">
        <v>27</v>
      </c>
      <c r="B544" s="17" t="s">
        <v>876</v>
      </c>
      <c r="C544" s="17">
        <v>2026051078</v>
      </c>
      <c r="D544" s="17"/>
      <c r="E544" s="17"/>
      <c r="F544" s="17" t="s">
        <v>2977</v>
      </c>
      <c r="G544" s="17" t="s">
        <v>2978</v>
      </c>
      <c r="H544" s="17" t="s">
        <v>1759</v>
      </c>
      <c r="I544" s="17"/>
      <c r="J544" s="17"/>
      <c r="K544" s="17"/>
      <c r="L544" s="17"/>
      <c r="M544" s="18"/>
      <c r="N544" s="17"/>
      <c r="O544" s="18"/>
      <c r="P544" s="19"/>
      <c r="Q544" s="17" t="s">
        <v>2979</v>
      </c>
      <c r="R544" s="17" t="s">
        <v>1719</v>
      </c>
      <c r="S544" s="17" t="s">
        <v>566</v>
      </c>
      <c r="T544" s="17">
        <v>1</v>
      </c>
      <c r="U544" s="17" t="s">
        <v>1720</v>
      </c>
      <c r="V544" s="17" t="s">
        <v>4493</v>
      </c>
      <c r="W544" s="17" t="s">
        <v>4492</v>
      </c>
      <c r="X544" s="70">
        <v>46149.65625</v>
      </c>
      <c r="Y544" s="17"/>
      <c r="Z544" s="17">
        <v>0.8</v>
      </c>
      <c r="AA544" s="17"/>
      <c r="AB544" s="17" t="s">
        <v>1724</v>
      </c>
      <c r="AC544" s="20" t="s">
        <v>2497</v>
      </c>
      <c r="AD544" s="17"/>
      <c r="AE544" s="17" t="s">
        <v>877</v>
      </c>
      <c r="AF544" s="17"/>
      <c r="AG544" s="17"/>
      <c r="AH544" s="17"/>
      <c r="AI544" s="17"/>
      <c r="AJ544" s="17"/>
      <c r="AK544" s="17" t="s">
        <v>877</v>
      </c>
      <c r="AL544" t="e">
        <f t="shared" si="16"/>
        <v>#VALUE!</v>
      </c>
      <c r="AM544">
        <f t="shared" si="17"/>
        <v>46149</v>
      </c>
    </row>
    <row r="545" spans="1:39" ht="21.6" customHeight="1">
      <c r="A545" s="17">
        <v>28</v>
      </c>
      <c r="B545" s="17" t="s">
        <v>783</v>
      </c>
      <c r="C545" s="17">
        <v>2026051153</v>
      </c>
      <c r="D545" s="17" t="s">
        <v>4494</v>
      </c>
      <c r="E545" s="17" t="s">
        <v>1727</v>
      </c>
      <c r="F545" s="17" t="s">
        <v>2916</v>
      </c>
      <c r="G545" s="17" t="s">
        <v>2917</v>
      </c>
      <c r="H545" s="17" t="s">
        <v>1771</v>
      </c>
      <c r="I545" s="17" t="s">
        <v>4495</v>
      </c>
      <c r="J545" s="17" t="s">
        <v>1788</v>
      </c>
      <c r="K545" s="17" t="s">
        <v>1713</v>
      </c>
      <c r="L545" s="17" t="s">
        <v>1900</v>
      </c>
      <c r="M545" s="18" t="s">
        <v>1901</v>
      </c>
      <c r="N545" s="17">
        <v>6005</v>
      </c>
      <c r="O545" s="18" t="s">
        <v>4496</v>
      </c>
      <c r="P545" s="19" t="s">
        <v>4497</v>
      </c>
      <c r="Q545" s="17" t="s">
        <v>2920</v>
      </c>
      <c r="R545" s="17" t="s">
        <v>1719</v>
      </c>
      <c r="S545" s="17" t="s">
        <v>52</v>
      </c>
      <c r="T545" s="17">
        <v>1</v>
      </c>
      <c r="U545" s="17" t="s">
        <v>1720</v>
      </c>
      <c r="V545" s="17" t="s">
        <v>4498</v>
      </c>
      <c r="W545" s="17" t="s">
        <v>4499</v>
      </c>
      <c r="X545" s="70">
        <v>46150.583333333343</v>
      </c>
      <c r="Y545" s="17" t="s">
        <v>4500</v>
      </c>
      <c r="Z545" s="17">
        <v>0.3</v>
      </c>
      <c r="AA545" s="17"/>
      <c r="AB545" s="17" t="s">
        <v>1724</v>
      </c>
      <c r="AC545" s="20" t="s">
        <v>4501</v>
      </c>
      <c r="AD545" s="17"/>
      <c r="AE545" s="17"/>
      <c r="AF545" s="17"/>
      <c r="AG545" s="17"/>
      <c r="AH545" s="17"/>
      <c r="AI545" s="17"/>
      <c r="AJ545" s="17"/>
      <c r="AK545" s="17" t="s">
        <v>877</v>
      </c>
      <c r="AL545">
        <f t="shared" si="16"/>
        <v>46150</v>
      </c>
      <c r="AM545">
        <f t="shared" si="17"/>
        <v>46150</v>
      </c>
    </row>
    <row r="546" spans="1:39" ht="21.6" customHeight="1">
      <c r="A546" s="17">
        <v>29</v>
      </c>
      <c r="B546" s="17" t="s">
        <v>876</v>
      </c>
      <c r="C546" s="17">
        <v>2026051211</v>
      </c>
      <c r="D546" s="17"/>
      <c r="E546" s="17"/>
      <c r="F546" s="17">
        <v>2180</v>
      </c>
      <c r="G546" s="17" t="s">
        <v>3044</v>
      </c>
      <c r="H546" s="17" t="s">
        <v>1786</v>
      </c>
      <c r="I546" s="17"/>
      <c r="J546" s="17"/>
      <c r="K546" s="17"/>
      <c r="L546" s="17"/>
      <c r="M546" s="18"/>
      <c r="N546" s="17"/>
      <c r="O546" s="18"/>
      <c r="P546" s="19"/>
      <c r="Q546" s="17" t="s">
        <v>3045</v>
      </c>
      <c r="R546" s="17" t="s">
        <v>1719</v>
      </c>
      <c r="S546" s="17" t="s">
        <v>566</v>
      </c>
      <c r="T546" s="17">
        <v>1</v>
      </c>
      <c r="U546" s="17" t="s">
        <v>1720</v>
      </c>
      <c r="V546" s="17" t="s">
        <v>4502</v>
      </c>
      <c r="W546" s="17" t="s">
        <v>4503</v>
      </c>
      <c r="X546" s="70">
        <v>46150.458333333343</v>
      </c>
      <c r="Y546" s="17"/>
      <c r="Z546" s="17">
        <v>0.4</v>
      </c>
      <c r="AA546" s="17"/>
      <c r="AB546" s="17" t="s">
        <v>1724</v>
      </c>
      <c r="AC546" s="20" t="s">
        <v>3575</v>
      </c>
      <c r="AD546" s="17" t="s">
        <v>877</v>
      </c>
      <c r="AE546" s="17"/>
      <c r="AF546" s="17"/>
      <c r="AG546" s="17"/>
      <c r="AH546" s="17"/>
      <c r="AI546" s="17"/>
      <c r="AJ546" s="17" t="s">
        <v>877</v>
      </c>
      <c r="AK546" s="17" t="s">
        <v>877</v>
      </c>
      <c r="AL546" t="e">
        <f t="shared" si="16"/>
        <v>#VALUE!</v>
      </c>
      <c r="AM546">
        <f t="shared" si="17"/>
        <v>46150</v>
      </c>
    </row>
    <row r="547" spans="1:39" ht="21.6" customHeight="1">
      <c r="A547" s="17">
        <v>30</v>
      </c>
      <c r="B547" s="17" t="s">
        <v>876</v>
      </c>
      <c r="C547" s="17">
        <v>2026051212</v>
      </c>
      <c r="D547" s="17"/>
      <c r="E547" s="17"/>
      <c r="F547" s="17">
        <v>4902</v>
      </c>
      <c r="G547" s="17" t="s">
        <v>2798</v>
      </c>
      <c r="H547" s="17" t="s">
        <v>1941</v>
      </c>
      <c r="I547" s="17"/>
      <c r="J547" s="17"/>
      <c r="K547" s="17"/>
      <c r="L547" s="17"/>
      <c r="M547" s="18"/>
      <c r="N547" s="17"/>
      <c r="O547" s="18"/>
      <c r="P547" s="19"/>
      <c r="Q547" s="17" t="s">
        <v>2799</v>
      </c>
      <c r="R547" s="17" t="s">
        <v>1719</v>
      </c>
      <c r="S547" s="17" t="s">
        <v>206</v>
      </c>
      <c r="T547" s="17">
        <v>1</v>
      </c>
      <c r="U547" s="17" t="s">
        <v>1720</v>
      </c>
      <c r="V547" s="17" t="s">
        <v>4504</v>
      </c>
      <c r="W547" s="17" t="s">
        <v>4505</v>
      </c>
      <c r="X547" s="70">
        <v>46150.458333333343</v>
      </c>
      <c r="Y547" s="17"/>
      <c r="Z547" s="17">
        <v>1</v>
      </c>
      <c r="AA547" s="17"/>
      <c r="AB547" s="17" t="s">
        <v>1724</v>
      </c>
      <c r="AC547" s="20" t="s">
        <v>3703</v>
      </c>
      <c r="AD547" s="17"/>
      <c r="AE547" s="17" t="s">
        <v>877</v>
      </c>
      <c r="AF547" s="17"/>
      <c r="AG547" s="17"/>
      <c r="AH547" s="17"/>
      <c r="AI547" s="17"/>
      <c r="AJ547" s="17"/>
      <c r="AK547" s="17" t="s">
        <v>877</v>
      </c>
      <c r="AL547" t="e">
        <f t="shared" si="16"/>
        <v>#VALUE!</v>
      </c>
      <c r="AM547">
        <f t="shared" si="17"/>
        <v>46150</v>
      </c>
    </row>
    <row r="548" spans="1:39" ht="21.6" customHeight="1">
      <c r="A548" s="17">
        <v>31</v>
      </c>
      <c r="B548" s="17" t="s">
        <v>876</v>
      </c>
      <c r="C548" s="17">
        <v>2026051213</v>
      </c>
      <c r="D548" s="17"/>
      <c r="E548" s="17"/>
      <c r="F548" s="17">
        <v>4902</v>
      </c>
      <c r="G548" s="17" t="s">
        <v>2798</v>
      </c>
      <c r="H548" s="17" t="s">
        <v>1941</v>
      </c>
      <c r="I548" s="17"/>
      <c r="J548" s="17"/>
      <c r="K548" s="17"/>
      <c r="L548" s="17"/>
      <c r="M548" s="18"/>
      <c r="N548" s="17"/>
      <c r="O548" s="18"/>
      <c r="P548" s="19"/>
      <c r="Q548" s="17" t="s">
        <v>2799</v>
      </c>
      <c r="R548" s="17" t="s">
        <v>1719</v>
      </c>
      <c r="S548" s="17" t="s">
        <v>52</v>
      </c>
      <c r="T548" s="17">
        <v>1</v>
      </c>
      <c r="U548" s="17" t="s">
        <v>1720</v>
      </c>
      <c r="V548" s="17" t="s">
        <v>4506</v>
      </c>
      <c r="W548" s="17" t="s">
        <v>4505</v>
      </c>
      <c r="X548" s="70">
        <v>46150.472222222219</v>
      </c>
      <c r="Y548" s="17"/>
      <c r="Z548" s="17">
        <v>1.3</v>
      </c>
      <c r="AA548" s="17"/>
      <c r="AB548" s="17" t="s">
        <v>1724</v>
      </c>
      <c r="AC548" s="20" t="s">
        <v>3024</v>
      </c>
      <c r="AD548" s="17"/>
      <c r="AE548" s="17" t="s">
        <v>877</v>
      </c>
      <c r="AF548" s="17"/>
      <c r="AG548" s="17"/>
      <c r="AH548" s="17"/>
      <c r="AI548" s="17"/>
      <c r="AJ548" s="17"/>
      <c r="AK548" s="17" t="s">
        <v>877</v>
      </c>
      <c r="AL548" t="e">
        <f t="shared" si="16"/>
        <v>#VALUE!</v>
      </c>
      <c r="AM548">
        <f t="shared" si="17"/>
        <v>46150</v>
      </c>
    </row>
    <row r="549" spans="1:39" ht="21.6" customHeight="1">
      <c r="A549" s="17">
        <v>32</v>
      </c>
      <c r="B549" s="17" t="s">
        <v>876</v>
      </c>
      <c r="C549" s="17">
        <v>2026051243</v>
      </c>
      <c r="D549" s="17"/>
      <c r="E549" s="17"/>
      <c r="F549" s="17">
        <v>3913</v>
      </c>
      <c r="G549" s="17" t="s">
        <v>1785</v>
      </c>
      <c r="H549" s="17" t="s">
        <v>1786</v>
      </c>
      <c r="I549" s="17"/>
      <c r="J549" s="17"/>
      <c r="K549" s="17"/>
      <c r="L549" s="17"/>
      <c r="M549" s="18"/>
      <c r="N549" s="17"/>
      <c r="O549" s="18"/>
      <c r="P549" s="19"/>
      <c r="Q549" s="17" t="s">
        <v>1794</v>
      </c>
      <c r="R549" s="17" t="s">
        <v>1719</v>
      </c>
      <c r="S549" s="17" t="s">
        <v>566</v>
      </c>
      <c r="T549" s="17">
        <v>1</v>
      </c>
      <c r="U549" s="17" t="s">
        <v>1720</v>
      </c>
      <c r="V549" s="17" t="s">
        <v>4507</v>
      </c>
      <c r="W549" s="17" t="s">
        <v>4508</v>
      </c>
      <c r="X549" s="70">
        <v>46150.574305555558</v>
      </c>
      <c r="Y549" s="17"/>
      <c r="Z549" s="17">
        <v>0.4</v>
      </c>
      <c r="AA549" s="17"/>
      <c r="AB549" s="17" t="s">
        <v>1724</v>
      </c>
      <c r="AC549" s="20" t="s">
        <v>3575</v>
      </c>
      <c r="AD549" s="17" t="s">
        <v>877</v>
      </c>
      <c r="AE549" s="17"/>
      <c r="AF549" s="17"/>
      <c r="AG549" s="17"/>
      <c r="AH549" s="17"/>
      <c r="AI549" s="17"/>
      <c r="AJ549" s="17" t="s">
        <v>877</v>
      </c>
      <c r="AK549" s="17" t="s">
        <v>877</v>
      </c>
      <c r="AL549" t="e">
        <f t="shared" si="16"/>
        <v>#VALUE!</v>
      </c>
      <c r="AM549">
        <f t="shared" si="17"/>
        <v>46150</v>
      </c>
    </row>
    <row r="550" spans="1:39" ht="21.6" customHeight="1">
      <c r="A550" s="17">
        <v>33</v>
      </c>
      <c r="B550" s="17" t="s">
        <v>876</v>
      </c>
      <c r="C550" s="17">
        <v>2026051255</v>
      </c>
      <c r="D550" s="17"/>
      <c r="E550" s="17"/>
      <c r="F550" s="17">
        <v>5240</v>
      </c>
      <c r="G550" s="17" t="s">
        <v>4509</v>
      </c>
      <c r="H550" s="17" t="s">
        <v>1786</v>
      </c>
      <c r="I550" s="17"/>
      <c r="J550" s="17"/>
      <c r="K550" s="17"/>
      <c r="L550" s="17"/>
      <c r="M550" s="18"/>
      <c r="N550" s="17"/>
      <c r="O550" s="18"/>
      <c r="P550" s="19"/>
      <c r="Q550" s="17" t="s">
        <v>4510</v>
      </c>
      <c r="R550" s="17" t="s">
        <v>1719</v>
      </c>
      <c r="S550" s="17" t="s">
        <v>566</v>
      </c>
      <c r="T550" s="17">
        <v>1</v>
      </c>
      <c r="U550" s="17" t="s">
        <v>1720</v>
      </c>
      <c r="V550" s="17" t="s">
        <v>4511</v>
      </c>
      <c r="W550" s="17" t="s">
        <v>4512</v>
      </c>
      <c r="X550" s="70">
        <v>46150.601388888892</v>
      </c>
      <c r="Y550" s="17"/>
      <c r="Z550" s="17">
        <v>0.4</v>
      </c>
      <c r="AA550" s="17"/>
      <c r="AB550" s="17" t="s">
        <v>1724</v>
      </c>
      <c r="AC550" s="20" t="s">
        <v>3575</v>
      </c>
      <c r="AD550" s="17" t="s">
        <v>877</v>
      </c>
      <c r="AE550" s="17"/>
      <c r="AF550" s="17"/>
      <c r="AG550" s="17"/>
      <c r="AH550" s="17"/>
      <c r="AI550" s="17"/>
      <c r="AJ550" s="17" t="s">
        <v>877</v>
      </c>
      <c r="AK550" s="17" t="s">
        <v>877</v>
      </c>
      <c r="AL550" t="e">
        <f t="shared" si="16"/>
        <v>#VALUE!</v>
      </c>
      <c r="AM550">
        <f t="shared" si="17"/>
        <v>46150</v>
      </c>
    </row>
    <row r="551" spans="1:39" ht="21.6" customHeight="1">
      <c r="A551" s="17">
        <v>34</v>
      </c>
      <c r="B551" s="17" t="s">
        <v>876</v>
      </c>
      <c r="C551" s="17">
        <v>2026051257</v>
      </c>
      <c r="D551" s="17"/>
      <c r="E551" s="17"/>
      <c r="F551" s="17" t="s">
        <v>2916</v>
      </c>
      <c r="G551" s="17" t="s">
        <v>2917</v>
      </c>
      <c r="H551" s="17" t="s">
        <v>1771</v>
      </c>
      <c r="I551" s="17"/>
      <c r="J551" s="17"/>
      <c r="K551" s="17"/>
      <c r="L551" s="17"/>
      <c r="M551" s="18"/>
      <c r="N551" s="17"/>
      <c r="O551" s="18"/>
      <c r="P551" s="19"/>
      <c r="Q551" s="17" t="s">
        <v>2920</v>
      </c>
      <c r="R551" s="17" t="s">
        <v>1719</v>
      </c>
      <c r="S551" s="17" t="s">
        <v>52</v>
      </c>
      <c r="T551" s="17">
        <v>1</v>
      </c>
      <c r="U551" s="17" t="s">
        <v>1720</v>
      </c>
      <c r="V551" s="17" t="s">
        <v>4513</v>
      </c>
      <c r="W551" s="17" t="s">
        <v>4514</v>
      </c>
      <c r="X551" s="70">
        <v>46150.604166666657</v>
      </c>
      <c r="Y551" s="17"/>
      <c r="Z551" s="17">
        <v>0.5</v>
      </c>
      <c r="AA551" s="17"/>
      <c r="AB551" s="17" t="s">
        <v>1724</v>
      </c>
      <c r="AC551" s="20" t="s">
        <v>3890</v>
      </c>
      <c r="AD551" s="17" t="s">
        <v>877</v>
      </c>
      <c r="AE551" s="17"/>
      <c r="AF551" s="17"/>
      <c r="AG551" s="17"/>
      <c r="AH551" s="17"/>
      <c r="AI551" s="17"/>
      <c r="AJ551" s="17"/>
      <c r="AK551" s="17" t="s">
        <v>877</v>
      </c>
      <c r="AL551" t="e">
        <f t="shared" si="16"/>
        <v>#VALUE!</v>
      </c>
      <c r="AM551">
        <f t="shared" si="17"/>
        <v>46150</v>
      </c>
    </row>
    <row r="552" spans="1:39" ht="21.6" customHeight="1">
      <c r="A552" s="17">
        <v>35</v>
      </c>
      <c r="B552" s="17" t="s">
        <v>783</v>
      </c>
      <c r="C552" s="17">
        <v>2026051286</v>
      </c>
      <c r="D552" s="17" t="s">
        <v>4515</v>
      </c>
      <c r="E552" s="17" t="s">
        <v>1727</v>
      </c>
      <c r="F552" s="17">
        <v>2428</v>
      </c>
      <c r="G552" s="17" t="s">
        <v>2792</v>
      </c>
      <c r="H552" s="17" t="s">
        <v>1941</v>
      </c>
      <c r="I552" s="17" t="s">
        <v>4516</v>
      </c>
      <c r="J552" s="17" t="s">
        <v>1788</v>
      </c>
      <c r="K552" s="17" t="s">
        <v>1744</v>
      </c>
      <c r="L552" s="17" t="s">
        <v>1930</v>
      </c>
      <c r="M552" s="18" t="s">
        <v>1931</v>
      </c>
      <c r="N552" s="17">
        <v>2405</v>
      </c>
      <c r="O552" s="18" t="s">
        <v>1932</v>
      </c>
      <c r="P552" s="19" t="s">
        <v>4517</v>
      </c>
      <c r="Q552" s="17" t="s">
        <v>2793</v>
      </c>
      <c r="R552" s="17" t="s">
        <v>1719</v>
      </c>
      <c r="S552" s="17" t="s">
        <v>52</v>
      </c>
      <c r="T552" s="17">
        <v>1</v>
      </c>
      <c r="U552" s="17" t="s">
        <v>1720</v>
      </c>
      <c r="V552" s="17" t="s">
        <v>4518</v>
      </c>
      <c r="W552" s="17" t="s">
        <v>4519</v>
      </c>
      <c r="X552" s="70">
        <v>46150.6875</v>
      </c>
      <c r="Y552" s="17" t="s">
        <v>4520</v>
      </c>
      <c r="Z552" s="17">
        <v>1.5</v>
      </c>
      <c r="AA552" s="17"/>
      <c r="AB552" s="17" t="s">
        <v>1724</v>
      </c>
      <c r="AC552" s="20" t="s">
        <v>4521</v>
      </c>
      <c r="AD552" s="17"/>
      <c r="AE552" s="17"/>
      <c r="AF552" s="17"/>
      <c r="AG552" s="17"/>
      <c r="AH552" s="17"/>
      <c r="AI552" s="17"/>
      <c r="AJ552" s="17"/>
      <c r="AK552" s="17" t="s">
        <v>877</v>
      </c>
      <c r="AL552">
        <f t="shared" si="16"/>
        <v>46150</v>
      </c>
      <c r="AM552">
        <f t="shared" si="17"/>
        <v>46150</v>
      </c>
    </row>
    <row r="553" spans="1:39" ht="21.6" customHeight="1">
      <c r="A553" s="17">
        <v>36</v>
      </c>
      <c r="B553" s="17" t="s">
        <v>783</v>
      </c>
      <c r="C553" s="17">
        <v>2026051323</v>
      </c>
      <c r="D553" s="17" t="s">
        <v>4522</v>
      </c>
      <c r="E553" s="17" t="s">
        <v>1727</v>
      </c>
      <c r="F553" s="17">
        <v>3968</v>
      </c>
      <c r="G553" s="17" t="s">
        <v>2649</v>
      </c>
      <c r="H553" s="17" t="s">
        <v>1927</v>
      </c>
      <c r="I553" s="17" t="s">
        <v>4523</v>
      </c>
      <c r="J553" s="17" t="s">
        <v>1899</v>
      </c>
      <c r="K553" s="17" t="s">
        <v>1713</v>
      </c>
      <c r="L553" s="17" t="s">
        <v>1900</v>
      </c>
      <c r="M553" s="18" t="s">
        <v>1901</v>
      </c>
      <c r="N553" s="17">
        <v>6003</v>
      </c>
      <c r="O553" s="18" t="s">
        <v>1852</v>
      </c>
      <c r="P553" s="19" t="s">
        <v>4524</v>
      </c>
      <c r="Q553" s="17" t="s">
        <v>2650</v>
      </c>
      <c r="R553" s="17" t="s">
        <v>1719</v>
      </c>
      <c r="S553" s="17" t="s">
        <v>566</v>
      </c>
      <c r="T553" s="17">
        <v>1</v>
      </c>
      <c r="U553" s="17" t="s">
        <v>1720</v>
      </c>
      <c r="V553" s="17" t="s">
        <v>4525</v>
      </c>
      <c r="W553" s="17" t="s">
        <v>4526</v>
      </c>
      <c r="X553" s="70">
        <v>46152.685416666667</v>
      </c>
      <c r="Y553" s="17" t="s">
        <v>4527</v>
      </c>
      <c r="Z553" s="17">
        <v>0.5</v>
      </c>
      <c r="AA553" s="17"/>
      <c r="AB553" s="17" t="s">
        <v>1867</v>
      </c>
      <c r="AC553" s="20" t="s">
        <v>1867</v>
      </c>
      <c r="AD553" s="17"/>
      <c r="AE553" s="17"/>
      <c r="AF553" s="17"/>
      <c r="AG553" s="17"/>
      <c r="AH553" s="17"/>
      <c r="AI553" s="17"/>
      <c r="AJ553" s="17"/>
      <c r="AK553" s="17" t="s">
        <v>877</v>
      </c>
      <c r="AL553">
        <f t="shared" si="16"/>
        <v>46152</v>
      </c>
      <c r="AM553">
        <f t="shared" si="17"/>
        <v>46152</v>
      </c>
    </row>
    <row r="554" spans="1:39" ht="21.6" customHeight="1">
      <c r="A554" s="17">
        <v>37</v>
      </c>
      <c r="B554" s="17" t="s">
        <v>783</v>
      </c>
      <c r="C554" s="17">
        <v>2026051329</v>
      </c>
      <c r="D554" s="17" t="s">
        <v>4528</v>
      </c>
      <c r="E554" s="17" t="s">
        <v>1727</v>
      </c>
      <c r="F554" s="17">
        <v>2570</v>
      </c>
      <c r="G554" s="17" t="s">
        <v>3067</v>
      </c>
      <c r="H554" s="17" t="s">
        <v>1786</v>
      </c>
      <c r="I554" s="17" t="s">
        <v>4529</v>
      </c>
      <c r="J554" s="17" t="s">
        <v>1899</v>
      </c>
      <c r="K554" s="17" t="s">
        <v>1744</v>
      </c>
      <c r="L554" s="17" t="s">
        <v>1773</v>
      </c>
      <c r="M554" s="18" t="s">
        <v>1774</v>
      </c>
      <c r="N554" s="17">
        <v>5801</v>
      </c>
      <c r="O554" s="18" t="s">
        <v>1775</v>
      </c>
      <c r="P554" s="19" t="s">
        <v>4530</v>
      </c>
      <c r="Q554" s="17" t="s">
        <v>3068</v>
      </c>
      <c r="R554" s="17" t="s">
        <v>1719</v>
      </c>
      <c r="S554" s="17" t="s">
        <v>566</v>
      </c>
      <c r="T554" s="17">
        <v>1</v>
      </c>
      <c r="U554" s="17" t="s">
        <v>1720</v>
      </c>
      <c r="V554" s="17" t="s">
        <v>4531</v>
      </c>
      <c r="W554" s="17" t="s">
        <v>4532</v>
      </c>
      <c r="X554" s="70">
        <v>46153.447222222218</v>
      </c>
      <c r="Y554" s="17" t="s">
        <v>4527</v>
      </c>
      <c r="Z554" s="17">
        <v>0.7</v>
      </c>
      <c r="AA554" s="17"/>
      <c r="AB554" s="17" t="s">
        <v>1724</v>
      </c>
      <c r="AC554" s="20" t="s">
        <v>4533</v>
      </c>
      <c r="AD554" s="17"/>
      <c r="AE554" s="17"/>
      <c r="AF554" s="17"/>
      <c r="AG554" s="17"/>
      <c r="AH554" s="17"/>
      <c r="AI554" s="17"/>
      <c r="AJ554" s="17"/>
      <c r="AK554" s="17" t="s">
        <v>877</v>
      </c>
      <c r="AL554">
        <f t="shared" si="16"/>
        <v>46152</v>
      </c>
      <c r="AM554">
        <f t="shared" si="17"/>
        <v>46153</v>
      </c>
    </row>
    <row r="555" spans="1:39" ht="21.6" customHeight="1">
      <c r="A555" s="17">
        <v>38</v>
      </c>
      <c r="B555" s="17" t="s">
        <v>783</v>
      </c>
      <c r="C555" s="17">
        <v>2026051334</v>
      </c>
      <c r="D555" s="17" t="s">
        <v>4534</v>
      </c>
      <c r="E555" s="17" t="s">
        <v>1727</v>
      </c>
      <c r="F555" s="17">
        <v>4586</v>
      </c>
      <c r="G555" s="17" t="s">
        <v>4535</v>
      </c>
      <c r="H555" s="17" t="s">
        <v>1759</v>
      </c>
      <c r="I555" s="17" t="s">
        <v>4536</v>
      </c>
      <c r="J555" s="17" t="s">
        <v>1929</v>
      </c>
      <c r="K555" s="17" t="s">
        <v>1713</v>
      </c>
      <c r="L555" s="17" t="s">
        <v>1930</v>
      </c>
      <c r="M555" s="18" t="s">
        <v>1931</v>
      </c>
      <c r="N555" s="17">
        <v>2402</v>
      </c>
      <c r="O555" s="18" t="s">
        <v>2675</v>
      </c>
      <c r="P555" s="19" t="s">
        <v>4537</v>
      </c>
      <c r="Q555" s="17" t="s">
        <v>4538</v>
      </c>
      <c r="R555" s="17" t="s">
        <v>1719</v>
      </c>
      <c r="S555" s="17" t="s">
        <v>566</v>
      </c>
      <c r="T555" s="17">
        <v>1</v>
      </c>
      <c r="U555" s="17" t="s">
        <v>1720</v>
      </c>
      <c r="V555" s="17" t="s">
        <v>4539</v>
      </c>
      <c r="W555" s="17" t="s">
        <v>4540</v>
      </c>
      <c r="X555" s="70">
        <v>46153.615277777782</v>
      </c>
      <c r="Y555" s="17" t="s">
        <v>4541</v>
      </c>
      <c r="Z555" s="17">
        <v>0.4</v>
      </c>
      <c r="AA555" s="17"/>
      <c r="AB555" s="17" t="s">
        <v>1724</v>
      </c>
      <c r="AC555" s="20" t="s">
        <v>2680</v>
      </c>
      <c r="AD555" s="17"/>
      <c r="AE555" s="17"/>
      <c r="AF555" s="17"/>
      <c r="AG555" s="17"/>
      <c r="AH555" s="17"/>
      <c r="AI555" s="17"/>
      <c r="AJ555" s="17"/>
      <c r="AK555" s="17" t="s">
        <v>877</v>
      </c>
      <c r="AL555">
        <f t="shared" si="16"/>
        <v>46153</v>
      </c>
      <c r="AM555">
        <f t="shared" si="17"/>
        <v>46153</v>
      </c>
    </row>
    <row r="556" spans="1:39" ht="21.6" customHeight="1">
      <c r="A556" s="17">
        <v>39</v>
      </c>
      <c r="B556" s="17" t="s">
        <v>876</v>
      </c>
      <c r="C556" s="17">
        <v>2026051353</v>
      </c>
      <c r="D556" s="17"/>
      <c r="E556" s="17"/>
      <c r="F556" s="17">
        <v>2570</v>
      </c>
      <c r="G556" s="17" t="s">
        <v>3067</v>
      </c>
      <c r="H556" s="17" t="s">
        <v>1786</v>
      </c>
      <c r="I556" s="17"/>
      <c r="J556" s="17"/>
      <c r="K556" s="17"/>
      <c r="L556" s="17"/>
      <c r="M556" s="18"/>
      <c r="N556" s="17"/>
      <c r="O556" s="18"/>
      <c r="P556" s="19"/>
      <c r="Q556" s="17" t="s">
        <v>3068</v>
      </c>
      <c r="R556" s="17" t="s">
        <v>1719</v>
      </c>
      <c r="S556" s="17" t="s">
        <v>566</v>
      </c>
      <c r="T556" s="17">
        <v>1</v>
      </c>
      <c r="U556" s="17" t="s">
        <v>1720</v>
      </c>
      <c r="V556" s="17" t="s">
        <v>4542</v>
      </c>
      <c r="W556" s="17" t="s">
        <v>4543</v>
      </c>
      <c r="X556" s="70">
        <v>46153.420138888891</v>
      </c>
      <c r="Y556" s="17"/>
      <c r="Z556" s="17">
        <v>0.3</v>
      </c>
      <c r="AA556" s="17"/>
      <c r="AB556" s="17" t="s">
        <v>1724</v>
      </c>
      <c r="AC556" s="20" t="s">
        <v>3575</v>
      </c>
      <c r="AD556" s="17" t="s">
        <v>877</v>
      </c>
      <c r="AE556" s="17"/>
      <c r="AF556" s="17"/>
      <c r="AG556" s="17"/>
      <c r="AH556" s="17"/>
      <c r="AI556" s="17"/>
      <c r="AJ556" s="17" t="s">
        <v>877</v>
      </c>
      <c r="AK556" s="17" t="s">
        <v>877</v>
      </c>
      <c r="AL556" t="e">
        <f t="shared" si="16"/>
        <v>#VALUE!</v>
      </c>
      <c r="AM556">
        <f t="shared" si="17"/>
        <v>46153</v>
      </c>
    </row>
    <row r="557" spans="1:39" ht="21.6" customHeight="1">
      <c r="A557" s="17">
        <v>40</v>
      </c>
      <c r="B557" s="17" t="s">
        <v>783</v>
      </c>
      <c r="C557" s="17">
        <v>2026051448</v>
      </c>
      <c r="D557" s="17" t="s">
        <v>4544</v>
      </c>
      <c r="E557" s="17" t="s">
        <v>1727</v>
      </c>
      <c r="F557" s="17">
        <v>2349</v>
      </c>
      <c r="G557" s="17" t="s">
        <v>4401</v>
      </c>
      <c r="H557" s="17" t="s">
        <v>1759</v>
      </c>
      <c r="I557" s="17" t="s">
        <v>4545</v>
      </c>
      <c r="J557" s="17" t="s">
        <v>1929</v>
      </c>
      <c r="K557" s="17" t="s">
        <v>1713</v>
      </c>
      <c r="L557" s="17" t="s">
        <v>1714</v>
      </c>
      <c r="M557" s="18" t="s">
        <v>1715</v>
      </c>
      <c r="N557" s="17">
        <v>2305</v>
      </c>
      <c r="O557" s="18" t="s">
        <v>2469</v>
      </c>
      <c r="P557" s="19" t="s">
        <v>4546</v>
      </c>
      <c r="Q557" s="17" t="s">
        <v>4404</v>
      </c>
      <c r="R557" s="17" t="s">
        <v>1719</v>
      </c>
      <c r="S557" s="17" t="s">
        <v>566</v>
      </c>
      <c r="T557" s="17">
        <v>1</v>
      </c>
      <c r="U557" s="17" t="s">
        <v>1720</v>
      </c>
      <c r="V557" s="17" t="s">
        <v>4547</v>
      </c>
      <c r="W557" s="17" t="s">
        <v>4548</v>
      </c>
      <c r="X557" s="70">
        <v>46153.594444444447</v>
      </c>
      <c r="Y557" s="17" t="s">
        <v>4549</v>
      </c>
      <c r="Z557" s="17">
        <v>0.5</v>
      </c>
      <c r="AA557" s="17"/>
      <c r="AB557" s="17" t="s">
        <v>1724</v>
      </c>
      <c r="AC557" s="20" t="s">
        <v>4550</v>
      </c>
      <c r="AD557" s="17"/>
      <c r="AE557" s="17"/>
      <c r="AF557" s="17"/>
      <c r="AG557" s="17"/>
      <c r="AH557" s="17"/>
      <c r="AI557" s="17"/>
      <c r="AJ557" s="17"/>
      <c r="AK557" s="17" t="s">
        <v>877</v>
      </c>
      <c r="AL557">
        <f t="shared" si="16"/>
        <v>46153</v>
      </c>
      <c r="AM557">
        <f t="shared" si="17"/>
        <v>46153</v>
      </c>
    </row>
    <row r="558" spans="1:39" ht="21.6" customHeight="1">
      <c r="A558" s="17">
        <v>41</v>
      </c>
      <c r="B558" s="17" t="s">
        <v>876</v>
      </c>
      <c r="C558" s="17">
        <v>2026051451</v>
      </c>
      <c r="D558" s="17"/>
      <c r="E558" s="17"/>
      <c r="F558" s="17">
        <v>4144</v>
      </c>
      <c r="G558" s="17" t="s">
        <v>4551</v>
      </c>
      <c r="H558" s="17" t="s">
        <v>1742</v>
      </c>
      <c r="I558" s="17"/>
      <c r="J558" s="17"/>
      <c r="K558" s="17"/>
      <c r="L558" s="17"/>
      <c r="M558" s="18"/>
      <c r="N558" s="17"/>
      <c r="O558" s="18"/>
      <c r="P558" s="19"/>
      <c r="Q558" s="17" t="s">
        <v>4552</v>
      </c>
      <c r="R558" s="17" t="s">
        <v>1719</v>
      </c>
      <c r="S558" s="17" t="s">
        <v>206</v>
      </c>
      <c r="T558" s="17">
        <v>1</v>
      </c>
      <c r="U558" s="17" t="s">
        <v>1720</v>
      </c>
      <c r="V558" s="17" t="s">
        <v>4553</v>
      </c>
      <c r="W558" s="17" t="s">
        <v>4554</v>
      </c>
      <c r="X558" s="70">
        <v>46153.479166666657</v>
      </c>
      <c r="Y558" s="17"/>
      <c r="Z558" s="17">
        <v>0.5</v>
      </c>
      <c r="AA558" s="17"/>
      <c r="AB558" s="17" t="s">
        <v>1724</v>
      </c>
      <c r="AC558" s="20" t="s">
        <v>3575</v>
      </c>
      <c r="AD558" s="17" t="s">
        <v>877</v>
      </c>
      <c r="AE558" s="17"/>
      <c r="AF558" s="17"/>
      <c r="AG558" s="17"/>
      <c r="AH558" s="17"/>
      <c r="AI558" s="17"/>
      <c r="AJ558" s="17" t="s">
        <v>877</v>
      </c>
      <c r="AK558" s="17" t="s">
        <v>877</v>
      </c>
      <c r="AL558" t="e">
        <f t="shared" si="16"/>
        <v>#VALUE!</v>
      </c>
      <c r="AM558">
        <f t="shared" si="17"/>
        <v>46153</v>
      </c>
    </row>
    <row r="559" spans="1:39" ht="21.6" customHeight="1">
      <c r="A559" s="17">
        <v>42</v>
      </c>
      <c r="B559" s="17" t="s">
        <v>876</v>
      </c>
      <c r="C559" s="17">
        <v>2026051454</v>
      </c>
      <c r="D559" s="17"/>
      <c r="E559" s="17"/>
      <c r="F559" s="17">
        <v>2362</v>
      </c>
      <c r="G559" s="17" t="s">
        <v>4555</v>
      </c>
      <c r="H559" s="17" t="s">
        <v>1742</v>
      </c>
      <c r="I559" s="17"/>
      <c r="J559" s="17"/>
      <c r="K559" s="17"/>
      <c r="L559" s="17"/>
      <c r="M559" s="18"/>
      <c r="N559" s="17"/>
      <c r="O559" s="18"/>
      <c r="P559" s="19"/>
      <c r="Q559" s="17" t="s">
        <v>4556</v>
      </c>
      <c r="R559" s="17" t="s">
        <v>1719</v>
      </c>
      <c r="S559" s="17" t="s">
        <v>206</v>
      </c>
      <c r="T559" s="17">
        <v>1</v>
      </c>
      <c r="U559" s="17" t="s">
        <v>1720</v>
      </c>
      <c r="V559" s="17" t="s">
        <v>4557</v>
      </c>
      <c r="W559" s="17" t="s">
        <v>4558</v>
      </c>
      <c r="X559" s="70">
        <v>46153.5</v>
      </c>
      <c r="Y559" s="17"/>
      <c r="Z559" s="17">
        <v>0.5</v>
      </c>
      <c r="AA559" s="17"/>
      <c r="AB559" s="17" t="s">
        <v>1724</v>
      </c>
      <c r="AC559" s="20" t="s">
        <v>3575</v>
      </c>
      <c r="AD559" s="17" t="s">
        <v>877</v>
      </c>
      <c r="AE559" s="17"/>
      <c r="AF559" s="17"/>
      <c r="AG559" s="17"/>
      <c r="AH559" s="17"/>
      <c r="AI559" s="17"/>
      <c r="AJ559" s="17" t="s">
        <v>877</v>
      </c>
      <c r="AK559" s="17" t="s">
        <v>877</v>
      </c>
      <c r="AL559" t="e">
        <f t="shared" si="16"/>
        <v>#VALUE!</v>
      </c>
      <c r="AM559">
        <f t="shared" si="17"/>
        <v>46153</v>
      </c>
    </row>
    <row r="560" spans="1:39" ht="21.6" customHeight="1">
      <c r="A560" s="17">
        <v>43</v>
      </c>
      <c r="B560" s="17" t="s">
        <v>876</v>
      </c>
      <c r="C560" s="17">
        <v>2026051493</v>
      </c>
      <c r="D560" s="17"/>
      <c r="E560" s="17"/>
      <c r="F560" s="17">
        <v>4035</v>
      </c>
      <c r="G560" s="17" t="s">
        <v>3526</v>
      </c>
      <c r="H560" s="17" t="s">
        <v>1941</v>
      </c>
      <c r="I560" s="17"/>
      <c r="J560" s="17"/>
      <c r="K560" s="17"/>
      <c r="L560" s="17"/>
      <c r="M560" s="18"/>
      <c r="N560" s="17"/>
      <c r="O560" s="18"/>
      <c r="P560" s="19"/>
      <c r="Q560" s="17" t="s">
        <v>3527</v>
      </c>
      <c r="R560" s="17" t="s">
        <v>1719</v>
      </c>
      <c r="S560" s="17" t="s">
        <v>52</v>
      </c>
      <c r="T560" s="17">
        <v>1</v>
      </c>
      <c r="U560" s="17" t="s">
        <v>1720</v>
      </c>
      <c r="V560" s="17" t="s">
        <v>4559</v>
      </c>
      <c r="W560" s="17" t="s">
        <v>4560</v>
      </c>
      <c r="X560" s="70">
        <v>46153.618055555547</v>
      </c>
      <c r="Y560" s="17"/>
      <c r="Z560" s="17">
        <v>0.3</v>
      </c>
      <c r="AA560" s="17"/>
      <c r="AB560" s="17" t="s">
        <v>1724</v>
      </c>
      <c r="AC560" s="20" t="s">
        <v>3575</v>
      </c>
      <c r="AD560" s="17" t="s">
        <v>877</v>
      </c>
      <c r="AE560" s="17"/>
      <c r="AF560" s="17"/>
      <c r="AG560" s="17"/>
      <c r="AH560" s="17"/>
      <c r="AI560" s="17"/>
      <c r="AJ560" s="17"/>
      <c r="AK560" s="17" t="s">
        <v>877</v>
      </c>
      <c r="AL560" t="e">
        <f t="shared" si="16"/>
        <v>#VALUE!</v>
      </c>
      <c r="AM560">
        <f t="shared" si="17"/>
        <v>46153</v>
      </c>
    </row>
    <row r="561" spans="1:39" ht="21.6" customHeight="1">
      <c r="A561" s="17">
        <v>44</v>
      </c>
      <c r="B561" s="17" t="s">
        <v>876</v>
      </c>
      <c r="C561" s="17">
        <v>2026051498</v>
      </c>
      <c r="D561" s="17"/>
      <c r="E561" s="17"/>
      <c r="F561" s="17">
        <v>4272</v>
      </c>
      <c r="G561" s="17" t="s">
        <v>3240</v>
      </c>
      <c r="H561" s="17" t="s">
        <v>1771</v>
      </c>
      <c r="I561" s="17"/>
      <c r="J561" s="17"/>
      <c r="K561" s="17"/>
      <c r="L561" s="17"/>
      <c r="M561" s="18"/>
      <c r="N561" s="17"/>
      <c r="O561" s="18"/>
      <c r="P561" s="19"/>
      <c r="Q561" s="17" t="s">
        <v>3241</v>
      </c>
      <c r="R561" s="17" t="s">
        <v>1719</v>
      </c>
      <c r="S561" s="17" t="s">
        <v>52</v>
      </c>
      <c r="T561" s="17">
        <v>1</v>
      </c>
      <c r="U561" s="17" t="s">
        <v>1720</v>
      </c>
      <c r="V561" s="17" t="s">
        <v>4561</v>
      </c>
      <c r="W561" s="17" t="s">
        <v>4562</v>
      </c>
      <c r="X561" s="70">
        <v>46153.645833333343</v>
      </c>
      <c r="Y561" s="17"/>
      <c r="Z561" s="17">
        <v>0.3</v>
      </c>
      <c r="AA561" s="17"/>
      <c r="AB561" s="17" t="s">
        <v>1724</v>
      </c>
      <c r="AC561" s="20" t="s">
        <v>3575</v>
      </c>
      <c r="AD561" s="17" t="s">
        <v>877</v>
      </c>
      <c r="AE561" s="17"/>
      <c r="AF561" s="17"/>
      <c r="AG561" s="17"/>
      <c r="AH561" s="17"/>
      <c r="AI561" s="17"/>
      <c r="AJ561" s="17"/>
      <c r="AK561" s="17" t="s">
        <v>877</v>
      </c>
      <c r="AL561" t="e">
        <f t="shared" si="16"/>
        <v>#VALUE!</v>
      </c>
      <c r="AM561">
        <f t="shared" si="17"/>
        <v>46153</v>
      </c>
    </row>
    <row r="562" spans="1:39" ht="21.6" customHeight="1">
      <c r="A562" s="17">
        <v>45</v>
      </c>
      <c r="B562" s="17" t="s">
        <v>876</v>
      </c>
      <c r="C562" s="17">
        <v>2026051503</v>
      </c>
      <c r="D562" s="17"/>
      <c r="E562" s="17"/>
      <c r="F562" s="17">
        <v>2482</v>
      </c>
      <c r="G562" s="17" t="s">
        <v>4563</v>
      </c>
      <c r="H562" s="17" t="s">
        <v>1771</v>
      </c>
      <c r="I562" s="17"/>
      <c r="J562" s="17"/>
      <c r="K562" s="17"/>
      <c r="L562" s="17"/>
      <c r="M562" s="18"/>
      <c r="N562" s="17"/>
      <c r="O562" s="18"/>
      <c r="P562" s="19"/>
      <c r="Q562" s="17" t="s">
        <v>4564</v>
      </c>
      <c r="R562" s="17" t="s">
        <v>1719</v>
      </c>
      <c r="S562" s="17" t="s">
        <v>52</v>
      </c>
      <c r="T562" s="17">
        <v>1</v>
      </c>
      <c r="U562" s="17" t="s">
        <v>1720</v>
      </c>
      <c r="V562" s="17" t="s">
        <v>4565</v>
      </c>
      <c r="W562" s="17" t="s">
        <v>4566</v>
      </c>
      <c r="X562" s="70">
        <v>46153.677083333343</v>
      </c>
      <c r="Y562" s="17"/>
      <c r="Z562" s="17">
        <v>0.4</v>
      </c>
      <c r="AA562" s="17"/>
      <c r="AB562" s="17" t="s">
        <v>1724</v>
      </c>
      <c r="AC562" s="20" t="s">
        <v>3575</v>
      </c>
      <c r="AD562" s="17" t="s">
        <v>877</v>
      </c>
      <c r="AE562" s="17"/>
      <c r="AF562" s="17"/>
      <c r="AG562" s="17"/>
      <c r="AH562" s="17"/>
      <c r="AI562" s="17"/>
      <c r="AJ562" s="17"/>
      <c r="AK562" s="17" t="s">
        <v>877</v>
      </c>
      <c r="AL562" t="e">
        <f t="shared" si="16"/>
        <v>#VALUE!</v>
      </c>
      <c r="AM562">
        <f t="shared" si="17"/>
        <v>46153</v>
      </c>
    </row>
    <row r="563" spans="1:39" ht="21.6" customHeight="1">
      <c r="A563" s="17">
        <v>46</v>
      </c>
      <c r="B563" s="17" t="s">
        <v>876</v>
      </c>
      <c r="C563" s="17">
        <v>2026051516</v>
      </c>
      <c r="D563" s="17"/>
      <c r="E563" s="17"/>
      <c r="F563" s="17">
        <v>4852</v>
      </c>
      <c r="G563" s="17" t="s">
        <v>1770</v>
      </c>
      <c r="H563" s="17" t="s">
        <v>1771</v>
      </c>
      <c r="I563" s="17"/>
      <c r="J563" s="17"/>
      <c r="K563" s="17"/>
      <c r="L563" s="17"/>
      <c r="M563" s="18"/>
      <c r="N563" s="17"/>
      <c r="O563" s="18"/>
      <c r="P563" s="19"/>
      <c r="Q563" s="17" t="s">
        <v>1777</v>
      </c>
      <c r="R563" s="17" t="s">
        <v>1719</v>
      </c>
      <c r="S563" s="17" t="s">
        <v>52</v>
      </c>
      <c r="T563" s="17">
        <v>1</v>
      </c>
      <c r="U563" s="17" t="s">
        <v>1720</v>
      </c>
      <c r="V563" s="17" t="s">
        <v>4567</v>
      </c>
      <c r="W563" s="17" t="s">
        <v>4568</v>
      </c>
      <c r="X563" s="70">
        <v>46153.708333333343</v>
      </c>
      <c r="Y563" s="17"/>
      <c r="Z563" s="17">
        <v>0.5</v>
      </c>
      <c r="AA563" s="17"/>
      <c r="AB563" s="17" t="s">
        <v>1724</v>
      </c>
      <c r="AC563" s="20" t="s">
        <v>3890</v>
      </c>
      <c r="AD563" s="17" t="s">
        <v>877</v>
      </c>
      <c r="AE563" s="17"/>
      <c r="AF563" s="17"/>
      <c r="AG563" s="17"/>
      <c r="AH563" s="17"/>
      <c r="AI563" s="17"/>
      <c r="AJ563" s="17"/>
      <c r="AK563" s="17" t="s">
        <v>877</v>
      </c>
      <c r="AL563" t="e">
        <f t="shared" si="16"/>
        <v>#VALUE!</v>
      </c>
      <c r="AM563">
        <f t="shared" si="17"/>
        <v>46153</v>
      </c>
    </row>
    <row r="564" spans="1:39" ht="21.6" customHeight="1">
      <c r="A564" s="17">
        <v>36</v>
      </c>
      <c r="B564" s="17" t="s">
        <v>783</v>
      </c>
      <c r="C564" s="17">
        <v>2026051312</v>
      </c>
      <c r="D564" s="17" t="s">
        <v>4569</v>
      </c>
      <c r="E564" s="17" t="s">
        <v>1727</v>
      </c>
      <c r="F564" s="17">
        <v>4680</v>
      </c>
      <c r="G564" s="17" t="s">
        <v>4570</v>
      </c>
      <c r="H564" s="17" t="s">
        <v>1991</v>
      </c>
      <c r="I564" s="17" t="s">
        <v>4571</v>
      </c>
      <c r="J564" s="17" t="s">
        <v>1862</v>
      </c>
      <c r="K564" s="17" t="s">
        <v>1713</v>
      </c>
      <c r="L564" s="17" t="s">
        <v>1714</v>
      </c>
      <c r="M564" s="18" t="s">
        <v>1715</v>
      </c>
      <c r="N564" s="17">
        <v>2305</v>
      </c>
      <c r="O564" s="18" t="s">
        <v>2469</v>
      </c>
      <c r="P564" s="19" t="s">
        <v>4572</v>
      </c>
      <c r="Q564" s="17" t="s">
        <v>4573</v>
      </c>
      <c r="R564" s="17" t="s">
        <v>1719</v>
      </c>
      <c r="S564" s="17" t="s">
        <v>195</v>
      </c>
      <c r="T564" s="17">
        <v>1</v>
      </c>
      <c r="U564" s="17" t="s">
        <v>1720</v>
      </c>
      <c r="V564" s="17" t="s">
        <v>4574</v>
      </c>
      <c r="W564" s="17" t="s">
        <v>4575</v>
      </c>
      <c r="X564" s="70">
        <v>46154.501388888893</v>
      </c>
      <c r="Y564" s="17" t="s">
        <v>4527</v>
      </c>
      <c r="Z564" s="17">
        <v>0.3</v>
      </c>
      <c r="AA564" s="17"/>
      <c r="AB564" s="17" t="s">
        <v>1724</v>
      </c>
      <c r="AC564" s="20" t="s">
        <v>4576</v>
      </c>
      <c r="AD564" s="17"/>
      <c r="AE564" s="17"/>
      <c r="AF564" s="17"/>
      <c r="AG564" s="17"/>
      <c r="AH564" s="17"/>
      <c r="AI564" s="17"/>
      <c r="AJ564" s="17"/>
      <c r="AK564" s="17" t="s">
        <v>877</v>
      </c>
      <c r="AL564">
        <f t="shared" si="16"/>
        <v>46151</v>
      </c>
      <c r="AM564">
        <f t="shared" si="17"/>
        <v>46154</v>
      </c>
    </row>
    <row r="565" spans="1:39" ht="21.6" customHeight="1">
      <c r="A565" s="17">
        <v>37</v>
      </c>
      <c r="B565" s="17" t="s">
        <v>783</v>
      </c>
      <c r="C565" s="17">
        <v>2026051319</v>
      </c>
      <c r="D565" s="17" t="s">
        <v>4577</v>
      </c>
      <c r="E565" s="17" t="s">
        <v>1727</v>
      </c>
      <c r="F565" s="17">
        <v>3955</v>
      </c>
      <c r="G565" s="17" t="s">
        <v>4053</v>
      </c>
      <c r="H565" s="17" t="s">
        <v>1991</v>
      </c>
      <c r="I565" s="17" t="s">
        <v>4578</v>
      </c>
      <c r="J565" s="17" t="s">
        <v>1862</v>
      </c>
      <c r="K565" s="17" t="s">
        <v>1744</v>
      </c>
      <c r="L565" s="17" t="s">
        <v>1850</v>
      </c>
      <c r="M565" s="18" t="s">
        <v>1851</v>
      </c>
      <c r="N565" s="17">
        <v>5901</v>
      </c>
      <c r="O565" s="18" t="s">
        <v>2595</v>
      </c>
      <c r="P565" s="19" t="s">
        <v>4579</v>
      </c>
      <c r="Q565" s="17" t="s">
        <v>4056</v>
      </c>
      <c r="R565" s="17" t="s">
        <v>1719</v>
      </c>
      <c r="S565" s="17" t="s">
        <v>195</v>
      </c>
      <c r="T565" s="17">
        <v>1</v>
      </c>
      <c r="U565" s="17" t="s">
        <v>1720</v>
      </c>
      <c r="V565" s="17" t="s">
        <v>4580</v>
      </c>
      <c r="W565" s="17" t="s">
        <v>4581</v>
      </c>
      <c r="X565" s="70">
        <v>46154.477083333331</v>
      </c>
      <c r="Y565" s="17" t="s">
        <v>4527</v>
      </c>
      <c r="Z565" s="17">
        <v>0.5</v>
      </c>
      <c r="AA565" s="17"/>
      <c r="AB565" s="17" t="s">
        <v>1724</v>
      </c>
      <c r="AC565" s="20" t="s">
        <v>4582</v>
      </c>
      <c r="AD565" s="17"/>
      <c r="AE565" s="17"/>
      <c r="AF565" s="17"/>
      <c r="AG565" s="17"/>
      <c r="AH565" s="17"/>
      <c r="AI565" s="17"/>
      <c r="AJ565" s="17"/>
      <c r="AK565" s="17" t="s">
        <v>877</v>
      </c>
      <c r="AL565">
        <f t="shared" si="16"/>
        <v>46151</v>
      </c>
      <c r="AM565">
        <f t="shared" si="17"/>
        <v>46154</v>
      </c>
    </row>
    <row r="566" spans="1:39" ht="21.6" customHeight="1">
      <c r="A566" s="17">
        <v>48</v>
      </c>
      <c r="B566" s="17" t="s">
        <v>783</v>
      </c>
      <c r="C566" s="17">
        <v>2026051510</v>
      </c>
      <c r="D566" s="17" t="s">
        <v>4583</v>
      </c>
      <c r="E566" s="17" t="s">
        <v>1727</v>
      </c>
      <c r="F566" s="17">
        <v>3968</v>
      </c>
      <c r="G566" s="17" t="s">
        <v>2649</v>
      </c>
      <c r="H566" s="17" t="s">
        <v>1927</v>
      </c>
      <c r="I566" s="17" t="s">
        <v>4584</v>
      </c>
      <c r="J566" s="17" t="s">
        <v>1929</v>
      </c>
      <c r="K566" s="17" t="s">
        <v>1744</v>
      </c>
      <c r="L566" s="17" t="s">
        <v>1745</v>
      </c>
      <c r="M566" s="18" t="s">
        <v>1746</v>
      </c>
      <c r="N566" s="17" t="s">
        <v>4081</v>
      </c>
      <c r="O566" s="18" t="s">
        <v>4082</v>
      </c>
      <c r="P566" s="19" t="s">
        <v>4585</v>
      </c>
      <c r="Q566" s="17" t="s">
        <v>2650</v>
      </c>
      <c r="R566" s="17" t="s">
        <v>1719</v>
      </c>
      <c r="S566" s="17" t="s">
        <v>566</v>
      </c>
      <c r="T566" s="17">
        <v>1</v>
      </c>
      <c r="U566" s="17" t="s">
        <v>1720</v>
      </c>
      <c r="V566" s="17" t="s">
        <v>4586</v>
      </c>
      <c r="W566" s="17" t="s">
        <v>4587</v>
      </c>
      <c r="X566" s="70">
        <v>46154.65625</v>
      </c>
      <c r="Y566" s="17" t="s">
        <v>4588</v>
      </c>
      <c r="Z566" s="17">
        <v>0.6</v>
      </c>
      <c r="AA566" s="17"/>
      <c r="AB566" s="17" t="s">
        <v>1724</v>
      </c>
      <c r="AC566" s="20" t="s">
        <v>4589</v>
      </c>
      <c r="AD566" s="17"/>
      <c r="AE566" s="17"/>
      <c r="AF566" s="17"/>
      <c r="AG566" s="17"/>
      <c r="AH566" s="17"/>
      <c r="AI566" s="17"/>
      <c r="AJ566" s="17"/>
      <c r="AK566" s="17" t="s">
        <v>877</v>
      </c>
      <c r="AL566">
        <f t="shared" si="16"/>
        <v>46153</v>
      </c>
      <c r="AM566">
        <f t="shared" si="17"/>
        <v>46154</v>
      </c>
    </row>
    <row r="567" spans="1:39" ht="21.6" customHeight="1">
      <c r="A567" s="17">
        <v>50</v>
      </c>
      <c r="B567" s="17" t="s">
        <v>876</v>
      </c>
      <c r="C567" s="17">
        <v>2026051654</v>
      </c>
      <c r="D567" s="17"/>
      <c r="E567" s="17"/>
      <c r="F567" s="17">
        <v>3627</v>
      </c>
      <c r="G567" s="17" t="s">
        <v>2890</v>
      </c>
      <c r="H567" s="17" t="s">
        <v>1759</v>
      </c>
      <c r="I567" s="17"/>
      <c r="J567" s="17"/>
      <c r="K567" s="17"/>
      <c r="L567" s="17"/>
      <c r="M567" s="18"/>
      <c r="N567" s="17"/>
      <c r="O567" s="18"/>
      <c r="P567" s="19"/>
      <c r="Q567" s="17" t="s">
        <v>2891</v>
      </c>
      <c r="R567" s="17" t="s">
        <v>1719</v>
      </c>
      <c r="S567" s="17" t="s">
        <v>566</v>
      </c>
      <c r="T567" s="17">
        <v>1</v>
      </c>
      <c r="U567" s="17" t="s">
        <v>1720</v>
      </c>
      <c r="V567" s="17" t="s">
        <v>4590</v>
      </c>
      <c r="W567" s="17" t="s">
        <v>4591</v>
      </c>
      <c r="X567" s="70">
        <v>46154.441666666673</v>
      </c>
      <c r="Y567" s="17"/>
      <c r="Z567" s="17">
        <v>0.3</v>
      </c>
      <c r="AA567" s="17"/>
      <c r="AB567" s="17" t="s">
        <v>1724</v>
      </c>
      <c r="AC567" s="20" t="s">
        <v>3575</v>
      </c>
      <c r="AD567" s="17" t="s">
        <v>877</v>
      </c>
      <c r="AE567" s="17"/>
      <c r="AF567" s="17"/>
      <c r="AG567" s="17"/>
      <c r="AH567" s="17"/>
      <c r="AI567" s="17"/>
      <c r="AJ567" s="17" t="s">
        <v>877</v>
      </c>
      <c r="AK567" s="17" t="s">
        <v>877</v>
      </c>
      <c r="AL567" t="e">
        <f t="shared" si="16"/>
        <v>#VALUE!</v>
      </c>
      <c r="AM567">
        <f t="shared" si="17"/>
        <v>46154</v>
      </c>
    </row>
    <row r="568" spans="1:39" ht="21.6" customHeight="1">
      <c r="A568" s="17">
        <v>51</v>
      </c>
      <c r="B568" s="17" t="s">
        <v>876</v>
      </c>
      <c r="C568" s="17">
        <v>2026051662</v>
      </c>
      <c r="D568" s="17"/>
      <c r="E568" s="17"/>
      <c r="F568" s="17" t="s">
        <v>2703</v>
      </c>
      <c r="G568" s="17" t="s">
        <v>2704</v>
      </c>
      <c r="H568" s="17" t="s">
        <v>1759</v>
      </c>
      <c r="I568" s="17"/>
      <c r="J568" s="17"/>
      <c r="K568" s="17"/>
      <c r="L568" s="17"/>
      <c r="M568" s="18"/>
      <c r="N568" s="17"/>
      <c r="O568" s="18"/>
      <c r="P568" s="19"/>
      <c r="Q568" s="17" t="s">
        <v>2707</v>
      </c>
      <c r="R568" s="17" t="s">
        <v>1719</v>
      </c>
      <c r="S568" s="17" t="s">
        <v>566</v>
      </c>
      <c r="T568" s="17">
        <v>1</v>
      </c>
      <c r="U568" s="17" t="s">
        <v>1720</v>
      </c>
      <c r="V568" s="17" t="s">
        <v>4592</v>
      </c>
      <c r="W568" s="17" t="s">
        <v>4593</v>
      </c>
      <c r="X568" s="70">
        <v>46154.460416666669</v>
      </c>
      <c r="Y568" s="17"/>
      <c r="Z568" s="17">
        <v>0.4</v>
      </c>
      <c r="AA568" s="17"/>
      <c r="AB568" s="17" t="s">
        <v>1724</v>
      </c>
      <c r="AC568" s="20" t="s">
        <v>3575</v>
      </c>
      <c r="AD568" s="17" t="s">
        <v>877</v>
      </c>
      <c r="AE568" s="17"/>
      <c r="AF568" s="17"/>
      <c r="AG568" s="17"/>
      <c r="AH568" s="17"/>
      <c r="AI568" s="17"/>
      <c r="AJ568" s="17" t="s">
        <v>877</v>
      </c>
      <c r="AK568" s="17" t="s">
        <v>877</v>
      </c>
      <c r="AL568" t="e">
        <f t="shared" si="16"/>
        <v>#VALUE!</v>
      </c>
      <c r="AM568">
        <f t="shared" si="17"/>
        <v>46154</v>
      </c>
    </row>
    <row r="569" spans="1:39" ht="21.6" customHeight="1">
      <c r="A569" s="17">
        <v>52</v>
      </c>
      <c r="B569" s="17" t="s">
        <v>876</v>
      </c>
      <c r="C569" s="17">
        <v>2026051688</v>
      </c>
      <c r="D569" s="17"/>
      <c r="E569" s="17"/>
      <c r="F569" s="17">
        <v>4260</v>
      </c>
      <c r="G569" s="17" t="s">
        <v>4594</v>
      </c>
      <c r="H569" s="17" t="s">
        <v>1759</v>
      </c>
      <c r="I569" s="17"/>
      <c r="J569" s="17"/>
      <c r="K569" s="17"/>
      <c r="L569" s="17"/>
      <c r="M569" s="18"/>
      <c r="N569" s="17"/>
      <c r="O569" s="18"/>
      <c r="P569" s="19"/>
      <c r="Q569" s="17" t="s">
        <v>4595</v>
      </c>
      <c r="R569" s="17" t="s">
        <v>1719</v>
      </c>
      <c r="S569" s="17" t="s">
        <v>566</v>
      </c>
      <c r="T569" s="17">
        <v>1</v>
      </c>
      <c r="U569" s="17" t="s">
        <v>1720</v>
      </c>
      <c r="V569" s="17" t="s">
        <v>4596</v>
      </c>
      <c r="W569" s="17" t="s">
        <v>4597</v>
      </c>
      <c r="X569" s="70">
        <v>46154.486111111109</v>
      </c>
      <c r="Y569" s="17"/>
      <c r="Z569" s="17">
        <v>0.4</v>
      </c>
      <c r="AA569" s="17"/>
      <c r="AB569" s="17" t="s">
        <v>1724</v>
      </c>
      <c r="AC569" s="20" t="s">
        <v>3575</v>
      </c>
      <c r="AD569" s="17" t="s">
        <v>877</v>
      </c>
      <c r="AE569" s="17"/>
      <c r="AF569" s="17"/>
      <c r="AG569" s="17"/>
      <c r="AH569" s="17"/>
      <c r="AI569" s="17"/>
      <c r="AJ569" s="17" t="s">
        <v>877</v>
      </c>
      <c r="AK569" s="17" t="s">
        <v>877</v>
      </c>
      <c r="AL569" t="e">
        <f t="shared" si="16"/>
        <v>#VALUE!</v>
      </c>
      <c r="AM569">
        <f t="shared" si="17"/>
        <v>46154</v>
      </c>
    </row>
    <row r="570" spans="1:39" ht="21.6" customHeight="1">
      <c r="A570" s="17">
        <v>53</v>
      </c>
      <c r="B570" s="17" t="s">
        <v>876</v>
      </c>
      <c r="C570" s="17">
        <v>2026051689</v>
      </c>
      <c r="D570" s="17"/>
      <c r="E570" s="17"/>
      <c r="F570" s="17">
        <v>4680</v>
      </c>
      <c r="G570" s="17" t="s">
        <v>4570</v>
      </c>
      <c r="H570" s="17" t="s">
        <v>1991</v>
      </c>
      <c r="I570" s="17"/>
      <c r="J570" s="17"/>
      <c r="K570" s="17"/>
      <c r="L570" s="17"/>
      <c r="M570" s="18"/>
      <c r="N570" s="17"/>
      <c r="O570" s="18"/>
      <c r="P570" s="19"/>
      <c r="Q570" s="17" t="s">
        <v>4573</v>
      </c>
      <c r="R570" s="17" t="s">
        <v>1719</v>
      </c>
      <c r="S570" s="17" t="s">
        <v>195</v>
      </c>
      <c r="T570" s="17">
        <v>1</v>
      </c>
      <c r="U570" s="17" t="s">
        <v>1720</v>
      </c>
      <c r="V570" s="17" t="s">
        <v>4598</v>
      </c>
      <c r="W570" s="17" t="s">
        <v>4575</v>
      </c>
      <c r="X570" s="70">
        <v>46154.501388888893</v>
      </c>
      <c r="Y570" s="17"/>
      <c r="Z570" s="17">
        <v>0.3</v>
      </c>
      <c r="AA570" s="17"/>
      <c r="AB570" s="17" t="s">
        <v>1724</v>
      </c>
      <c r="AC570" s="20" t="s">
        <v>3575</v>
      </c>
      <c r="AD570" s="17" t="s">
        <v>877</v>
      </c>
      <c r="AE570" s="17"/>
      <c r="AF570" s="17"/>
      <c r="AG570" s="17"/>
      <c r="AH570" s="17"/>
      <c r="AI570" s="17"/>
      <c r="AJ570" s="17"/>
      <c r="AK570" s="17" t="s">
        <v>877</v>
      </c>
      <c r="AL570" t="e">
        <f t="shared" si="16"/>
        <v>#VALUE!</v>
      </c>
      <c r="AM570">
        <f t="shared" si="17"/>
        <v>46154</v>
      </c>
    </row>
    <row r="571" spans="1:39" ht="21.6" customHeight="1">
      <c r="A571" s="17">
        <v>54</v>
      </c>
      <c r="B571" s="17" t="s">
        <v>783</v>
      </c>
      <c r="C571" s="17">
        <v>2026051692</v>
      </c>
      <c r="D571" s="17" t="s">
        <v>4599</v>
      </c>
      <c r="E571" s="17" t="s">
        <v>1727</v>
      </c>
      <c r="F571" s="17">
        <v>3416</v>
      </c>
      <c r="G571" s="17" t="s">
        <v>4600</v>
      </c>
      <c r="H571" s="17" t="s">
        <v>1991</v>
      </c>
      <c r="I571" s="17" t="s">
        <v>4601</v>
      </c>
      <c r="J571" s="17" t="s">
        <v>2033</v>
      </c>
      <c r="K571" s="17" t="s">
        <v>1744</v>
      </c>
      <c r="L571" s="17" t="s">
        <v>1714</v>
      </c>
      <c r="M571" s="18" t="s">
        <v>1715</v>
      </c>
      <c r="N571" s="17">
        <v>2307</v>
      </c>
      <c r="O571" s="18" t="s">
        <v>1974</v>
      </c>
      <c r="P571" s="19" t="s">
        <v>4602</v>
      </c>
      <c r="Q571" s="17" t="s">
        <v>4603</v>
      </c>
      <c r="R571" s="17" t="s">
        <v>1719</v>
      </c>
      <c r="S571" s="17" t="s">
        <v>195</v>
      </c>
      <c r="T571" s="17">
        <v>1</v>
      </c>
      <c r="U571" s="17" t="s">
        <v>1720</v>
      </c>
      <c r="V571" s="17" t="s">
        <v>4604</v>
      </c>
      <c r="W571" s="17" t="s">
        <v>4605</v>
      </c>
      <c r="X571" s="70">
        <v>46154.678472222222</v>
      </c>
      <c r="Y571" s="17" t="s">
        <v>4606</v>
      </c>
      <c r="Z571" s="17">
        <v>0.5</v>
      </c>
      <c r="AA571" s="17"/>
      <c r="AB571" s="17" t="s">
        <v>1724</v>
      </c>
      <c r="AC571" s="20" t="s">
        <v>4607</v>
      </c>
      <c r="AD571" s="17"/>
      <c r="AE571" s="17"/>
      <c r="AF571" s="17"/>
      <c r="AG571" s="17"/>
      <c r="AH571" s="17"/>
      <c r="AI571" s="17"/>
      <c r="AJ571" s="17"/>
      <c r="AK571" s="17" t="s">
        <v>877</v>
      </c>
      <c r="AL571">
        <f t="shared" si="16"/>
        <v>46154</v>
      </c>
      <c r="AM571">
        <f t="shared" si="17"/>
        <v>46154</v>
      </c>
    </row>
    <row r="572" spans="1:39" ht="21.6" customHeight="1">
      <c r="A572" s="17">
        <v>55</v>
      </c>
      <c r="B572" s="17" t="s">
        <v>876</v>
      </c>
      <c r="C572" s="17">
        <v>2026051700</v>
      </c>
      <c r="D572" s="17"/>
      <c r="E572" s="17"/>
      <c r="F572" s="17">
        <v>4025</v>
      </c>
      <c r="G572" s="17" t="s">
        <v>3687</v>
      </c>
      <c r="H572" s="17" t="s">
        <v>1742</v>
      </c>
      <c r="I572" s="17"/>
      <c r="J572" s="17"/>
      <c r="K572" s="17"/>
      <c r="L572" s="17"/>
      <c r="M572" s="18"/>
      <c r="N572" s="17"/>
      <c r="O572" s="18"/>
      <c r="P572" s="19"/>
      <c r="Q572" s="17" t="s">
        <v>3690</v>
      </c>
      <c r="R572" s="17" t="s">
        <v>1719</v>
      </c>
      <c r="S572" s="17" t="s">
        <v>206</v>
      </c>
      <c r="T572" s="17">
        <v>1</v>
      </c>
      <c r="U572" s="17" t="s">
        <v>1720</v>
      </c>
      <c r="V572" s="17" t="s">
        <v>4608</v>
      </c>
      <c r="W572" s="17" t="s">
        <v>4609</v>
      </c>
      <c r="X572" s="70">
        <v>46154.576388888891</v>
      </c>
      <c r="Y572" s="17"/>
      <c r="Z572" s="17">
        <v>2.8</v>
      </c>
      <c r="AA572" s="17"/>
      <c r="AB572" s="17" t="s">
        <v>1724</v>
      </c>
      <c r="AC572" s="20" t="s">
        <v>4610</v>
      </c>
      <c r="AD572" s="17"/>
      <c r="AE572" s="17" t="s">
        <v>877</v>
      </c>
      <c r="AF572" s="17"/>
      <c r="AG572" s="17"/>
      <c r="AH572" s="17"/>
      <c r="AI572" s="17"/>
      <c r="AJ572" s="17"/>
      <c r="AK572" s="17" t="s">
        <v>877</v>
      </c>
      <c r="AL572" t="e">
        <f t="shared" si="16"/>
        <v>#VALUE!</v>
      </c>
      <c r="AM572">
        <f t="shared" si="17"/>
        <v>46154</v>
      </c>
    </row>
    <row r="573" spans="1:39" ht="21.6" customHeight="1">
      <c r="A573" s="17">
        <v>56</v>
      </c>
      <c r="B573" s="17" t="s">
        <v>876</v>
      </c>
      <c r="C573" s="17">
        <v>2026051701</v>
      </c>
      <c r="D573" s="17"/>
      <c r="E573" s="17"/>
      <c r="F573" s="17">
        <v>4025</v>
      </c>
      <c r="G573" s="17" t="s">
        <v>3687</v>
      </c>
      <c r="H573" s="17" t="s">
        <v>1742</v>
      </c>
      <c r="I573" s="17"/>
      <c r="J573" s="17"/>
      <c r="K573" s="17"/>
      <c r="L573" s="17"/>
      <c r="M573" s="18"/>
      <c r="N573" s="17"/>
      <c r="O573" s="18"/>
      <c r="P573" s="19"/>
      <c r="Q573" s="17" t="s">
        <v>3690</v>
      </c>
      <c r="R573" s="17" t="s">
        <v>1719</v>
      </c>
      <c r="S573" s="17" t="s">
        <v>52</v>
      </c>
      <c r="T573" s="17">
        <v>1</v>
      </c>
      <c r="U573" s="17" t="s">
        <v>1720</v>
      </c>
      <c r="V573" s="17" t="s">
        <v>4611</v>
      </c>
      <c r="W573" s="17" t="s">
        <v>4609</v>
      </c>
      <c r="X573" s="70">
        <v>46154.586805555547</v>
      </c>
      <c r="Y573" s="17"/>
      <c r="Z573" s="17">
        <v>3.1</v>
      </c>
      <c r="AA573" s="17"/>
      <c r="AB573" s="17" t="s">
        <v>1724</v>
      </c>
      <c r="AC573" s="20" t="s">
        <v>2894</v>
      </c>
      <c r="AD573" s="17"/>
      <c r="AE573" s="17" t="s">
        <v>877</v>
      </c>
      <c r="AF573" s="17"/>
      <c r="AG573" s="17"/>
      <c r="AH573" s="17"/>
      <c r="AI573" s="17"/>
      <c r="AJ573" s="17"/>
      <c r="AK573" s="17" t="s">
        <v>877</v>
      </c>
      <c r="AL573" t="e">
        <f t="shared" si="16"/>
        <v>#VALUE!</v>
      </c>
      <c r="AM573">
        <f t="shared" si="17"/>
        <v>46154</v>
      </c>
    </row>
    <row r="574" spans="1:39" ht="21.6" customHeight="1">
      <c r="A574" s="17">
        <v>57</v>
      </c>
      <c r="B574" s="17" t="s">
        <v>876</v>
      </c>
      <c r="C574" s="17">
        <v>2026051763</v>
      </c>
      <c r="D574" s="17"/>
      <c r="E574" s="17"/>
      <c r="F574" s="17">
        <v>3416</v>
      </c>
      <c r="G574" s="17" t="s">
        <v>4600</v>
      </c>
      <c r="H574" s="17" t="s">
        <v>1991</v>
      </c>
      <c r="I574" s="17"/>
      <c r="J574" s="17"/>
      <c r="K574" s="17"/>
      <c r="L574" s="17"/>
      <c r="M574" s="18"/>
      <c r="N574" s="17"/>
      <c r="O574" s="18"/>
      <c r="P574" s="19"/>
      <c r="Q574" s="17" t="s">
        <v>4603</v>
      </c>
      <c r="R574" s="17" t="s">
        <v>1719</v>
      </c>
      <c r="S574" s="17" t="s">
        <v>195</v>
      </c>
      <c r="T574" s="17">
        <v>1</v>
      </c>
      <c r="U574" s="17" t="s">
        <v>1720</v>
      </c>
      <c r="V574" s="17" t="s">
        <v>4612</v>
      </c>
      <c r="W574" s="17" t="s">
        <v>4613</v>
      </c>
      <c r="X574" s="70">
        <v>46154.623611111107</v>
      </c>
      <c r="Y574" s="17"/>
      <c r="Z574" s="17">
        <v>0.3</v>
      </c>
      <c r="AA574" s="17"/>
      <c r="AB574" s="17" t="s">
        <v>1724</v>
      </c>
      <c r="AC574" s="20" t="s">
        <v>3575</v>
      </c>
      <c r="AD574" s="17" t="s">
        <v>877</v>
      </c>
      <c r="AE574" s="17"/>
      <c r="AF574" s="17"/>
      <c r="AG574" s="17"/>
      <c r="AH574" s="17"/>
      <c r="AI574" s="17"/>
      <c r="AJ574" s="17"/>
      <c r="AK574" s="17" t="s">
        <v>877</v>
      </c>
      <c r="AL574" t="e">
        <f t="shared" si="16"/>
        <v>#VALUE!</v>
      </c>
      <c r="AM574">
        <f t="shared" si="17"/>
        <v>46154</v>
      </c>
    </row>
    <row r="575" spans="1:39" ht="21.6" customHeight="1">
      <c r="A575" s="17">
        <v>50</v>
      </c>
      <c r="B575" s="17" t="s">
        <v>783</v>
      </c>
      <c r="C575" s="17">
        <v>2026051606</v>
      </c>
      <c r="D575" s="17" t="s">
        <v>4614</v>
      </c>
      <c r="E575" s="17" t="s">
        <v>1727</v>
      </c>
      <c r="F575" s="17">
        <v>5075</v>
      </c>
      <c r="G575" s="17" t="s">
        <v>3269</v>
      </c>
      <c r="H575" s="17" t="s">
        <v>1941</v>
      </c>
      <c r="I575" s="17" t="s">
        <v>4615</v>
      </c>
      <c r="J575" s="17" t="s">
        <v>2033</v>
      </c>
      <c r="K575" s="17" t="s">
        <v>1943</v>
      </c>
      <c r="L575" s="17" t="s">
        <v>1910</v>
      </c>
      <c r="M575" s="18" t="s">
        <v>1911</v>
      </c>
      <c r="N575" s="17" t="s">
        <v>1912</v>
      </c>
      <c r="O575" s="18" t="s">
        <v>1913</v>
      </c>
      <c r="P575" s="19" t="s">
        <v>4616</v>
      </c>
      <c r="Q575" s="17" t="s">
        <v>3270</v>
      </c>
      <c r="R575" s="17" t="s">
        <v>1719</v>
      </c>
      <c r="S575" s="17" t="s">
        <v>52</v>
      </c>
      <c r="T575" s="17">
        <v>1</v>
      </c>
      <c r="U575" s="17" t="s">
        <v>1720</v>
      </c>
      <c r="V575" s="17" t="s">
        <v>4617</v>
      </c>
      <c r="W575" s="17" t="s">
        <v>4618</v>
      </c>
      <c r="X575" s="70">
        <v>46155.488888888889</v>
      </c>
      <c r="Y575" s="17" t="s">
        <v>4619</v>
      </c>
      <c r="Z575" s="17">
        <v>0.7</v>
      </c>
      <c r="AA575" s="17"/>
      <c r="AB575" s="17" t="s">
        <v>1724</v>
      </c>
      <c r="AC575" s="20" t="s">
        <v>4620</v>
      </c>
      <c r="AD575" s="17"/>
      <c r="AE575" s="17"/>
      <c r="AF575" s="17"/>
      <c r="AG575" s="17"/>
      <c r="AH575" s="17"/>
      <c r="AI575" s="17"/>
      <c r="AJ575" s="17"/>
      <c r="AK575" s="17" t="s">
        <v>877</v>
      </c>
      <c r="AL575">
        <f t="shared" si="16"/>
        <v>46154</v>
      </c>
      <c r="AM575">
        <f t="shared" si="17"/>
        <v>46155</v>
      </c>
    </row>
    <row r="576" spans="1:39" ht="21.6" customHeight="1">
      <c r="A576" s="17">
        <v>58</v>
      </c>
      <c r="B576" s="17" t="s">
        <v>783</v>
      </c>
      <c r="C576" s="17">
        <v>2026051719</v>
      </c>
      <c r="D576" s="17" t="s">
        <v>4621</v>
      </c>
      <c r="E576" s="17" t="s">
        <v>1727</v>
      </c>
      <c r="F576" s="17">
        <v>2759</v>
      </c>
      <c r="G576" s="17" t="s">
        <v>4622</v>
      </c>
      <c r="H576" s="17" t="s">
        <v>1759</v>
      </c>
      <c r="I576" s="17" t="s">
        <v>4623</v>
      </c>
      <c r="J576" s="17" t="s">
        <v>2033</v>
      </c>
      <c r="K576" s="17" t="s">
        <v>1744</v>
      </c>
      <c r="L576" s="17" t="s">
        <v>1900</v>
      </c>
      <c r="M576" s="18" t="s">
        <v>1901</v>
      </c>
      <c r="N576" s="17">
        <v>6004</v>
      </c>
      <c r="O576" s="18" t="s">
        <v>1716</v>
      </c>
      <c r="P576" s="19" t="s">
        <v>4624</v>
      </c>
      <c r="Q576" s="17" t="s">
        <v>4625</v>
      </c>
      <c r="R576" s="17" t="s">
        <v>1719</v>
      </c>
      <c r="S576" s="17" t="s">
        <v>566</v>
      </c>
      <c r="T576" s="17">
        <v>1</v>
      </c>
      <c r="U576" s="17" t="s">
        <v>1720</v>
      </c>
      <c r="V576" s="17" t="s">
        <v>4626</v>
      </c>
      <c r="W576" s="17" t="s">
        <v>4627</v>
      </c>
      <c r="X576" s="70">
        <v>46155.5</v>
      </c>
      <c r="Y576" s="17" t="s">
        <v>4628</v>
      </c>
      <c r="Z576" s="17">
        <v>0.2</v>
      </c>
      <c r="AA576" s="17"/>
      <c r="AB576" s="17" t="s">
        <v>1724</v>
      </c>
      <c r="AC576" s="20" t="s">
        <v>4629</v>
      </c>
      <c r="AD576" s="17"/>
      <c r="AE576" s="17"/>
      <c r="AF576" s="17"/>
      <c r="AG576" s="17"/>
      <c r="AH576" s="17"/>
      <c r="AI576" s="17"/>
      <c r="AJ576" s="17"/>
      <c r="AK576" s="17" t="s">
        <v>877</v>
      </c>
      <c r="AL576">
        <f t="shared" si="16"/>
        <v>46154</v>
      </c>
      <c r="AM576">
        <f t="shared" si="17"/>
        <v>46155</v>
      </c>
    </row>
    <row r="577" spans="1:39" ht="21.6" customHeight="1">
      <c r="A577" s="17">
        <v>60</v>
      </c>
      <c r="B577" s="17" t="s">
        <v>876</v>
      </c>
      <c r="C577" s="17">
        <v>2026051803</v>
      </c>
      <c r="D577" s="17"/>
      <c r="E577" s="17"/>
      <c r="F577" s="17">
        <v>4025</v>
      </c>
      <c r="G577" s="17" t="s">
        <v>3687</v>
      </c>
      <c r="H577" s="17" t="s">
        <v>1742</v>
      </c>
      <c r="I577" s="17"/>
      <c r="J577" s="17"/>
      <c r="K577" s="17"/>
      <c r="L577" s="17"/>
      <c r="M577" s="18"/>
      <c r="N577" s="17"/>
      <c r="O577" s="18"/>
      <c r="P577" s="19"/>
      <c r="Q577" s="17" t="s">
        <v>3690</v>
      </c>
      <c r="R577" s="17" t="s">
        <v>1719</v>
      </c>
      <c r="S577" s="17" t="s">
        <v>206</v>
      </c>
      <c r="T577" s="17">
        <v>1</v>
      </c>
      <c r="U577" s="17" t="s">
        <v>1720</v>
      </c>
      <c r="V577" s="17" t="s">
        <v>4630</v>
      </c>
      <c r="W577" s="17" t="s">
        <v>4631</v>
      </c>
      <c r="X577" s="70">
        <v>46155.395833333343</v>
      </c>
      <c r="Y577" s="17"/>
      <c r="Z577" s="17">
        <v>0.5</v>
      </c>
      <c r="AA577" s="17"/>
      <c r="AB577" s="17" t="s">
        <v>1724</v>
      </c>
      <c r="AC577" s="20" t="s">
        <v>3575</v>
      </c>
      <c r="AD577" s="17" t="s">
        <v>877</v>
      </c>
      <c r="AE577" s="17"/>
      <c r="AF577" s="17"/>
      <c r="AG577" s="17"/>
      <c r="AH577" s="17"/>
      <c r="AI577" s="17"/>
      <c r="AJ577" s="17" t="s">
        <v>877</v>
      </c>
      <c r="AK577" s="17" t="s">
        <v>877</v>
      </c>
      <c r="AL577" t="e">
        <f t="shared" si="16"/>
        <v>#VALUE!</v>
      </c>
      <c r="AM577">
        <f t="shared" si="17"/>
        <v>46155</v>
      </c>
    </row>
    <row r="578" spans="1:39" ht="21.6" customHeight="1">
      <c r="A578" s="17">
        <v>61</v>
      </c>
      <c r="B578" s="17" t="s">
        <v>876</v>
      </c>
      <c r="C578" s="17">
        <v>2026051808</v>
      </c>
      <c r="D578" s="17"/>
      <c r="E578" s="17"/>
      <c r="F578" s="17">
        <v>3380</v>
      </c>
      <c r="G578" s="17" t="s">
        <v>3514</v>
      </c>
      <c r="H578" s="17" t="s">
        <v>1742</v>
      </c>
      <c r="I578" s="17"/>
      <c r="J578" s="17"/>
      <c r="K578" s="17"/>
      <c r="L578" s="17"/>
      <c r="M578" s="18"/>
      <c r="N578" s="17"/>
      <c r="O578" s="18"/>
      <c r="P578" s="19"/>
      <c r="Q578" s="17" t="s">
        <v>3515</v>
      </c>
      <c r="R578" s="17" t="s">
        <v>1719</v>
      </c>
      <c r="S578" s="17" t="s">
        <v>206</v>
      </c>
      <c r="T578" s="17">
        <v>1</v>
      </c>
      <c r="U578" s="17" t="s">
        <v>1720</v>
      </c>
      <c r="V578" s="17" t="s">
        <v>4632</v>
      </c>
      <c r="W578" s="17" t="s">
        <v>4633</v>
      </c>
      <c r="X578" s="70">
        <v>46155.427083333343</v>
      </c>
      <c r="Y578" s="17"/>
      <c r="Z578" s="17">
        <v>0.5</v>
      </c>
      <c r="AA578" s="17"/>
      <c r="AB578" s="17" t="s">
        <v>1724</v>
      </c>
      <c r="AC578" s="20" t="s">
        <v>3575</v>
      </c>
      <c r="AD578" s="17" t="s">
        <v>877</v>
      </c>
      <c r="AE578" s="17"/>
      <c r="AF578" s="17"/>
      <c r="AG578" s="17"/>
      <c r="AH578" s="17"/>
      <c r="AI578" s="17"/>
      <c r="AJ578" s="17" t="s">
        <v>877</v>
      </c>
      <c r="AK578" s="17" t="s">
        <v>877</v>
      </c>
      <c r="AL578" t="e">
        <f t="shared" ref="AL578:AL625" si="18">DATEVALUE(TEXT(I578, "yyyy/mm/dd"))</f>
        <v>#VALUE!</v>
      </c>
      <c r="AM578">
        <f t="shared" ref="AM578:AM625" si="19">DATEVALUE(TEXT(X578, "yyyy/mm/dd"))</f>
        <v>46155</v>
      </c>
    </row>
    <row r="579" spans="1:39" ht="21.6" customHeight="1">
      <c r="A579" s="17">
        <v>62</v>
      </c>
      <c r="B579" s="17" t="s">
        <v>876</v>
      </c>
      <c r="C579" s="17">
        <v>2026051823</v>
      </c>
      <c r="D579" s="17"/>
      <c r="E579" s="17"/>
      <c r="F579" s="17">
        <v>3052</v>
      </c>
      <c r="G579" s="17" t="s">
        <v>2265</v>
      </c>
      <c r="H579" s="17" t="s">
        <v>1742</v>
      </c>
      <c r="I579" s="17"/>
      <c r="J579" s="17"/>
      <c r="K579" s="17"/>
      <c r="L579" s="17"/>
      <c r="M579" s="18"/>
      <c r="N579" s="17"/>
      <c r="O579" s="18"/>
      <c r="P579" s="19"/>
      <c r="Q579" s="17" t="s">
        <v>2269</v>
      </c>
      <c r="R579" s="17" t="s">
        <v>1719</v>
      </c>
      <c r="S579" s="17" t="s">
        <v>206</v>
      </c>
      <c r="T579" s="17">
        <v>1</v>
      </c>
      <c r="U579" s="17" t="s">
        <v>1720</v>
      </c>
      <c r="V579" s="17" t="s">
        <v>4634</v>
      </c>
      <c r="W579" s="17" t="s">
        <v>4635</v>
      </c>
      <c r="X579" s="70">
        <v>46155.458333333343</v>
      </c>
      <c r="Y579" s="17"/>
      <c r="Z579" s="17">
        <v>0.5</v>
      </c>
      <c r="AA579" s="17"/>
      <c r="AB579" s="17" t="s">
        <v>1724</v>
      </c>
      <c r="AC579" s="20" t="s">
        <v>3575</v>
      </c>
      <c r="AD579" s="17" t="s">
        <v>877</v>
      </c>
      <c r="AE579" s="17"/>
      <c r="AF579" s="17"/>
      <c r="AG579" s="17"/>
      <c r="AH579" s="17"/>
      <c r="AI579" s="17"/>
      <c r="AJ579" s="17" t="s">
        <v>877</v>
      </c>
      <c r="AK579" s="17" t="s">
        <v>877</v>
      </c>
      <c r="AL579" t="e">
        <f t="shared" si="18"/>
        <v>#VALUE!</v>
      </c>
      <c r="AM579">
        <f t="shared" si="19"/>
        <v>46155</v>
      </c>
    </row>
    <row r="580" spans="1:39" ht="21.6" customHeight="1">
      <c r="A580" s="17">
        <v>63</v>
      </c>
      <c r="B580" s="17" t="s">
        <v>876</v>
      </c>
      <c r="C580" s="17">
        <v>2026051841</v>
      </c>
      <c r="D580" s="17"/>
      <c r="E580" s="17"/>
      <c r="F580" s="17">
        <v>2759</v>
      </c>
      <c r="G580" s="17" t="s">
        <v>4622</v>
      </c>
      <c r="H580" s="17" t="s">
        <v>1759</v>
      </c>
      <c r="I580" s="17"/>
      <c r="J580" s="17"/>
      <c r="K580" s="17"/>
      <c r="L580" s="17"/>
      <c r="M580" s="18"/>
      <c r="N580" s="17"/>
      <c r="O580" s="18"/>
      <c r="P580" s="19"/>
      <c r="Q580" s="17" t="s">
        <v>4625</v>
      </c>
      <c r="R580" s="17" t="s">
        <v>1719</v>
      </c>
      <c r="S580" s="17" t="s">
        <v>566</v>
      </c>
      <c r="T580" s="17">
        <v>1</v>
      </c>
      <c r="U580" s="17" t="s">
        <v>1720</v>
      </c>
      <c r="V580" s="17" t="s">
        <v>4636</v>
      </c>
      <c r="W580" s="17" t="s">
        <v>4637</v>
      </c>
      <c r="X580" s="70">
        <v>46155.51458333333</v>
      </c>
      <c r="Y580" s="17"/>
      <c r="Z580" s="17">
        <v>0.4</v>
      </c>
      <c r="AA580" s="17"/>
      <c r="AB580" s="17" t="s">
        <v>1724</v>
      </c>
      <c r="AC580" s="20" t="s">
        <v>3575</v>
      </c>
      <c r="AD580" s="17" t="s">
        <v>877</v>
      </c>
      <c r="AE580" s="17"/>
      <c r="AF580" s="17"/>
      <c r="AG580" s="17"/>
      <c r="AH580" s="17"/>
      <c r="AI580" s="17"/>
      <c r="AJ580" s="17" t="s">
        <v>877</v>
      </c>
      <c r="AK580" s="17" t="s">
        <v>877</v>
      </c>
      <c r="AL580" t="e">
        <f t="shared" si="18"/>
        <v>#VALUE!</v>
      </c>
      <c r="AM580">
        <f t="shared" si="19"/>
        <v>46155</v>
      </c>
    </row>
    <row r="581" spans="1:39" ht="21.6" customHeight="1">
      <c r="A581" s="17">
        <v>64</v>
      </c>
      <c r="B581" s="17" t="s">
        <v>876</v>
      </c>
      <c r="C581" s="17">
        <v>2026051890</v>
      </c>
      <c r="D581" s="17"/>
      <c r="E581" s="17"/>
      <c r="F581" s="17">
        <v>4701</v>
      </c>
      <c r="G581" s="17" t="s">
        <v>2830</v>
      </c>
      <c r="H581" s="17" t="s">
        <v>1742</v>
      </c>
      <c r="I581" s="17"/>
      <c r="J581" s="17"/>
      <c r="K581" s="17"/>
      <c r="L581" s="17"/>
      <c r="M581" s="18"/>
      <c r="N581" s="17"/>
      <c r="O581" s="18"/>
      <c r="P581" s="19"/>
      <c r="Q581" s="17" t="s">
        <v>2833</v>
      </c>
      <c r="R581" s="17" t="s">
        <v>1719</v>
      </c>
      <c r="S581" s="17" t="s">
        <v>206</v>
      </c>
      <c r="T581" s="17">
        <v>1</v>
      </c>
      <c r="U581" s="17" t="s">
        <v>1720</v>
      </c>
      <c r="V581" s="17" t="s">
        <v>4638</v>
      </c>
      <c r="W581" s="17" t="s">
        <v>4639</v>
      </c>
      <c r="X581" s="70">
        <v>46155.708333333343</v>
      </c>
      <c r="Y581" s="17"/>
      <c r="Z581" s="17">
        <v>3.5</v>
      </c>
      <c r="AA581" s="17"/>
      <c r="AB581" s="17" t="s">
        <v>1724</v>
      </c>
      <c r="AC581" s="20" t="s">
        <v>4640</v>
      </c>
      <c r="AD581" s="17" t="s">
        <v>877</v>
      </c>
      <c r="AE581" s="17"/>
      <c r="AF581" s="17"/>
      <c r="AG581" s="17"/>
      <c r="AH581" s="17"/>
      <c r="AI581" s="17"/>
      <c r="AJ581" s="17" t="s">
        <v>877</v>
      </c>
      <c r="AK581" s="17" t="s">
        <v>877</v>
      </c>
      <c r="AL581" t="e">
        <f t="shared" si="18"/>
        <v>#VALUE!</v>
      </c>
      <c r="AM581">
        <f t="shared" si="19"/>
        <v>46155</v>
      </c>
    </row>
    <row r="582" spans="1:39" ht="21.6" customHeight="1">
      <c r="A582" s="17">
        <v>64</v>
      </c>
      <c r="B582" s="17" t="s">
        <v>783</v>
      </c>
      <c r="C582" s="17">
        <v>2026051855</v>
      </c>
      <c r="D582" s="17" t="s">
        <v>4641</v>
      </c>
      <c r="E582" s="17" t="s">
        <v>1727</v>
      </c>
      <c r="F582" s="17" t="s">
        <v>2846</v>
      </c>
      <c r="G582" s="17" t="s">
        <v>2847</v>
      </c>
      <c r="H582" s="17" t="s">
        <v>1786</v>
      </c>
      <c r="I582" s="17" t="s">
        <v>4642</v>
      </c>
      <c r="J582" s="17" t="s">
        <v>2095</v>
      </c>
      <c r="K582" s="17" t="s">
        <v>1744</v>
      </c>
      <c r="L582" s="17" t="s">
        <v>1900</v>
      </c>
      <c r="M582" s="18" t="s">
        <v>1901</v>
      </c>
      <c r="N582" s="17">
        <v>6001</v>
      </c>
      <c r="O582" s="18" t="s">
        <v>2595</v>
      </c>
      <c r="P582" s="19" t="s">
        <v>4643</v>
      </c>
      <c r="Q582" s="17" t="s">
        <v>2851</v>
      </c>
      <c r="R582" s="17" t="s">
        <v>1719</v>
      </c>
      <c r="S582" s="17" t="s">
        <v>566</v>
      </c>
      <c r="T582" s="17">
        <v>1</v>
      </c>
      <c r="U582" s="17" t="s">
        <v>1720</v>
      </c>
      <c r="V582" s="17" t="s">
        <v>4644</v>
      </c>
      <c r="W582" s="17" t="s">
        <v>4645</v>
      </c>
      <c r="X582" s="70">
        <v>46156.520833333343</v>
      </c>
      <c r="Y582" s="17" t="s">
        <v>4646</v>
      </c>
      <c r="Z582" s="17">
        <v>0.5</v>
      </c>
      <c r="AA582" s="17"/>
      <c r="AB582" s="17" t="s">
        <v>1724</v>
      </c>
      <c r="AC582" s="20" t="s">
        <v>4647</v>
      </c>
      <c r="AD582" s="17"/>
      <c r="AE582" s="17"/>
      <c r="AF582" s="17"/>
      <c r="AG582" s="17"/>
      <c r="AH582" s="17"/>
      <c r="AI582" s="17"/>
      <c r="AJ582" s="17"/>
      <c r="AK582" s="17" t="s">
        <v>877</v>
      </c>
      <c r="AL582">
        <f t="shared" si="18"/>
        <v>46155</v>
      </c>
      <c r="AM582">
        <f t="shared" si="19"/>
        <v>46156</v>
      </c>
    </row>
    <row r="583" spans="1:39" ht="21.6" customHeight="1">
      <c r="A583" s="17">
        <v>65</v>
      </c>
      <c r="B583" s="17" t="s">
        <v>783</v>
      </c>
      <c r="C583" s="17">
        <v>2026051869</v>
      </c>
      <c r="D583" s="17" t="s">
        <v>4648</v>
      </c>
      <c r="E583" s="17" t="s">
        <v>1708</v>
      </c>
      <c r="F583" s="17">
        <v>4019</v>
      </c>
      <c r="G583" s="17" t="s">
        <v>2639</v>
      </c>
      <c r="H583" s="17" t="s">
        <v>1927</v>
      </c>
      <c r="I583" s="17" t="s">
        <v>4649</v>
      </c>
      <c r="J583" s="17" t="s">
        <v>2095</v>
      </c>
      <c r="K583" s="17" t="s">
        <v>1744</v>
      </c>
      <c r="L583" s="17" t="s">
        <v>1930</v>
      </c>
      <c r="M583" s="18" t="s">
        <v>1931</v>
      </c>
      <c r="N583" s="17">
        <v>2405</v>
      </c>
      <c r="O583" s="18" t="s">
        <v>1932</v>
      </c>
      <c r="P583" s="19" t="s">
        <v>4650</v>
      </c>
      <c r="Q583" s="17" t="s">
        <v>2640</v>
      </c>
      <c r="R583" s="17" t="s">
        <v>1719</v>
      </c>
      <c r="S583" s="17" t="s">
        <v>566</v>
      </c>
      <c r="T583" s="17">
        <v>1</v>
      </c>
      <c r="U583" s="17" t="s">
        <v>1720</v>
      </c>
      <c r="V583" s="17" t="s">
        <v>4651</v>
      </c>
      <c r="W583" s="17" t="s">
        <v>4652</v>
      </c>
      <c r="X583" s="70">
        <v>46155.803472222222</v>
      </c>
      <c r="Y583" s="17" t="s">
        <v>4653</v>
      </c>
      <c r="Z583" s="17">
        <v>1.5</v>
      </c>
      <c r="AA583" s="17"/>
      <c r="AB583" s="17" t="s">
        <v>1724</v>
      </c>
      <c r="AC583" s="20" t="s">
        <v>4654</v>
      </c>
      <c r="AD583" s="17"/>
      <c r="AE583" s="17"/>
      <c r="AF583" s="17"/>
      <c r="AG583" s="17"/>
      <c r="AH583" s="17"/>
      <c r="AI583" s="17"/>
      <c r="AJ583" s="17"/>
      <c r="AK583" s="17" t="s">
        <v>877</v>
      </c>
      <c r="AL583">
        <f t="shared" si="18"/>
        <v>46155</v>
      </c>
      <c r="AM583">
        <f t="shared" si="19"/>
        <v>46155</v>
      </c>
    </row>
    <row r="584" spans="1:39" ht="21.6" customHeight="1">
      <c r="A584" s="17">
        <v>67</v>
      </c>
      <c r="B584" s="17" t="s">
        <v>783</v>
      </c>
      <c r="C584" s="17">
        <v>2026051896</v>
      </c>
      <c r="D584" s="17" t="s">
        <v>4655</v>
      </c>
      <c r="E584" s="17" t="s">
        <v>1727</v>
      </c>
      <c r="F584" s="17">
        <v>4208</v>
      </c>
      <c r="G584" s="17" t="s">
        <v>2875</v>
      </c>
      <c r="H584" s="17" t="s">
        <v>1742</v>
      </c>
      <c r="I584" s="17" t="s">
        <v>4656</v>
      </c>
      <c r="J584" s="17" t="s">
        <v>2095</v>
      </c>
      <c r="K584" s="17" t="s">
        <v>1849</v>
      </c>
      <c r="L584" s="17" t="s">
        <v>1910</v>
      </c>
      <c r="M584" s="18" t="s">
        <v>1911</v>
      </c>
      <c r="N584" s="17" t="s">
        <v>1912</v>
      </c>
      <c r="O584" s="18" t="s">
        <v>1913</v>
      </c>
      <c r="P584" s="19" t="s">
        <v>4657</v>
      </c>
      <c r="Q584" s="17" t="s">
        <v>2878</v>
      </c>
      <c r="R584" s="17" t="s">
        <v>1719</v>
      </c>
      <c r="S584" s="17" t="s">
        <v>206</v>
      </c>
      <c r="T584" s="17">
        <v>1</v>
      </c>
      <c r="U584" s="17" t="s">
        <v>1720</v>
      </c>
      <c r="V584" s="17" t="s">
        <v>4658</v>
      </c>
      <c r="W584" s="17" t="s">
        <v>4659</v>
      </c>
      <c r="X584" s="70">
        <v>46156.625</v>
      </c>
      <c r="Y584" s="17" t="s">
        <v>4660</v>
      </c>
      <c r="Z584" s="17">
        <v>0.5</v>
      </c>
      <c r="AA584" s="17"/>
      <c r="AB584" s="17" t="s">
        <v>1724</v>
      </c>
      <c r="AC584" s="20" t="s">
        <v>4661</v>
      </c>
      <c r="AD584" s="17"/>
      <c r="AE584" s="17"/>
      <c r="AF584" s="17"/>
      <c r="AG584" s="17"/>
      <c r="AH584" s="17"/>
      <c r="AI584" s="17"/>
      <c r="AJ584" s="17"/>
      <c r="AK584" s="17" t="s">
        <v>877</v>
      </c>
      <c r="AL584">
        <f t="shared" si="18"/>
        <v>46155</v>
      </c>
      <c r="AM584">
        <f t="shared" si="19"/>
        <v>46156</v>
      </c>
    </row>
    <row r="585" spans="1:39" ht="21.6" customHeight="1">
      <c r="A585" s="17">
        <v>68</v>
      </c>
      <c r="B585" s="17" t="s">
        <v>783</v>
      </c>
      <c r="C585" s="17">
        <v>2026051901</v>
      </c>
      <c r="D585" s="17" t="s">
        <v>4662</v>
      </c>
      <c r="E585" s="17" t="s">
        <v>1727</v>
      </c>
      <c r="F585" s="17">
        <v>2209</v>
      </c>
      <c r="G585" s="17" t="s">
        <v>2006</v>
      </c>
      <c r="H585" s="17" t="s">
        <v>1759</v>
      </c>
      <c r="I585" s="17" t="s">
        <v>4663</v>
      </c>
      <c r="J585" s="17" t="s">
        <v>1712</v>
      </c>
      <c r="K585" s="17" t="s">
        <v>1713</v>
      </c>
      <c r="L585" s="17" t="s">
        <v>1714</v>
      </c>
      <c r="M585" s="18" t="s">
        <v>1715</v>
      </c>
      <c r="N585" s="17">
        <v>2307</v>
      </c>
      <c r="O585" s="18" t="s">
        <v>1974</v>
      </c>
      <c r="P585" s="19" t="s">
        <v>4664</v>
      </c>
      <c r="Q585" s="17" t="s">
        <v>2011</v>
      </c>
      <c r="R585" s="17" t="s">
        <v>1719</v>
      </c>
      <c r="S585" s="17" t="s">
        <v>566</v>
      </c>
      <c r="T585" s="17">
        <v>1</v>
      </c>
      <c r="U585" s="17" t="s">
        <v>1720</v>
      </c>
      <c r="V585" s="17" t="s">
        <v>4665</v>
      </c>
      <c r="W585" s="17" t="s">
        <v>4666</v>
      </c>
      <c r="X585" s="70">
        <v>46156.59375</v>
      </c>
      <c r="Y585" s="17" t="s">
        <v>4667</v>
      </c>
      <c r="Z585" s="17">
        <v>0.3</v>
      </c>
      <c r="AA585" s="17"/>
      <c r="AB585" s="17" t="s">
        <v>1724</v>
      </c>
      <c r="AC585" s="20" t="s">
        <v>4668</v>
      </c>
      <c r="AD585" s="17"/>
      <c r="AE585" s="17"/>
      <c r="AF585" s="17"/>
      <c r="AG585" s="17"/>
      <c r="AH585" s="17"/>
      <c r="AI585" s="17"/>
      <c r="AJ585" s="17"/>
      <c r="AK585" s="17" t="s">
        <v>877</v>
      </c>
      <c r="AL585">
        <f t="shared" si="18"/>
        <v>46156</v>
      </c>
      <c r="AM585">
        <f t="shared" si="19"/>
        <v>46156</v>
      </c>
    </row>
    <row r="586" spans="1:39" ht="21.6" customHeight="1">
      <c r="A586" s="17">
        <v>69</v>
      </c>
      <c r="B586" s="17" t="s">
        <v>876</v>
      </c>
      <c r="C586" s="17">
        <v>2026051966</v>
      </c>
      <c r="D586" s="17"/>
      <c r="E586" s="17"/>
      <c r="F586" s="17">
        <v>2209</v>
      </c>
      <c r="G586" s="17" t="s">
        <v>2006</v>
      </c>
      <c r="H586" s="17" t="s">
        <v>1759</v>
      </c>
      <c r="I586" s="17"/>
      <c r="J586" s="17"/>
      <c r="K586" s="17"/>
      <c r="L586" s="17"/>
      <c r="M586" s="18"/>
      <c r="N586" s="17"/>
      <c r="O586" s="18"/>
      <c r="P586" s="19"/>
      <c r="Q586" s="17" t="s">
        <v>2011</v>
      </c>
      <c r="R586" s="17" t="s">
        <v>1719</v>
      </c>
      <c r="S586" s="17" t="s">
        <v>566</v>
      </c>
      <c r="T586" s="17">
        <v>1</v>
      </c>
      <c r="U586" s="17" t="s">
        <v>1720</v>
      </c>
      <c r="V586" s="17" t="s">
        <v>4669</v>
      </c>
      <c r="W586" s="17" t="s">
        <v>4670</v>
      </c>
      <c r="X586" s="70">
        <v>46156.583333333343</v>
      </c>
      <c r="Y586" s="17"/>
      <c r="Z586" s="17">
        <v>0.3</v>
      </c>
      <c r="AA586" s="17"/>
      <c r="AB586" s="17" t="s">
        <v>1724</v>
      </c>
      <c r="AC586" s="20" t="s">
        <v>3575</v>
      </c>
      <c r="AD586" s="17" t="s">
        <v>877</v>
      </c>
      <c r="AE586" s="17"/>
      <c r="AF586" s="17"/>
      <c r="AG586" s="17"/>
      <c r="AH586" s="17"/>
      <c r="AI586" s="17"/>
      <c r="AJ586" s="17" t="s">
        <v>877</v>
      </c>
      <c r="AK586" s="17" t="s">
        <v>877</v>
      </c>
      <c r="AL586" t="e">
        <f t="shared" si="18"/>
        <v>#VALUE!</v>
      </c>
      <c r="AM586">
        <f t="shared" si="19"/>
        <v>46156</v>
      </c>
    </row>
    <row r="587" spans="1:39" ht="21.6" customHeight="1">
      <c r="A587" s="17">
        <v>70</v>
      </c>
      <c r="B587" s="17" t="s">
        <v>876</v>
      </c>
      <c r="C587" s="17">
        <v>2026051985</v>
      </c>
      <c r="D587" s="17"/>
      <c r="E587" s="17"/>
      <c r="F587" s="17">
        <v>3851</v>
      </c>
      <c r="G587" s="17" t="s">
        <v>4671</v>
      </c>
      <c r="H587" s="17" t="s">
        <v>1742</v>
      </c>
      <c r="I587" s="17"/>
      <c r="J587" s="17"/>
      <c r="K587" s="17"/>
      <c r="L587" s="17"/>
      <c r="M587" s="18"/>
      <c r="N587" s="17"/>
      <c r="O587" s="18"/>
      <c r="P587" s="19"/>
      <c r="Q587" s="17" t="s">
        <v>4672</v>
      </c>
      <c r="R587" s="17" t="s">
        <v>1719</v>
      </c>
      <c r="S587" s="17" t="s">
        <v>206</v>
      </c>
      <c r="T587" s="17">
        <v>1</v>
      </c>
      <c r="U587" s="17" t="s">
        <v>1720</v>
      </c>
      <c r="V587" s="17" t="s">
        <v>4673</v>
      </c>
      <c r="W587" s="17" t="s">
        <v>4674</v>
      </c>
      <c r="X587" s="70">
        <v>46156.638888888891</v>
      </c>
      <c r="Y587" s="17"/>
      <c r="Z587" s="17">
        <v>0.3</v>
      </c>
      <c r="AA587" s="17"/>
      <c r="AB587" s="17" t="s">
        <v>1724</v>
      </c>
      <c r="AC587" s="20" t="s">
        <v>3575</v>
      </c>
      <c r="AD587" s="17" t="s">
        <v>877</v>
      </c>
      <c r="AE587" s="17"/>
      <c r="AF587" s="17"/>
      <c r="AG587" s="17"/>
      <c r="AH587" s="17"/>
      <c r="AI587" s="17"/>
      <c r="AJ587" s="17" t="s">
        <v>877</v>
      </c>
      <c r="AK587" s="17" t="s">
        <v>877</v>
      </c>
      <c r="AL587" t="e">
        <f t="shared" si="18"/>
        <v>#VALUE!</v>
      </c>
      <c r="AM587">
        <f t="shared" si="19"/>
        <v>46156</v>
      </c>
    </row>
    <row r="588" spans="1:39" ht="21.6" customHeight="1">
      <c r="A588" s="17">
        <v>71</v>
      </c>
      <c r="B588" s="17" t="s">
        <v>783</v>
      </c>
      <c r="C588" s="17">
        <v>2026052006</v>
      </c>
      <c r="D588" s="17" t="s">
        <v>4675</v>
      </c>
      <c r="E588" s="17" t="s">
        <v>1727</v>
      </c>
      <c r="F588" s="17">
        <v>4552</v>
      </c>
      <c r="G588" s="17" t="s">
        <v>3334</v>
      </c>
      <c r="H588" s="17" t="s">
        <v>1742</v>
      </c>
      <c r="I588" s="17" t="s">
        <v>4676</v>
      </c>
      <c r="J588" s="17" t="s">
        <v>1712</v>
      </c>
      <c r="K588" s="17" t="s">
        <v>1744</v>
      </c>
      <c r="L588" s="17" t="s">
        <v>1745</v>
      </c>
      <c r="M588" s="18" t="s">
        <v>1746</v>
      </c>
      <c r="N588" s="17" t="s">
        <v>4081</v>
      </c>
      <c r="O588" s="18" t="s">
        <v>4082</v>
      </c>
      <c r="P588" s="19" t="s">
        <v>4677</v>
      </c>
      <c r="Q588" s="17" t="s">
        <v>3337</v>
      </c>
      <c r="R588" s="17" t="s">
        <v>1719</v>
      </c>
      <c r="S588" s="17" t="s">
        <v>206</v>
      </c>
      <c r="T588" s="17">
        <v>1</v>
      </c>
      <c r="U588" s="17" t="s">
        <v>1720</v>
      </c>
      <c r="V588" s="17" t="s">
        <v>4678</v>
      </c>
      <c r="W588" s="17" t="s">
        <v>4679</v>
      </c>
      <c r="X588" s="70">
        <v>46157.458333333343</v>
      </c>
      <c r="Y588" s="17" t="s">
        <v>4680</v>
      </c>
      <c r="Z588" s="17">
        <v>0.5</v>
      </c>
      <c r="AA588" s="17"/>
      <c r="AB588" s="17" t="s">
        <v>1724</v>
      </c>
      <c r="AC588" s="20" t="s">
        <v>4681</v>
      </c>
      <c r="AD588" s="17"/>
      <c r="AE588" s="17"/>
      <c r="AF588" s="17"/>
      <c r="AG588" s="17"/>
      <c r="AH588" s="17"/>
      <c r="AI588" s="17"/>
      <c r="AJ588" s="17"/>
      <c r="AK588" s="17" t="s">
        <v>877</v>
      </c>
      <c r="AL588">
        <f t="shared" si="18"/>
        <v>46156</v>
      </c>
      <c r="AM588">
        <f t="shared" si="19"/>
        <v>46157</v>
      </c>
    </row>
    <row r="589" spans="1:39" ht="21.6" customHeight="1">
      <c r="A589" s="17">
        <v>72</v>
      </c>
      <c r="B589" s="17" t="s">
        <v>876</v>
      </c>
      <c r="C589" s="17">
        <v>2026052103</v>
      </c>
      <c r="D589" s="17"/>
      <c r="E589" s="17"/>
      <c r="F589" s="17">
        <v>4552</v>
      </c>
      <c r="G589" s="17" t="s">
        <v>3334</v>
      </c>
      <c r="H589" s="17" t="s">
        <v>1742</v>
      </c>
      <c r="I589" s="17"/>
      <c r="J589" s="17"/>
      <c r="K589" s="17"/>
      <c r="L589" s="17"/>
      <c r="M589" s="18"/>
      <c r="N589" s="17"/>
      <c r="O589" s="18"/>
      <c r="P589" s="19"/>
      <c r="Q589" s="17" t="s">
        <v>3337</v>
      </c>
      <c r="R589" s="17" t="s">
        <v>1719</v>
      </c>
      <c r="S589" s="17" t="s">
        <v>206</v>
      </c>
      <c r="T589" s="17">
        <v>1</v>
      </c>
      <c r="U589" s="17" t="s">
        <v>1720</v>
      </c>
      <c r="V589" s="17" t="s">
        <v>4682</v>
      </c>
      <c r="W589" s="17" t="s">
        <v>4683</v>
      </c>
      <c r="X589" s="70">
        <v>46157.479166666657</v>
      </c>
      <c r="Y589" s="17"/>
      <c r="Z589" s="17">
        <v>0.5</v>
      </c>
      <c r="AA589" s="17"/>
      <c r="AB589" s="17" t="s">
        <v>1724</v>
      </c>
      <c r="AC589" s="20" t="s">
        <v>3575</v>
      </c>
      <c r="AD589" s="17" t="s">
        <v>877</v>
      </c>
      <c r="AE589" s="17"/>
      <c r="AF589" s="17"/>
      <c r="AG589" s="17"/>
      <c r="AH589" s="17"/>
      <c r="AI589" s="17"/>
      <c r="AJ589" s="17" t="s">
        <v>877</v>
      </c>
      <c r="AK589" s="17" t="s">
        <v>877</v>
      </c>
      <c r="AL589" t="e">
        <f t="shared" si="18"/>
        <v>#VALUE!</v>
      </c>
      <c r="AM589">
        <f t="shared" si="19"/>
        <v>46157</v>
      </c>
    </row>
    <row r="590" spans="1:39" ht="21.6" customHeight="1">
      <c r="A590" s="17">
        <v>73</v>
      </c>
      <c r="B590" s="17" t="s">
        <v>876</v>
      </c>
      <c r="C590" s="17">
        <v>2026052107</v>
      </c>
      <c r="D590" s="17"/>
      <c r="E590" s="17"/>
      <c r="F590" s="17">
        <v>3318</v>
      </c>
      <c r="G590" s="17" t="s">
        <v>3395</v>
      </c>
      <c r="H590" s="17" t="s">
        <v>1786</v>
      </c>
      <c r="I590" s="17"/>
      <c r="J590" s="17"/>
      <c r="K590" s="17"/>
      <c r="L590" s="17"/>
      <c r="M590" s="18"/>
      <c r="N590" s="17"/>
      <c r="O590" s="18"/>
      <c r="P590" s="19"/>
      <c r="Q590" s="17" t="s">
        <v>3396</v>
      </c>
      <c r="R590" s="17" t="s">
        <v>1719</v>
      </c>
      <c r="S590" s="17" t="s">
        <v>566</v>
      </c>
      <c r="T590" s="17">
        <v>1</v>
      </c>
      <c r="U590" s="17" t="s">
        <v>1720</v>
      </c>
      <c r="V590" s="17" t="s">
        <v>4684</v>
      </c>
      <c r="W590" s="17" t="s">
        <v>4685</v>
      </c>
      <c r="X590" s="70">
        <v>46157.487500000003</v>
      </c>
      <c r="Y590" s="17"/>
      <c r="Z590" s="17">
        <v>0.4</v>
      </c>
      <c r="AA590" s="17"/>
      <c r="AB590" s="17" t="s">
        <v>1724</v>
      </c>
      <c r="AC590" s="20" t="s">
        <v>3575</v>
      </c>
      <c r="AD590" s="17" t="s">
        <v>877</v>
      </c>
      <c r="AE590" s="17"/>
      <c r="AF590" s="17"/>
      <c r="AG590" s="17"/>
      <c r="AH590" s="17"/>
      <c r="AI590" s="17"/>
      <c r="AJ590" s="17" t="s">
        <v>877</v>
      </c>
      <c r="AK590" s="17" t="s">
        <v>877</v>
      </c>
      <c r="AL590" t="e">
        <f t="shared" si="18"/>
        <v>#VALUE!</v>
      </c>
      <c r="AM590">
        <f t="shared" si="19"/>
        <v>46157</v>
      </c>
    </row>
    <row r="591" spans="1:39" ht="21.6" customHeight="1">
      <c r="A591" s="17">
        <v>69</v>
      </c>
      <c r="B591" s="17" t="s">
        <v>783</v>
      </c>
      <c r="C591" s="17">
        <v>2026051908</v>
      </c>
      <c r="D591" s="17" t="s">
        <v>4686</v>
      </c>
      <c r="E591" s="17" t="s">
        <v>1727</v>
      </c>
      <c r="F591" s="17">
        <v>3008</v>
      </c>
      <c r="G591" s="17" t="s">
        <v>3302</v>
      </c>
      <c r="H591" s="17" t="s">
        <v>1941</v>
      </c>
      <c r="I591" s="17" t="s">
        <v>4687</v>
      </c>
      <c r="J591" s="17" t="s">
        <v>1712</v>
      </c>
      <c r="K591" s="17" t="s">
        <v>1713</v>
      </c>
      <c r="L591" s="17" t="s">
        <v>1900</v>
      </c>
      <c r="M591" s="18" t="s">
        <v>1901</v>
      </c>
      <c r="N591" s="17">
        <v>6003</v>
      </c>
      <c r="O591" s="18" t="s">
        <v>1852</v>
      </c>
      <c r="P591" s="19" t="s">
        <v>4688</v>
      </c>
      <c r="Q591" s="17" t="s">
        <v>3303</v>
      </c>
      <c r="R591" s="17" t="s">
        <v>1719</v>
      </c>
      <c r="S591" s="17" t="s">
        <v>52</v>
      </c>
      <c r="T591" s="17">
        <v>1</v>
      </c>
      <c r="U591" s="17" t="s">
        <v>1720</v>
      </c>
      <c r="V591" s="17" t="s">
        <v>4689</v>
      </c>
      <c r="W591" s="17" t="s">
        <v>4683</v>
      </c>
      <c r="X591" s="70">
        <v>46157.490972222222</v>
      </c>
      <c r="Y591" s="17" t="s">
        <v>4690</v>
      </c>
      <c r="Z591" s="17">
        <v>0.8</v>
      </c>
      <c r="AA591" s="17"/>
      <c r="AB591" s="17" t="s">
        <v>1724</v>
      </c>
      <c r="AC591" s="20" t="s">
        <v>4691</v>
      </c>
      <c r="AD591" s="17"/>
      <c r="AE591" s="17"/>
      <c r="AF591" s="17"/>
      <c r="AG591" s="17"/>
      <c r="AH591" s="17"/>
      <c r="AI591" s="17"/>
      <c r="AJ591" s="17"/>
      <c r="AK591" s="17" t="s">
        <v>877</v>
      </c>
      <c r="AL591">
        <f t="shared" si="18"/>
        <v>46156</v>
      </c>
      <c r="AM591">
        <f t="shared" si="19"/>
        <v>46157</v>
      </c>
    </row>
    <row r="592" spans="1:39" ht="21.6" customHeight="1">
      <c r="A592" s="17">
        <v>75</v>
      </c>
      <c r="B592" s="17" t="s">
        <v>876</v>
      </c>
      <c r="C592" s="17">
        <v>2026052115</v>
      </c>
      <c r="D592" s="17"/>
      <c r="E592" s="17"/>
      <c r="F592" s="17">
        <v>4762</v>
      </c>
      <c r="G592" s="17" t="s">
        <v>4692</v>
      </c>
      <c r="H592" s="17" t="s">
        <v>1742</v>
      </c>
      <c r="I592" s="17"/>
      <c r="J592" s="17"/>
      <c r="K592" s="17"/>
      <c r="L592" s="17"/>
      <c r="M592" s="18"/>
      <c r="N592" s="17"/>
      <c r="O592" s="18"/>
      <c r="P592" s="19"/>
      <c r="Q592" s="17" t="s">
        <v>4693</v>
      </c>
      <c r="R592" s="17" t="s">
        <v>1719</v>
      </c>
      <c r="S592" s="17" t="s">
        <v>206</v>
      </c>
      <c r="T592" s="17">
        <v>1</v>
      </c>
      <c r="U592" s="17" t="s">
        <v>1720</v>
      </c>
      <c r="V592" s="17" t="s">
        <v>4694</v>
      </c>
      <c r="W592" s="17" t="s">
        <v>4695</v>
      </c>
      <c r="X592" s="70">
        <v>46157.552083333343</v>
      </c>
      <c r="Y592" s="17"/>
      <c r="Z592" s="17">
        <v>0.5</v>
      </c>
      <c r="AA592" s="17"/>
      <c r="AB592" s="17" t="s">
        <v>1724</v>
      </c>
      <c r="AC592" s="20" t="s">
        <v>3575</v>
      </c>
      <c r="AD592" s="17" t="s">
        <v>877</v>
      </c>
      <c r="AE592" s="17"/>
      <c r="AF592" s="17"/>
      <c r="AG592" s="17"/>
      <c r="AH592" s="17"/>
      <c r="AI592" s="17"/>
      <c r="AJ592" s="17" t="s">
        <v>877</v>
      </c>
      <c r="AK592" s="17" t="s">
        <v>877</v>
      </c>
      <c r="AL592" t="e">
        <f t="shared" si="18"/>
        <v>#VALUE!</v>
      </c>
      <c r="AM592">
        <f t="shared" si="19"/>
        <v>46157</v>
      </c>
    </row>
    <row r="593" spans="1:39" ht="21.6" customHeight="1">
      <c r="A593" s="17">
        <v>76</v>
      </c>
      <c r="B593" s="17" t="s">
        <v>876</v>
      </c>
      <c r="C593" s="17">
        <v>2026052120</v>
      </c>
      <c r="D593" s="17"/>
      <c r="E593" s="17"/>
      <c r="F593" s="17">
        <v>3999</v>
      </c>
      <c r="G593" s="17" t="s">
        <v>4696</v>
      </c>
      <c r="H593" s="17" t="s">
        <v>1742</v>
      </c>
      <c r="I593" s="17"/>
      <c r="J593" s="17"/>
      <c r="K593" s="17"/>
      <c r="L593" s="17"/>
      <c r="M593" s="18"/>
      <c r="N593" s="17"/>
      <c r="O593" s="18"/>
      <c r="P593" s="19"/>
      <c r="Q593" s="17" t="s">
        <v>4697</v>
      </c>
      <c r="R593" s="17" t="s">
        <v>1719</v>
      </c>
      <c r="S593" s="17" t="s">
        <v>206</v>
      </c>
      <c r="T593" s="17">
        <v>1</v>
      </c>
      <c r="U593" s="17" t="s">
        <v>1720</v>
      </c>
      <c r="V593" s="17" t="s">
        <v>4698</v>
      </c>
      <c r="W593" s="17" t="s">
        <v>4699</v>
      </c>
      <c r="X593" s="70">
        <v>46157.572916666657</v>
      </c>
      <c r="Y593" s="17"/>
      <c r="Z593" s="17">
        <v>0.5</v>
      </c>
      <c r="AA593" s="17"/>
      <c r="AB593" s="17" t="s">
        <v>1724</v>
      </c>
      <c r="AC593" s="20" t="s">
        <v>3575</v>
      </c>
      <c r="AD593" s="17" t="s">
        <v>877</v>
      </c>
      <c r="AE593" s="17"/>
      <c r="AF593" s="17"/>
      <c r="AG593" s="17"/>
      <c r="AH593" s="17"/>
      <c r="AI593" s="17"/>
      <c r="AJ593" s="17" t="s">
        <v>877</v>
      </c>
      <c r="AK593" s="17" t="s">
        <v>877</v>
      </c>
      <c r="AL593" t="e">
        <f t="shared" si="18"/>
        <v>#VALUE!</v>
      </c>
      <c r="AM593">
        <f t="shared" si="19"/>
        <v>46157</v>
      </c>
    </row>
    <row r="594" spans="1:39" ht="21.6" customHeight="1">
      <c r="A594" s="17">
        <v>77</v>
      </c>
      <c r="B594" s="17" t="s">
        <v>876</v>
      </c>
      <c r="C594" s="17">
        <v>2026052128</v>
      </c>
      <c r="D594" s="17"/>
      <c r="E594" s="17"/>
      <c r="F594" s="17" t="s">
        <v>3123</v>
      </c>
      <c r="G594" s="17" t="s">
        <v>3124</v>
      </c>
      <c r="H594" s="17" t="s">
        <v>1786</v>
      </c>
      <c r="I594" s="17"/>
      <c r="J594" s="17"/>
      <c r="K594" s="17"/>
      <c r="L594" s="17"/>
      <c r="M594" s="18"/>
      <c r="N594" s="17"/>
      <c r="O594" s="18"/>
      <c r="P594" s="19"/>
      <c r="Q594" s="17" t="s">
        <v>3127</v>
      </c>
      <c r="R594" s="17" t="s">
        <v>1719</v>
      </c>
      <c r="S594" s="17" t="s">
        <v>566</v>
      </c>
      <c r="T594" s="17">
        <v>1</v>
      </c>
      <c r="U594" s="17" t="s">
        <v>1720</v>
      </c>
      <c r="V594" s="17" t="s">
        <v>4700</v>
      </c>
      <c r="W594" s="17" t="s">
        <v>4701</v>
      </c>
      <c r="X594" s="70">
        <v>46157.609722222223</v>
      </c>
      <c r="Y594" s="17"/>
      <c r="Z594" s="17">
        <v>0.4</v>
      </c>
      <c r="AA594" s="17"/>
      <c r="AB594" s="17" t="s">
        <v>1724</v>
      </c>
      <c r="AC594" s="20" t="s">
        <v>3575</v>
      </c>
      <c r="AD594" s="17" t="s">
        <v>877</v>
      </c>
      <c r="AE594" s="17"/>
      <c r="AF594" s="17"/>
      <c r="AG594" s="17"/>
      <c r="AH594" s="17"/>
      <c r="AI594" s="17"/>
      <c r="AJ594" s="17" t="s">
        <v>877</v>
      </c>
      <c r="AK594" s="17" t="s">
        <v>877</v>
      </c>
      <c r="AL594" t="e">
        <f t="shared" si="18"/>
        <v>#VALUE!</v>
      </c>
      <c r="AM594">
        <f t="shared" si="19"/>
        <v>46157</v>
      </c>
    </row>
    <row r="595" spans="1:39" ht="21.6" customHeight="1">
      <c r="A595" s="17">
        <v>78</v>
      </c>
      <c r="B595" s="17" t="s">
        <v>783</v>
      </c>
      <c r="C595" s="17">
        <v>2026052129</v>
      </c>
      <c r="D595" s="17" t="s">
        <v>4702</v>
      </c>
      <c r="E595" s="17" t="s">
        <v>1727</v>
      </c>
      <c r="F595" s="17">
        <v>3883</v>
      </c>
      <c r="G595" s="17" t="s">
        <v>2031</v>
      </c>
      <c r="H595" s="17" t="s">
        <v>1786</v>
      </c>
      <c r="I595" s="17" t="s">
        <v>4703</v>
      </c>
      <c r="J595" s="17" t="s">
        <v>1788</v>
      </c>
      <c r="K595" s="17" t="s">
        <v>1744</v>
      </c>
      <c r="L595" s="17" t="s">
        <v>1714</v>
      </c>
      <c r="M595" s="18" t="s">
        <v>1715</v>
      </c>
      <c r="N595" s="17">
        <v>2307</v>
      </c>
      <c r="O595" s="18" t="s">
        <v>1974</v>
      </c>
      <c r="P595" s="19" t="s">
        <v>4704</v>
      </c>
      <c r="Q595" s="17" t="s">
        <v>2037</v>
      </c>
      <c r="R595" s="17" t="s">
        <v>1719</v>
      </c>
      <c r="S595" s="17" t="s">
        <v>566</v>
      </c>
      <c r="T595" s="17">
        <v>1</v>
      </c>
      <c r="U595" s="17" t="s">
        <v>1720</v>
      </c>
      <c r="V595" s="17" t="s">
        <v>4705</v>
      </c>
      <c r="W595" s="17" t="s">
        <v>4706</v>
      </c>
      <c r="X595" s="70">
        <v>46160.474305555559</v>
      </c>
      <c r="Y595" s="17" t="s">
        <v>4707</v>
      </c>
      <c r="Z595" s="17">
        <v>0.5</v>
      </c>
      <c r="AA595" s="17"/>
      <c r="AB595" s="17" t="s">
        <v>1724</v>
      </c>
      <c r="AC595" s="20" t="s">
        <v>4708</v>
      </c>
      <c r="AD595" s="17"/>
      <c r="AE595" s="17"/>
      <c r="AF595" s="17"/>
      <c r="AG595" s="17"/>
      <c r="AH595" s="17"/>
      <c r="AI595" s="17"/>
      <c r="AJ595" s="17"/>
      <c r="AK595" s="17" t="s">
        <v>877</v>
      </c>
      <c r="AL595">
        <f t="shared" si="18"/>
        <v>46157</v>
      </c>
      <c r="AM595">
        <f t="shared" si="19"/>
        <v>46160</v>
      </c>
    </row>
    <row r="596" spans="1:39" ht="21.6" customHeight="1">
      <c r="A596" s="17">
        <v>79</v>
      </c>
      <c r="B596" s="17" t="s">
        <v>783</v>
      </c>
      <c r="C596" s="17">
        <v>2026052137</v>
      </c>
      <c r="D596" s="17" t="s">
        <v>4709</v>
      </c>
      <c r="E596" s="17" t="s">
        <v>1727</v>
      </c>
      <c r="F596" s="17">
        <v>4025</v>
      </c>
      <c r="G596" s="17" t="s">
        <v>3687</v>
      </c>
      <c r="H596" s="17" t="s">
        <v>1742</v>
      </c>
      <c r="I596" s="17" t="s">
        <v>4710</v>
      </c>
      <c r="J596" s="17" t="s">
        <v>1788</v>
      </c>
      <c r="K596" s="17" t="s">
        <v>1744</v>
      </c>
      <c r="L596" s="17" t="s">
        <v>1714</v>
      </c>
      <c r="M596" s="18" t="s">
        <v>1715</v>
      </c>
      <c r="N596" s="17">
        <v>2307</v>
      </c>
      <c r="O596" s="18" t="s">
        <v>1974</v>
      </c>
      <c r="P596" s="19" t="s">
        <v>4711</v>
      </c>
      <c r="Q596" s="17" t="s">
        <v>3690</v>
      </c>
      <c r="R596" s="17" t="s">
        <v>1719</v>
      </c>
      <c r="S596" s="17" t="s">
        <v>206</v>
      </c>
      <c r="T596" s="17">
        <v>1</v>
      </c>
      <c r="U596" s="17" t="s">
        <v>1720</v>
      </c>
      <c r="V596" s="17" t="s">
        <v>4712</v>
      </c>
      <c r="W596" s="17" t="s">
        <v>4713</v>
      </c>
      <c r="X596" s="70">
        <v>46160.416666666657</v>
      </c>
      <c r="Y596" s="17" t="s">
        <v>4714</v>
      </c>
      <c r="Z596" s="17">
        <v>1</v>
      </c>
      <c r="AA596" s="17"/>
      <c r="AB596" s="17" t="s">
        <v>1724</v>
      </c>
      <c r="AC596" s="20" t="s">
        <v>4715</v>
      </c>
      <c r="AD596" s="17"/>
      <c r="AE596" s="17"/>
      <c r="AF596" s="17"/>
      <c r="AG596" s="17"/>
      <c r="AH596" s="17"/>
      <c r="AI596" s="17"/>
      <c r="AJ596" s="17"/>
      <c r="AK596" s="17" t="s">
        <v>877</v>
      </c>
      <c r="AL596">
        <f t="shared" si="18"/>
        <v>46157</v>
      </c>
      <c r="AM596">
        <f t="shared" si="19"/>
        <v>46160</v>
      </c>
    </row>
    <row r="597" spans="1:39" ht="21.6" customHeight="1">
      <c r="A597" s="17">
        <v>80</v>
      </c>
      <c r="B597" s="17" t="s">
        <v>876</v>
      </c>
      <c r="C597" s="17">
        <v>2026052198</v>
      </c>
      <c r="D597" s="17"/>
      <c r="E597" s="17"/>
      <c r="F597" s="17">
        <v>4629</v>
      </c>
      <c r="G597" s="17" t="s">
        <v>4716</v>
      </c>
      <c r="H597" s="17" t="s">
        <v>1941</v>
      </c>
      <c r="I597" s="17"/>
      <c r="J597" s="17"/>
      <c r="K597" s="17"/>
      <c r="L597" s="17"/>
      <c r="M597" s="18"/>
      <c r="N597" s="17"/>
      <c r="O597" s="18"/>
      <c r="P597" s="19"/>
      <c r="Q597" s="17" t="s">
        <v>4717</v>
      </c>
      <c r="R597" s="17" t="s">
        <v>1719</v>
      </c>
      <c r="S597" s="17" t="s">
        <v>52</v>
      </c>
      <c r="T597" s="17">
        <v>1</v>
      </c>
      <c r="U597" s="17" t="s">
        <v>1720</v>
      </c>
      <c r="V597" s="17" t="s">
        <v>4718</v>
      </c>
      <c r="W597" s="17" t="s">
        <v>4719</v>
      </c>
      <c r="X597" s="70">
        <v>46157.690972222219</v>
      </c>
      <c r="Y597" s="17"/>
      <c r="Z597" s="17">
        <v>2.6</v>
      </c>
      <c r="AA597" s="17"/>
      <c r="AB597" s="17" t="s">
        <v>1724</v>
      </c>
      <c r="AC597" s="20" t="s">
        <v>4640</v>
      </c>
      <c r="AD597" s="17" t="s">
        <v>877</v>
      </c>
      <c r="AE597" s="17" t="s">
        <v>877</v>
      </c>
      <c r="AF597" s="17"/>
      <c r="AG597" s="17"/>
      <c r="AH597" s="17"/>
      <c r="AI597" s="17"/>
      <c r="AJ597" s="17"/>
      <c r="AK597" s="17" t="s">
        <v>877</v>
      </c>
      <c r="AL597" t="e">
        <f t="shared" si="18"/>
        <v>#VALUE!</v>
      </c>
      <c r="AM597">
        <f t="shared" si="19"/>
        <v>46157</v>
      </c>
    </row>
    <row r="598" spans="1:39" ht="21.6" customHeight="1">
      <c r="A598" s="17">
        <v>81</v>
      </c>
      <c r="B598" s="17" t="s">
        <v>783</v>
      </c>
      <c r="C598" s="17">
        <v>2026052225</v>
      </c>
      <c r="D598" s="17" t="s">
        <v>4720</v>
      </c>
      <c r="E598" s="17" t="s">
        <v>1727</v>
      </c>
      <c r="F598" s="17">
        <v>4528</v>
      </c>
      <c r="G598" s="17" t="s">
        <v>2077</v>
      </c>
      <c r="H598" s="17" t="s">
        <v>1710</v>
      </c>
      <c r="I598" s="17" t="s">
        <v>4721</v>
      </c>
      <c r="J598" s="17" t="s">
        <v>1899</v>
      </c>
      <c r="K598" s="17" t="s">
        <v>1713</v>
      </c>
      <c r="L598" s="17" t="s">
        <v>1773</v>
      </c>
      <c r="M598" s="18" t="s">
        <v>1774</v>
      </c>
      <c r="N598" s="17">
        <v>5801</v>
      </c>
      <c r="O598" s="18" t="s">
        <v>1775</v>
      </c>
      <c r="P598" s="19" t="s">
        <v>4722</v>
      </c>
      <c r="Q598" s="17" t="s">
        <v>2078</v>
      </c>
      <c r="R598" s="17" t="s">
        <v>1719</v>
      </c>
      <c r="S598" s="17" t="s">
        <v>52</v>
      </c>
      <c r="T598" s="17">
        <v>1</v>
      </c>
      <c r="U598" s="17" t="s">
        <v>1720</v>
      </c>
      <c r="V598" s="17" t="s">
        <v>4723</v>
      </c>
      <c r="W598" s="17" t="s">
        <v>4724</v>
      </c>
      <c r="X598" s="70">
        <v>46160.458333333343</v>
      </c>
      <c r="Y598" s="17" t="s">
        <v>4725</v>
      </c>
      <c r="Z598" s="17">
        <v>1</v>
      </c>
      <c r="AA598" s="17"/>
      <c r="AB598" s="17" t="s">
        <v>1724</v>
      </c>
      <c r="AC598" s="20" t="s">
        <v>4726</v>
      </c>
      <c r="AD598" s="17"/>
      <c r="AE598" s="17"/>
      <c r="AF598" s="17"/>
      <c r="AG598" s="17"/>
      <c r="AH598" s="17"/>
      <c r="AI598" s="17"/>
      <c r="AJ598" s="17"/>
      <c r="AK598" s="17" t="s">
        <v>877</v>
      </c>
      <c r="AL598">
        <f t="shared" si="18"/>
        <v>46159</v>
      </c>
      <c r="AM598">
        <f t="shared" si="19"/>
        <v>46160</v>
      </c>
    </row>
    <row r="599" spans="1:39" ht="21.6" customHeight="1">
      <c r="A599" s="17">
        <v>82</v>
      </c>
      <c r="B599" s="17" t="s">
        <v>783</v>
      </c>
      <c r="C599" s="17">
        <v>2026052233</v>
      </c>
      <c r="D599" s="17" t="s">
        <v>4727</v>
      </c>
      <c r="E599" s="17" t="s">
        <v>1727</v>
      </c>
      <c r="F599" s="17">
        <v>3913</v>
      </c>
      <c r="G599" s="17" t="s">
        <v>1785</v>
      </c>
      <c r="H599" s="17" t="s">
        <v>1786</v>
      </c>
      <c r="I599" s="17" t="s">
        <v>4728</v>
      </c>
      <c r="J599" s="17" t="s">
        <v>1899</v>
      </c>
      <c r="K599" s="17" t="s">
        <v>1744</v>
      </c>
      <c r="L599" s="17" t="s">
        <v>1714</v>
      </c>
      <c r="M599" s="18" t="s">
        <v>1715</v>
      </c>
      <c r="N599" s="17">
        <v>2302</v>
      </c>
      <c r="O599" s="18" t="s">
        <v>3650</v>
      </c>
      <c r="P599" s="19" t="s">
        <v>4729</v>
      </c>
      <c r="Q599" s="17" t="s">
        <v>1794</v>
      </c>
      <c r="R599" s="17" t="s">
        <v>1719</v>
      </c>
      <c r="S599" s="17" t="s">
        <v>566</v>
      </c>
      <c r="T599" s="17">
        <v>1</v>
      </c>
      <c r="U599" s="17" t="s">
        <v>1720</v>
      </c>
      <c r="V599" s="17" t="s">
        <v>4730</v>
      </c>
      <c r="W599" s="17" t="s">
        <v>4731</v>
      </c>
      <c r="X599" s="70">
        <v>46160.522222222222</v>
      </c>
      <c r="Y599" s="17" t="s">
        <v>4725</v>
      </c>
      <c r="Z599" s="17">
        <v>0.5</v>
      </c>
      <c r="AA599" s="17"/>
      <c r="AB599" s="17" t="s">
        <v>1724</v>
      </c>
      <c r="AC599" s="20" t="s">
        <v>4732</v>
      </c>
      <c r="AD599" s="17"/>
      <c r="AE599" s="17"/>
      <c r="AF599" s="17"/>
      <c r="AG599" s="17"/>
      <c r="AH599" s="17"/>
      <c r="AI599" s="17"/>
      <c r="AJ599" s="17"/>
      <c r="AK599" s="17" t="s">
        <v>877</v>
      </c>
      <c r="AL599">
        <f t="shared" si="18"/>
        <v>46159</v>
      </c>
      <c r="AM599">
        <f t="shared" si="19"/>
        <v>46160</v>
      </c>
    </row>
    <row r="600" spans="1:39" ht="21.6" customHeight="1">
      <c r="A600" s="17">
        <v>83</v>
      </c>
      <c r="B600" s="17" t="s">
        <v>876</v>
      </c>
      <c r="C600" s="17">
        <v>2026052272</v>
      </c>
      <c r="D600" s="17"/>
      <c r="E600" s="17" t="s">
        <v>1041</v>
      </c>
      <c r="F600" s="17">
        <v>4528</v>
      </c>
      <c r="G600" s="17" t="s">
        <v>2077</v>
      </c>
      <c r="H600" s="17" t="s">
        <v>1710</v>
      </c>
      <c r="I600" s="17"/>
      <c r="J600" s="17"/>
      <c r="K600" s="17"/>
      <c r="L600" s="17"/>
      <c r="M600" s="18"/>
      <c r="N600" s="17"/>
      <c r="O600" s="18"/>
      <c r="P600" s="19"/>
      <c r="Q600" s="17" t="s">
        <v>2078</v>
      </c>
      <c r="R600" s="17" t="s">
        <v>1719</v>
      </c>
      <c r="S600" s="17" t="s">
        <v>52</v>
      </c>
      <c r="T600" s="17">
        <v>1</v>
      </c>
      <c r="U600" s="17" t="s">
        <v>1720</v>
      </c>
      <c r="V600" s="17" t="s">
        <v>4733</v>
      </c>
      <c r="W600" s="17" t="s">
        <v>4734</v>
      </c>
      <c r="X600" s="70">
        <v>46160.416666666657</v>
      </c>
      <c r="Y600" s="17"/>
      <c r="Z600" s="17">
        <v>0.5</v>
      </c>
      <c r="AA600" s="17"/>
      <c r="AB600" s="17" t="s">
        <v>1724</v>
      </c>
      <c r="AC600" s="20" t="s">
        <v>3575</v>
      </c>
      <c r="AD600" s="17" t="s">
        <v>877</v>
      </c>
      <c r="AE600" s="17"/>
      <c r="AF600" s="17"/>
      <c r="AG600" s="17"/>
      <c r="AH600" s="17"/>
      <c r="AI600" s="17"/>
      <c r="AJ600" s="17"/>
      <c r="AK600" s="17" t="s">
        <v>877</v>
      </c>
      <c r="AL600" t="e">
        <f t="shared" si="18"/>
        <v>#VALUE!</v>
      </c>
      <c r="AM600">
        <f t="shared" si="19"/>
        <v>46160</v>
      </c>
    </row>
    <row r="601" spans="1:39" ht="21.6" customHeight="1">
      <c r="A601" s="17">
        <v>84</v>
      </c>
      <c r="B601" s="17" t="s">
        <v>876</v>
      </c>
      <c r="C601" s="17">
        <v>2026052275</v>
      </c>
      <c r="D601" s="17"/>
      <c r="E601" s="17"/>
      <c r="F601" s="17">
        <v>3883</v>
      </c>
      <c r="G601" s="17" t="s">
        <v>2031</v>
      </c>
      <c r="H601" s="17" t="s">
        <v>1786</v>
      </c>
      <c r="I601" s="17"/>
      <c r="J601" s="17"/>
      <c r="K601" s="17"/>
      <c r="L601" s="17"/>
      <c r="M601" s="18"/>
      <c r="N601" s="17"/>
      <c r="O601" s="18"/>
      <c r="P601" s="19"/>
      <c r="Q601" s="17" t="s">
        <v>2037</v>
      </c>
      <c r="R601" s="17" t="s">
        <v>1719</v>
      </c>
      <c r="S601" s="17" t="s">
        <v>566</v>
      </c>
      <c r="T601" s="17">
        <v>1</v>
      </c>
      <c r="U601" s="17" t="s">
        <v>1720</v>
      </c>
      <c r="V601" s="17" t="s">
        <v>4735</v>
      </c>
      <c r="W601" s="17" t="s">
        <v>4736</v>
      </c>
      <c r="X601" s="70">
        <v>46160.454861111109</v>
      </c>
      <c r="Y601" s="17"/>
      <c r="Z601" s="17">
        <v>0.4</v>
      </c>
      <c r="AA601" s="17"/>
      <c r="AB601" s="17" t="s">
        <v>1724</v>
      </c>
      <c r="AC601" s="20" t="s">
        <v>3575</v>
      </c>
      <c r="AD601" s="17" t="s">
        <v>877</v>
      </c>
      <c r="AE601" s="17"/>
      <c r="AF601" s="17"/>
      <c r="AG601" s="17"/>
      <c r="AH601" s="17"/>
      <c r="AI601" s="17"/>
      <c r="AJ601" s="17" t="s">
        <v>877</v>
      </c>
      <c r="AK601" s="17" t="s">
        <v>877</v>
      </c>
      <c r="AL601" t="e">
        <f t="shared" si="18"/>
        <v>#VALUE!</v>
      </c>
      <c r="AM601">
        <f t="shared" si="19"/>
        <v>46160</v>
      </c>
    </row>
    <row r="602" spans="1:39" ht="21.6" customHeight="1">
      <c r="A602" s="17">
        <v>85</v>
      </c>
      <c r="B602" s="17" t="s">
        <v>876</v>
      </c>
      <c r="C602" s="17">
        <v>2026052277</v>
      </c>
      <c r="D602" s="17"/>
      <c r="E602" s="17"/>
      <c r="F602" s="17">
        <v>5466</v>
      </c>
      <c r="G602" s="17" t="s">
        <v>4737</v>
      </c>
      <c r="H602" s="17" t="s">
        <v>1710</v>
      </c>
      <c r="I602" s="17"/>
      <c r="J602" s="17"/>
      <c r="K602" s="17"/>
      <c r="L602" s="17"/>
      <c r="M602" s="18"/>
      <c r="N602" s="17"/>
      <c r="O602" s="18"/>
      <c r="P602" s="19"/>
      <c r="Q602" s="17" t="s">
        <v>4738</v>
      </c>
      <c r="R602" s="17" t="s">
        <v>1719</v>
      </c>
      <c r="S602" s="17" t="s">
        <v>52</v>
      </c>
      <c r="T602" s="17">
        <v>1</v>
      </c>
      <c r="U602" s="17" t="s">
        <v>1720</v>
      </c>
      <c r="V602" s="17" t="s">
        <v>4739</v>
      </c>
      <c r="W602" s="17" t="s">
        <v>4740</v>
      </c>
      <c r="X602" s="70">
        <v>46160.486111111109</v>
      </c>
      <c r="Y602" s="17"/>
      <c r="Z602" s="17">
        <v>0.3</v>
      </c>
      <c r="AA602" s="17"/>
      <c r="AB602" s="17" t="s">
        <v>1724</v>
      </c>
      <c r="AC602" s="20" t="s">
        <v>3575</v>
      </c>
      <c r="AD602" s="17" t="s">
        <v>877</v>
      </c>
      <c r="AE602" s="17"/>
      <c r="AF602" s="17"/>
      <c r="AG602" s="17"/>
      <c r="AH602" s="17"/>
      <c r="AI602" s="17"/>
      <c r="AJ602" s="17"/>
      <c r="AK602" s="17" t="s">
        <v>877</v>
      </c>
      <c r="AL602" t="e">
        <f t="shared" si="18"/>
        <v>#VALUE!</v>
      </c>
      <c r="AM602">
        <f t="shared" si="19"/>
        <v>46160</v>
      </c>
    </row>
    <row r="603" spans="1:39" ht="21.6" customHeight="1">
      <c r="A603" s="17">
        <v>86</v>
      </c>
      <c r="B603" s="17" t="s">
        <v>876</v>
      </c>
      <c r="C603" s="17">
        <v>2026052292</v>
      </c>
      <c r="D603" s="17"/>
      <c r="E603" s="17"/>
      <c r="F603" s="17">
        <v>4243</v>
      </c>
      <c r="G603" s="17" t="s">
        <v>2082</v>
      </c>
      <c r="H603" s="17" t="s">
        <v>1710</v>
      </c>
      <c r="I603" s="17"/>
      <c r="J603" s="17"/>
      <c r="K603" s="17"/>
      <c r="L603" s="17"/>
      <c r="M603" s="18"/>
      <c r="N603" s="17"/>
      <c r="O603" s="18"/>
      <c r="P603" s="19"/>
      <c r="Q603" s="17" t="s">
        <v>2083</v>
      </c>
      <c r="R603" s="17" t="s">
        <v>1719</v>
      </c>
      <c r="S603" s="17" t="s">
        <v>52</v>
      </c>
      <c r="T603" s="17">
        <v>1</v>
      </c>
      <c r="U603" s="17" t="s">
        <v>1720</v>
      </c>
      <c r="V603" s="17" t="s">
        <v>4741</v>
      </c>
      <c r="W603" s="17" t="s">
        <v>4742</v>
      </c>
      <c r="X603" s="70">
        <v>46160.548611111109</v>
      </c>
      <c r="Y603" s="17"/>
      <c r="Z603" s="17">
        <v>0.3</v>
      </c>
      <c r="AA603" s="17"/>
      <c r="AB603" s="17" t="s">
        <v>1724</v>
      </c>
      <c r="AC603" s="20" t="s">
        <v>3890</v>
      </c>
      <c r="AD603" s="17" t="s">
        <v>877</v>
      </c>
      <c r="AE603" s="17"/>
      <c r="AF603" s="17"/>
      <c r="AG603" s="17"/>
      <c r="AH603" s="17"/>
      <c r="AI603" s="17"/>
      <c r="AJ603" s="17"/>
      <c r="AK603" s="17" t="s">
        <v>877</v>
      </c>
      <c r="AL603" t="e">
        <f t="shared" si="18"/>
        <v>#VALUE!</v>
      </c>
      <c r="AM603">
        <f t="shared" si="19"/>
        <v>46160</v>
      </c>
    </row>
    <row r="604" spans="1:39" ht="21.6" customHeight="1">
      <c r="A604" s="17">
        <v>87</v>
      </c>
      <c r="B604" s="17" t="s">
        <v>876</v>
      </c>
      <c r="C604" s="17">
        <v>2026052293</v>
      </c>
      <c r="D604" s="17"/>
      <c r="E604" s="17"/>
      <c r="F604" s="17">
        <v>3458</v>
      </c>
      <c r="G604" s="17" t="s">
        <v>2087</v>
      </c>
      <c r="H604" s="17" t="s">
        <v>1710</v>
      </c>
      <c r="I604" s="17"/>
      <c r="J604" s="17"/>
      <c r="K604" s="17"/>
      <c r="L604" s="17"/>
      <c r="M604" s="18"/>
      <c r="N604" s="17"/>
      <c r="O604" s="18"/>
      <c r="P604" s="19"/>
      <c r="Q604" s="17" t="s">
        <v>2088</v>
      </c>
      <c r="R604" s="17" t="s">
        <v>1719</v>
      </c>
      <c r="S604" s="17" t="s">
        <v>52</v>
      </c>
      <c r="T604" s="17">
        <v>1</v>
      </c>
      <c r="U604" s="17" t="s">
        <v>1720</v>
      </c>
      <c r="V604" s="17" t="s">
        <v>4743</v>
      </c>
      <c r="W604" s="17" t="s">
        <v>4744</v>
      </c>
      <c r="X604" s="70">
        <v>46160.568749999999</v>
      </c>
      <c r="Y604" s="17"/>
      <c r="Z604" s="17">
        <v>0.4</v>
      </c>
      <c r="AA604" s="17"/>
      <c r="AB604" s="17" t="s">
        <v>1724</v>
      </c>
      <c r="AC604" s="20" t="s">
        <v>3890</v>
      </c>
      <c r="AD604" s="17" t="s">
        <v>877</v>
      </c>
      <c r="AE604" s="17"/>
      <c r="AF604" s="17"/>
      <c r="AG604" s="17"/>
      <c r="AH604" s="17"/>
      <c r="AI604" s="17"/>
      <c r="AJ604" s="17"/>
      <c r="AK604" s="17" t="s">
        <v>877</v>
      </c>
      <c r="AL604" t="e">
        <f t="shared" si="18"/>
        <v>#VALUE!</v>
      </c>
      <c r="AM604">
        <f t="shared" si="19"/>
        <v>46160</v>
      </c>
    </row>
    <row r="605" spans="1:39" ht="21.6" customHeight="1">
      <c r="A605" s="17">
        <v>88</v>
      </c>
      <c r="B605" s="17" t="s">
        <v>876</v>
      </c>
      <c r="C605" s="17">
        <v>2026052298</v>
      </c>
      <c r="D605" s="17"/>
      <c r="E605" s="17"/>
      <c r="F605" s="17">
        <v>3751</v>
      </c>
      <c r="G605" s="17" t="s">
        <v>4745</v>
      </c>
      <c r="H605" s="17" t="s">
        <v>1812</v>
      </c>
      <c r="I605" s="17"/>
      <c r="J605" s="17"/>
      <c r="K605" s="17"/>
      <c r="L605" s="17"/>
      <c r="M605" s="18"/>
      <c r="N605" s="17"/>
      <c r="O605" s="18"/>
      <c r="P605" s="19"/>
      <c r="Q605" s="17" t="s">
        <v>4746</v>
      </c>
      <c r="R605" s="17" t="s">
        <v>1719</v>
      </c>
      <c r="S605" s="17" t="s">
        <v>52</v>
      </c>
      <c r="T605" s="17">
        <v>1</v>
      </c>
      <c r="U605" s="17" t="s">
        <v>1720</v>
      </c>
      <c r="V605" s="17" t="s">
        <v>4747</v>
      </c>
      <c r="W605" s="17" t="s">
        <v>4748</v>
      </c>
      <c r="X605" s="70">
        <v>46160.586805555547</v>
      </c>
      <c r="Y605" s="17"/>
      <c r="Z605" s="17">
        <v>0.3</v>
      </c>
      <c r="AA605" s="17"/>
      <c r="AB605" s="17" t="s">
        <v>1724</v>
      </c>
      <c r="AC605" s="20" t="s">
        <v>3575</v>
      </c>
      <c r="AD605" s="17" t="s">
        <v>877</v>
      </c>
      <c r="AE605" s="17"/>
      <c r="AF605" s="17"/>
      <c r="AG605" s="17"/>
      <c r="AH605" s="17"/>
      <c r="AI605" s="17"/>
      <c r="AJ605" s="17"/>
      <c r="AK605" s="17" t="s">
        <v>877</v>
      </c>
      <c r="AL605" t="e">
        <f t="shared" si="18"/>
        <v>#VALUE!</v>
      </c>
      <c r="AM605">
        <f t="shared" si="19"/>
        <v>46160</v>
      </c>
    </row>
    <row r="606" spans="1:39" ht="21.6" customHeight="1">
      <c r="A606" s="17">
        <v>89</v>
      </c>
      <c r="B606" s="17" t="s">
        <v>876</v>
      </c>
      <c r="C606" s="17">
        <v>2026052345</v>
      </c>
      <c r="D606" s="17"/>
      <c r="E606" s="17"/>
      <c r="F606" s="17">
        <v>3955</v>
      </c>
      <c r="G606" s="17" t="s">
        <v>4053</v>
      </c>
      <c r="H606" s="17" t="s">
        <v>1991</v>
      </c>
      <c r="I606" s="17"/>
      <c r="J606" s="17"/>
      <c r="K606" s="17"/>
      <c r="L606" s="17"/>
      <c r="M606" s="18"/>
      <c r="N606" s="17"/>
      <c r="O606" s="18"/>
      <c r="P606" s="19"/>
      <c r="Q606" s="17" t="s">
        <v>4056</v>
      </c>
      <c r="R606" s="17" t="s">
        <v>1719</v>
      </c>
      <c r="S606" s="17" t="s">
        <v>206</v>
      </c>
      <c r="T606" s="17">
        <v>1</v>
      </c>
      <c r="U606" s="17" t="s">
        <v>1720</v>
      </c>
      <c r="V606" s="17" t="s">
        <v>4749</v>
      </c>
      <c r="W606" s="17" t="s">
        <v>4750</v>
      </c>
      <c r="X606" s="70">
        <v>46160.625</v>
      </c>
      <c r="Y606" s="17"/>
      <c r="Z606" s="17">
        <v>0.5</v>
      </c>
      <c r="AA606" s="17"/>
      <c r="AB606" s="17" t="s">
        <v>1724</v>
      </c>
      <c r="AC606" s="20" t="s">
        <v>3703</v>
      </c>
      <c r="AD606" s="17"/>
      <c r="AE606" s="17" t="s">
        <v>877</v>
      </c>
      <c r="AF606" s="17"/>
      <c r="AG606" s="17"/>
      <c r="AH606" s="17"/>
      <c r="AI606" s="17"/>
      <c r="AJ606" s="17"/>
      <c r="AK606" s="17" t="s">
        <v>877</v>
      </c>
      <c r="AL606" t="e">
        <f t="shared" si="18"/>
        <v>#VALUE!</v>
      </c>
      <c r="AM606">
        <f t="shared" si="19"/>
        <v>46160</v>
      </c>
    </row>
    <row r="607" spans="1:39" ht="21.6" customHeight="1">
      <c r="A607" s="17">
        <v>90</v>
      </c>
      <c r="B607" s="17" t="s">
        <v>876</v>
      </c>
      <c r="C607" s="17">
        <v>2026052347</v>
      </c>
      <c r="D607" s="17"/>
      <c r="E607" s="17"/>
      <c r="F607" s="17">
        <v>3955</v>
      </c>
      <c r="G607" s="17" t="s">
        <v>4053</v>
      </c>
      <c r="H607" s="17" t="s">
        <v>1991</v>
      </c>
      <c r="I607" s="17"/>
      <c r="J607" s="17"/>
      <c r="K607" s="17"/>
      <c r="L607" s="17"/>
      <c r="M607" s="18"/>
      <c r="N607" s="17"/>
      <c r="O607" s="18"/>
      <c r="P607" s="19"/>
      <c r="Q607" s="17" t="s">
        <v>4056</v>
      </c>
      <c r="R607" s="17" t="s">
        <v>1719</v>
      </c>
      <c r="S607" s="17" t="s">
        <v>195</v>
      </c>
      <c r="T607" s="17">
        <v>1</v>
      </c>
      <c r="U607" s="17" t="s">
        <v>1720</v>
      </c>
      <c r="V607" s="17" t="s">
        <v>4751</v>
      </c>
      <c r="W607" s="17" t="s">
        <v>4750</v>
      </c>
      <c r="X607" s="70">
        <v>46160.625</v>
      </c>
      <c r="Y607" s="17"/>
      <c r="Z607" s="17">
        <v>0.5</v>
      </c>
      <c r="AA607" s="17"/>
      <c r="AB607" s="17" t="s">
        <v>1724</v>
      </c>
      <c r="AC607" s="20" t="s">
        <v>4752</v>
      </c>
      <c r="AD607" s="17"/>
      <c r="AE607" s="17"/>
      <c r="AF607" s="17" t="s">
        <v>877</v>
      </c>
      <c r="AG607" s="17"/>
      <c r="AH607" s="17"/>
      <c r="AI607" s="17"/>
      <c r="AJ607" s="17"/>
      <c r="AK607" s="17" t="s">
        <v>877</v>
      </c>
      <c r="AL607" t="e">
        <f t="shared" si="18"/>
        <v>#VALUE!</v>
      </c>
      <c r="AM607">
        <f t="shared" si="19"/>
        <v>46160</v>
      </c>
    </row>
    <row r="608" spans="1:39" ht="21.6" customHeight="1">
      <c r="A608" s="17">
        <v>91</v>
      </c>
      <c r="B608" s="17" t="s">
        <v>876</v>
      </c>
      <c r="C608" s="17">
        <v>2026052351</v>
      </c>
      <c r="D608" s="17"/>
      <c r="E608" s="17"/>
      <c r="F608" s="17">
        <v>5060</v>
      </c>
      <c r="G608" s="17" t="s">
        <v>3435</v>
      </c>
      <c r="H608" s="17" t="s">
        <v>1812</v>
      </c>
      <c r="I608" s="17"/>
      <c r="J608" s="17"/>
      <c r="K608" s="17"/>
      <c r="L608" s="17"/>
      <c r="M608" s="18"/>
      <c r="N608" s="17"/>
      <c r="O608" s="18"/>
      <c r="P608" s="19"/>
      <c r="Q608" s="17" t="s">
        <v>3436</v>
      </c>
      <c r="R608" s="17" t="s">
        <v>1719</v>
      </c>
      <c r="S608" s="17" t="s">
        <v>52</v>
      </c>
      <c r="T608" s="17">
        <v>1</v>
      </c>
      <c r="U608" s="17" t="s">
        <v>1720</v>
      </c>
      <c r="V608" s="17" t="s">
        <v>4753</v>
      </c>
      <c r="W608" s="17" t="s">
        <v>4754</v>
      </c>
      <c r="X608" s="70">
        <v>46160.636111111111</v>
      </c>
      <c r="Y608" s="17"/>
      <c r="Z608" s="17">
        <v>0.4</v>
      </c>
      <c r="AA608" s="17"/>
      <c r="AB608" s="17" t="s">
        <v>1724</v>
      </c>
      <c r="AC608" s="20" t="s">
        <v>3575</v>
      </c>
      <c r="AD608" s="17" t="s">
        <v>877</v>
      </c>
      <c r="AE608" s="17"/>
      <c r="AF608" s="17"/>
      <c r="AG608" s="17"/>
      <c r="AH608" s="17"/>
      <c r="AI608" s="17"/>
      <c r="AJ608" s="17"/>
      <c r="AK608" s="17" t="s">
        <v>877</v>
      </c>
      <c r="AL608" t="e">
        <f t="shared" si="18"/>
        <v>#VALUE!</v>
      </c>
      <c r="AM608">
        <f t="shared" si="19"/>
        <v>46160</v>
      </c>
    </row>
    <row r="609" spans="1:39" ht="21.6" customHeight="1">
      <c r="A609" s="17">
        <v>92</v>
      </c>
      <c r="B609" s="17" t="s">
        <v>876</v>
      </c>
      <c r="C609" s="17">
        <v>2026052360</v>
      </c>
      <c r="D609" s="17"/>
      <c r="E609" s="17"/>
      <c r="F609" s="17">
        <v>2749</v>
      </c>
      <c r="G609" s="17" t="s">
        <v>2566</v>
      </c>
      <c r="H609" s="17" t="s">
        <v>1812</v>
      </c>
      <c r="I609" s="17"/>
      <c r="J609" s="17"/>
      <c r="K609" s="17"/>
      <c r="L609" s="17"/>
      <c r="M609" s="18"/>
      <c r="N609" s="17"/>
      <c r="O609" s="18"/>
      <c r="P609" s="19"/>
      <c r="Q609" s="17" t="s">
        <v>2567</v>
      </c>
      <c r="R609" s="17" t="s">
        <v>1719</v>
      </c>
      <c r="S609" s="17" t="s">
        <v>52</v>
      </c>
      <c r="T609" s="17">
        <v>1</v>
      </c>
      <c r="U609" s="17" t="s">
        <v>1720</v>
      </c>
      <c r="V609" s="17" t="s">
        <v>4755</v>
      </c>
      <c r="W609" s="17" t="s">
        <v>4756</v>
      </c>
      <c r="X609" s="70">
        <v>46160.668055555558</v>
      </c>
      <c r="Y609" s="17"/>
      <c r="Z609" s="17">
        <v>0.4</v>
      </c>
      <c r="AA609" s="17"/>
      <c r="AB609" s="17" t="s">
        <v>1724</v>
      </c>
      <c r="AC609" s="20" t="s">
        <v>3575</v>
      </c>
      <c r="AD609" s="17" t="s">
        <v>877</v>
      </c>
      <c r="AE609" s="17"/>
      <c r="AF609" s="17"/>
      <c r="AG609" s="17"/>
      <c r="AH609" s="17"/>
      <c r="AI609" s="17"/>
      <c r="AJ609" s="17"/>
      <c r="AK609" s="17" t="s">
        <v>877</v>
      </c>
      <c r="AL609" t="e">
        <f t="shared" si="18"/>
        <v>#VALUE!</v>
      </c>
      <c r="AM609">
        <f t="shared" si="19"/>
        <v>46160</v>
      </c>
    </row>
    <row r="610" spans="1:39" ht="21.6" customHeight="1">
      <c r="A610" s="17">
        <v>93</v>
      </c>
      <c r="B610" s="17" t="s">
        <v>876</v>
      </c>
      <c r="C610" s="17">
        <v>2026052373</v>
      </c>
      <c r="D610" s="17"/>
      <c r="E610" s="17"/>
      <c r="F610" s="17">
        <v>5080</v>
      </c>
      <c r="G610" s="17" t="s">
        <v>2582</v>
      </c>
      <c r="H610" s="17" t="s">
        <v>2572</v>
      </c>
      <c r="I610" s="17"/>
      <c r="J610" s="17"/>
      <c r="K610" s="17"/>
      <c r="L610" s="17"/>
      <c r="M610" s="18"/>
      <c r="N610" s="17"/>
      <c r="O610" s="18"/>
      <c r="P610" s="19"/>
      <c r="Q610" s="17" t="s">
        <v>2583</v>
      </c>
      <c r="R610" s="17" t="s">
        <v>1719</v>
      </c>
      <c r="S610" s="17" t="s">
        <v>52</v>
      </c>
      <c r="T610" s="17">
        <v>1</v>
      </c>
      <c r="U610" s="17" t="s">
        <v>1720</v>
      </c>
      <c r="V610" s="17" t="s">
        <v>4757</v>
      </c>
      <c r="W610" s="17" t="s">
        <v>4758</v>
      </c>
      <c r="X610" s="70">
        <v>46160.694444444453</v>
      </c>
      <c r="Y610" s="17"/>
      <c r="Z610" s="17">
        <v>0.3</v>
      </c>
      <c r="AA610" s="17"/>
      <c r="AB610" s="17" t="s">
        <v>1724</v>
      </c>
      <c r="AC610" s="20" t="s">
        <v>3575</v>
      </c>
      <c r="AD610" s="17" t="s">
        <v>877</v>
      </c>
      <c r="AE610" s="17"/>
      <c r="AF610" s="17"/>
      <c r="AG610" s="17"/>
      <c r="AH610" s="17"/>
      <c r="AI610" s="17"/>
      <c r="AJ610" s="17"/>
      <c r="AK610" s="17" t="s">
        <v>877</v>
      </c>
      <c r="AL610" t="e">
        <f t="shared" si="18"/>
        <v>#VALUE!</v>
      </c>
      <c r="AM610">
        <f t="shared" si="19"/>
        <v>46160</v>
      </c>
    </row>
    <row r="611" spans="1:39" ht="21.6" customHeight="1">
      <c r="A611" s="17">
        <v>94</v>
      </c>
      <c r="B611" s="17" t="s">
        <v>876</v>
      </c>
      <c r="C611" s="17">
        <v>2026052398</v>
      </c>
      <c r="D611" s="17"/>
      <c r="E611" s="17"/>
      <c r="F611" s="17">
        <v>4739</v>
      </c>
      <c r="G611" s="17" t="s">
        <v>2586</v>
      </c>
      <c r="H611" s="17" t="s">
        <v>1812</v>
      </c>
      <c r="I611" s="17"/>
      <c r="J611" s="17"/>
      <c r="K611" s="17"/>
      <c r="L611" s="17"/>
      <c r="M611" s="18"/>
      <c r="N611" s="17"/>
      <c r="O611" s="18"/>
      <c r="P611" s="19"/>
      <c r="Q611" s="17" t="s">
        <v>2587</v>
      </c>
      <c r="R611" s="17" t="s">
        <v>1719</v>
      </c>
      <c r="S611" s="17" t="s">
        <v>52</v>
      </c>
      <c r="T611" s="17">
        <v>1</v>
      </c>
      <c r="U611" s="17" t="s">
        <v>1720</v>
      </c>
      <c r="V611" s="17" t="s">
        <v>4759</v>
      </c>
      <c r="W611" s="17" t="s">
        <v>4760</v>
      </c>
      <c r="X611" s="70">
        <v>46160.719444444447</v>
      </c>
      <c r="Y611" s="17"/>
      <c r="Z611" s="17">
        <v>0.3</v>
      </c>
      <c r="AA611" s="17"/>
      <c r="AB611" s="17" t="s">
        <v>1724</v>
      </c>
      <c r="AC611" s="20" t="s">
        <v>3575</v>
      </c>
      <c r="AD611" s="17" t="s">
        <v>877</v>
      </c>
      <c r="AE611" s="17"/>
      <c r="AF611" s="17"/>
      <c r="AG611" s="17"/>
      <c r="AH611" s="17"/>
      <c r="AI611" s="17"/>
      <c r="AJ611" s="17"/>
      <c r="AK611" s="17" t="s">
        <v>877</v>
      </c>
      <c r="AL611" t="e">
        <f t="shared" si="18"/>
        <v>#VALUE!</v>
      </c>
      <c r="AM611">
        <f t="shared" si="19"/>
        <v>46160</v>
      </c>
    </row>
    <row r="612" spans="1:39" ht="21.6" customHeight="1">
      <c r="A612" s="17">
        <v>95</v>
      </c>
      <c r="B612" s="17" t="s">
        <v>876</v>
      </c>
      <c r="C612" s="17">
        <v>2026052422</v>
      </c>
      <c r="D612" s="17"/>
      <c r="E612" s="17"/>
      <c r="F612" s="17">
        <v>3358</v>
      </c>
      <c r="G612" s="17" t="s">
        <v>2392</v>
      </c>
      <c r="H612" s="17" t="s">
        <v>1742</v>
      </c>
      <c r="I612" s="17"/>
      <c r="J612" s="17"/>
      <c r="K612" s="17"/>
      <c r="L612" s="17"/>
      <c r="M612" s="18"/>
      <c r="N612" s="17"/>
      <c r="O612" s="18"/>
      <c r="P612" s="19"/>
      <c r="Q612" s="17" t="s">
        <v>2395</v>
      </c>
      <c r="R612" s="17" t="s">
        <v>1719</v>
      </c>
      <c r="S612" s="17" t="s">
        <v>206</v>
      </c>
      <c r="T612" s="17">
        <v>1</v>
      </c>
      <c r="U612" s="17" t="s">
        <v>1720</v>
      </c>
      <c r="V612" s="17" t="s">
        <v>4761</v>
      </c>
      <c r="W612" s="17" t="s">
        <v>4762</v>
      </c>
      <c r="X612" s="70">
        <v>46161.4375</v>
      </c>
      <c r="Y612" s="17"/>
      <c r="Z612" s="17">
        <v>0.5</v>
      </c>
      <c r="AA612" s="17"/>
      <c r="AB612" s="17" t="s">
        <v>1724</v>
      </c>
      <c r="AC612" s="20" t="s">
        <v>3575</v>
      </c>
      <c r="AD612" s="17" t="s">
        <v>877</v>
      </c>
      <c r="AE612" s="17"/>
      <c r="AF612" s="17"/>
      <c r="AG612" s="17"/>
      <c r="AH612" s="17"/>
      <c r="AI612" s="17"/>
      <c r="AJ612" s="17" t="s">
        <v>877</v>
      </c>
      <c r="AK612" s="17" t="s">
        <v>877</v>
      </c>
      <c r="AL612" t="e">
        <f t="shared" si="18"/>
        <v>#VALUE!</v>
      </c>
      <c r="AM612">
        <f t="shared" si="19"/>
        <v>46161</v>
      </c>
    </row>
    <row r="613" spans="1:39" ht="21.6" customHeight="1">
      <c r="A613" s="17">
        <v>96</v>
      </c>
      <c r="B613" s="17" t="s">
        <v>876</v>
      </c>
      <c r="C613" s="17">
        <v>2026052442</v>
      </c>
      <c r="D613" s="17"/>
      <c r="E613" s="17"/>
      <c r="F613" s="17">
        <v>3606</v>
      </c>
      <c r="G613" s="17" t="s">
        <v>2187</v>
      </c>
      <c r="H613" s="17" t="s">
        <v>2188</v>
      </c>
      <c r="I613" s="17"/>
      <c r="J613" s="17"/>
      <c r="K613" s="17"/>
      <c r="L613" s="17"/>
      <c r="M613" s="18"/>
      <c r="N613" s="17"/>
      <c r="O613" s="18"/>
      <c r="P613" s="19"/>
      <c r="Q613" s="17" t="s">
        <v>2189</v>
      </c>
      <c r="R613" s="17" t="s">
        <v>1719</v>
      </c>
      <c r="S613" s="17" t="s">
        <v>52</v>
      </c>
      <c r="T613" s="17">
        <v>1</v>
      </c>
      <c r="U613" s="17" t="s">
        <v>1720</v>
      </c>
      <c r="V613" s="17" t="s">
        <v>4763</v>
      </c>
      <c r="W613" s="17" t="s">
        <v>4764</v>
      </c>
      <c r="X613" s="70">
        <v>46161.458333333343</v>
      </c>
      <c r="Y613" s="17"/>
      <c r="Z613" s="17">
        <v>0.5</v>
      </c>
      <c r="AA613" s="17"/>
      <c r="AB613" s="17" t="s">
        <v>1724</v>
      </c>
      <c r="AC613" s="20" t="s">
        <v>3575</v>
      </c>
      <c r="AD613" s="17" t="s">
        <v>877</v>
      </c>
      <c r="AE613" s="17"/>
      <c r="AF613" s="17"/>
      <c r="AG613" s="17"/>
      <c r="AH613" s="17"/>
      <c r="AI613" s="17"/>
      <c r="AJ613" s="17"/>
      <c r="AK613" s="17" t="s">
        <v>877</v>
      </c>
      <c r="AL613" t="e">
        <f t="shared" si="18"/>
        <v>#VALUE!</v>
      </c>
      <c r="AM613">
        <f t="shared" si="19"/>
        <v>46161</v>
      </c>
    </row>
    <row r="614" spans="1:39" ht="21.6" customHeight="1">
      <c r="A614" s="17">
        <v>97</v>
      </c>
      <c r="B614" s="17" t="s">
        <v>876</v>
      </c>
      <c r="C614" s="17">
        <v>2026052451</v>
      </c>
      <c r="D614" s="17"/>
      <c r="E614" s="17"/>
      <c r="F614" s="17">
        <v>4656</v>
      </c>
      <c r="G614" s="17" t="s">
        <v>2193</v>
      </c>
      <c r="H614" s="17" t="s">
        <v>2188</v>
      </c>
      <c r="I614" s="17"/>
      <c r="J614" s="17"/>
      <c r="K614" s="17"/>
      <c r="L614" s="17"/>
      <c r="M614" s="18"/>
      <c r="N614" s="17"/>
      <c r="O614" s="18"/>
      <c r="P614" s="19"/>
      <c r="Q614" s="17" t="s">
        <v>2194</v>
      </c>
      <c r="R614" s="17" t="s">
        <v>1719</v>
      </c>
      <c r="S614" s="17" t="s">
        <v>52</v>
      </c>
      <c r="T614" s="17">
        <v>1</v>
      </c>
      <c r="U614" s="17" t="s">
        <v>1720</v>
      </c>
      <c r="V614" s="17" t="s">
        <v>4765</v>
      </c>
      <c r="W614" s="17" t="s">
        <v>4766</v>
      </c>
      <c r="X614" s="70">
        <v>46161.486111111109</v>
      </c>
      <c r="Y614" s="17"/>
      <c r="Z614" s="17">
        <v>0.3</v>
      </c>
      <c r="AA614" s="17"/>
      <c r="AB614" s="17" t="s">
        <v>1724</v>
      </c>
      <c r="AC614" s="20" t="s">
        <v>3890</v>
      </c>
      <c r="AD614" s="17" t="s">
        <v>877</v>
      </c>
      <c r="AE614" s="17"/>
      <c r="AF614" s="17"/>
      <c r="AG614" s="17"/>
      <c r="AH614" s="17"/>
      <c r="AI614" s="17"/>
      <c r="AJ614" s="17"/>
      <c r="AK614" s="17" t="s">
        <v>877</v>
      </c>
      <c r="AL614" t="e">
        <f t="shared" si="18"/>
        <v>#VALUE!</v>
      </c>
      <c r="AM614">
        <f t="shared" si="19"/>
        <v>46161</v>
      </c>
    </row>
    <row r="615" spans="1:39" ht="21.6" customHeight="1">
      <c r="A615" s="17">
        <v>98</v>
      </c>
      <c r="B615" s="17" t="s">
        <v>876</v>
      </c>
      <c r="C615" s="17">
        <v>2026052462</v>
      </c>
      <c r="D615" s="17"/>
      <c r="E615" s="17"/>
      <c r="F615" s="17">
        <v>4933</v>
      </c>
      <c r="G615" s="17" t="s">
        <v>4767</v>
      </c>
      <c r="H615" s="17" t="s">
        <v>1941</v>
      </c>
      <c r="I615" s="17"/>
      <c r="J615" s="17"/>
      <c r="K615" s="17"/>
      <c r="L615" s="17"/>
      <c r="M615" s="18"/>
      <c r="N615" s="17"/>
      <c r="O615" s="18"/>
      <c r="P615" s="19"/>
      <c r="Q615" s="17" t="s">
        <v>4768</v>
      </c>
      <c r="R615" s="17" t="s">
        <v>1719</v>
      </c>
      <c r="S615" s="17" t="s">
        <v>52</v>
      </c>
      <c r="T615" s="17">
        <v>1</v>
      </c>
      <c r="U615" s="17" t="s">
        <v>1720</v>
      </c>
      <c r="V615" s="17" t="s">
        <v>4769</v>
      </c>
      <c r="W615" s="17" t="s">
        <v>4770</v>
      </c>
      <c r="X615" s="70">
        <v>46161.515972222223</v>
      </c>
      <c r="Y615" s="17"/>
      <c r="Z615" s="17">
        <v>0.4</v>
      </c>
      <c r="AA615" s="17"/>
      <c r="AB615" s="17" t="s">
        <v>1724</v>
      </c>
      <c r="AC615" s="20" t="s">
        <v>3575</v>
      </c>
      <c r="AD615" s="17" t="s">
        <v>877</v>
      </c>
      <c r="AE615" s="17"/>
      <c r="AF615" s="17"/>
      <c r="AG615" s="17"/>
      <c r="AH615" s="17"/>
      <c r="AI615" s="17"/>
      <c r="AJ615" s="17"/>
      <c r="AK615" s="17" t="s">
        <v>877</v>
      </c>
      <c r="AL615" t="e">
        <f t="shared" si="18"/>
        <v>#VALUE!</v>
      </c>
      <c r="AM615">
        <f t="shared" si="19"/>
        <v>46161</v>
      </c>
    </row>
    <row r="616" spans="1:39" ht="21.6" customHeight="1">
      <c r="A616" s="17">
        <v>99</v>
      </c>
      <c r="B616" s="17" t="s">
        <v>876</v>
      </c>
      <c r="C616" s="17">
        <v>2026052492</v>
      </c>
      <c r="D616" s="17"/>
      <c r="E616" s="17"/>
      <c r="F616" s="17">
        <v>2375</v>
      </c>
      <c r="G616" s="17" t="s">
        <v>1980</v>
      </c>
      <c r="H616" s="17" t="s">
        <v>1941</v>
      </c>
      <c r="I616" s="17"/>
      <c r="J616" s="17"/>
      <c r="K616" s="17"/>
      <c r="L616" s="17"/>
      <c r="M616" s="18"/>
      <c r="N616" s="17"/>
      <c r="O616" s="18"/>
      <c r="P616" s="19"/>
      <c r="Q616" s="17" t="s">
        <v>1981</v>
      </c>
      <c r="R616" s="17" t="s">
        <v>1719</v>
      </c>
      <c r="S616" s="17" t="s">
        <v>52</v>
      </c>
      <c r="T616" s="17">
        <v>1</v>
      </c>
      <c r="U616" s="17" t="s">
        <v>1720</v>
      </c>
      <c r="V616" s="17" t="s">
        <v>4771</v>
      </c>
      <c r="W616" s="17" t="s">
        <v>4772</v>
      </c>
      <c r="X616" s="70">
        <v>46161.612500000003</v>
      </c>
      <c r="Y616" s="17"/>
      <c r="Z616" s="17">
        <v>0.7</v>
      </c>
      <c r="AA616" s="17"/>
      <c r="AB616" s="17" t="s">
        <v>1724</v>
      </c>
      <c r="AC616" s="20" t="s">
        <v>3575</v>
      </c>
      <c r="AD616" s="17" t="s">
        <v>877</v>
      </c>
      <c r="AE616" s="17"/>
      <c r="AF616" s="17"/>
      <c r="AG616" s="17"/>
      <c r="AH616" s="17"/>
      <c r="AI616" s="17"/>
      <c r="AJ616" s="17"/>
      <c r="AK616" s="17" t="s">
        <v>877</v>
      </c>
      <c r="AL616" t="e">
        <f t="shared" si="18"/>
        <v>#VALUE!</v>
      </c>
      <c r="AM616">
        <f t="shared" si="19"/>
        <v>46161</v>
      </c>
    </row>
    <row r="617" spans="1:39" ht="21.6" customHeight="1">
      <c r="A617" s="17">
        <v>100</v>
      </c>
      <c r="B617" s="17" t="s">
        <v>876</v>
      </c>
      <c r="C617" s="17">
        <v>2026052510</v>
      </c>
      <c r="D617" s="17"/>
      <c r="E617" s="17"/>
      <c r="F617" s="17">
        <v>4690</v>
      </c>
      <c r="G617" s="17" t="s">
        <v>1985</v>
      </c>
      <c r="H617" s="17" t="s">
        <v>1941</v>
      </c>
      <c r="I617" s="17"/>
      <c r="J617" s="17"/>
      <c r="K617" s="17"/>
      <c r="L617" s="17"/>
      <c r="M617" s="18"/>
      <c r="N617" s="17"/>
      <c r="O617" s="18"/>
      <c r="P617" s="19"/>
      <c r="Q617" s="17" t="s">
        <v>1986</v>
      </c>
      <c r="R617" s="17" t="s">
        <v>1719</v>
      </c>
      <c r="S617" s="17" t="s">
        <v>52</v>
      </c>
      <c r="T617" s="17">
        <v>1</v>
      </c>
      <c r="U617" s="17" t="s">
        <v>1720</v>
      </c>
      <c r="V617" s="17" t="s">
        <v>4773</v>
      </c>
      <c r="W617" s="17" t="s">
        <v>4774</v>
      </c>
      <c r="X617" s="70">
        <v>46161.635416666657</v>
      </c>
      <c r="Y617" s="17"/>
      <c r="Z617" s="17">
        <v>0.3</v>
      </c>
      <c r="AA617" s="17"/>
      <c r="AB617" s="17" t="s">
        <v>1724</v>
      </c>
      <c r="AC617" s="20" t="s">
        <v>3575</v>
      </c>
      <c r="AD617" s="17" t="s">
        <v>877</v>
      </c>
      <c r="AE617" s="17"/>
      <c r="AF617" s="17"/>
      <c r="AG617" s="17"/>
      <c r="AH617" s="17"/>
      <c r="AI617" s="17"/>
      <c r="AJ617" s="17"/>
      <c r="AK617" s="17" t="s">
        <v>877</v>
      </c>
      <c r="AL617" t="e">
        <f t="shared" si="18"/>
        <v>#VALUE!</v>
      </c>
      <c r="AM617">
        <f t="shared" si="19"/>
        <v>46161</v>
      </c>
    </row>
    <row r="618" spans="1:39" ht="21.6" customHeight="1">
      <c r="A618" s="17">
        <v>101</v>
      </c>
      <c r="B618" s="17" t="s">
        <v>876</v>
      </c>
      <c r="C618" s="17">
        <v>2026052517</v>
      </c>
      <c r="D618" s="17"/>
      <c r="E618" s="17"/>
      <c r="F618" s="17">
        <v>4609</v>
      </c>
      <c r="G618" s="17" t="s">
        <v>2341</v>
      </c>
      <c r="H618" s="17" t="s">
        <v>1897</v>
      </c>
      <c r="I618" s="17"/>
      <c r="J618" s="17"/>
      <c r="K618" s="17"/>
      <c r="L618" s="17"/>
      <c r="M618" s="18"/>
      <c r="N618" s="17"/>
      <c r="O618" s="18"/>
      <c r="P618" s="19"/>
      <c r="Q618" s="17" t="s">
        <v>2344</v>
      </c>
      <c r="R618" s="17" t="s">
        <v>1719</v>
      </c>
      <c r="S618" s="17" t="s">
        <v>206</v>
      </c>
      <c r="T618" s="17">
        <v>1</v>
      </c>
      <c r="U618" s="17" t="s">
        <v>1720</v>
      </c>
      <c r="V618" s="17" t="s">
        <v>4775</v>
      </c>
      <c r="W618" s="17" t="s">
        <v>4776</v>
      </c>
      <c r="X618" s="70">
        <v>46161.652777777781</v>
      </c>
      <c r="Y618" s="17"/>
      <c r="Z618" s="17">
        <v>14.2</v>
      </c>
      <c r="AA618" s="17"/>
      <c r="AB618" s="17" t="s">
        <v>1724</v>
      </c>
      <c r="AC618" s="20" t="s">
        <v>4640</v>
      </c>
      <c r="AD618" s="17" t="s">
        <v>877</v>
      </c>
      <c r="AE618" s="17"/>
      <c r="AF618" s="17"/>
      <c r="AG618" s="17"/>
      <c r="AH618" s="17"/>
      <c r="AI618" s="17"/>
      <c r="AJ618" s="17" t="s">
        <v>877</v>
      </c>
      <c r="AK618" s="17" t="s">
        <v>877</v>
      </c>
      <c r="AL618" t="e">
        <f t="shared" si="18"/>
        <v>#VALUE!</v>
      </c>
      <c r="AM618">
        <f t="shared" si="19"/>
        <v>46161</v>
      </c>
    </row>
    <row r="619" spans="1:39" ht="21.6" customHeight="1">
      <c r="A619" s="17">
        <v>102</v>
      </c>
      <c r="B619" s="17" t="s">
        <v>876</v>
      </c>
      <c r="C619" s="17">
        <v>2026052529</v>
      </c>
      <c r="D619" s="17"/>
      <c r="E619" s="17"/>
      <c r="F619" s="17">
        <v>3017</v>
      </c>
      <c r="G619" s="17" t="s">
        <v>1940</v>
      </c>
      <c r="H619" s="17" t="s">
        <v>1941</v>
      </c>
      <c r="I619" s="17"/>
      <c r="J619" s="17"/>
      <c r="K619" s="17"/>
      <c r="L619" s="17"/>
      <c r="M619" s="18"/>
      <c r="N619" s="17"/>
      <c r="O619" s="18"/>
      <c r="P619" s="19"/>
      <c r="Q619" s="17" t="s">
        <v>1946</v>
      </c>
      <c r="R619" s="17" t="s">
        <v>1719</v>
      </c>
      <c r="S619" s="17" t="s">
        <v>52</v>
      </c>
      <c r="T619" s="17">
        <v>1</v>
      </c>
      <c r="U619" s="17" t="s">
        <v>1720</v>
      </c>
      <c r="V619" s="17" t="s">
        <v>4777</v>
      </c>
      <c r="W619" s="17" t="s">
        <v>4778</v>
      </c>
      <c r="X619" s="70">
        <v>46161.667361111111</v>
      </c>
      <c r="Y619" s="17"/>
      <c r="Z619" s="17">
        <v>0.5</v>
      </c>
      <c r="AA619" s="17"/>
      <c r="AB619" s="17" t="s">
        <v>1724</v>
      </c>
      <c r="AC619" s="20" t="s">
        <v>3575</v>
      </c>
      <c r="AD619" s="17" t="s">
        <v>877</v>
      </c>
      <c r="AE619" s="17"/>
      <c r="AF619" s="17"/>
      <c r="AG619" s="17"/>
      <c r="AH619" s="17"/>
      <c r="AI619" s="17"/>
      <c r="AJ619" s="17"/>
      <c r="AK619" s="17" t="s">
        <v>877</v>
      </c>
      <c r="AL619" t="e">
        <f t="shared" si="18"/>
        <v>#VALUE!</v>
      </c>
      <c r="AM619">
        <f t="shared" si="19"/>
        <v>46161</v>
      </c>
    </row>
    <row r="620" spans="1:39" ht="21.6" customHeight="1">
      <c r="A620" s="17">
        <v>103</v>
      </c>
      <c r="B620" s="17" t="s">
        <v>876</v>
      </c>
      <c r="C620" s="17">
        <v>2026052550</v>
      </c>
      <c r="D620" s="17"/>
      <c r="E620" s="17"/>
      <c r="F620" s="17">
        <v>4825</v>
      </c>
      <c r="G620" s="17" t="s">
        <v>1958</v>
      </c>
      <c r="H620" s="17" t="s">
        <v>1941</v>
      </c>
      <c r="I620" s="17"/>
      <c r="J620" s="17"/>
      <c r="K620" s="17"/>
      <c r="L620" s="17"/>
      <c r="M620" s="18"/>
      <c r="N620" s="17"/>
      <c r="O620" s="18"/>
      <c r="P620" s="19"/>
      <c r="Q620" s="17" t="s">
        <v>1959</v>
      </c>
      <c r="R620" s="17" t="s">
        <v>1719</v>
      </c>
      <c r="S620" s="17" t="s">
        <v>52</v>
      </c>
      <c r="T620" s="17">
        <v>1</v>
      </c>
      <c r="U620" s="17" t="s">
        <v>1720</v>
      </c>
      <c r="V620" s="17" t="s">
        <v>4779</v>
      </c>
      <c r="W620" s="17" t="s">
        <v>4780</v>
      </c>
      <c r="X620" s="70">
        <v>46161.6875</v>
      </c>
      <c r="Y620" s="17"/>
      <c r="Z620" s="17">
        <v>0.3</v>
      </c>
      <c r="AA620" s="17"/>
      <c r="AB620" s="17" t="s">
        <v>1724</v>
      </c>
      <c r="AC620" s="20" t="s">
        <v>3890</v>
      </c>
      <c r="AD620" s="17" t="s">
        <v>877</v>
      </c>
      <c r="AE620" s="17"/>
      <c r="AF620" s="17"/>
      <c r="AG620" s="17"/>
      <c r="AH620" s="17"/>
      <c r="AI620" s="17"/>
      <c r="AJ620" s="17"/>
      <c r="AK620" s="17" t="s">
        <v>877</v>
      </c>
      <c r="AL620" t="e">
        <f t="shared" si="18"/>
        <v>#VALUE!</v>
      </c>
      <c r="AM620">
        <f t="shared" si="19"/>
        <v>46161</v>
      </c>
    </row>
    <row r="621" spans="1:39" ht="21.6" customHeight="1">
      <c r="A621" s="17">
        <v>104</v>
      </c>
      <c r="B621" s="17" t="s">
        <v>783</v>
      </c>
      <c r="C621" s="17">
        <v>2026052556</v>
      </c>
      <c r="D621" s="17" t="s">
        <v>4781</v>
      </c>
      <c r="E621" s="17" t="s">
        <v>1727</v>
      </c>
      <c r="F621" s="17">
        <v>3749</v>
      </c>
      <c r="G621" s="17" t="s">
        <v>3896</v>
      </c>
      <c r="H621" s="17" t="s">
        <v>1941</v>
      </c>
      <c r="I621" s="17" t="s">
        <v>4782</v>
      </c>
      <c r="J621" s="17" t="s">
        <v>2033</v>
      </c>
      <c r="K621" s="17" t="s">
        <v>1744</v>
      </c>
      <c r="L621" s="17" t="s">
        <v>1789</v>
      </c>
      <c r="M621" s="18" t="s">
        <v>1790</v>
      </c>
      <c r="N621" s="17" t="s">
        <v>1791</v>
      </c>
      <c r="O621" s="18" t="s">
        <v>1792</v>
      </c>
      <c r="P621" s="19" t="s">
        <v>4783</v>
      </c>
      <c r="Q621" s="17" t="s">
        <v>3899</v>
      </c>
      <c r="R621" s="17" t="s">
        <v>1719</v>
      </c>
      <c r="S621" s="17" t="s">
        <v>52</v>
      </c>
      <c r="T621" s="17">
        <v>1</v>
      </c>
      <c r="U621" s="17" t="s">
        <v>1720</v>
      </c>
      <c r="V621" s="17" t="s">
        <v>4784</v>
      </c>
      <c r="W621" s="17" t="s">
        <v>4785</v>
      </c>
      <c r="X621" s="71">
        <v>46162.576388888891</v>
      </c>
      <c r="Y621" s="17" t="s">
        <v>4786</v>
      </c>
      <c r="Z621" s="17">
        <v>0.8</v>
      </c>
      <c r="AA621" s="17"/>
      <c r="AB621" s="17" t="s">
        <v>1724</v>
      </c>
      <c r="AC621" s="20" t="s">
        <v>4787</v>
      </c>
      <c r="AD621" s="17"/>
      <c r="AE621" s="17"/>
      <c r="AF621" s="17"/>
      <c r="AG621" s="17"/>
      <c r="AH621" s="17"/>
      <c r="AI621" s="17"/>
      <c r="AJ621" s="17"/>
      <c r="AK621" s="17" t="s">
        <v>877</v>
      </c>
      <c r="AL621">
        <f t="shared" si="18"/>
        <v>46161</v>
      </c>
      <c r="AM621">
        <f t="shared" si="19"/>
        <v>46162</v>
      </c>
    </row>
    <row r="622" spans="1:39" ht="21.6" customHeight="1">
      <c r="A622" s="17">
        <v>105</v>
      </c>
      <c r="B622" s="17" t="s">
        <v>876</v>
      </c>
      <c r="C622" s="17">
        <v>2026052623</v>
      </c>
      <c r="D622" s="17"/>
      <c r="E622" s="17"/>
      <c r="F622" s="17">
        <v>2321</v>
      </c>
      <c r="G622" s="17" t="s">
        <v>4788</v>
      </c>
      <c r="H622" s="17" t="s">
        <v>1759</v>
      </c>
      <c r="I622" s="17"/>
      <c r="J622" s="17"/>
      <c r="K622" s="17"/>
      <c r="L622" s="17"/>
      <c r="M622" s="18"/>
      <c r="N622" s="17"/>
      <c r="O622" s="18"/>
      <c r="P622" s="19"/>
      <c r="Q622" s="17" t="s">
        <v>4789</v>
      </c>
      <c r="R622" s="17" t="s">
        <v>1719</v>
      </c>
      <c r="S622" s="17" t="s">
        <v>566</v>
      </c>
      <c r="T622" s="17">
        <v>1</v>
      </c>
      <c r="U622" s="17" t="s">
        <v>1720</v>
      </c>
      <c r="V622" s="17" t="s">
        <v>4790</v>
      </c>
      <c r="W622" s="17" t="s">
        <v>4791</v>
      </c>
      <c r="X622" s="71">
        <v>46162.583333333343</v>
      </c>
      <c r="Y622" s="17"/>
      <c r="Z622" s="17">
        <v>0.4</v>
      </c>
      <c r="AA622" s="17"/>
      <c r="AB622" s="17" t="s">
        <v>1724</v>
      </c>
      <c r="AC622" s="20" t="s">
        <v>3575</v>
      </c>
      <c r="AD622" s="17" t="s">
        <v>877</v>
      </c>
      <c r="AE622" s="17"/>
      <c r="AF622" s="17"/>
      <c r="AG622" s="17"/>
      <c r="AH622" s="17"/>
      <c r="AI622" s="17"/>
      <c r="AJ622" s="17" t="s">
        <v>877</v>
      </c>
      <c r="AK622" s="17" t="s">
        <v>877</v>
      </c>
      <c r="AL622" t="e">
        <f t="shared" si="18"/>
        <v>#VALUE!</v>
      </c>
      <c r="AM622">
        <f t="shared" si="19"/>
        <v>46162</v>
      </c>
    </row>
    <row r="623" spans="1:39" ht="21.6" customHeight="1">
      <c r="A623" s="17">
        <v>106</v>
      </c>
      <c r="B623" s="17" t="s">
        <v>876</v>
      </c>
      <c r="C623" s="17">
        <v>2026052634</v>
      </c>
      <c r="D623" s="17"/>
      <c r="E623" s="17"/>
      <c r="F623" s="17">
        <v>4134</v>
      </c>
      <c r="G623" s="17" t="s">
        <v>4792</v>
      </c>
      <c r="H623" s="17" t="s">
        <v>1759</v>
      </c>
      <c r="I623" s="17"/>
      <c r="J623" s="17"/>
      <c r="K623" s="17"/>
      <c r="L623" s="17"/>
      <c r="M623" s="18"/>
      <c r="N623" s="17"/>
      <c r="O623" s="18"/>
      <c r="P623" s="19"/>
      <c r="Q623" s="17" t="s">
        <v>4793</v>
      </c>
      <c r="R623" s="17" t="s">
        <v>1719</v>
      </c>
      <c r="S623" s="17" t="s">
        <v>566</v>
      </c>
      <c r="T623" s="17">
        <v>1</v>
      </c>
      <c r="U623" s="17" t="s">
        <v>1720</v>
      </c>
      <c r="V623" s="17" t="s">
        <v>4794</v>
      </c>
      <c r="W623" s="17" t="s">
        <v>4795</v>
      </c>
      <c r="X623" s="71">
        <v>46162.601388888892</v>
      </c>
      <c r="Y623" s="17"/>
      <c r="Z623" s="17">
        <v>0.3</v>
      </c>
      <c r="AA623" s="17"/>
      <c r="AB623" s="17" t="s">
        <v>1724</v>
      </c>
      <c r="AC623" s="20" t="s">
        <v>3575</v>
      </c>
      <c r="AD623" s="17" t="s">
        <v>877</v>
      </c>
      <c r="AE623" s="17"/>
      <c r="AF623" s="17"/>
      <c r="AG623" s="17"/>
      <c r="AH623" s="17"/>
      <c r="AI623" s="17"/>
      <c r="AJ623" s="17" t="s">
        <v>877</v>
      </c>
      <c r="AK623" s="17" t="s">
        <v>877</v>
      </c>
      <c r="AL623" t="e">
        <f t="shared" si="18"/>
        <v>#VALUE!</v>
      </c>
      <c r="AM623">
        <f t="shared" si="19"/>
        <v>46162</v>
      </c>
    </row>
    <row r="624" spans="1:39" ht="21.6" customHeight="1">
      <c r="A624" s="17">
        <v>107</v>
      </c>
      <c r="B624" s="17" t="s">
        <v>876</v>
      </c>
      <c r="C624" s="17">
        <v>2026052638</v>
      </c>
      <c r="D624" s="17"/>
      <c r="E624" s="17"/>
      <c r="F624" s="17">
        <v>5595</v>
      </c>
      <c r="G624" s="17" t="s">
        <v>4796</v>
      </c>
      <c r="H624" s="17" t="s">
        <v>1742</v>
      </c>
      <c r="I624" s="17"/>
      <c r="J624" s="17"/>
      <c r="K624" s="17"/>
      <c r="L624" s="17"/>
      <c r="M624" s="18"/>
      <c r="N624" s="17"/>
      <c r="O624" s="18"/>
      <c r="P624" s="19"/>
      <c r="Q624" s="17" t="s">
        <v>4797</v>
      </c>
      <c r="R624" s="17" t="s">
        <v>1719</v>
      </c>
      <c r="S624" s="17" t="s">
        <v>206</v>
      </c>
      <c r="T624" s="17">
        <v>1</v>
      </c>
      <c r="U624" s="17" t="s">
        <v>1720</v>
      </c>
      <c r="V624" s="17" t="s">
        <v>4798</v>
      </c>
      <c r="W624" s="17" t="s">
        <v>4799</v>
      </c>
      <c r="X624" s="71">
        <v>46162.614583333343</v>
      </c>
      <c r="Y624" s="17"/>
      <c r="Z624" s="17">
        <v>3.8</v>
      </c>
      <c r="AA624" s="17"/>
      <c r="AB624" s="17" t="s">
        <v>1724</v>
      </c>
      <c r="AC624" s="20" t="s">
        <v>4800</v>
      </c>
      <c r="AD624" s="17"/>
      <c r="AE624" s="17" t="s">
        <v>877</v>
      </c>
      <c r="AF624" s="17"/>
      <c r="AG624" s="17"/>
      <c r="AH624" s="17"/>
      <c r="AI624" s="17"/>
      <c r="AJ624" s="17"/>
      <c r="AK624" s="17" t="s">
        <v>877</v>
      </c>
      <c r="AL624" t="e">
        <f t="shared" si="18"/>
        <v>#VALUE!</v>
      </c>
      <c r="AM624">
        <f t="shared" si="19"/>
        <v>46162</v>
      </c>
    </row>
    <row r="625" spans="1:39" ht="21.6" customHeight="1">
      <c r="A625" s="17">
        <v>108</v>
      </c>
      <c r="B625" s="17" t="s">
        <v>876</v>
      </c>
      <c r="C625" s="17">
        <v>2026052641</v>
      </c>
      <c r="D625" s="17"/>
      <c r="E625" s="17"/>
      <c r="F625" s="17">
        <v>2302</v>
      </c>
      <c r="G625" s="17" t="s">
        <v>3904</v>
      </c>
      <c r="H625" s="17" t="s">
        <v>1759</v>
      </c>
      <c r="I625" s="17"/>
      <c r="J625" s="17"/>
      <c r="K625" s="17"/>
      <c r="L625" s="17"/>
      <c r="M625" s="18"/>
      <c r="N625" s="17"/>
      <c r="O625" s="18"/>
      <c r="P625" s="19"/>
      <c r="Q625" s="17" t="s">
        <v>3905</v>
      </c>
      <c r="R625" s="17" t="s">
        <v>1719</v>
      </c>
      <c r="S625" s="17" t="s">
        <v>566</v>
      </c>
      <c r="T625" s="17">
        <v>1</v>
      </c>
      <c r="U625" s="17" t="s">
        <v>1720</v>
      </c>
      <c r="V625" s="17" t="s">
        <v>4801</v>
      </c>
      <c r="W625" s="17" t="s">
        <v>4802</v>
      </c>
      <c r="X625" s="71">
        <v>46162.618055555547</v>
      </c>
      <c r="Y625" s="17"/>
      <c r="Z625" s="17">
        <v>0.3</v>
      </c>
      <c r="AA625" s="17"/>
      <c r="AB625" s="17" t="s">
        <v>1724</v>
      </c>
      <c r="AC625" s="20" t="s">
        <v>3575</v>
      </c>
      <c r="AD625" s="17" t="s">
        <v>877</v>
      </c>
      <c r="AE625" s="17"/>
      <c r="AF625" s="17"/>
      <c r="AG625" s="17"/>
      <c r="AH625" s="17"/>
      <c r="AI625" s="17"/>
      <c r="AJ625" s="17" t="s">
        <v>877</v>
      </c>
      <c r="AK625" s="17" t="s">
        <v>877</v>
      </c>
      <c r="AL625" t="e">
        <f t="shared" si="18"/>
        <v>#VALUE!</v>
      </c>
      <c r="AM625">
        <f t="shared" si="19"/>
        <v>46162</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4803</v>
      </c>
    </row>
    <row r="2" spans="1:10" ht="31.2" customHeight="1">
      <c r="A2" s="33" t="s">
        <v>4803</v>
      </c>
      <c r="B2" s="34" t="s">
        <v>4804</v>
      </c>
      <c r="C2" s="34" t="s">
        <v>4805</v>
      </c>
      <c r="D2" s="34" t="s">
        <v>1011</v>
      </c>
      <c r="E2" s="34" t="s">
        <v>4806</v>
      </c>
      <c r="F2" s="34" t="s">
        <v>4805</v>
      </c>
      <c r="I2" s="26" t="s">
        <v>38</v>
      </c>
      <c r="J2" s="34" t="s">
        <v>4804</v>
      </c>
    </row>
    <row r="3" spans="1:10" ht="15.6" customHeight="1">
      <c r="I3" s="26" t="s">
        <v>842</v>
      </c>
      <c r="J3" s="34" t="s">
        <v>4805</v>
      </c>
    </row>
    <row r="4" spans="1:10" ht="31.2" customHeight="1">
      <c r="I4" s="26" t="s">
        <v>33</v>
      </c>
      <c r="J4" s="34" t="s">
        <v>1011</v>
      </c>
    </row>
    <row r="5" spans="1:10" ht="31.2" customHeight="1">
      <c r="I5" s="26" t="s">
        <v>32</v>
      </c>
      <c r="J5" s="34" t="s">
        <v>4806</v>
      </c>
    </row>
    <row r="6" spans="1:10" ht="31.2" customHeight="1">
      <c r="I6" s="26" t="s">
        <v>843</v>
      </c>
      <c r="J6" s="34" t="s">
        <v>4805</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2026-05-20T09:42:13Z</dcterms:modified>
</cp:coreProperties>
</file>