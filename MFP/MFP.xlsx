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D02112A-ABCC-4D99-8EB2-AE9F3D1B9D37}"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E7" i="3" s="1"/>
  <c r="P27" i="3"/>
  <c r="N21" i="3"/>
  <c r="H17" i="3"/>
  <c r="G17" i="3"/>
  <c r="B17" i="3"/>
  <c r="H16" i="3"/>
  <c r="G16" i="3"/>
  <c r="H15" i="3"/>
  <c r="G15" i="3"/>
  <c r="E13" i="3"/>
  <c r="D13" i="3"/>
  <c r="B13" i="3"/>
  <c r="C13" i="3" s="1"/>
  <c r="D12" i="3"/>
  <c r="E12" i="3" s="1"/>
  <c r="C12" i="3"/>
  <c r="F12" i="3" s="1"/>
  <c r="B12" i="3"/>
  <c r="D11" i="3"/>
  <c r="E11" i="3" s="1"/>
  <c r="C11" i="3"/>
  <c r="B11" i="3"/>
  <c r="F8" i="3"/>
  <c r="G8" i="3" s="1"/>
  <c r="H8" i="3" s="1"/>
  <c r="E8" i="3"/>
  <c r="C17"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F13" i="3" l="1"/>
  <c r="D16" i="3"/>
  <c r="G12" i="3"/>
  <c r="H12" i="3" s="1"/>
  <c r="D17" i="3"/>
  <c r="G13" i="3"/>
  <c r="H13" i="3" s="1"/>
  <c r="F17" i="3" s="1"/>
  <c r="F11" i="3"/>
  <c r="B11" i="6"/>
  <c r="C16" i="3"/>
  <c r="F7" i="3"/>
  <c r="B16" i="3"/>
  <c r="B11" i="4"/>
  <c r="E15" i="3"/>
  <c r="G6" i="3"/>
  <c r="H6" i="3" s="1"/>
  <c r="E17" i="3"/>
  <c r="B15" i="3"/>
  <c r="B7" i="2"/>
  <c r="B12" i="2" s="1"/>
  <c r="I17" i="3" l="1"/>
  <c r="J17" i="3" s="1"/>
  <c r="K17" i="3" s="1"/>
  <c r="D15" i="3"/>
  <c r="G11" i="3"/>
  <c r="H11" i="3" s="1"/>
  <c r="F15" i="3" s="1"/>
  <c r="G7" i="3"/>
  <c r="H7" i="3" s="1"/>
  <c r="F16" i="3" s="1"/>
  <c r="E16" i="3"/>
  <c r="I16" i="3" l="1"/>
  <c r="J16" i="3" s="1"/>
  <c r="K16" i="3" s="1"/>
  <c r="I15" i="3"/>
  <c r="J15" i="3" s="1"/>
  <c r="K15" i="3" s="1"/>
</calcChain>
</file>

<file path=xl/sharedStrings.xml><?xml version="1.0" encoding="utf-8"?>
<sst xmlns="http://schemas.openxmlformats.org/spreadsheetml/2006/main" count="52854" uniqueCount="9005">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</sst>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1278.9000000000001</v>
      </c>
      <c r="E15" s="9">
        <f>ROUND(D3*F6,2)</f>
        <v>1081.7</v>
      </c>
      <c r="F15" s="9">
        <f ca="1">(H6*20)+(H11*20)+(60*20)</f>
        <v>3249</v>
      </c>
      <c r="G15" s="9">
        <f>1.5*E3</f>
        <v>360</v>
      </c>
      <c r="H15" s="9">
        <f>1.5*F3</f>
        <v>360</v>
      </c>
      <c r="I15" s="9">
        <f ca="1">ROUND(SUM(B15:H15),2)</f>
        <v>8093</v>
      </c>
      <c r="J15" s="9">
        <f ca="1">ROUND(I15/20,2)</f>
        <v>404.65</v>
      </c>
      <c r="K15" s="9">
        <f ca="1">ROUND(J15/60,2)</f>
        <v>6.74</v>
      </c>
      <c r="O15" s="9" t="s">
        <v>796</v>
      </c>
      <c r="P15" s="9">
        <v>15</v>
      </c>
    </row>
    <row r="16" spans="1:16" ht="21.6" customHeight="1" x14ac:dyDescent="0.3">
      <c r="A16" s="9" t="s">
        <v>25</v>
      </c>
      <c r="B16" s="9">
        <f>ROUND(A3*E7,2)</f>
        <v>135.85</v>
      </c>
      <c r="C16" s="9">
        <f>B3*E7</f>
        <v>407.55</v>
      </c>
      <c r="D16" s="9">
        <f ca="1">F12*C3</f>
        <v>1245.1500000000001</v>
      </c>
      <c r="E16" s="9">
        <f>ROUND(D3*F7,2)</f>
        <v>661.7</v>
      </c>
      <c r="F16" s="9">
        <f ca="1">(H7*20)+(H12*20)+(120*20)</f>
        <v>3807</v>
      </c>
      <c r="G16" s="9">
        <f>1.5*E3</f>
        <v>360</v>
      </c>
      <c r="H16" s="9">
        <f>1.5*F3</f>
        <v>360</v>
      </c>
      <c r="I16" s="9">
        <f ca="1">ROUND(SUM(B16:H16),2)</f>
        <v>6977.25</v>
      </c>
      <c r="J16" s="9">
        <f ca="1">ROUND(I16/20,2)</f>
        <v>348.86</v>
      </c>
      <c r="K16" s="9">
        <f ca="1">ROUND(J16/60,2)</f>
        <v>5.81</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2025-12-30T10:20:34Z</dcterms:modified>
</cp:coreProperties>
</file>